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01C_HAIST_WORKS_자재구매\BOM\"/>
    </mc:Choice>
  </mc:AlternateContent>
  <xr:revisionPtr revIDLastSave="0" documentId="13_ncr:1_{29CB906A-0A06-48F4-ACC0-71447BB059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. 구매품" sheetId="32" r:id="rId1"/>
  </sheets>
  <definedNames>
    <definedName name="_xlnm._FilterDatabase" localSheetId="0" hidden="1">'1. 구매품'!$B$7:$P$362</definedName>
    <definedName name="_xlnm.Print_Area" localSheetId="0">'1. 구매품'!$B$2:$O$362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8" i="32" l="1"/>
  <c r="K363" i="32" l="1"/>
  <c r="I313" i="32" l="1"/>
  <c r="I312" i="32"/>
  <c r="I311" i="32"/>
  <c r="L311" i="32" l="1"/>
  <c r="L312" i="32"/>
  <c r="L313" i="32"/>
  <c r="I310" i="32"/>
  <c r="L310" i="32" s="1"/>
  <c r="I309" i="32"/>
  <c r="L309" i="32" s="1"/>
  <c r="I308" i="32"/>
  <c r="I307" i="32"/>
  <c r="L307" i="32" s="1"/>
  <c r="I306" i="32"/>
  <c r="L306" i="32" s="1"/>
  <c r="I305" i="32"/>
  <c r="L305" i="32" s="1"/>
  <c r="I304" i="32"/>
  <c r="I303" i="32"/>
  <c r="L303" i="32" s="1"/>
  <c r="I302" i="32"/>
  <c r="L302" i="32" s="1"/>
  <c r="I301" i="32"/>
  <c r="L301" i="32" s="1"/>
  <c r="I300" i="32"/>
  <c r="L300" i="32" s="1"/>
  <c r="I299" i="32"/>
  <c r="L299" i="32" s="1"/>
  <c r="I298" i="32"/>
  <c r="L298" i="32" s="1"/>
  <c r="I297" i="32"/>
  <c r="L297" i="32" s="1"/>
  <c r="I296" i="32"/>
  <c r="L296" i="32" s="1"/>
  <c r="I295" i="32"/>
  <c r="L295" i="32" s="1"/>
  <c r="I294" i="32"/>
  <c r="L294" i="32" s="1"/>
  <c r="I293" i="32"/>
  <c r="L293" i="32" s="1"/>
  <c r="I292" i="32"/>
  <c r="L292" i="32" s="1"/>
  <c r="I291" i="32"/>
  <c r="L291" i="32" s="1"/>
  <c r="I290" i="32"/>
  <c r="I289" i="32"/>
  <c r="I288" i="32"/>
  <c r="L288" i="32" s="1"/>
  <c r="I287" i="32"/>
  <c r="L287" i="32" s="1"/>
  <c r="I286" i="32"/>
  <c r="I285" i="32"/>
  <c r="L285" i="32" s="1"/>
  <c r="I284" i="32"/>
  <c r="L284" i="32" s="1"/>
  <c r="I283" i="32"/>
  <c r="L283" i="32" s="1"/>
  <c r="I282" i="32"/>
  <c r="I281" i="32"/>
  <c r="L281" i="32" s="1"/>
  <c r="I280" i="32"/>
  <c r="L280" i="32" s="1"/>
  <c r="I279" i="32"/>
  <c r="I278" i="32"/>
  <c r="I277" i="32"/>
  <c r="L277" i="32" s="1"/>
  <c r="I276" i="32"/>
  <c r="L276" i="32" s="1"/>
  <c r="I275" i="32"/>
  <c r="I274" i="32"/>
  <c r="I273" i="32"/>
  <c r="I272" i="32"/>
  <c r="L272" i="32" s="1"/>
  <c r="I356" i="32"/>
  <c r="L356" i="32" s="1"/>
  <c r="I355" i="32"/>
  <c r="I354" i="32"/>
  <c r="L354" i="32" s="1"/>
  <c r="I353" i="32"/>
  <c r="L353" i="32" s="1"/>
  <c r="I352" i="32"/>
  <c r="L352" i="32" s="1"/>
  <c r="I351" i="32"/>
  <c r="I350" i="32"/>
  <c r="L350" i="32" s="1"/>
  <c r="I349" i="32"/>
  <c r="L349" i="32" s="1"/>
  <c r="I348" i="32"/>
  <c r="L348" i="32" s="1"/>
  <c r="I347" i="32"/>
  <c r="I346" i="32"/>
  <c r="L346" i="32" s="1"/>
  <c r="I345" i="32"/>
  <c r="L345" i="32" s="1"/>
  <c r="I344" i="32"/>
  <c r="L344" i="32" s="1"/>
  <c r="I343" i="32"/>
  <c r="I342" i="32"/>
  <c r="L342" i="32" s="1"/>
  <c r="I341" i="32"/>
  <c r="L341" i="32" s="1"/>
  <c r="I340" i="32"/>
  <c r="L340" i="32" s="1"/>
  <c r="I339" i="32"/>
  <c r="I338" i="32"/>
  <c r="L338" i="32" s="1"/>
  <c r="I337" i="32"/>
  <c r="L337" i="32" s="1"/>
  <c r="I336" i="32"/>
  <c r="L336" i="32" s="1"/>
  <c r="I335" i="32"/>
  <c r="I334" i="32"/>
  <c r="L334" i="32" s="1"/>
  <c r="I333" i="32"/>
  <c r="L333" i="32" s="1"/>
  <c r="I332" i="32"/>
  <c r="L332" i="32" s="1"/>
  <c r="I331" i="32"/>
  <c r="I330" i="32"/>
  <c r="L330" i="32" s="1"/>
  <c r="I329" i="32"/>
  <c r="L329" i="32" s="1"/>
  <c r="L327" i="32"/>
  <c r="I326" i="32"/>
  <c r="I325" i="32"/>
  <c r="L325" i="32" s="1"/>
  <c r="I324" i="32"/>
  <c r="L324" i="32" s="1"/>
  <c r="I323" i="32"/>
  <c r="L323" i="32" s="1"/>
  <c r="I322" i="32"/>
  <c r="I321" i="32"/>
  <c r="L321" i="32" s="1"/>
  <c r="I320" i="32"/>
  <c r="L320" i="32" s="1"/>
  <c r="I319" i="32"/>
  <c r="L319" i="32" s="1"/>
  <c r="I318" i="32"/>
  <c r="I317" i="32"/>
  <c r="L317" i="32" s="1"/>
  <c r="I316" i="32"/>
  <c r="L316" i="32" s="1"/>
  <c r="I315" i="32"/>
  <c r="L315" i="32" s="1"/>
  <c r="I314" i="32"/>
  <c r="I271" i="32"/>
  <c r="L271" i="32" s="1"/>
  <c r="I270" i="32"/>
  <c r="L270" i="32" s="1"/>
  <c r="I269" i="32"/>
  <c r="L269" i="32" s="1"/>
  <c r="I268" i="32"/>
  <c r="I267" i="32"/>
  <c r="L267" i="32" s="1"/>
  <c r="I266" i="32"/>
  <c r="L266" i="32" s="1"/>
  <c r="I265" i="32"/>
  <c r="L265" i="32" s="1"/>
  <c r="I264" i="32"/>
  <c r="I263" i="32"/>
  <c r="L263" i="32" s="1"/>
  <c r="I262" i="32"/>
  <c r="I261" i="32"/>
  <c r="L261" i="32" s="1"/>
  <c r="I260" i="32"/>
  <c r="I259" i="32"/>
  <c r="L259" i="32" s="1"/>
  <c r="I258" i="32"/>
  <c r="I257" i="32"/>
  <c r="L257" i="32" s="1"/>
  <c r="I256" i="32"/>
  <c r="I255" i="32"/>
  <c r="L255" i="32" s="1"/>
  <c r="I254" i="32"/>
  <c r="I253" i="32"/>
  <c r="L253" i="32" s="1"/>
  <c r="I252" i="32"/>
  <c r="I251" i="32"/>
  <c r="L251" i="32" s="1"/>
  <c r="I250" i="32"/>
  <c r="I249" i="32"/>
  <c r="L249" i="32" s="1"/>
  <c r="I248" i="32"/>
  <c r="I247" i="32"/>
  <c r="L247" i="32" s="1"/>
  <c r="I246" i="32"/>
  <c r="L246" i="32" s="1"/>
  <c r="I245" i="32"/>
  <c r="I244" i="32"/>
  <c r="I243" i="32"/>
  <c r="I242" i="32"/>
  <c r="L242" i="32" s="1"/>
  <c r="I241" i="32"/>
  <c r="I240" i="32"/>
  <c r="L240" i="32" s="1"/>
  <c r="I239" i="32"/>
  <c r="L239" i="32" s="1"/>
  <c r="I238" i="32"/>
  <c r="I237" i="32"/>
  <c r="I236" i="32"/>
  <c r="L236" i="32" s="1"/>
  <c r="I235" i="32"/>
  <c r="L235" i="32" s="1"/>
  <c r="I234" i="32"/>
  <c r="I233" i="32"/>
  <c r="L233" i="32" s="1"/>
  <c r="I232" i="32"/>
  <c r="I231" i="32"/>
  <c r="L231" i="32" s="1"/>
  <c r="I230" i="32"/>
  <c r="I229" i="32"/>
  <c r="L229" i="32" s="1"/>
  <c r="I228" i="32"/>
  <c r="I227" i="32"/>
  <c r="L227" i="32" s="1"/>
  <c r="I226" i="32"/>
  <c r="I225" i="32"/>
  <c r="L225" i="32" s="1"/>
  <c r="I224" i="32"/>
  <c r="I223" i="32"/>
  <c r="L223" i="32" s="1"/>
  <c r="I222" i="32"/>
  <c r="I221" i="32"/>
  <c r="L221" i="32" s="1"/>
  <c r="I220" i="32"/>
  <c r="I219" i="32"/>
  <c r="L219" i="32" s="1"/>
  <c r="I218" i="32"/>
  <c r="I217" i="32"/>
  <c r="L217" i="32" s="1"/>
  <c r="I216" i="32"/>
  <c r="I215" i="32"/>
  <c r="L215" i="32" s="1"/>
  <c r="I214" i="32"/>
  <c r="I213" i="32"/>
  <c r="I212" i="32"/>
  <c r="L212" i="32" s="1"/>
  <c r="I211" i="32"/>
  <c r="I210" i="32"/>
  <c r="L210" i="32" s="1"/>
  <c r="I209" i="32"/>
  <c r="I208" i="32"/>
  <c r="L208" i="32" s="1"/>
  <c r="I207" i="32"/>
  <c r="I206" i="32"/>
  <c r="L206" i="32" s="1"/>
  <c r="I205" i="32"/>
  <c r="I204" i="32"/>
  <c r="L204" i="32" s="1"/>
  <c r="I203" i="32"/>
  <c r="L203" i="32" s="1"/>
  <c r="I202" i="32"/>
  <c r="I201" i="32"/>
  <c r="I200" i="32"/>
  <c r="I199" i="32"/>
  <c r="I198" i="32"/>
  <c r="I197" i="32"/>
  <c r="I196" i="32"/>
  <c r="I195" i="32"/>
  <c r="L195" i="32" s="1"/>
  <c r="I194" i="32"/>
  <c r="L194" i="32" s="1"/>
  <c r="I193" i="32"/>
  <c r="I192" i="32"/>
  <c r="L192" i="32" s="1"/>
  <c r="I191" i="32"/>
  <c r="L191" i="32" s="1"/>
  <c r="I190" i="32"/>
  <c r="L190" i="32" s="1"/>
  <c r="I189" i="32"/>
  <c r="I188" i="32"/>
  <c r="L188" i="32" s="1"/>
  <c r="I187" i="32"/>
  <c r="L187" i="32" s="1"/>
  <c r="I186" i="32"/>
  <c r="I185" i="32"/>
  <c r="I184" i="32"/>
  <c r="L184" i="32" s="1"/>
  <c r="I183" i="32"/>
  <c r="L183" i="32" s="1"/>
  <c r="I182" i="32"/>
  <c r="I181" i="32"/>
  <c r="I180" i="32"/>
  <c r="I179" i="32"/>
  <c r="L179" i="32" s="1"/>
  <c r="I178" i="32"/>
  <c r="L178" i="32" s="1"/>
  <c r="I177" i="32"/>
  <c r="L177" i="32" s="1"/>
  <c r="I176" i="32"/>
  <c r="L176" i="32" s="1"/>
  <c r="I175" i="32"/>
  <c r="L175" i="32" s="1"/>
  <c r="I174" i="32"/>
  <c r="I173" i="32"/>
  <c r="L173" i="32" s="1"/>
  <c r="I172" i="32"/>
  <c r="L172" i="32" s="1"/>
  <c r="I171" i="32"/>
  <c r="I170" i="32"/>
  <c r="I169" i="32"/>
  <c r="L169" i="32" s="1"/>
  <c r="I168" i="32"/>
  <c r="I167" i="32"/>
  <c r="L167" i="32" s="1"/>
  <c r="I166" i="32"/>
  <c r="L166" i="32" s="1"/>
  <c r="I165" i="32"/>
  <c r="I164" i="32"/>
  <c r="I163" i="32"/>
  <c r="L163" i="32" s="1"/>
  <c r="I162" i="32"/>
  <c r="L162" i="32" s="1"/>
  <c r="I161" i="32"/>
  <c r="I160" i="32"/>
  <c r="I159" i="32"/>
  <c r="L159" i="32" s="1"/>
  <c r="I158" i="32"/>
  <c r="I157" i="32"/>
  <c r="I156" i="32"/>
  <c r="L156" i="32" s="1"/>
  <c r="I155" i="32"/>
  <c r="L155" i="32" s="1"/>
  <c r="I154" i="32"/>
  <c r="L154" i="32" s="1"/>
  <c r="I153" i="32"/>
  <c r="I152" i="32"/>
  <c r="L152" i="32" s="1"/>
  <c r="I151" i="32"/>
  <c r="I150" i="32"/>
  <c r="I149" i="32"/>
  <c r="L149" i="32" s="1"/>
  <c r="I148" i="32"/>
  <c r="L148" i="32" s="1"/>
  <c r="I147" i="32"/>
  <c r="L147" i="32" s="1"/>
  <c r="I146" i="32"/>
  <c r="L146" i="32" s="1"/>
  <c r="I145" i="32"/>
  <c r="L145" i="32" s="1"/>
  <c r="I144" i="32"/>
  <c r="L144" i="32" s="1"/>
  <c r="I143" i="32"/>
  <c r="L143" i="32" s="1"/>
  <c r="I142" i="32"/>
  <c r="L142" i="32" s="1"/>
  <c r="I141" i="32"/>
  <c r="I140" i="32"/>
  <c r="L140" i="32" s="1"/>
  <c r="I139" i="32"/>
  <c r="L139" i="32" s="1"/>
  <c r="I138" i="32"/>
  <c r="L138" i="32" s="1"/>
  <c r="I137" i="32"/>
  <c r="L137" i="32" s="1"/>
  <c r="I136" i="32"/>
  <c r="L136" i="32" s="1"/>
  <c r="I135" i="32"/>
  <c r="L135" i="32" s="1"/>
  <c r="I134" i="32"/>
  <c r="I133" i="32"/>
  <c r="L133" i="32" s="1"/>
  <c r="I132" i="32"/>
  <c r="L132" i="32" s="1"/>
  <c r="I131" i="32"/>
  <c r="L131" i="32" s="1"/>
  <c r="I130" i="32"/>
  <c r="I129" i="32"/>
  <c r="L129" i="32" s="1"/>
  <c r="I128" i="32"/>
  <c r="L128" i="32" s="1"/>
  <c r="I127" i="32"/>
  <c r="L127" i="32" s="1"/>
  <c r="I126" i="32"/>
  <c r="L126" i="32" s="1"/>
  <c r="I125" i="32"/>
  <c r="I124" i="32"/>
  <c r="L124" i="32" s="1"/>
  <c r="I123" i="32"/>
  <c r="I122" i="32"/>
  <c r="L122" i="32" s="1"/>
  <c r="I121" i="32"/>
  <c r="L121" i="32" s="1"/>
  <c r="I120" i="32"/>
  <c r="L120" i="32" s="1"/>
  <c r="I119" i="32"/>
  <c r="L119" i="32" s="1"/>
  <c r="I118" i="32"/>
  <c r="I117" i="32"/>
  <c r="I116" i="32"/>
  <c r="L116" i="32" s="1"/>
  <c r="I115" i="32"/>
  <c r="I114" i="32"/>
  <c r="L114" i="32" s="1"/>
  <c r="I113" i="32"/>
  <c r="I112" i="32"/>
  <c r="L112" i="32" s="1"/>
  <c r="I111" i="32"/>
  <c r="I110" i="32"/>
  <c r="L110" i="32" s="1"/>
  <c r="I109" i="32"/>
  <c r="L109" i="32" s="1"/>
  <c r="I108" i="32"/>
  <c r="L108" i="32" s="1"/>
  <c r="I107" i="32"/>
  <c r="I106" i="32"/>
  <c r="L106" i="32" s="1"/>
  <c r="I105" i="32"/>
  <c r="L105" i="32" s="1"/>
  <c r="I104" i="32"/>
  <c r="I103" i="32"/>
  <c r="L103" i="32" s="1"/>
  <c r="I102" i="32"/>
  <c r="L102" i="32" s="1"/>
  <c r="I101" i="32"/>
  <c r="L101" i="32" s="1"/>
  <c r="I100" i="32"/>
  <c r="I99" i="32"/>
  <c r="L99" i="32" s="1"/>
  <c r="I98" i="32"/>
  <c r="L98" i="32" s="1"/>
  <c r="I97" i="32"/>
  <c r="L97" i="32" s="1"/>
  <c r="I96" i="32"/>
  <c r="I95" i="32"/>
  <c r="L95" i="32" s="1"/>
  <c r="I94" i="32"/>
  <c r="L94" i="32" s="1"/>
  <c r="I93" i="32"/>
  <c r="L93" i="32" s="1"/>
  <c r="I92" i="32"/>
  <c r="I91" i="32"/>
  <c r="L91" i="32" s="1"/>
  <c r="I90" i="32"/>
  <c r="L90" i="32" s="1"/>
  <c r="I89" i="32"/>
  <c r="L89" i="32" s="1"/>
  <c r="I88" i="32"/>
  <c r="I87" i="32"/>
  <c r="L87" i="32" s="1"/>
  <c r="I86" i="32"/>
  <c r="L86" i="32" s="1"/>
  <c r="I85" i="32"/>
  <c r="L85" i="32" s="1"/>
  <c r="I84" i="32"/>
  <c r="I83" i="32"/>
  <c r="L83" i="32" s="1"/>
  <c r="I82" i="32"/>
  <c r="L82" i="32" s="1"/>
  <c r="I81" i="32"/>
  <c r="L81" i="32" s="1"/>
  <c r="I80" i="32"/>
  <c r="I79" i="32"/>
  <c r="I78" i="32"/>
  <c r="L78" i="32" s="1"/>
  <c r="I77" i="32"/>
  <c r="L77" i="32" s="1"/>
  <c r="I76" i="32"/>
  <c r="I75" i="32"/>
  <c r="L75" i="32" s="1"/>
  <c r="I74" i="32"/>
  <c r="L74" i="32" s="1"/>
  <c r="I73" i="32"/>
  <c r="I72" i="32"/>
  <c r="L72" i="32" s="1"/>
  <c r="I71" i="32"/>
  <c r="L71" i="32" s="1"/>
  <c r="I70" i="32"/>
  <c r="L70" i="32" s="1"/>
  <c r="I69" i="32"/>
  <c r="I68" i="32"/>
  <c r="L68" i="32" s="1"/>
  <c r="I67" i="32"/>
  <c r="L67" i="32" s="1"/>
  <c r="I66" i="32"/>
  <c r="L66" i="32" s="1"/>
  <c r="I65" i="32"/>
  <c r="I64" i="32"/>
  <c r="L64" i="32" s="1"/>
  <c r="I63" i="32"/>
  <c r="L63" i="32" s="1"/>
  <c r="I62" i="32"/>
  <c r="L62" i="32" s="1"/>
  <c r="I61" i="32"/>
  <c r="I60" i="32"/>
  <c r="L60" i="32" s="1"/>
  <c r="I59" i="32"/>
  <c r="L59" i="32" s="1"/>
  <c r="I58" i="32"/>
  <c r="L58" i="32" s="1"/>
  <c r="I57" i="32"/>
  <c r="I56" i="32"/>
  <c r="L56" i="32" s="1"/>
  <c r="I55" i="32"/>
  <c r="L55" i="32" s="1"/>
  <c r="I54" i="32"/>
  <c r="L54" i="32" s="1"/>
  <c r="I53" i="32"/>
  <c r="I52" i="32"/>
  <c r="L52" i="32" s="1"/>
  <c r="I51" i="32"/>
  <c r="L51" i="32" s="1"/>
  <c r="I50" i="32"/>
  <c r="L50" i="32" s="1"/>
  <c r="I49" i="32"/>
  <c r="I48" i="32"/>
  <c r="I47" i="32"/>
  <c r="L47" i="32" s="1"/>
  <c r="I46" i="32"/>
  <c r="L46" i="32" s="1"/>
  <c r="I45" i="32"/>
  <c r="I44" i="32"/>
  <c r="I43" i="32"/>
  <c r="L43" i="32" s="1"/>
  <c r="I42" i="32"/>
  <c r="L42" i="32" s="1"/>
  <c r="I41" i="32"/>
  <c r="I40" i="32"/>
  <c r="I39" i="32"/>
  <c r="L39" i="32" s="1"/>
  <c r="I38" i="32"/>
  <c r="L38" i="32" s="1"/>
  <c r="I37" i="32"/>
  <c r="I36" i="32"/>
  <c r="I35" i="32"/>
  <c r="L35" i="32" s="1"/>
  <c r="I34" i="32"/>
  <c r="L34" i="32" s="1"/>
  <c r="I33" i="32"/>
  <c r="L33" i="32" s="1"/>
  <c r="I32" i="32"/>
  <c r="L32" i="32" s="1"/>
  <c r="I31" i="32"/>
  <c r="L31" i="32" s="1"/>
  <c r="I30" i="32"/>
  <c r="L30" i="32" s="1"/>
  <c r="I29" i="32"/>
  <c r="I28" i="32"/>
  <c r="L28" i="32" s="1"/>
  <c r="I27" i="32"/>
  <c r="L27" i="32" s="1"/>
  <c r="I26" i="32"/>
  <c r="L26" i="32" s="1"/>
  <c r="I25" i="32"/>
  <c r="L25" i="32" s="1"/>
  <c r="I24" i="32"/>
  <c r="L24" i="32" s="1"/>
  <c r="I23" i="32"/>
  <c r="L23" i="32" s="1"/>
  <c r="I22" i="32"/>
  <c r="L22" i="32" s="1"/>
  <c r="I21" i="32"/>
  <c r="I20" i="32"/>
  <c r="L20" i="32" s="1"/>
  <c r="I19" i="32"/>
  <c r="L19" i="32" s="1"/>
  <c r="I18" i="32"/>
  <c r="L18" i="32" s="1"/>
  <c r="I17" i="32"/>
  <c r="I16" i="32"/>
  <c r="L16" i="32" s="1"/>
  <c r="I15" i="32"/>
  <c r="L15" i="32" s="1"/>
  <c r="I14" i="32"/>
  <c r="L14" i="32" s="1"/>
  <c r="I13" i="32"/>
  <c r="L13" i="32" s="1"/>
  <c r="I12" i="32"/>
  <c r="I11" i="32"/>
  <c r="L11" i="32" s="1"/>
  <c r="I10" i="32"/>
  <c r="L10" i="32" s="1"/>
  <c r="I9" i="32"/>
  <c r="L9" i="32" s="1"/>
  <c r="I8" i="32"/>
  <c r="L153" i="32" l="1"/>
  <c r="L273" i="32"/>
  <c r="L274" i="32"/>
  <c r="L290" i="32"/>
  <c r="L282" i="32"/>
  <c r="L289" i="32"/>
  <c r="L275" i="32"/>
  <c r="L286" i="32"/>
  <c r="L279" i="32"/>
  <c r="L278" i="32"/>
  <c r="L17" i="32"/>
  <c r="L304" i="32"/>
  <c r="L308" i="32"/>
  <c r="L245" i="32"/>
  <c r="L238" i="32"/>
  <c r="L199" i="32"/>
  <c r="L196" i="32"/>
  <c r="L198" i="32"/>
  <c r="L174" i="32"/>
  <c r="L180" i="32"/>
  <c r="L182" i="32"/>
  <c r="L186" i="32"/>
  <c r="L171" i="32"/>
  <c r="L170" i="32"/>
  <c r="L158" i="32"/>
  <c r="L157" i="32"/>
  <c r="L165" i="32"/>
  <c r="L168" i="32"/>
  <c r="L150" i="32"/>
  <c r="L151" i="32"/>
  <c r="L141" i="32"/>
  <c r="L130" i="32"/>
  <c r="L113" i="32"/>
  <c r="L115" i="32"/>
  <c r="L118" i="32"/>
  <c r="L125" i="32"/>
  <c r="L117" i="32"/>
  <c r="L61" i="32"/>
  <c r="L88" i="32"/>
  <c r="L21" i="32"/>
  <c r="L29" i="32"/>
  <c r="L36" i="32"/>
  <c r="L57" i="32"/>
  <c r="L48" i="32"/>
  <c r="L79" i="32"/>
  <c r="L44" i="32"/>
  <c r="L49" i="32"/>
  <c r="L65" i="32"/>
  <c r="L80" i="32"/>
  <c r="L40" i="32"/>
  <c r="L92" i="32"/>
  <c r="L96" i="32"/>
  <c r="L8" i="32"/>
  <c r="L12" i="32"/>
  <c r="L69" i="32"/>
  <c r="L100" i="32"/>
  <c r="L134" i="32"/>
  <c r="L161" i="32"/>
  <c r="L201" i="32"/>
  <c r="L243" i="32"/>
  <c r="L37" i="32"/>
  <c r="L41" i="32"/>
  <c r="L45" i="32"/>
  <c r="L76" i="32"/>
  <c r="L107" i="32"/>
  <c r="L160" i="32"/>
  <c r="L181" i="32"/>
  <c r="L53" i="32"/>
  <c r="L84" i="32"/>
  <c r="L111" i="32"/>
  <c r="L123" i="32"/>
  <c r="L164" i="32"/>
  <c r="L185" i="32"/>
  <c r="L73" i="32"/>
  <c r="L104" i="32"/>
  <c r="L230" i="32"/>
  <c r="L193" i="32"/>
  <c r="L197" i="32"/>
  <c r="L226" i="32"/>
  <c r="L244" i="32"/>
  <c r="L234" i="32"/>
  <c r="L248" i="32"/>
  <c r="L207" i="32"/>
  <c r="L252" i="32"/>
  <c r="L211" i="32"/>
  <c r="L237" i="32"/>
  <c r="L256" i="32"/>
  <c r="L189" i="32"/>
  <c r="L214" i="32"/>
  <c r="L200" i="32"/>
  <c r="L218" i="32"/>
  <c r="L241" i="32"/>
  <c r="L262" i="32"/>
  <c r="L222" i="32"/>
  <c r="L202" i="32"/>
  <c r="L205" i="32"/>
  <c r="L209" i="32"/>
  <c r="L213" i="32"/>
  <c r="L216" i="32"/>
  <c r="L220" i="32"/>
  <c r="L224" i="32"/>
  <c r="L228" i="32"/>
  <c r="L232" i="32"/>
  <c r="L250" i="32"/>
  <c r="L254" i="32"/>
  <c r="L258" i="32"/>
  <c r="L260" i="32"/>
  <c r="L264" i="32"/>
  <c r="L268" i="32"/>
  <c r="L314" i="32"/>
  <c r="L318" i="32"/>
  <c r="L322" i="32"/>
  <c r="L326" i="32"/>
  <c r="L331" i="32"/>
  <c r="L335" i="32"/>
  <c r="L339" i="32"/>
  <c r="L343" i="32"/>
  <c r="L347" i="32"/>
  <c r="L351" i="32"/>
  <c r="L355" i="32"/>
  <c r="I363" i="32" l="1"/>
  <c r="H363" i="32"/>
  <c r="L363" i="32" l="1"/>
</calcChain>
</file>

<file path=xl/sharedStrings.xml><?xml version="1.0" encoding="utf-8"?>
<sst xmlns="http://schemas.openxmlformats.org/spreadsheetml/2006/main" count="2394" uniqueCount="524">
  <si>
    <t>NO.</t>
    <phoneticPr fontId="7" type="noConversion"/>
  </si>
  <si>
    <t>CODE</t>
    <phoneticPr fontId="9" type="noConversion"/>
  </si>
  <si>
    <r>
      <t>AMOINT
합계 / T</t>
    </r>
    <r>
      <rPr>
        <b/>
        <sz val="12"/>
        <rFont val="Calibri"/>
        <family val="3"/>
        <charset val="163"/>
      </rPr>
      <t>ổ</t>
    </r>
    <r>
      <rPr>
        <b/>
        <sz val="12"/>
        <rFont val="맑은 고딕"/>
        <family val="3"/>
        <charset val="129"/>
        <scheme val="minor"/>
      </rPr>
      <t>ng c</t>
    </r>
    <r>
      <rPr>
        <b/>
        <sz val="12"/>
        <rFont val="Calibri"/>
        <family val="3"/>
        <charset val="163"/>
      </rPr>
      <t>ộ</t>
    </r>
    <r>
      <rPr>
        <b/>
        <sz val="12"/>
        <rFont val="맑은 고딕"/>
        <family val="3"/>
        <charset val="129"/>
        <scheme val="minor"/>
      </rPr>
      <t>ng</t>
    </r>
    <phoneticPr fontId="8" type="noConversion"/>
  </si>
  <si>
    <r>
      <t>DELIVERY
납기
Th</t>
    </r>
    <r>
      <rPr>
        <b/>
        <sz val="12"/>
        <rFont val="Calibri"/>
        <family val="3"/>
        <charset val="163"/>
      </rPr>
      <t>ờ</t>
    </r>
    <r>
      <rPr>
        <b/>
        <sz val="12"/>
        <rFont val="맑은 고딕"/>
        <family val="3"/>
        <charset val="129"/>
        <scheme val="minor"/>
      </rPr>
      <t>i gian giao hàng</t>
    </r>
    <phoneticPr fontId="8" type="noConversion"/>
  </si>
  <si>
    <t>REMARKS(NOTE)
비고 / Ghi chú</t>
    <phoneticPr fontId="7" type="noConversion"/>
  </si>
  <si>
    <t>신규추가 노랑색 배경</t>
    <phoneticPr fontId="8" type="noConversion"/>
  </si>
  <si>
    <t>사급품 확인용</t>
    <phoneticPr fontId="8" type="noConversion"/>
  </si>
  <si>
    <r>
      <t>CATEGORY
구분 / Danh m</t>
    </r>
    <r>
      <rPr>
        <b/>
        <sz val="12"/>
        <rFont val="Calibri"/>
        <family val="3"/>
        <charset val="163"/>
      </rPr>
      <t>ụ</t>
    </r>
    <r>
      <rPr>
        <b/>
        <sz val="12"/>
        <rFont val="맑은 고딕"/>
        <family val="3"/>
        <charset val="129"/>
        <scheme val="minor"/>
      </rPr>
      <t>c</t>
    </r>
    <phoneticPr fontId="7" type="noConversion"/>
  </si>
  <si>
    <r>
      <t>PRODUCT NAME
제품명 / Tên s</t>
    </r>
    <r>
      <rPr>
        <b/>
        <sz val="12"/>
        <rFont val="Calibri"/>
        <family val="3"/>
        <charset val="163"/>
      </rPr>
      <t>ả</t>
    </r>
    <r>
      <rPr>
        <b/>
        <sz val="12"/>
        <rFont val="맑은 고딕"/>
        <family val="3"/>
        <charset val="129"/>
        <scheme val="minor"/>
      </rPr>
      <t>n ph</t>
    </r>
    <r>
      <rPr>
        <b/>
        <sz val="12"/>
        <rFont val="Calibri"/>
        <family val="3"/>
        <charset val="163"/>
      </rPr>
      <t>ẩ</t>
    </r>
    <r>
      <rPr>
        <b/>
        <sz val="12"/>
        <rFont val="맑은 고딕"/>
        <family val="3"/>
        <charset val="129"/>
        <scheme val="minor"/>
      </rPr>
      <t>m</t>
    </r>
    <phoneticPr fontId="7" type="noConversion"/>
  </si>
  <si>
    <r>
      <t>PRODUCT CODE
코드명 / Mã s</t>
    </r>
    <r>
      <rPr>
        <b/>
        <sz val="12"/>
        <rFont val="Calibri"/>
        <family val="3"/>
        <charset val="163"/>
      </rPr>
      <t>ả</t>
    </r>
    <r>
      <rPr>
        <b/>
        <sz val="12"/>
        <rFont val="맑은 고딕"/>
        <family val="3"/>
        <charset val="129"/>
        <scheme val="minor"/>
      </rPr>
      <t>n ph</t>
    </r>
    <r>
      <rPr>
        <b/>
        <sz val="12"/>
        <rFont val="Calibri"/>
        <family val="3"/>
        <charset val="163"/>
      </rPr>
      <t>ẩ</t>
    </r>
    <r>
      <rPr>
        <b/>
        <sz val="12"/>
        <rFont val="맑은 고딕"/>
        <family val="3"/>
        <charset val="129"/>
        <scheme val="minor"/>
      </rPr>
      <t>m</t>
    </r>
    <phoneticPr fontId="8" type="noConversion"/>
  </si>
  <si>
    <r>
      <t>MANUFACTURER
제조사 / Nhà s</t>
    </r>
    <r>
      <rPr>
        <b/>
        <sz val="12"/>
        <rFont val="Calibri"/>
        <family val="3"/>
        <charset val="163"/>
      </rPr>
      <t>ả</t>
    </r>
    <r>
      <rPr>
        <b/>
        <sz val="12"/>
        <rFont val="맑은 고딕"/>
        <family val="3"/>
        <charset val="129"/>
        <scheme val="minor"/>
      </rPr>
      <t>n xu</t>
    </r>
    <r>
      <rPr>
        <b/>
        <sz val="12"/>
        <rFont val="Calibri"/>
        <family val="3"/>
        <charset val="163"/>
      </rPr>
      <t>ấ</t>
    </r>
    <r>
      <rPr>
        <b/>
        <sz val="12"/>
        <rFont val="맑은 고딕"/>
        <family val="3"/>
        <charset val="129"/>
        <scheme val="minor"/>
      </rPr>
      <t>t</t>
    </r>
    <phoneticPr fontId="7" type="noConversion"/>
  </si>
  <si>
    <r>
      <t>UNIT COUNT
수량
S</t>
    </r>
    <r>
      <rPr>
        <b/>
        <sz val="12"/>
        <rFont val="Calibri"/>
        <family val="3"/>
        <charset val="163"/>
      </rPr>
      <t>ố</t>
    </r>
    <r>
      <rPr>
        <b/>
        <sz val="12"/>
        <rFont val="맑은 고딕"/>
        <family val="3"/>
        <charset val="129"/>
        <scheme val="minor"/>
      </rPr>
      <t xml:space="preserve"> l</t>
    </r>
    <r>
      <rPr>
        <b/>
        <sz val="12"/>
        <rFont val="Segoe UI"/>
        <family val="3"/>
        <charset val="238"/>
      </rPr>
      <t>ư</t>
    </r>
    <r>
      <rPr>
        <b/>
        <sz val="12"/>
        <rFont val="Calibri"/>
        <family val="3"/>
        <charset val="163"/>
      </rPr>
      <t>ợ</t>
    </r>
    <r>
      <rPr>
        <b/>
        <sz val="12"/>
        <rFont val="맑은 고딕"/>
        <family val="3"/>
        <charset val="129"/>
        <scheme val="minor"/>
      </rPr>
      <t>ng</t>
    </r>
    <phoneticPr fontId="7" type="noConversion"/>
  </si>
  <si>
    <r>
      <t xml:space="preserve">UNIT
단위
</t>
    </r>
    <r>
      <rPr>
        <b/>
        <sz val="12"/>
        <rFont val="Segoe UI"/>
        <family val="3"/>
        <charset val="238"/>
      </rPr>
      <t>Đơ</t>
    </r>
    <r>
      <rPr>
        <b/>
        <sz val="12"/>
        <rFont val="맑은 고딕"/>
        <family val="3"/>
        <charset val="129"/>
        <scheme val="minor"/>
      </rPr>
      <t>n v</t>
    </r>
    <r>
      <rPr>
        <b/>
        <sz val="12"/>
        <rFont val="Calibri"/>
        <family val="3"/>
        <charset val="163"/>
      </rPr>
      <t>ị</t>
    </r>
    <phoneticPr fontId="8" type="noConversion"/>
  </si>
  <si>
    <r>
      <t xml:space="preserve">UNIT PRICE
단가 / </t>
    </r>
    <r>
      <rPr>
        <b/>
        <sz val="12"/>
        <rFont val="Segoe UI"/>
        <family val="3"/>
        <charset val="238"/>
      </rPr>
      <t>Đơ</t>
    </r>
    <r>
      <rPr>
        <b/>
        <sz val="12"/>
        <rFont val="맑은 고딕"/>
        <family val="3"/>
        <charset val="129"/>
        <scheme val="minor"/>
      </rPr>
      <t>n giá</t>
    </r>
    <phoneticPr fontId="8" type="noConversion"/>
  </si>
  <si>
    <r>
      <t>ORDER STATUS
발주일
Ngày đ</t>
    </r>
    <r>
      <rPr>
        <b/>
        <sz val="12"/>
        <rFont val="Calibri"/>
        <family val="3"/>
        <charset val="163"/>
      </rPr>
      <t>ặ</t>
    </r>
    <r>
      <rPr>
        <b/>
        <sz val="12"/>
        <rFont val="맑은 고딕"/>
        <family val="3"/>
        <charset val="129"/>
        <scheme val="minor"/>
      </rPr>
      <t>t hàng</t>
    </r>
    <phoneticPr fontId="8" type="noConversion"/>
  </si>
  <si>
    <r>
      <t>DELIVERY DATE
입고예정일
Ngày d</t>
    </r>
    <r>
      <rPr>
        <b/>
        <sz val="12"/>
        <rFont val="Calibri"/>
        <family val="3"/>
        <charset val="163"/>
      </rPr>
      <t>ự</t>
    </r>
    <r>
      <rPr>
        <b/>
        <sz val="12"/>
        <rFont val="맑은 고딕"/>
        <family val="3"/>
        <charset val="129"/>
        <scheme val="minor"/>
      </rPr>
      <t xml:space="preserve"> ki</t>
    </r>
    <r>
      <rPr>
        <b/>
        <sz val="12"/>
        <rFont val="Calibri"/>
        <family val="3"/>
        <charset val="163"/>
      </rPr>
      <t>ế</t>
    </r>
    <r>
      <rPr>
        <b/>
        <sz val="12"/>
        <rFont val="맑은 고딕"/>
        <family val="3"/>
        <charset val="129"/>
        <scheme val="minor"/>
      </rPr>
      <t>n nh</t>
    </r>
    <r>
      <rPr>
        <b/>
        <sz val="12"/>
        <rFont val="Calibri"/>
        <family val="3"/>
        <charset val="163"/>
      </rPr>
      <t>ậ</t>
    </r>
    <r>
      <rPr>
        <b/>
        <sz val="12"/>
        <rFont val="맑은 고딕"/>
        <family val="3"/>
        <charset val="129"/>
        <scheme val="minor"/>
      </rPr>
      <t>p kho</t>
    </r>
    <phoneticPr fontId="8" type="noConversion"/>
  </si>
  <si>
    <t>EA</t>
    <phoneticPr fontId="8" type="noConversion"/>
  </si>
  <si>
    <t>BOTTOM FRAME</t>
  </si>
  <si>
    <t>TOP FRAME</t>
  </si>
  <si>
    <t>AN10-01</t>
  </si>
  <si>
    <t>BY3-56-3</t>
  </si>
  <si>
    <t>SY3120-5LZ-C4</t>
  </si>
  <si>
    <t>K400+</t>
  </si>
  <si>
    <t>MSMF022L1S1</t>
  </si>
  <si>
    <t>SMC</t>
  </si>
  <si>
    <t>MISUMI</t>
  </si>
  <si>
    <t>오엔정보통신</t>
  </si>
  <si>
    <t>KG AUTO</t>
  </si>
  <si>
    <t>KACON</t>
  </si>
  <si>
    <t>PANASONIC</t>
  </si>
  <si>
    <t>SPG</t>
  </si>
  <si>
    <t>ETC</t>
  </si>
  <si>
    <t>CPS</t>
  </si>
  <si>
    <t>AUTHOR : THUAN</t>
    <phoneticPr fontId="7" type="noConversion"/>
  </si>
  <si>
    <t>LEVEL FOOT</t>
  </si>
  <si>
    <t>CASTER WHEEL</t>
  </si>
  <si>
    <t>HINGE</t>
  </si>
  <si>
    <t>BYH6060-30-BK</t>
  </si>
  <si>
    <t>HANDLE</t>
  </si>
  <si>
    <t>BY183-3-BK</t>
  </si>
  <si>
    <t>MAGNET</t>
  </si>
  <si>
    <t>SAFETY SENSOR</t>
  </si>
  <si>
    <t>GL-S12FH_SB01</t>
  </si>
  <si>
    <t>CABLE SAFETY SENSOR</t>
  </si>
  <si>
    <t>GL-SP5N</t>
  </si>
  <si>
    <t>DOOR LOCK</t>
  </si>
  <si>
    <t>BUTTON SWICH</t>
  </si>
  <si>
    <t>SHEET PAPER</t>
  </si>
  <si>
    <t>LG하우시스 방염 시트지 인테리어필름 RS88 50M</t>
  </si>
  <si>
    <t>KEYENCE</t>
  </si>
  <si>
    <t>LG 하우시스</t>
  </si>
  <si>
    <t>M</t>
    <phoneticPr fontId="8" type="noConversion"/>
  </si>
  <si>
    <t>SENSOR DOOR</t>
  </si>
  <si>
    <t>OMRON</t>
  </si>
  <si>
    <t>KEYBOARD</t>
  </si>
  <si>
    <t>BUZZER</t>
  </si>
  <si>
    <t>EMG BUTTON</t>
  </si>
  <si>
    <t>START BUTTON</t>
  </si>
  <si>
    <t>STOP  BUTTON</t>
  </si>
  <si>
    <t>TOWER LAMP</t>
  </si>
  <si>
    <t>PRESURE SENSOR</t>
  </si>
  <si>
    <t>MICRO STAGE</t>
  </si>
  <si>
    <t>TRAY LIFT UNIT</t>
  </si>
  <si>
    <t>LM GUIDE</t>
  </si>
  <si>
    <t>BALL SCREW</t>
  </si>
  <si>
    <t>HANSAN</t>
  </si>
  <si>
    <t>PULLEY</t>
  </si>
  <si>
    <t>HTPA26S5M150-A-H28</t>
  </si>
  <si>
    <t>POWER LOCK</t>
  </si>
  <si>
    <t>E-MLM14</t>
  </si>
  <si>
    <t>TIMING BELT</t>
  </si>
  <si>
    <t>SENSOR</t>
  </si>
  <si>
    <t>BS5-Y1M</t>
  </si>
  <si>
    <t>SERVO DRIVER</t>
  </si>
  <si>
    <t>POWER CABLE</t>
  </si>
  <si>
    <t>EX-13EB</t>
  </si>
  <si>
    <t>SUPPORT UNIT</t>
  </si>
  <si>
    <t>C-TEF12</t>
  </si>
  <si>
    <t>C-TEK12</t>
  </si>
  <si>
    <t>SENSOR BRACKET</t>
  </si>
  <si>
    <t>CYLINDER</t>
  </si>
  <si>
    <t>BUSHING</t>
  </si>
  <si>
    <t>HTPA26S5M150-A-H23</t>
  </si>
  <si>
    <t>E-MLM10</t>
  </si>
  <si>
    <t>E-LBM8UU</t>
  </si>
  <si>
    <t>ITOH DENKI</t>
  </si>
  <si>
    <t>FREE ROLLER</t>
  </si>
  <si>
    <t>SENSOR &amp; TRAY PP</t>
  </si>
  <si>
    <t>SERVO MOTOR-X AXIS</t>
  </si>
  <si>
    <t>SERVO MOTOR DRIVER</t>
  </si>
  <si>
    <t>MADLN15BE</t>
  </si>
  <si>
    <t>SERVO MOTOR ENCODER CABLE</t>
  </si>
  <si>
    <t>E-HTLA40S5M150-E-16</t>
  </si>
  <si>
    <t>C-AHTFW40-S5M150-15</t>
  </si>
  <si>
    <t>GEAR BOX</t>
  </si>
  <si>
    <t>SERVO MOTOR-Y AXIS</t>
  </si>
  <si>
    <t>SERVO MOTOR POWER CABLE</t>
  </si>
  <si>
    <t>E-HTLA32S5M150-E-16</t>
  </si>
  <si>
    <t>BS5-T1M</t>
  </si>
  <si>
    <t>FSSARL080-03A</t>
  </si>
  <si>
    <t>SERVO MOTOR BRAKE CABLE</t>
  </si>
  <si>
    <t>COUPLING</t>
  </si>
  <si>
    <t>SOH-32C-8-11</t>
  </si>
  <si>
    <t>C-AHTF32S5M150</t>
  </si>
  <si>
    <t>VACUUM PAD</t>
  </si>
  <si>
    <t>MDH-4006</t>
  </si>
  <si>
    <t>MCDLN35BL</t>
  </si>
  <si>
    <t>DD MOTOR POWER CABLE</t>
  </si>
  <si>
    <t>DD MOTOR ENCODER CABLE</t>
  </si>
  <si>
    <t>FITTING</t>
  </si>
  <si>
    <t>CLAMP TIMING BELT</t>
  </si>
  <si>
    <t>TBCR-S5M150</t>
  </si>
  <si>
    <t>ALIGN SHUTTLE</t>
  </si>
  <si>
    <t>JIG PRESS</t>
  </si>
  <si>
    <t>FRONT JIG SHUTTLE</t>
  </si>
  <si>
    <t>C-AHTFW32-S5M150-12</t>
  </si>
  <si>
    <t>ATTACH PP</t>
  </si>
  <si>
    <t>LOADER PP</t>
  </si>
  <si>
    <t>MHF2-8D2-M9N</t>
  </si>
  <si>
    <t>UNLOADER PP</t>
  </si>
  <si>
    <t>CV#1 &amp; CV#2</t>
  </si>
  <si>
    <t>AC MOTOR</t>
  </si>
  <si>
    <t>S7I15GD</t>
  </si>
  <si>
    <t>S7KA30B</t>
  </si>
  <si>
    <t>KHTPA25S3M100-A-NK10</t>
  </si>
  <si>
    <t>C-HTBN210S3M-100</t>
  </si>
  <si>
    <t>CV#3</t>
  </si>
  <si>
    <t>PEELING UNIT</t>
  </si>
  <si>
    <t>AN</t>
  </si>
  <si>
    <t>MANUAL STAGE</t>
  </si>
  <si>
    <t>AIR SYSTEM</t>
  </si>
  <si>
    <t xml:space="preserve">FITTING </t>
  </si>
  <si>
    <t>PRESSURE RELIEF VALVE</t>
  </si>
  <si>
    <t>FILTER REGULATOR</t>
  </si>
  <si>
    <t>REGULATOR</t>
  </si>
  <si>
    <t>PLUG</t>
  </si>
  <si>
    <t>SILENCER</t>
  </si>
  <si>
    <t>MANIFOLD</t>
  </si>
  <si>
    <t>SS5Y3-20-02</t>
  </si>
  <si>
    <t>SOLENOID VALVE</t>
  </si>
  <si>
    <t>SY3320-5LZ-C4</t>
  </si>
  <si>
    <t>SPEED CONTROL VALVE</t>
  </si>
  <si>
    <t>SS5Y3-20-05</t>
  </si>
  <si>
    <t>BLANKING PLATE</t>
  </si>
  <si>
    <t>VACUUM EJECTOR</t>
  </si>
  <si>
    <t>ZH10DSA-06-06-08S</t>
  </si>
  <si>
    <t>KQ2U06-00A</t>
  </si>
  <si>
    <t>ELECTRIC SYSTEM</t>
  </si>
  <si>
    <t>YOI-320B-TH</t>
  </si>
  <si>
    <t>ROTARY FITING</t>
  </si>
  <si>
    <t>KQ2L10-03NS</t>
  </si>
  <si>
    <t>VHS30-03-M-D</t>
  </si>
  <si>
    <t xml:space="preserve">Spacer With Bracket </t>
  </si>
  <si>
    <t>Y300T-D</t>
  </si>
  <si>
    <t>AW30-03BG-D</t>
  </si>
  <si>
    <t>ANA1-02</t>
  </si>
  <si>
    <t>AS1201F-M3-04A-X790</t>
  </si>
  <si>
    <t>AS1201F-M5-04A</t>
  </si>
  <si>
    <t>KSH04-M5</t>
  </si>
  <si>
    <t>KQ2P-10</t>
  </si>
  <si>
    <t>VQ21A1-5G-C8</t>
  </si>
  <si>
    <t>KQ2L08-03NS</t>
  </si>
  <si>
    <t>BE</t>
  </si>
  <si>
    <t>O-RING</t>
  </si>
  <si>
    <t>BH</t>
  </si>
  <si>
    <t>MFMCA0050NJD</t>
  </si>
  <si>
    <t>MFECA0050MJD</t>
  </si>
  <si>
    <t>SB060-10-S1-P2 (MSMF022L1S1)</t>
  </si>
  <si>
    <t>SERVO MOTOR-Z AXIS</t>
  </si>
  <si>
    <t>SPRINGS</t>
  </si>
  <si>
    <t>E-GUY6-10</t>
  </si>
  <si>
    <t>ACE</t>
    <phoneticPr fontId="8" type="noConversion"/>
  </si>
  <si>
    <t>BA</t>
  </si>
  <si>
    <t>A-MR-20-180</t>
  </si>
  <si>
    <t>CONNECTOR</t>
  </si>
  <si>
    <t>OEM</t>
  </si>
  <si>
    <t>Q-INTOP</t>
    <phoneticPr fontId="8" type="noConversion"/>
  </si>
  <si>
    <t>부영금속공업</t>
    <phoneticPr fontId="8" type="noConversion"/>
  </si>
  <si>
    <t>BL</t>
  </si>
  <si>
    <t>BM</t>
  </si>
  <si>
    <t>산업용 PC</t>
    <phoneticPr fontId="8" type="noConversion"/>
  </si>
  <si>
    <t>BG</t>
  </si>
  <si>
    <t>BF</t>
  </si>
  <si>
    <t>FLOADTING JOINT</t>
  </si>
  <si>
    <t>HAND VALVE</t>
  </si>
  <si>
    <t>BI</t>
  </si>
  <si>
    <t>MXQ16-50A-M9N</t>
  </si>
  <si>
    <t>E-XPG80-CR</t>
  </si>
  <si>
    <t>STOPPER</t>
  </si>
  <si>
    <t>USUS8-25</t>
  </si>
  <si>
    <t>BD</t>
  </si>
  <si>
    <t>SERVO MOTOR-Z BRAKE</t>
  </si>
  <si>
    <t>FESTO</t>
  </si>
  <si>
    <t>DD-A6-UVW-8M</t>
  </si>
  <si>
    <t>DD-A6-INC-8M</t>
  </si>
  <si>
    <t>ROTARY FITTING</t>
  </si>
  <si>
    <t>DD MOTOR</t>
    <phoneticPr fontId="8" type="noConversion"/>
  </si>
  <si>
    <t>DD MOTOR DRIVER</t>
    <phoneticPr fontId="8" type="noConversion"/>
  </si>
  <si>
    <t>BB</t>
  </si>
  <si>
    <t>PLASTIC BOX</t>
  </si>
  <si>
    <t>MONITOR</t>
  </si>
  <si>
    <t>CLASS-104B-T</t>
  </si>
  <si>
    <t>E-RPG80</t>
  </si>
  <si>
    <t>LOGITEC</t>
  </si>
  <si>
    <t>MISUMI</t>
    <phoneticPr fontId="8" type="noConversion"/>
  </si>
  <si>
    <t>FI BOX</t>
    <phoneticPr fontId="8" type="noConversion"/>
  </si>
  <si>
    <t>BC</t>
  </si>
  <si>
    <t>C-HTBN300S5M-150</t>
  </si>
  <si>
    <t>SERVO MOTOR BRAKE</t>
  </si>
  <si>
    <t>ENCODER CABLE</t>
  </si>
  <si>
    <t>BRAKE CABLE</t>
  </si>
  <si>
    <t>FR50PL-290-12-JD-ZN</t>
  </si>
  <si>
    <t>EH-EXT-9PIN-1500</t>
  </si>
  <si>
    <t>POWER MOLLER CABLE</t>
  </si>
  <si>
    <t>AUTONICS</t>
    <phoneticPr fontId="8" type="noConversion"/>
  </si>
  <si>
    <t>BK</t>
  </si>
  <si>
    <t>HTR1010AC5T-152 R/D</t>
    <phoneticPr fontId="8" type="noConversion"/>
  </si>
  <si>
    <t>HIR1210RC7S-212 R/D</t>
    <phoneticPr fontId="8" type="noConversion"/>
  </si>
  <si>
    <t>HIR1510RC5T-729 R/D</t>
    <phoneticPr fontId="8" type="noConversion"/>
  </si>
  <si>
    <t>CPS</t>
    <phoneticPr fontId="8" type="noConversion"/>
  </si>
  <si>
    <t>SMC</t>
    <phoneticPr fontId="8" type="noConversion"/>
  </si>
  <si>
    <t>PANASONIC</t>
    <phoneticPr fontId="8" type="noConversion"/>
  </si>
  <si>
    <t>SERVO MOTOR POWER CABLE</t>
    <phoneticPr fontId="8" type="noConversion"/>
  </si>
  <si>
    <t>SAMWON</t>
    <phoneticPr fontId="8" type="noConversion"/>
  </si>
  <si>
    <t>E3T-FD11</t>
    <phoneticPr fontId="8" type="noConversion"/>
  </si>
  <si>
    <t>OMRON</t>
    <phoneticPr fontId="8" type="noConversion"/>
  </si>
  <si>
    <t>KEYENCE</t>
    <phoneticPr fontId="8" type="noConversion"/>
  </si>
  <si>
    <t>SPG</t>
    <phoneticPr fontId="8" type="noConversion"/>
  </si>
  <si>
    <t>AUTO CFT</t>
    <phoneticPr fontId="8" type="noConversion"/>
  </si>
  <si>
    <t>한영넉스</t>
    <phoneticPr fontId="8" type="noConversion"/>
  </si>
  <si>
    <t>OGGB-60-G18-2</t>
    <phoneticPr fontId="8" type="noConversion"/>
  </si>
  <si>
    <t>C-FJRHA10-1.25</t>
    <phoneticPr fontId="8" type="noConversion"/>
  </si>
  <si>
    <t>NPM</t>
    <phoneticPr fontId="8" type="noConversion"/>
  </si>
  <si>
    <t>1~2 WEEK</t>
    <phoneticPr fontId="8" type="noConversion"/>
  </si>
  <si>
    <t>우선 진행</t>
    <phoneticPr fontId="8" type="noConversion"/>
  </si>
  <si>
    <t>6 WEEK</t>
    <phoneticPr fontId="8" type="noConversion"/>
  </si>
  <si>
    <t>SMC</t>
    <phoneticPr fontId="8" type="noConversion"/>
  </si>
  <si>
    <t>KQ2ZT06-03NS</t>
    <phoneticPr fontId="8" type="noConversion"/>
  </si>
  <si>
    <t>KQ2U04-00A</t>
    <phoneticPr fontId="8" type="noConversion"/>
  </si>
  <si>
    <t>AS2201F-01-04A</t>
    <phoneticPr fontId="8" type="noConversion"/>
  </si>
  <si>
    <t>AS2002F-04A</t>
    <phoneticPr fontId="8" type="noConversion"/>
  </si>
  <si>
    <t>M-3ALU-4</t>
    <phoneticPr fontId="8" type="noConversion"/>
  </si>
  <si>
    <t>SY3000-26-09A</t>
    <phoneticPr fontId="8" type="noConversion"/>
  </si>
  <si>
    <t>VQ21A1-5G-C6</t>
    <phoneticPr fontId="8" type="noConversion"/>
  </si>
  <si>
    <t>AS2002F-06A</t>
    <phoneticPr fontId="8" type="noConversion"/>
  </si>
  <si>
    <r>
      <t>KQ2L06-M5</t>
    </r>
    <r>
      <rPr>
        <sz val="10"/>
        <color rgb="FFFF0000"/>
        <rFont val="맑은 고딕"/>
        <family val="3"/>
        <charset val="129"/>
        <scheme val="major"/>
      </rPr>
      <t>-&gt;KQ2L06-M5N</t>
    </r>
    <phoneticPr fontId="8" type="noConversion"/>
  </si>
  <si>
    <t>KQ2H08-10A</t>
    <phoneticPr fontId="8" type="noConversion"/>
  </si>
  <si>
    <t>MY1B16-100L-M9N</t>
    <phoneticPr fontId="8" type="noConversion"/>
  </si>
  <si>
    <t>KQ2S04-M5A</t>
    <phoneticPr fontId="8" type="noConversion"/>
  </si>
  <si>
    <t>CXSJM6-20-M9N</t>
    <phoneticPr fontId="8" type="noConversion"/>
  </si>
  <si>
    <t>CDQ2B25-30DMZ-M9N</t>
    <phoneticPr fontId="8" type="noConversion"/>
  </si>
  <si>
    <t>MY1B16-125L-M9N</t>
    <phoneticPr fontId="8" type="noConversion"/>
  </si>
  <si>
    <t>MXQ12L-10-M9N</t>
    <phoneticPr fontId="8" type="noConversion"/>
  </si>
  <si>
    <t>CXSJM6-10-M9N</t>
    <phoneticPr fontId="8" type="noConversion"/>
  </si>
  <si>
    <t>MXQ12L-30A-M9N</t>
    <phoneticPr fontId="8" type="noConversion"/>
  </si>
  <si>
    <t>MXQ16-50A-M9B</t>
    <phoneticPr fontId="8" type="noConversion"/>
  </si>
  <si>
    <t>KQ2H04-M5A</t>
    <phoneticPr fontId="8" type="noConversion"/>
  </si>
  <si>
    <t>ZSE20-N-M5-LB</t>
    <phoneticPr fontId="8" type="noConversion"/>
  </si>
  <si>
    <t>CXSJM10-30-M9N</t>
    <phoneticPr fontId="8" type="noConversion"/>
  </si>
  <si>
    <t>MSQB10R-M9N</t>
    <phoneticPr fontId="8" type="noConversion"/>
  </si>
  <si>
    <t>AN30-03</t>
    <phoneticPr fontId="8" type="noConversion"/>
  </si>
  <si>
    <t>KQ2L10-03NS</t>
    <phoneticPr fontId="8" type="noConversion"/>
  </si>
  <si>
    <t>AN10-01</t>
    <phoneticPr fontId="8" type="noConversion"/>
  </si>
  <si>
    <t>ANA1-02</t>
    <phoneticPr fontId="8" type="noConversion"/>
  </si>
  <si>
    <r>
      <t>AR20-02BG-A</t>
    </r>
    <r>
      <rPr>
        <sz val="10"/>
        <color rgb="FFFF0000"/>
        <rFont val="맑은 고딕"/>
        <family val="3"/>
        <charset val="129"/>
        <scheme val="major"/>
      </rPr>
      <t>-&gt;AR20-02BG-D</t>
    </r>
    <phoneticPr fontId="8" type="noConversion"/>
  </si>
  <si>
    <t>AS1201F-M3-04A-X790</t>
    <phoneticPr fontId="8" type="noConversion"/>
  </si>
  <si>
    <t>AS1201F-M5-04A</t>
    <phoneticPr fontId="8" type="noConversion"/>
  </si>
  <si>
    <t>AW30-03BG-D</t>
    <phoneticPr fontId="8" type="noConversion"/>
  </si>
  <si>
    <r>
      <t>KPT 1/8</t>
    </r>
    <r>
      <rPr>
        <sz val="10"/>
        <color rgb="FFFF0000"/>
        <rFont val="맑은 고딕"/>
        <family val="3"/>
        <charset val="129"/>
        <scheme val="major"/>
      </rPr>
      <t>-&gt;KPT18</t>
    </r>
    <phoneticPr fontId="8" type="noConversion"/>
  </si>
  <si>
    <r>
      <t>KQ2H06-M5</t>
    </r>
    <r>
      <rPr>
        <sz val="10"/>
        <color rgb="FFFF0000"/>
        <rFont val="맑은 고딕"/>
        <family val="3"/>
        <charset val="129"/>
        <scheme val="major"/>
      </rPr>
      <t>-&gt;KQ2H06-M5N</t>
    </r>
    <phoneticPr fontId="8" type="noConversion"/>
  </si>
  <si>
    <r>
      <t>KQ2L06-01AS</t>
    </r>
    <r>
      <rPr>
        <sz val="10"/>
        <color rgb="FFFF0000"/>
        <rFont val="맑은 고딕"/>
        <family val="3"/>
        <charset val="129"/>
        <scheme val="major"/>
      </rPr>
      <t>-&gt;KQ2L06-01NS</t>
    </r>
    <phoneticPr fontId="8" type="noConversion"/>
  </si>
  <si>
    <r>
      <t>KQ2L06-02AS</t>
    </r>
    <r>
      <rPr>
        <sz val="10"/>
        <color rgb="FFFF0000"/>
        <rFont val="맑은 고딕"/>
        <family val="3"/>
        <charset val="129"/>
        <scheme val="major"/>
      </rPr>
      <t>-&gt;KQ2L06-02NS</t>
    </r>
    <phoneticPr fontId="8" type="noConversion"/>
  </si>
  <si>
    <r>
      <t>KQ2L08-01AS</t>
    </r>
    <r>
      <rPr>
        <sz val="10"/>
        <color rgb="FFFF0000"/>
        <rFont val="맑은 고딕"/>
        <family val="3"/>
        <charset val="129"/>
        <scheme val="major"/>
      </rPr>
      <t>-&gt;KQ2L08-01NS</t>
    </r>
    <phoneticPr fontId="8" type="noConversion"/>
  </si>
  <si>
    <t>KQ2L08-03NS</t>
    <phoneticPr fontId="8" type="noConversion"/>
  </si>
  <si>
    <t>KQ2P-10</t>
    <phoneticPr fontId="8" type="noConversion"/>
  </si>
  <si>
    <t>KQ2U06-00A</t>
    <phoneticPr fontId="8" type="noConversion"/>
  </si>
  <si>
    <t>KSH04-M5</t>
    <phoneticPr fontId="8" type="noConversion"/>
  </si>
  <si>
    <t>MHF2-8D2-M9N</t>
    <phoneticPr fontId="8" type="noConversion"/>
  </si>
  <si>
    <t>MXQ16-50A-M9N</t>
    <phoneticPr fontId="8" type="noConversion"/>
  </si>
  <si>
    <t>SS5Y3-20-02</t>
    <phoneticPr fontId="8" type="noConversion"/>
  </si>
  <si>
    <t>SS5Y3-20-05</t>
    <phoneticPr fontId="8" type="noConversion"/>
  </si>
  <si>
    <t>SY3120-5LZ-C4</t>
    <phoneticPr fontId="8" type="noConversion"/>
  </si>
  <si>
    <t>SY3320-5LZ-C4</t>
    <phoneticPr fontId="8" type="noConversion"/>
  </si>
  <si>
    <t>VHS30-03-M-D</t>
    <phoneticPr fontId="8" type="noConversion"/>
  </si>
  <si>
    <t>VQ21A1-5G-C8</t>
    <phoneticPr fontId="8" type="noConversion"/>
  </si>
  <si>
    <t>Y300T-D</t>
    <phoneticPr fontId="8" type="noConversion"/>
  </si>
  <si>
    <t>ZH10DSA-06-06-08S</t>
    <phoneticPr fontId="8" type="noConversion"/>
  </si>
  <si>
    <t>ZP3-T035UN-A3</t>
    <phoneticPr fontId="8" type="noConversion"/>
  </si>
  <si>
    <r>
      <t>AN #016</t>
    </r>
    <r>
      <rPr>
        <sz val="10"/>
        <color rgb="FFFF0000"/>
        <rFont val="맑은 고딕"/>
        <family val="3"/>
        <charset val="129"/>
        <scheme val="major"/>
      </rPr>
      <t>-&gt;AN-016</t>
    </r>
    <r>
      <rPr>
        <sz val="10"/>
        <rFont val="맑은 고딕"/>
        <family val="3"/>
        <charset val="129"/>
        <scheme val="major"/>
      </rPr>
      <t xml:space="preserve"> </t>
    </r>
    <phoneticPr fontId="8" type="noConversion"/>
  </si>
  <si>
    <r>
      <t>AN #019</t>
    </r>
    <r>
      <rPr>
        <sz val="10"/>
        <color rgb="FFFF0000"/>
        <rFont val="맑은 고딕"/>
        <family val="3"/>
        <charset val="129"/>
        <scheme val="major"/>
      </rPr>
      <t>-&gt;AN-019</t>
    </r>
    <phoneticPr fontId="8" type="noConversion"/>
  </si>
  <si>
    <t>QDC600F</t>
    <phoneticPr fontId="8" type="noConversion"/>
  </si>
  <si>
    <t>BYH6060-30-BK</t>
    <phoneticPr fontId="8" type="noConversion"/>
  </si>
  <si>
    <t>BY183-3-BK</t>
    <phoneticPr fontId="8" type="noConversion"/>
  </si>
  <si>
    <t>BY3-56-3</t>
    <phoneticPr fontId="8" type="noConversion"/>
  </si>
  <si>
    <t>BYR-5ST</t>
    <phoneticPr fontId="8" type="noConversion"/>
  </si>
  <si>
    <t>KDX-QMD21G</t>
    <phoneticPr fontId="8" type="noConversion"/>
  </si>
  <si>
    <t>D-SUB_(15 PIN)</t>
    <phoneticPr fontId="8" type="noConversion"/>
  </si>
  <si>
    <t>KSP-42S</t>
    <phoneticPr fontId="8" type="noConversion"/>
  </si>
  <si>
    <t>KDE-Q3R2R(X)</t>
    <phoneticPr fontId="8" type="noConversion"/>
  </si>
  <si>
    <t>KDX-QMD21BK</t>
    <phoneticPr fontId="8" type="noConversion"/>
  </si>
  <si>
    <t>STL025-D51-3-N</t>
    <phoneticPr fontId="8" type="noConversion"/>
  </si>
  <si>
    <t>S7I15GD</t>
    <phoneticPr fontId="8" type="noConversion"/>
  </si>
  <si>
    <t>S7KA30B</t>
    <phoneticPr fontId="8" type="noConversion"/>
  </si>
  <si>
    <t>S7KA15B</t>
    <phoneticPr fontId="8" type="noConversion"/>
  </si>
  <si>
    <t>EX-13EB</t>
    <phoneticPr fontId="8" type="noConversion"/>
  </si>
  <si>
    <t>MADLN05BE</t>
    <phoneticPr fontId="8" type="noConversion"/>
  </si>
  <si>
    <t>MADLN15BE</t>
    <phoneticPr fontId="8" type="noConversion"/>
  </si>
  <si>
    <t>MBDLN25BE</t>
    <phoneticPr fontId="8" type="noConversion"/>
  </si>
  <si>
    <t>MSMF012L1T1</t>
    <phoneticPr fontId="8" type="noConversion"/>
  </si>
  <si>
    <t>MSMF022L1S1</t>
    <phoneticPr fontId="8" type="noConversion"/>
  </si>
  <si>
    <t>MSMF022L1T1</t>
    <phoneticPr fontId="8" type="noConversion"/>
  </si>
  <si>
    <t>MSMF042L1T1</t>
    <phoneticPr fontId="8" type="noConversion"/>
  </si>
  <si>
    <t>MFMCA0050NJD</t>
    <phoneticPr fontId="8" type="noConversion"/>
  </si>
  <si>
    <t>ENCODER CABLE</t>
    <phoneticPr fontId="8" type="noConversion"/>
  </si>
  <si>
    <t>MFECA0030MJD</t>
    <phoneticPr fontId="8" type="noConversion"/>
  </si>
  <si>
    <t>MFECA0040MJD</t>
    <phoneticPr fontId="8" type="noConversion"/>
  </si>
  <si>
    <t>MFECA0050MJD</t>
    <phoneticPr fontId="8" type="noConversion"/>
  </si>
  <si>
    <t>MFECA0060MJD</t>
    <phoneticPr fontId="8" type="noConversion"/>
  </si>
  <si>
    <t>MFECA0080MJD</t>
    <phoneticPr fontId="8" type="noConversion"/>
  </si>
  <si>
    <t>MFMCA0030NJD</t>
    <phoneticPr fontId="8" type="noConversion"/>
  </si>
  <si>
    <t>MFMCA0040NJD</t>
    <phoneticPr fontId="8" type="noConversion"/>
  </si>
  <si>
    <t>MFMCA0060NJD</t>
    <phoneticPr fontId="8" type="noConversion"/>
  </si>
  <si>
    <t>MFMCA0080NJD</t>
    <phoneticPr fontId="8" type="noConversion"/>
  </si>
  <si>
    <t>MFMCB0030PJT</t>
    <phoneticPr fontId="8" type="noConversion"/>
  </si>
  <si>
    <t>MFMCB0050PJT</t>
    <phoneticPr fontId="8" type="noConversion"/>
  </si>
  <si>
    <t>MFMCB0080PJT</t>
    <phoneticPr fontId="8" type="noConversion"/>
  </si>
  <si>
    <t>BS5-T1M</t>
    <phoneticPr fontId="8" type="noConversion"/>
  </si>
  <si>
    <t>BS5-Y1M</t>
    <phoneticPr fontId="8" type="noConversion"/>
  </si>
  <si>
    <t>D40A-1C2</t>
    <phoneticPr fontId="8" type="noConversion"/>
  </si>
  <si>
    <t>UL PC 121208 (UL 94 V0)</t>
    <phoneticPr fontId="8" type="noConversion"/>
  </si>
  <si>
    <t>BEARING</t>
    <phoneticPr fontId="8" type="noConversion"/>
  </si>
  <si>
    <t>MISUMI/TK</t>
    <phoneticPr fontId="8" type="noConversion"/>
  </si>
  <si>
    <t>E-XPG80-CR</t>
    <phoneticPr fontId="8" type="noConversion"/>
  </si>
  <si>
    <t>BALL SCREW</t>
    <phoneticPr fontId="8" type="noConversion"/>
  </si>
  <si>
    <t>CABLE CHAIN+END BKT</t>
    <phoneticPr fontId="8" type="noConversion"/>
  </si>
  <si>
    <t>GL-S12FH_SB01</t>
    <phoneticPr fontId="8" type="noConversion"/>
  </si>
  <si>
    <t>GL-SP5N</t>
    <phoneticPr fontId="8" type="noConversion"/>
  </si>
  <si>
    <t>OP-88023</t>
    <phoneticPr fontId="8" type="noConversion"/>
  </si>
  <si>
    <t>LR-W500</t>
    <phoneticPr fontId="8" type="noConversion"/>
  </si>
  <si>
    <t>HIK ROBOT</t>
    <phoneticPr fontId="8" type="noConversion"/>
  </si>
  <si>
    <t>비전코웍</t>
    <phoneticPr fontId="8" type="noConversion"/>
  </si>
  <si>
    <t>JIALI</t>
    <phoneticPr fontId="8" type="noConversion"/>
  </si>
  <si>
    <t>푸름인더스트리</t>
    <phoneticPr fontId="8" type="noConversion"/>
  </si>
  <si>
    <t>MV-CS200-10GC</t>
    <phoneticPr fontId="8" type="noConversion"/>
  </si>
  <si>
    <t>CAMERA</t>
    <phoneticPr fontId="8" type="noConversion"/>
  </si>
  <si>
    <t>LENS</t>
    <phoneticPr fontId="8" type="noConversion"/>
  </si>
  <si>
    <t>LIGHT</t>
    <phoneticPr fontId="8" type="noConversion"/>
  </si>
  <si>
    <t>CONTROLLER</t>
    <phoneticPr fontId="8" type="noConversion"/>
  </si>
  <si>
    <t>LIGHT CABLE</t>
    <phoneticPr fontId="8" type="noConversion"/>
  </si>
  <si>
    <t>CAMERA CABLE</t>
    <phoneticPr fontId="8" type="noConversion"/>
  </si>
  <si>
    <t>CAMERA POE CARD</t>
    <phoneticPr fontId="8" type="noConversion"/>
  </si>
  <si>
    <t>MVL-KF2528M-12MPE</t>
    <phoneticPr fontId="8" type="noConversion"/>
  </si>
  <si>
    <t>VCL-BAR-W600X180-24VD-H35</t>
    <phoneticPr fontId="8" type="noConversion"/>
  </si>
  <si>
    <t>JL-DCV-35024-16-B</t>
    <phoneticPr fontId="8" type="noConversion"/>
  </si>
  <si>
    <t>VC-JST2P-3.5N</t>
    <phoneticPr fontId="8" type="noConversion"/>
  </si>
  <si>
    <t>HV-GIGE-3.5-N</t>
    <phoneticPr fontId="8" type="noConversion"/>
  </si>
  <si>
    <t>MV-GE2004P V2.0</t>
    <phoneticPr fontId="8" type="noConversion"/>
  </si>
  <si>
    <t>C-SE6901ZZ / S6901ZZS</t>
    <phoneticPr fontId="8" type="noConversion"/>
  </si>
  <si>
    <r>
      <t>NSB 020CRG_20_R28_F-293L</t>
    </r>
    <r>
      <rPr>
        <sz val="10"/>
        <color rgb="FFFF0000"/>
        <rFont val="맑은 고딕"/>
        <family val="3"/>
        <charset val="129"/>
        <scheme val="major"/>
      </rPr>
      <t>-&gt;NSB020CRG.20.R28/FT-300L (DVS:2) / 15LK</t>
    </r>
    <phoneticPr fontId="8" type="noConversion"/>
  </si>
  <si>
    <r>
      <t>NSB 020CRG_40_R28_F-668L</t>
    </r>
    <r>
      <rPr>
        <sz val="10"/>
        <color rgb="FFFF0000"/>
        <rFont val="맑은 고딕"/>
        <family val="3"/>
        <charset val="129"/>
        <scheme val="major"/>
      </rPr>
      <t>-&gt;NSB020CRG.40.R28/FT-680L (DVS:2) / 34LK</t>
    </r>
    <phoneticPr fontId="8" type="noConversion"/>
  </si>
  <si>
    <r>
      <t>NSB 020CRG_20_R28_F-718L</t>
    </r>
    <r>
      <rPr>
        <sz val="10"/>
        <color rgb="FFFF0000"/>
        <rFont val="맑은 고딕"/>
        <family val="3"/>
        <charset val="129"/>
        <scheme val="major"/>
      </rPr>
      <t>-&gt;NSB020CRG.20.R28/FT-720L (DVS:2) / 36LK</t>
    </r>
    <phoneticPr fontId="8" type="noConversion"/>
  </si>
  <si>
    <r>
      <t>NSB 022CRG_77_R35_F-798L</t>
    </r>
    <r>
      <rPr>
        <sz val="10"/>
        <color rgb="FFFF0000"/>
        <rFont val="맑은 고딕"/>
        <family val="3"/>
        <charset val="129"/>
        <scheme val="major"/>
      </rPr>
      <t>-&gt;NSB022CRG.77.R35/FT-814L (DVS:2) / 37LK</t>
    </r>
    <phoneticPr fontId="8" type="noConversion"/>
  </si>
  <si>
    <r>
      <t>NSB 020CRG_40_R28_F-618L</t>
    </r>
    <r>
      <rPr>
        <sz val="10"/>
        <color rgb="FFFF0000"/>
        <rFont val="맑은 고딕"/>
        <family val="3"/>
        <charset val="129"/>
        <scheme val="major"/>
      </rPr>
      <t>-&gt;NSB020CRG.40.R28/FT-620L (DVS:2) / 31LK</t>
    </r>
    <phoneticPr fontId="8" type="noConversion"/>
  </si>
  <si>
    <r>
      <t>NSB 020CRG_40_R28_F-268L</t>
    </r>
    <r>
      <rPr>
        <sz val="10"/>
        <color rgb="FFFF0000"/>
        <rFont val="맑은 고딕"/>
        <family val="3"/>
        <charset val="129"/>
        <scheme val="major"/>
      </rPr>
      <t>-&gt;NSB020CRG.40.R28/FT-280L (DVS:2) / 14LK</t>
    </r>
    <phoneticPr fontId="8" type="noConversion"/>
  </si>
  <si>
    <r>
      <t>NSB 022CRG_27_R35_F-473L</t>
    </r>
    <r>
      <rPr>
        <sz val="10"/>
        <color rgb="FFFF0000"/>
        <rFont val="맑은 고딕"/>
        <family val="3"/>
        <charset val="129"/>
        <scheme val="major"/>
      </rPr>
      <t>-&gt;NSB022CRG.27.R35/FT-484L (DVS:2) / 22LK</t>
    </r>
    <phoneticPr fontId="8" type="noConversion"/>
  </si>
  <si>
    <t>1 WEEK</t>
    <phoneticPr fontId="8" type="noConversion"/>
  </si>
  <si>
    <t>2~3 WEEK</t>
    <phoneticPr fontId="8" type="noConversion"/>
  </si>
  <si>
    <t>3~4 WEEK</t>
    <phoneticPr fontId="8" type="noConversion"/>
  </si>
  <si>
    <t>2~3 DAY</t>
    <phoneticPr fontId="8" type="noConversion"/>
  </si>
  <si>
    <t>E-HTLA32S5M150-E-16</t>
    <phoneticPr fontId="8" type="noConversion"/>
  </si>
  <si>
    <t>4~5 DAY</t>
    <phoneticPr fontId="8" type="noConversion"/>
  </si>
  <si>
    <t>2 WEEK</t>
    <phoneticPr fontId="8" type="noConversion"/>
  </si>
  <si>
    <t>PM500FE-17-290-D-024 JD+CB-016N6</t>
    <phoneticPr fontId="8" type="noConversion"/>
  </si>
  <si>
    <t>POWER MOLLER+CONTROLER</t>
    <phoneticPr fontId="8" type="noConversion"/>
  </si>
  <si>
    <t>C-SE688ZZ / 688ZZ</t>
    <phoneticPr fontId="8" type="noConversion"/>
  </si>
  <si>
    <t>LM GUIDE</t>
    <phoneticPr fontId="8" type="noConversion"/>
  </si>
  <si>
    <t>보류</t>
    <phoneticPr fontId="8" type="noConversion"/>
  </si>
  <si>
    <t>3~4 DAY</t>
    <phoneticPr fontId="8" type="noConversion"/>
  </si>
  <si>
    <t>시그널 : 15개 가능</t>
    <phoneticPr fontId="8" type="noConversion"/>
  </si>
  <si>
    <t>MFECA0050MJD</t>
    <phoneticPr fontId="8" type="noConversion"/>
  </si>
  <si>
    <t>1~2 DAY</t>
    <phoneticPr fontId="8" type="noConversion"/>
  </si>
  <si>
    <t>SJC-20C-RD-8X8</t>
    <phoneticPr fontId="8" type="noConversion"/>
  </si>
  <si>
    <t>SMC</t>
    <phoneticPr fontId="8" type="noConversion"/>
  </si>
  <si>
    <t>ZP3-T035UN-A3</t>
    <phoneticPr fontId="8" type="noConversion"/>
  </si>
  <si>
    <r>
      <t>C-HXN8-3</t>
    </r>
    <r>
      <rPr>
        <sz val="10"/>
        <color rgb="FFFF0000"/>
        <rFont val="맑은 고딕"/>
        <family val="3"/>
        <charset val="129"/>
        <scheme val="major"/>
      </rPr>
      <t>-&gt;HXN8-3</t>
    </r>
    <phoneticPr fontId="8" type="noConversion"/>
  </si>
  <si>
    <t>BSW1022-&gt;BSW1022-SET</t>
    <phoneticPr fontId="8" type="noConversion"/>
  </si>
  <si>
    <t>사내 재고</t>
    <phoneticPr fontId="8" type="noConversion"/>
  </si>
  <si>
    <t>AW30-03BG-D</t>
    <phoneticPr fontId="8" type="noConversion"/>
  </si>
  <si>
    <r>
      <t>KQ2H08-01AS</t>
    </r>
    <r>
      <rPr>
        <sz val="10"/>
        <color rgb="FFFF0000"/>
        <rFont val="맑은 고딕"/>
        <family val="3"/>
        <charset val="129"/>
        <scheme val="major"/>
      </rPr>
      <t>-&gt;KQ2H08-01NS</t>
    </r>
    <phoneticPr fontId="8" type="noConversion"/>
  </si>
  <si>
    <r>
      <t>KQ2S10-01AS</t>
    </r>
    <r>
      <rPr>
        <sz val="10"/>
        <color rgb="FFFF0000"/>
        <rFont val="맑은 고딕"/>
        <family val="3"/>
        <charset val="129"/>
        <scheme val="major"/>
      </rPr>
      <t>-&gt;KQ2S10-01NS</t>
    </r>
    <phoneticPr fontId="8" type="noConversion"/>
  </si>
  <si>
    <r>
      <t>KQ2VT10-03A</t>
    </r>
    <r>
      <rPr>
        <sz val="10"/>
        <color rgb="FFFF0000"/>
        <rFont val="맑은 고딕"/>
        <family val="3"/>
        <charset val="129"/>
        <scheme val="major"/>
      </rPr>
      <t>-&gt;KQ2VT10-03NS</t>
    </r>
    <phoneticPr fontId="8" type="noConversion"/>
  </si>
  <si>
    <r>
      <t>MGJ10-20-M9NS</t>
    </r>
    <r>
      <rPr>
        <sz val="10"/>
        <color rgb="FFFF0000"/>
        <rFont val="맑은 고딕"/>
        <family val="3"/>
        <charset val="129"/>
        <scheme val="major"/>
      </rPr>
      <t>-&gt;MGJ10-20-F8NS</t>
    </r>
    <phoneticPr fontId="8" type="noConversion"/>
  </si>
  <si>
    <r>
      <t>MGJ6-5-M9NS</t>
    </r>
    <r>
      <rPr>
        <sz val="10"/>
        <color rgb="FFFF0000"/>
        <rFont val="맑은 고딕"/>
        <family val="3"/>
        <charset val="129"/>
        <scheme val="major"/>
      </rPr>
      <t>-&gt;MGJ6-5-F8NS</t>
    </r>
    <phoneticPr fontId="8" type="noConversion"/>
  </si>
  <si>
    <r>
      <t>VHK3-04F-04FL</t>
    </r>
    <r>
      <rPr>
        <sz val="10"/>
        <color rgb="FFFF0000"/>
        <rFont val="맑은 고딕"/>
        <family val="3"/>
        <charset val="129"/>
        <scheme val="major"/>
      </rPr>
      <t>-&gt;VHK3A-04F-04FL</t>
    </r>
    <phoneticPr fontId="8" type="noConversion"/>
  </si>
  <si>
    <t>4 WEEK</t>
    <phoneticPr fontId="8" type="noConversion"/>
  </si>
  <si>
    <t>KHTPA25S3M100-A-NK10</t>
    <phoneticPr fontId="8" type="noConversion"/>
  </si>
  <si>
    <t>BERNOULLI GRIPPER</t>
    <phoneticPr fontId="8" type="noConversion"/>
  </si>
  <si>
    <t>원에스티/CSK/BSQ</t>
    <phoneticPr fontId="8" type="noConversion"/>
  </si>
  <si>
    <t>원에스티/BSQ</t>
    <phoneticPr fontId="8" type="noConversion"/>
  </si>
  <si>
    <t>TOTAL
수량</t>
    <phoneticPr fontId="8" type="noConversion"/>
  </si>
  <si>
    <t>SY3320-5LZ-C4</t>
    <phoneticPr fontId="8" type="noConversion"/>
  </si>
  <si>
    <t>BOTTOM FRAME</t>
    <phoneticPr fontId="8" type="noConversion"/>
  </si>
  <si>
    <t>H15RNUU1-260L 10-10 R/D / LMG15HUU+260L R/D 10/10 / MCH15NUU1-260L (G10) R/D</t>
    <phoneticPr fontId="8" type="noConversion"/>
  </si>
  <si>
    <t>MB15LUU1-752L 16_16 R/D / MCM15WLUU1-752L (G16) R/D</t>
    <phoneticPr fontId="8" type="noConversion"/>
  </si>
  <si>
    <t>M7LUU1-120L 7.5_7.5 R/D / LMN7LT+120L ES7.5 R/D / MCM7LUU1-2-120L (G7.5) R/D</t>
    <phoneticPr fontId="8" type="noConversion"/>
  </si>
  <si>
    <t>H15RNUU2-910L 35-35 R/D / LMG15H 2UU+910L R/D 35/35 / MCH15NUU2-910L (G35) R/D</t>
    <phoneticPr fontId="8" type="noConversion"/>
  </si>
  <si>
    <t>S15RNUU1-110L 25-25 R/D / LMG15TUU+110L R/D 25/25 / MCS15NUU1-110L (G25) R/D</t>
    <phoneticPr fontId="8" type="noConversion"/>
  </si>
  <si>
    <t>S15RNUU1-220L 20_20 R/D / LMG15TUU+220L R/D 20/20 / MCS15NUU1-220L (G20) R/D</t>
    <phoneticPr fontId="8" type="noConversion"/>
  </si>
  <si>
    <t>S15RCUU2-616L 8-8 R/D / LMG15ST 2UU+616L R/D 8/8 / MCS15NUU2-616L (G8) R/D</t>
    <phoneticPr fontId="8" type="noConversion"/>
  </si>
  <si>
    <t>MB15LUU1-700L 10_10 R/D / MCM15WLUU1-700L (G10) R/D</t>
    <phoneticPr fontId="8" type="noConversion"/>
  </si>
  <si>
    <t>MB12NUU2-142L 11-11 R/D / LMNW12T2UU+142L RD 11/11 / MCM12WUU2-142L (G11) R/D</t>
    <phoneticPr fontId="8" type="noConversion"/>
  </si>
  <si>
    <t>MB12NUU1-142L 11-11 R/D / LMNW12TUU+142L R/D 11/11 / MCM12WUU1-142 (G11) R/D</t>
    <phoneticPr fontId="8" type="noConversion"/>
  </si>
  <si>
    <t>M5CUU1-40L 5/5 R/D / MCM5MUU1-40L (G5) R/D</t>
    <phoneticPr fontId="8" type="noConversion"/>
  </si>
  <si>
    <t>H15RNUU2-728L 34_34 R/D / LMG15H 2UU+728L R/D 34/34 / MCH15NUU2-728L (G34) R/D</t>
    <phoneticPr fontId="8" type="noConversion"/>
  </si>
  <si>
    <t>MB15LUU1-602L 21_21 R/D / MCM15WLUU1-602L (G21) R/D</t>
    <phoneticPr fontId="8" type="noConversion"/>
  </si>
  <si>
    <t>전장 부품</t>
  </si>
  <si>
    <t>전장</t>
  </si>
  <si>
    <t>ELB</t>
  </si>
  <si>
    <t>ELB Cover</t>
  </si>
  <si>
    <t>EARTH BAR</t>
  </si>
  <si>
    <t>Noise Filter</t>
  </si>
  <si>
    <t>CNS</t>
  </si>
  <si>
    <t>SSR</t>
  </si>
  <si>
    <t>SSR Soket</t>
  </si>
  <si>
    <t>Magnetic Contactor</t>
  </si>
  <si>
    <t>Schneider</t>
  </si>
  <si>
    <t>MCB</t>
  </si>
  <si>
    <t>DACO</t>
  </si>
  <si>
    <t>EMC Filter</t>
  </si>
  <si>
    <t>COSEL</t>
  </si>
  <si>
    <t>Remote I/O (CPU)</t>
  </si>
  <si>
    <t>Remote I/O (Input)</t>
  </si>
  <si>
    <t>GT-12DF</t>
  </si>
  <si>
    <t>Remote I/O (OutPut)</t>
  </si>
  <si>
    <t>GT-225F</t>
  </si>
  <si>
    <t>COM T/B</t>
  </si>
  <si>
    <t>SAMWON</t>
  </si>
  <si>
    <t>SPD</t>
  </si>
  <si>
    <t>SPD CP</t>
  </si>
  <si>
    <t>DCP</t>
  </si>
  <si>
    <t>Relay</t>
  </si>
  <si>
    <t>Safety Relay Coil</t>
  </si>
  <si>
    <t>Safety Relay Soket</t>
  </si>
  <si>
    <t>Safety PLC</t>
  </si>
  <si>
    <t>Master Board</t>
  </si>
  <si>
    <t>RS Automation</t>
  </si>
  <si>
    <t>HDMI Cable</t>
  </si>
  <si>
    <t>TNT</t>
  </si>
  <si>
    <t>USB2.0 AM-BM Cable</t>
  </si>
  <si>
    <t>NETmate</t>
  </si>
  <si>
    <t>Concent Plug</t>
  </si>
  <si>
    <t>동양 (LUNEX)</t>
  </si>
  <si>
    <t>스토퍼</t>
  </si>
  <si>
    <t>전오전기</t>
  </si>
  <si>
    <t>Servo Inter Face T/B</t>
  </si>
  <si>
    <t>TFR-CV Cable</t>
  </si>
  <si>
    <t>MMS</t>
  </si>
  <si>
    <t>MMS 트립 접점</t>
  </si>
  <si>
    <t>LAN CABLE 하네스</t>
  </si>
  <si>
    <t>SEN7-SSA-2,5M (RED)</t>
  </si>
  <si>
    <t>냉각팬</t>
  </si>
  <si>
    <t>커버</t>
  </si>
  <si>
    <t>스틸망</t>
  </si>
  <si>
    <t>FUJI</t>
    <phoneticPr fontId="8" type="noConversion"/>
  </si>
  <si>
    <t>우성시스템</t>
    <phoneticPr fontId="8" type="noConversion"/>
  </si>
  <si>
    <t>CREVIS</t>
    <phoneticPr fontId="8" type="noConversion"/>
  </si>
  <si>
    <t>LS산전</t>
    <phoneticPr fontId="8" type="noConversion"/>
  </si>
  <si>
    <t>DELTA</t>
    <phoneticPr fontId="8" type="noConversion"/>
  </si>
  <si>
    <t>SAMWON</t>
    <phoneticPr fontId="8" type="noConversion"/>
  </si>
  <si>
    <t>OMRON</t>
    <phoneticPr fontId="8" type="noConversion"/>
  </si>
  <si>
    <t>ETC</t>
    <phoneticPr fontId="8" type="noConversion"/>
  </si>
  <si>
    <t>D-SUB 25 Pin / Female</t>
    <phoneticPr fontId="8" type="noConversion"/>
  </si>
  <si>
    <t>PS-DS1001-25P</t>
    <phoneticPr fontId="8" type="noConversion"/>
  </si>
  <si>
    <t>D-SUB HOOD</t>
    <phoneticPr fontId="8" type="noConversion"/>
  </si>
  <si>
    <t>CONNFLY</t>
    <phoneticPr fontId="8" type="noConversion"/>
  </si>
  <si>
    <t>WSIG7-M425 / 25 Hole</t>
    <phoneticPr fontId="8" type="noConversion"/>
  </si>
  <si>
    <t>WSIG7-M405 / 5 Hole</t>
    <phoneticPr fontId="8" type="noConversion"/>
  </si>
  <si>
    <t>WSIG7-M415 / 15 Hole</t>
    <phoneticPr fontId="8" type="noConversion"/>
  </si>
  <si>
    <t>SRS1-C1202-2</t>
    <phoneticPr fontId="8" type="noConversion"/>
  </si>
  <si>
    <t>PYF08A</t>
    <phoneticPr fontId="8" type="noConversion"/>
  </si>
  <si>
    <t>LC1D126M7</t>
    <phoneticPr fontId="8" type="noConversion"/>
  </si>
  <si>
    <t>LC1D256BD</t>
    <phoneticPr fontId="8" type="noConversion"/>
  </si>
  <si>
    <t>GV2ME07</t>
    <phoneticPr fontId="8" type="noConversion"/>
  </si>
  <si>
    <t>GVAD1001</t>
    <phoneticPr fontId="8" type="noConversion"/>
  </si>
  <si>
    <t>AFB1224SHE-R00</t>
    <phoneticPr fontId="8" type="noConversion"/>
  </si>
  <si>
    <t>KFC-120</t>
    <phoneticPr fontId="8" type="noConversion"/>
  </si>
  <si>
    <t>120*120</t>
    <phoneticPr fontId="8" type="noConversion"/>
  </si>
  <si>
    <t>BK10S-T2-2P</t>
    <phoneticPr fontId="8" type="noConversion"/>
  </si>
  <si>
    <t>SD10-T2-2P</t>
    <phoneticPr fontId="8" type="noConversion"/>
  </si>
  <si>
    <t>DCP32DN 3A</t>
    <phoneticPr fontId="8" type="noConversion"/>
  </si>
  <si>
    <t>DCP32DN 5A</t>
    <phoneticPr fontId="8" type="noConversion"/>
  </si>
  <si>
    <t>DCP32DN 15A</t>
    <phoneticPr fontId="8" type="noConversion"/>
  </si>
  <si>
    <r>
      <t>EW50AAG 30A /100mA</t>
    </r>
    <r>
      <rPr>
        <sz val="10"/>
        <color rgb="FFFF0000"/>
        <rFont val="맑은 고딕"/>
        <family val="3"/>
        <charset val="129"/>
        <scheme val="major"/>
      </rPr>
      <t>-&gt;EW50AAG-2P030C 100mA</t>
    </r>
    <phoneticPr fontId="8" type="noConversion"/>
  </si>
  <si>
    <t>BW9BTAA-S2</t>
    <phoneticPr fontId="8" type="noConversion"/>
  </si>
  <si>
    <t>G7SA-2A2B</t>
    <phoneticPr fontId="8" type="noConversion"/>
  </si>
  <si>
    <t>P7SA-10F-ND</t>
    <phoneticPr fontId="8" type="noConversion"/>
  </si>
  <si>
    <t>G9SP-N20S</t>
    <phoneticPr fontId="8" type="noConversion"/>
  </si>
  <si>
    <t>NM-TNT121 (3M)</t>
    <phoneticPr fontId="8" type="noConversion"/>
  </si>
  <si>
    <t>NMC-UB250</t>
    <phoneticPr fontId="8" type="noConversion"/>
  </si>
  <si>
    <t>DYM-AL6 (2.5m)</t>
    <phoneticPr fontId="8" type="noConversion"/>
  </si>
  <si>
    <t>JTSN-2</t>
    <phoneticPr fontId="8" type="noConversion"/>
  </si>
  <si>
    <t>4SQ / 3C / 4M</t>
    <phoneticPr fontId="8" type="noConversion"/>
  </si>
  <si>
    <t>GN-9386</t>
    <phoneticPr fontId="8" type="noConversion"/>
  </si>
  <si>
    <t>XTB-COM30T</t>
    <phoneticPr fontId="8" type="noConversion"/>
  </si>
  <si>
    <t>S4T-16P-202D</t>
    <phoneticPr fontId="8" type="noConversion"/>
  </si>
  <si>
    <t>SIO-PAB-E/R</t>
    <phoneticPr fontId="8" type="noConversion"/>
  </si>
  <si>
    <t>SEN7-SSA-0.4M (BLACK)</t>
    <phoneticPr fontId="8" type="noConversion"/>
  </si>
  <si>
    <t>SEN7-SSA-3,5M (YELLOW)</t>
    <phoneticPr fontId="8" type="noConversion"/>
  </si>
  <si>
    <t xml:space="preserve">EAC-06-472-D </t>
    <phoneticPr fontId="8" type="noConversion"/>
  </si>
  <si>
    <t>NBH-06-432-D</t>
    <phoneticPr fontId="8" type="noConversion"/>
  </si>
  <si>
    <t>NBH-30-432-D</t>
    <phoneticPr fontId="8" type="noConversion"/>
  </si>
  <si>
    <t>DRL-24V240W1EN</t>
    <phoneticPr fontId="8" type="noConversion"/>
  </si>
  <si>
    <t>DRL-24V75W1AZ</t>
    <phoneticPr fontId="8" type="noConversion"/>
  </si>
  <si>
    <t>MMC_BDP016PCB</t>
    <phoneticPr fontId="8" type="noConversion"/>
  </si>
  <si>
    <t>2~3 WEEK</t>
    <phoneticPr fontId="8" type="noConversion"/>
  </si>
  <si>
    <t>3~4 WEEK</t>
    <phoneticPr fontId="8" type="noConversion"/>
  </si>
  <si>
    <t>COSEL</t>
    <phoneticPr fontId="8" type="noConversion"/>
  </si>
  <si>
    <t>4~5 WEEK</t>
    <phoneticPr fontId="8" type="noConversion"/>
  </si>
  <si>
    <t>4~5 DAY</t>
    <phoneticPr fontId="8" type="noConversion"/>
  </si>
  <si>
    <t>1 WEEK</t>
    <phoneticPr fontId="8" type="noConversion"/>
  </si>
  <si>
    <t>여의시스템</t>
    <phoneticPr fontId="8" type="noConversion"/>
  </si>
  <si>
    <t>KFV-10</t>
    <phoneticPr fontId="8" type="noConversion"/>
  </si>
  <si>
    <t>GT-225F</t>
    <phoneticPr fontId="8" type="noConversion"/>
  </si>
  <si>
    <t>001M2605 구매품 BOM
김정락자동화1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</si>
</sst>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[Red]\-#,##0\ "/>
    <numFmt numFmtId="177" formatCode="m&quot;/&quot;d;@"/>
    <numFmt numFmtId="178" formatCode="yyyy/mm/dd;@"/>
    <numFmt numFmtId="179" formatCode="mm&quot;월&quot;\ dd&quot;일&quot;"/>
  </numFmts>
  <fonts count="3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u/>
      <sz val="22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2"/>
      <name val="Calibri"/>
      <family val="3"/>
      <charset val="163"/>
    </font>
    <font>
      <b/>
      <sz val="12"/>
      <name val="Segoe UI"/>
      <family val="3"/>
      <charset val="238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trike/>
      <sz val="10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/>
      <top/>
      <bottom style="hair">
        <color indexed="64"/>
      </bottom>
      <diagonal/>
    </border>
    <border>
      <left style="thick">
        <color rgb="FFFF0000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ck">
        <color rgb="FFFF0000"/>
      </right>
      <top style="hair">
        <color theme="1"/>
      </top>
      <bottom style="hair">
        <color theme="1"/>
      </bottom>
      <diagonal/>
    </border>
    <border>
      <left style="thick">
        <color rgb="FFFF0000"/>
      </left>
      <right style="hair">
        <color theme="1"/>
      </right>
      <top style="hair">
        <color theme="1"/>
      </top>
      <bottom style="thick">
        <color rgb="FFFF0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ck">
        <color rgb="FFFF0000"/>
      </bottom>
      <diagonal/>
    </border>
    <border>
      <left style="hair">
        <color theme="1"/>
      </left>
      <right style="thick">
        <color rgb="FFFF0000"/>
      </right>
      <top style="hair">
        <color theme="1"/>
      </top>
      <bottom style="thick">
        <color rgb="FFFF0000"/>
      </bottom>
      <diagonal/>
    </border>
    <border>
      <left style="thick">
        <color rgb="FFFF0000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ck">
        <color rgb="FFFF0000"/>
      </right>
      <top/>
      <bottom style="hair">
        <color theme="1"/>
      </bottom>
      <diagonal/>
    </border>
    <border>
      <left style="thick">
        <color rgb="FFFF0000"/>
      </left>
      <right style="hair">
        <color theme="1"/>
      </right>
      <top style="thick">
        <color rgb="FFFF0000"/>
      </top>
      <bottom style="double">
        <color auto="1"/>
      </bottom>
      <diagonal/>
    </border>
    <border>
      <left style="hair">
        <color theme="1"/>
      </left>
      <right style="hair">
        <color theme="1"/>
      </right>
      <top style="thick">
        <color rgb="FFFF0000"/>
      </top>
      <bottom style="double">
        <color auto="1"/>
      </bottom>
      <diagonal/>
    </border>
    <border>
      <left style="hair">
        <color theme="1"/>
      </left>
      <right style="thick">
        <color rgb="FFFF0000"/>
      </right>
      <top style="thick">
        <color rgb="FFFF0000"/>
      </top>
      <bottom style="double">
        <color auto="1"/>
      </bottom>
      <diagonal/>
    </border>
  </borders>
  <cellStyleXfs count="12">
    <xf numFmtId="0" fontId="0" fillId="0" borderId="0"/>
    <xf numFmtId="0" fontId="6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03">
    <xf numFmtId="0" fontId="0" fillId="0" borderId="0" xfId="0"/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77" fontId="12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176" fontId="13" fillId="2" borderId="0" xfId="4" applyNumberFormat="1" applyFont="1" applyFill="1" applyAlignment="1">
      <alignment horizontal="right" vertical="center"/>
    </xf>
    <xf numFmtId="176" fontId="13" fillId="2" borderId="0" xfId="4" applyNumberFormat="1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176" fontId="13" fillId="2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76" fontId="26" fillId="2" borderId="0" xfId="4" applyNumberFormat="1" applyFont="1" applyFill="1" applyAlignment="1">
      <alignment horizontal="right" vertical="center"/>
    </xf>
    <xf numFmtId="0" fontId="24" fillId="2" borderId="0" xfId="0" applyFont="1" applyFill="1" applyAlignment="1">
      <alignment horizontal="left" vertical="center"/>
    </xf>
    <xf numFmtId="0" fontId="24" fillId="0" borderId="0" xfId="0" applyFont="1" applyAlignment="1">
      <alignment horizontal="center" vertical="center"/>
    </xf>
    <xf numFmtId="41" fontId="23" fillId="0" borderId="0" xfId="4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177" fontId="27" fillId="2" borderId="0" xfId="0" applyNumberFormat="1" applyFont="1" applyFill="1" applyAlignment="1">
      <alignment horizontal="center" vertical="center"/>
    </xf>
    <xf numFmtId="176" fontId="24" fillId="2" borderId="0" xfId="0" applyNumberFormat="1" applyFont="1" applyFill="1" applyAlignment="1">
      <alignment horizontal="right" vertical="center"/>
    </xf>
    <xf numFmtId="0" fontId="16" fillId="3" borderId="6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176" fontId="26" fillId="2" borderId="0" xfId="0" applyNumberFormat="1" applyFont="1" applyFill="1" applyAlignment="1">
      <alignment horizontal="right" vertical="center"/>
    </xf>
    <xf numFmtId="41" fontId="13" fillId="2" borderId="0" xfId="4" applyFont="1" applyFill="1" applyAlignment="1">
      <alignment vertical="center"/>
    </xf>
    <xf numFmtId="41" fontId="24" fillId="2" borderId="0" xfId="4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41" fontId="29" fillId="0" borderId="0" xfId="4" applyFont="1" applyFill="1" applyAlignment="1">
      <alignment horizontal="center" vertical="center"/>
    </xf>
    <xf numFmtId="41" fontId="28" fillId="0" borderId="0" xfId="4" applyFont="1" applyFill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41" fontId="23" fillId="0" borderId="13" xfId="0" applyNumberFormat="1" applyFont="1" applyBorder="1" applyAlignment="1">
      <alignment horizontal="left" vertical="center"/>
    </xf>
    <xf numFmtId="0" fontId="22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23" fillId="0" borderId="16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41" fontId="23" fillId="0" borderId="19" xfId="0" applyNumberFormat="1" applyFont="1" applyBorder="1" applyAlignment="1">
      <alignment horizontal="left" vertical="center"/>
    </xf>
    <xf numFmtId="0" fontId="23" fillId="0" borderId="17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23" fillId="0" borderId="20" xfId="0" applyFont="1" applyBorder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41" fontId="23" fillId="0" borderId="14" xfId="0" applyNumberFormat="1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41" fontId="25" fillId="0" borderId="13" xfId="0" applyNumberFormat="1" applyFont="1" applyBorder="1" applyAlignment="1">
      <alignment horizontal="left" vertical="center"/>
    </xf>
    <xf numFmtId="41" fontId="25" fillId="0" borderId="0" xfId="4" applyFont="1" applyFill="1" applyAlignment="1">
      <alignment horizontal="center" vertical="center"/>
    </xf>
    <xf numFmtId="0" fontId="23" fillId="0" borderId="21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176" fontId="23" fillId="0" borderId="22" xfId="0" applyNumberFormat="1" applyFont="1" applyBorder="1" applyAlignment="1">
      <alignment horizontal="right" vertical="center"/>
    </xf>
    <xf numFmtId="176" fontId="23" fillId="0" borderId="23" xfId="0" applyNumberFormat="1" applyFont="1" applyBorder="1" applyAlignment="1">
      <alignment horizontal="right" vertical="center"/>
    </xf>
    <xf numFmtId="0" fontId="23" fillId="0" borderId="23" xfId="0" applyFont="1" applyBorder="1" applyAlignment="1">
      <alignment horizontal="center" vertical="center" wrapText="1"/>
    </xf>
    <xf numFmtId="176" fontId="23" fillId="0" borderId="23" xfId="4" applyNumberFormat="1" applyFont="1" applyFill="1" applyBorder="1" applyAlignment="1">
      <alignment horizontal="right" vertical="center"/>
    </xf>
    <xf numFmtId="0" fontId="23" fillId="0" borderId="23" xfId="4" applyNumberFormat="1" applyFont="1" applyFill="1" applyBorder="1" applyAlignment="1">
      <alignment vertical="center"/>
    </xf>
    <xf numFmtId="178" fontId="22" fillId="0" borderId="23" xfId="0" applyNumberFormat="1" applyFont="1" applyBorder="1" applyAlignment="1">
      <alignment horizontal="left" vertical="center"/>
    </xf>
    <xf numFmtId="178" fontId="22" fillId="0" borderId="24" xfId="0" applyNumberFormat="1" applyFont="1" applyBorder="1" applyAlignment="1">
      <alignment horizontal="left" vertical="center"/>
    </xf>
    <xf numFmtId="178" fontId="27" fillId="0" borderId="24" xfId="0" applyNumberFormat="1" applyFont="1" applyBorder="1" applyAlignment="1">
      <alignment horizontal="left" vertical="center"/>
    </xf>
    <xf numFmtId="176" fontId="25" fillId="0" borderId="22" xfId="0" applyNumberFormat="1" applyFont="1" applyBorder="1" applyAlignment="1">
      <alignment horizontal="right" vertical="center"/>
    </xf>
    <xf numFmtId="176" fontId="25" fillId="0" borderId="23" xfId="0" applyNumberFormat="1" applyFont="1" applyBorder="1" applyAlignment="1">
      <alignment horizontal="right" vertical="center"/>
    </xf>
    <xf numFmtId="0" fontId="25" fillId="0" borderId="23" xfId="0" applyFont="1" applyBorder="1" applyAlignment="1">
      <alignment horizontal="center" vertical="center" wrapText="1"/>
    </xf>
    <xf numFmtId="176" fontId="25" fillId="0" borderId="23" xfId="4" applyNumberFormat="1" applyFont="1" applyFill="1" applyBorder="1" applyAlignment="1">
      <alignment horizontal="right" vertical="center"/>
    </xf>
    <xf numFmtId="178" fontId="27" fillId="0" borderId="23" xfId="0" applyNumberFormat="1" applyFont="1" applyBorder="1" applyAlignment="1">
      <alignment horizontal="left" vertical="center"/>
    </xf>
    <xf numFmtId="179" fontId="23" fillId="0" borderId="23" xfId="4" applyNumberFormat="1" applyFont="1" applyFill="1" applyBorder="1" applyAlignment="1">
      <alignment vertical="center"/>
    </xf>
    <xf numFmtId="176" fontId="23" fillId="0" borderId="25" xfId="0" applyNumberFormat="1" applyFont="1" applyBorder="1" applyAlignment="1">
      <alignment horizontal="center" vertical="center"/>
    </xf>
    <xf numFmtId="176" fontId="23" fillId="0" borderId="26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176" fontId="23" fillId="0" borderId="26" xfId="4" applyNumberFormat="1" applyFont="1" applyFill="1" applyBorder="1" applyAlignment="1">
      <alignment horizontal="right" vertical="center"/>
    </xf>
    <xf numFmtId="0" fontId="23" fillId="0" borderId="26" xfId="4" applyNumberFormat="1" applyFont="1" applyFill="1" applyBorder="1" applyAlignment="1">
      <alignment vertical="center"/>
    </xf>
    <xf numFmtId="178" fontId="22" fillId="0" borderId="26" xfId="0" applyNumberFormat="1" applyFont="1" applyBorder="1" applyAlignment="1">
      <alignment horizontal="left" vertical="center"/>
    </xf>
    <xf numFmtId="178" fontId="22" fillId="0" borderId="27" xfId="0" applyNumberFormat="1" applyFont="1" applyBorder="1" applyAlignment="1">
      <alignment horizontal="left" vertical="center"/>
    </xf>
    <xf numFmtId="176" fontId="23" fillId="0" borderId="28" xfId="0" applyNumberFormat="1" applyFont="1" applyBorder="1" applyAlignment="1">
      <alignment horizontal="right" vertical="center"/>
    </xf>
    <xf numFmtId="176" fontId="23" fillId="0" borderId="29" xfId="0" applyNumberFormat="1" applyFont="1" applyBorder="1" applyAlignment="1">
      <alignment horizontal="right" vertical="center"/>
    </xf>
    <xf numFmtId="0" fontId="23" fillId="0" borderId="29" xfId="0" applyFont="1" applyBorder="1" applyAlignment="1">
      <alignment horizontal="center" vertical="center" wrapText="1"/>
    </xf>
    <xf numFmtId="176" fontId="23" fillId="0" borderId="29" xfId="4" applyNumberFormat="1" applyFont="1" applyFill="1" applyBorder="1" applyAlignment="1">
      <alignment horizontal="right" vertical="center"/>
    </xf>
    <xf numFmtId="0" fontId="23" fillId="0" borderId="29" xfId="4" applyNumberFormat="1" applyFont="1" applyFill="1" applyBorder="1" applyAlignment="1">
      <alignment vertical="center"/>
    </xf>
    <xf numFmtId="178" fontId="22" fillId="0" borderId="29" xfId="0" applyNumberFormat="1" applyFont="1" applyBorder="1" applyAlignment="1">
      <alignment horizontal="left" vertical="center"/>
    </xf>
    <xf numFmtId="178" fontId="22" fillId="0" borderId="30" xfId="0" applyNumberFormat="1" applyFont="1" applyBorder="1" applyAlignment="1">
      <alignment horizontal="left" vertical="center"/>
    </xf>
    <xf numFmtId="0" fontId="16" fillId="3" borderId="31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6" fillId="3" borderId="32" xfId="4" applyNumberFormat="1" applyFont="1" applyFill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</cellXfs>
  <cellStyles count="12">
    <cellStyle name="쉼표 [0]" xfId="4" builtinId="6"/>
    <cellStyle name="쉼표 [0] 15 9" xfId="2" xr:uid="{00000000-0005-0000-0000-000001000000}"/>
    <cellStyle name="쉼표 [0] 15 9 2" xfId="3" xr:uid="{00000000-0005-0000-0000-000002000000}"/>
    <cellStyle name="쉼표 [0] 15 9 2 2" xfId="6" xr:uid="{00000000-0005-0000-0000-000003000000}"/>
    <cellStyle name="쉼표 [0] 15 9 3" xfId="5" xr:uid="{00000000-0005-0000-0000-000004000000}"/>
    <cellStyle name="쉼표 [0] 15 9 4" xfId="8" xr:uid="{00000000-0005-0000-0000-000005000000}"/>
    <cellStyle name="쉼표 [0] 16" xfId="11" xr:uid="{F036239B-DAFD-4F9F-849B-8F1E7FDF5FF3}"/>
    <cellStyle name="쉼표 [0] 2" xfId="7" xr:uid="{00000000-0005-0000-0000-000006000000}"/>
    <cellStyle name="쉼표 [0] 3" xfId="9" xr:uid="{00000000-0005-0000-0000-000007000000}"/>
    <cellStyle name="표준" xfId="0" builtinId="0"/>
    <cellStyle name="표준 17" xfId="10" xr:uid="{00000000-0005-0000-0000-000009000000}"/>
    <cellStyle name="표준 3" xfId="1" xr:uid="{00000000-0005-0000-0000-00000A000000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T492"/>
  <sheetViews>
    <sheetView showGridLines="0" tabSelected="1" zoomScale="70" zoomScaleNormal="70" zoomScaleSheetLayoutView="77" workbookViewId="0">
      <pane xSplit="2" ySplit="7" topLeftCell="C200" activePane="bottomRight" state="frozen"/>
      <selection activeCell="AC11" sqref="AC11:AH11"/>
      <selection pane="topRight" activeCell="AC11" sqref="AC11:AH11"/>
      <selection pane="bottomLeft" activeCell="AC11" sqref="AC11:AH11"/>
      <selection pane="bottomRight" activeCell="F4" sqref="F4"/>
    </sheetView>
  </sheetViews>
  <sheetFormatPr defaultColWidth="8.87890625" defaultRowHeight="19.149999999999999"/>
  <cols>
    <col min="1" max="1" width="0.87890625" style="1" customWidth="1"/>
    <col min="2" max="2" width="10.52734375" style="6" bestFit="1" customWidth="1"/>
    <col min="3" max="3" width="19.234375" style="1" bestFit="1" customWidth="1"/>
    <col min="4" max="4" width="4.64453125" style="1" hidden="1" customWidth="1"/>
    <col min="5" max="5" width="26.76171875" style="4" bestFit="1" customWidth="1"/>
    <col min="6" max="6" width="74.8203125" style="1" customWidth="1"/>
    <col min="7" max="7" width="19.5859375" style="1" customWidth="1"/>
    <col min="8" max="9" width="8.76171875" style="12" customWidth="1"/>
    <col min="10" max="10" width="5.234375" style="1" customWidth="1"/>
    <col min="11" max="11" width="9.87890625" style="8" customWidth="1"/>
    <col min="12" max="12" width="14.234375" style="8" customWidth="1"/>
    <col min="13" max="13" width="9" style="32" customWidth="1"/>
    <col min="14" max="15" width="8.87890625" style="5" customWidth="1"/>
    <col min="16" max="16" width="43.76171875" style="34" customWidth="1"/>
    <col min="17" max="17" width="8.87890625" style="2"/>
    <col min="18" max="64" width="8.87890625" style="1"/>
    <col min="65" max="72" width="8.87890625" style="3"/>
    <col min="73" max="16384" width="8.87890625" style="1"/>
  </cols>
  <sheetData>
    <row r="2" spans="2:72" ht="60" customHeight="1">
      <c r="C2" s="102" t="s">
        <v>523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2:72" s="2" customFormat="1" ht="15" customHeight="1">
      <c r="B3" s="7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BM3" s="10"/>
      <c r="BN3" s="10"/>
      <c r="BO3" s="10"/>
      <c r="BP3" s="10"/>
      <c r="BQ3" s="10"/>
      <c r="BR3" s="10"/>
      <c r="BS3" s="10"/>
      <c r="BT3" s="10"/>
    </row>
    <row r="4" spans="2:72" s="2" customFormat="1" ht="15" customHeight="1">
      <c r="B4" s="7"/>
      <c r="C4" s="11"/>
      <c r="D4" s="6"/>
      <c r="E4" s="13" t="s">
        <v>5</v>
      </c>
      <c r="F4" s="1"/>
      <c r="G4" s="1"/>
      <c r="H4" s="12"/>
      <c r="I4" s="12"/>
      <c r="J4" s="1"/>
      <c r="K4" s="9"/>
      <c r="L4" s="9"/>
      <c r="M4" s="32"/>
      <c r="N4" s="5"/>
      <c r="O4" s="5"/>
      <c r="P4" s="34"/>
      <c r="BM4" s="10"/>
      <c r="BN4" s="10"/>
      <c r="BO4" s="10"/>
      <c r="BP4" s="10"/>
      <c r="BQ4" s="10"/>
      <c r="BR4" s="10"/>
      <c r="BS4" s="10"/>
      <c r="BT4" s="10"/>
    </row>
    <row r="5" spans="2:72" s="2" customFormat="1" ht="15" customHeight="1">
      <c r="B5" s="7"/>
      <c r="C5" s="7" t="s">
        <v>33</v>
      </c>
      <c r="D5" s="6"/>
      <c r="E5" s="14" t="s">
        <v>6</v>
      </c>
      <c r="F5" s="1"/>
      <c r="G5" s="1"/>
      <c r="H5" s="12">
        <v>10</v>
      </c>
      <c r="I5" s="12"/>
      <c r="J5" s="1"/>
      <c r="K5" s="9"/>
      <c r="L5" s="9"/>
      <c r="M5" s="32"/>
      <c r="N5" s="5"/>
      <c r="O5" s="5"/>
      <c r="P5" s="34"/>
      <c r="BM5" s="10"/>
      <c r="BN5" s="10"/>
      <c r="BO5" s="10"/>
      <c r="BP5" s="10"/>
      <c r="BQ5" s="10"/>
      <c r="BR5" s="10"/>
      <c r="BS5" s="10"/>
      <c r="BT5" s="10"/>
    </row>
    <row r="6" spans="2:72" ht="6" customHeight="1" thickBot="1"/>
    <row r="7" spans="2:72" s="16" customFormat="1" ht="120.75" customHeight="1" thickTop="1" thickBot="1">
      <c r="B7" s="27" t="s">
        <v>0</v>
      </c>
      <c r="C7" s="28" t="s">
        <v>7</v>
      </c>
      <c r="D7" s="28" t="s">
        <v>1</v>
      </c>
      <c r="E7" s="28" t="s">
        <v>8</v>
      </c>
      <c r="F7" s="28" t="s">
        <v>9</v>
      </c>
      <c r="G7" s="29" t="s">
        <v>10</v>
      </c>
      <c r="H7" s="98" t="s">
        <v>11</v>
      </c>
      <c r="I7" s="99" t="s">
        <v>399</v>
      </c>
      <c r="J7" s="99" t="s">
        <v>12</v>
      </c>
      <c r="K7" s="100" t="s">
        <v>13</v>
      </c>
      <c r="L7" s="100" t="s">
        <v>2</v>
      </c>
      <c r="M7" s="100" t="s">
        <v>3</v>
      </c>
      <c r="N7" s="99" t="s">
        <v>14</v>
      </c>
      <c r="O7" s="101" t="s">
        <v>15</v>
      </c>
      <c r="P7" s="30" t="s">
        <v>4</v>
      </c>
      <c r="Q7" s="15"/>
      <c r="BM7" s="17"/>
      <c r="BN7" s="17"/>
      <c r="BO7" s="17"/>
      <c r="BP7" s="17"/>
      <c r="BQ7" s="17"/>
      <c r="BR7" s="17"/>
      <c r="BS7" s="17"/>
      <c r="BT7" s="17"/>
    </row>
    <row r="8" spans="2:72" s="40" customFormat="1" ht="24.95" customHeight="1" thickTop="1">
      <c r="B8" s="41">
        <v>1</v>
      </c>
      <c r="C8" s="42" t="s">
        <v>130</v>
      </c>
      <c r="D8" s="42"/>
      <c r="E8" s="43" t="s">
        <v>131</v>
      </c>
      <c r="F8" s="43" t="s">
        <v>261</v>
      </c>
      <c r="G8" s="44" t="s">
        <v>236</v>
      </c>
      <c r="H8" s="91">
        <v>1</v>
      </c>
      <c r="I8" s="92">
        <f t="shared" ref="I8:I66" si="0">H8*$H$5</f>
        <v>10</v>
      </c>
      <c r="J8" s="93" t="s">
        <v>16</v>
      </c>
      <c r="K8" s="94">
        <v>3020</v>
      </c>
      <c r="L8" s="94">
        <f t="shared" ref="L8:L71" si="1">I8*K8</f>
        <v>30200</v>
      </c>
      <c r="M8" s="95" t="s">
        <v>370</v>
      </c>
      <c r="N8" s="96"/>
      <c r="O8" s="97"/>
      <c r="P8" s="45"/>
      <c r="Q8" s="23"/>
    </row>
    <row r="9" spans="2:72" s="40" customFormat="1" ht="24.95" customHeight="1">
      <c r="B9" s="41">
        <v>2</v>
      </c>
      <c r="C9" s="42" t="s">
        <v>130</v>
      </c>
      <c r="D9" s="42"/>
      <c r="E9" s="43" t="s">
        <v>132</v>
      </c>
      <c r="F9" s="43" t="s">
        <v>151</v>
      </c>
      <c r="G9" s="44" t="s">
        <v>24</v>
      </c>
      <c r="H9" s="70">
        <v>1</v>
      </c>
      <c r="I9" s="71">
        <f t="shared" si="0"/>
        <v>10</v>
      </c>
      <c r="J9" s="72" t="s">
        <v>16</v>
      </c>
      <c r="K9" s="73">
        <v>15710</v>
      </c>
      <c r="L9" s="73">
        <f t="shared" si="1"/>
        <v>157100</v>
      </c>
      <c r="M9" s="74" t="s">
        <v>370</v>
      </c>
      <c r="N9" s="75"/>
      <c r="O9" s="76"/>
      <c r="P9" s="45"/>
      <c r="Q9" s="23"/>
    </row>
    <row r="10" spans="2:72" s="40" customFormat="1" ht="24.95" customHeight="1">
      <c r="B10" s="41">
        <v>3</v>
      </c>
      <c r="C10" s="42" t="s">
        <v>130</v>
      </c>
      <c r="D10" s="42"/>
      <c r="E10" s="43" t="s">
        <v>152</v>
      </c>
      <c r="F10" s="43" t="s">
        <v>153</v>
      </c>
      <c r="G10" s="44" t="s">
        <v>24</v>
      </c>
      <c r="H10" s="70">
        <v>1</v>
      </c>
      <c r="I10" s="71">
        <f t="shared" si="0"/>
        <v>10</v>
      </c>
      <c r="J10" s="72" t="s">
        <v>16</v>
      </c>
      <c r="K10" s="73">
        <v>3140</v>
      </c>
      <c r="L10" s="73">
        <f t="shared" si="1"/>
        <v>31400</v>
      </c>
      <c r="M10" s="74" t="s">
        <v>370</v>
      </c>
      <c r="N10" s="75"/>
      <c r="O10" s="76"/>
      <c r="P10" s="45"/>
      <c r="Q10" s="23"/>
    </row>
    <row r="11" spans="2:72" s="40" customFormat="1" ht="24.95" customHeight="1">
      <c r="B11" s="41">
        <v>4</v>
      </c>
      <c r="C11" s="42" t="s">
        <v>130</v>
      </c>
      <c r="D11" s="42"/>
      <c r="E11" s="43" t="s">
        <v>133</v>
      </c>
      <c r="F11" s="43" t="s">
        <v>387</v>
      </c>
      <c r="G11" s="44" t="s">
        <v>24</v>
      </c>
      <c r="H11" s="70">
        <v>1</v>
      </c>
      <c r="I11" s="71">
        <f t="shared" si="0"/>
        <v>10</v>
      </c>
      <c r="J11" s="72" t="s">
        <v>16</v>
      </c>
      <c r="K11" s="73">
        <v>32400</v>
      </c>
      <c r="L11" s="73">
        <f t="shared" si="1"/>
        <v>324000</v>
      </c>
      <c r="M11" s="74" t="s">
        <v>370</v>
      </c>
      <c r="N11" s="75"/>
      <c r="O11" s="76"/>
      <c r="P11" s="45"/>
      <c r="Q11" s="23"/>
    </row>
    <row r="12" spans="2:72" s="40" customFormat="1" ht="24.95" customHeight="1">
      <c r="B12" s="41">
        <v>5</v>
      </c>
      <c r="C12" s="42" t="s">
        <v>130</v>
      </c>
      <c r="D12" s="42"/>
      <c r="E12" s="43" t="s">
        <v>131</v>
      </c>
      <c r="F12" s="43" t="s">
        <v>237</v>
      </c>
      <c r="G12" s="44" t="s">
        <v>24</v>
      </c>
      <c r="H12" s="70">
        <v>1</v>
      </c>
      <c r="I12" s="71">
        <f t="shared" si="0"/>
        <v>10</v>
      </c>
      <c r="J12" s="72" t="s">
        <v>16</v>
      </c>
      <c r="K12" s="73">
        <v>9590</v>
      </c>
      <c r="L12" s="73">
        <f t="shared" si="1"/>
        <v>95900</v>
      </c>
      <c r="M12" s="74" t="s">
        <v>370</v>
      </c>
      <c r="N12" s="75"/>
      <c r="O12" s="76"/>
      <c r="P12" s="45"/>
      <c r="Q12" s="23"/>
    </row>
    <row r="13" spans="2:72" s="40" customFormat="1" ht="24.95" customHeight="1">
      <c r="B13" s="41">
        <v>6</v>
      </c>
      <c r="C13" s="42" t="s">
        <v>130</v>
      </c>
      <c r="D13" s="42"/>
      <c r="E13" s="43" t="s">
        <v>136</v>
      </c>
      <c r="F13" s="43" t="s">
        <v>155</v>
      </c>
      <c r="G13" s="44" t="s">
        <v>24</v>
      </c>
      <c r="H13" s="70">
        <v>1</v>
      </c>
      <c r="I13" s="71">
        <f t="shared" si="0"/>
        <v>10</v>
      </c>
      <c r="J13" s="72" t="s">
        <v>16</v>
      </c>
      <c r="K13" s="73">
        <v>5160</v>
      </c>
      <c r="L13" s="73">
        <f t="shared" si="1"/>
        <v>51600</v>
      </c>
      <c r="M13" s="74" t="s">
        <v>370</v>
      </c>
      <c r="N13" s="75"/>
      <c r="O13" s="77"/>
      <c r="P13" s="45"/>
      <c r="Q13" s="23"/>
    </row>
    <row r="14" spans="2:72" s="40" customFormat="1" ht="24.95" customHeight="1">
      <c r="B14" s="41">
        <v>7</v>
      </c>
      <c r="C14" s="42" t="s">
        <v>130</v>
      </c>
      <c r="D14" s="42"/>
      <c r="E14" s="43" t="s">
        <v>131</v>
      </c>
      <c r="F14" s="43" t="s">
        <v>271</v>
      </c>
      <c r="G14" s="44" t="s">
        <v>24</v>
      </c>
      <c r="H14" s="70">
        <v>2</v>
      </c>
      <c r="I14" s="71">
        <f t="shared" si="0"/>
        <v>20</v>
      </c>
      <c r="J14" s="72" t="s">
        <v>16</v>
      </c>
      <c r="K14" s="73">
        <v>2020</v>
      </c>
      <c r="L14" s="73">
        <f t="shared" si="1"/>
        <v>40400</v>
      </c>
      <c r="M14" s="74" t="s">
        <v>370</v>
      </c>
      <c r="N14" s="75"/>
      <c r="O14" s="77"/>
      <c r="P14" s="45"/>
      <c r="Q14" s="23"/>
    </row>
    <row r="15" spans="2:72" s="40" customFormat="1" ht="24.95" customHeight="1">
      <c r="B15" s="41">
        <v>8</v>
      </c>
      <c r="C15" s="42" t="s">
        <v>130</v>
      </c>
      <c r="D15" s="42"/>
      <c r="E15" s="43" t="s">
        <v>134</v>
      </c>
      <c r="F15" s="43" t="s">
        <v>264</v>
      </c>
      <c r="G15" s="44" t="s">
        <v>24</v>
      </c>
      <c r="H15" s="70">
        <v>1</v>
      </c>
      <c r="I15" s="71">
        <f t="shared" si="0"/>
        <v>10</v>
      </c>
      <c r="J15" s="72" t="s">
        <v>16</v>
      </c>
      <c r="K15" s="73">
        <v>25550</v>
      </c>
      <c r="L15" s="73">
        <f t="shared" si="1"/>
        <v>255500</v>
      </c>
      <c r="M15" s="74" t="s">
        <v>370</v>
      </c>
      <c r="N15" s="75"/>
      <c r="O15" s="76"/>
      <c r="P15" s="45"/>
      <c r="Q15" s="23"/>
    </row>
    <row r="16" spans="2:72" s="40" customFormat="1" ht="24.95" customHeight="1">
      <c r="B16" s="41">
        <v>9</v>
      </c>
      <c r="C16" s="42" t="s">
        <v>130</v>
      </c>
      <c r="D16" s="42"/>
      <c r="E16" s="43" t="s">
        <v>131</v>
      </c>
      <c r="F16" s="43" t="s">
        <v>270</v>
      </c>
      <c r="G16" s="44" t="s">
        <v>24</v>
      </c>
      <c r="H16" s="70">
        <v>1</v>
      </c>
      <c r="I16" s="71">
        <f t="shared" si="0"/>
        <v>10</v>
      </c>
      <c r="J16" s="72" t="s">
        <v>16</v>
      </c>
      <c r="K16" s="73">
        <v>1580</v>
      </c>
      <c r="L16" s="73">
        <f t="shared" si="1"/>
        <v>15800</v>
      </c>
      <c r="M16" s="74" t="s">
        <v>370</v>
      </c>
      <c r="N16" s="75"/>
      <c r="O16" s="76"/>
      <c r="P16" s="45"/>
      <c r="Q16" s="23"/>
    </row>
    <row r="17" spans="2:17" s="40" customFormat="1" ht="24.95" customHeight="1">
      <c r="B17" s="46">
        <v>10</v>
      </c>
      <c r="C17" s="47" t="s">
        <v>130</v>
      </c>
      <c r="D17" s="47"/>
      <c r="E17" s="48" t="s">
        <v>135</v>
      </c>
      <c r="F17" s="48" t="s">
        <v>268</v>
      </c>
      <c r="G17" s="44" t="s">
        <v>24</v>
      </c>
      <c r="H17" s="70">
        <v>3</v>
      </c>
      <c r="I17" s="71">
        <f t="shared" si="0"/>
        <v>30</v>
      </c>
      <c r="J17" s="72" t="s">
        <v>51</v>
      </c>
      <c r="K17" s="73">
        <v>300</v>
      </c>
      <c r="L17" s="73">
        <f t="shared" si="1"/>
        <v>9000</v>
      </c>
      <c r="M17" s="74" t="s">
        <v>370</v>
      </c>
      <c r="N17" s="75"/>
      <c r="O17" s="76"/>
      <c r="P17" s="45"/>
      <c r="Q17" s="23"/>
    </row>
    <row r="18" spans="2:17" s="40" customFormat="1" ht="24.95" customHeight="1">
      <c r="B18" s="46">
        <v>11</v>
      </c>
      <c r="C18" s="42" t="s">
        <v>130</v>
      </c>
      <c r="D18" s="42"/>
      <c r="E18" s="43" t="s">
        <v>136</v>
      </c>
      <c r="F18" s="43" t="s">
        <v>19</v>
      </c>
      <c r="G18" s="51" t="s">
        <v>24</v>
      </c>
      <c r="H18" s="70">
        <v>2</v>
      </c>
      <c r="I18" s="71">
        <f t="shared" si="0"/>
        <v>20</v>
      </c>
      <c r="J18" s="72" t="s">
        <v>16</v>
      </c>
      <c r="K18" s="73">
        <v>1670</v>
      </c>
      <c r="L18" s="73">
        <f t="shared" si="1"/>
        <v>33400</v>
      </c>
      <c r="M18" s="74" t="s">
        <v>370</v>
      </c>
      <c r="N18" s="75"/>
      <c r="O18" s="76"/>
      <c r="P18" s="45"/>
      <c r="Q18" s="23"/>
    </row>
    <row r="19" spans="2:17" s="40" customFormat="1" ht="24.95" customHeight="1">
      <c r="B19" s="46">
        <v>12</v>
      </c>
      <c r="C19" s="38" t="s">
        <v>130</v>
      </c>
      <c r="D19" s="38"/>
      <c r="E19" s="39" t="s">
        <v>137</v>
      </c>
      <c r="F19" s="39" t="s">
        <v>279</v>
      </c>
      <c r="G19" s="44" t="s">
        <v>24</v>
      </c>
      <c r="H19" s="70">
        <v>1</v>
      </c>
      <c r="I19" s="71">
        <f t="shared" si="0"/>
        <v>10</v>
      </c>
      <c r="J19" s="72" t="s">
        <v>16</v>
      </c>
      <c r="K19" s="73">
        <v>11530</v>
      </c>
      <c r="L19" s="73">
        <f t="shared" si="1"/>
        <v>115300</v>
      </c>
      <c r="M19" s="74" t="s">
        <v>370</v>
      </c>
      <c r="N19" s="75"/>
      <c r="O19" s="76"/>
      <c r="P19" s="45"/>
      <c r="Q19" s="23"/>
    </row>
    <row r="20" spans="2:17" s="40" customFormat="1" ht="24.95" customHeight="1">
      <c r="B20" s="46">
        <v>13</v>
      </c>
      <c r="C20" s="42" t="s">
        <v>130</v>
      </c>
      <c r="D20" s="42"/>
      <c r="E20" s="43" t="s">
        <v>139</v>
      </c>
      <c r="F20" s="43" t="s">
        <v>400</v>
      </c>
      <c r="G20" s="44" t="s">
        <v>24</v>
      </c>
      <c r="H20" s="70">
        <v>2</v>
      </c>
      <c r="I20" s="71">
        <f t="shared" si="0"/>
        <v>20</v>
      </c>
      <c r="J20" s="72" t="s">
        <v>16</v>
      </c>
      <c r="K20" s="73">
        <v>45740</v>
      </c>
      <c r="L20" s="73">
        <f t="shared" si="1"/>
        <v>914800</v>
      </c>
      <c r="M20" s="74" t="s">
        <v>370</v>
      </c>
      <c r="N20" s="75" t="s">
        <v>386</v>
      </c>
      <c r="O20" s="76" t="s">
        <v>386</v>
      </c>
      <c r="P20" s="45"/>
      <c r="Q20" s="23"/>
    </row>
    <row r="21" spans="2:17" s="40" customFormat="1" ht="24.95" customHeight="1">
      <c r="B21" s="46">
        <v>14</v>
      </c>
      <c r="C21" s="42" t="s">
        <v>130</v>
      </c>
      <c r="D21" s="42"/>
      <c r="E21" s="43" t="s">
        <v>141</v>
      </c>
      <c r="F21" s="43" t="s">
        <v>156</v>
      </c>
      <c r="G21" s="44" t="s">
        <v>24</v>
      </c>
      <c r="H21" s="70">
        <v>4</v>
      </c>
      <c r="I21" s="71">
        <f t="shared" si="0"/>
        <v>40</v>
      </c>
      <c r="J21" s="72" t="s">
        <v>16</v>
      </c>
      <c r="K21" s="73">
        <v>7740</v>
      </c>
      <c r="L21" s="73">
        <f t="shared" si="1"/>
        <v>309600</v>
      </c>
      <c r="M21" s="74" t="s">
        <v>394</v>
      </c>
      <c r="N21" s="75"/>
      <c r="O21" s="76"/>
      <c r="P21" s="45"/>
      <c r="Q21" s="23"/>
    </row>
    <row r="22" spans="2:17" s="40" customFormat="1" ht="24.95" customHeight="1">
      <c r="B22" s="46">
        <v>15</v>
      </c>
      <c r="C22" s="42" t="s">
        <v>130</v>
      </c>
      <c r="D22" s="42"/>
      <c r="E22" s="43" t="s">
        <v>131</v>
      </c>
      <c r="F22" s="43" t="s">
        <v>271</v>
      </c>
      <c r="G22" s="44" t="s">
        <v>24</v>
      </c>
      <c r="H22" s="70">
        <v>2</v>
      </c>
      <c r="I22" s="71">
        <f t="shared" si="0"/>
        <v>20</v>
      </c>
      <c r="J22" s="72" t="s">
        <v>16</v>
      </c>
      <c r="K22" s="73">
        <v>2020</v>
      </c>
      <c r="L22" s="73">
        <f t="shared" si="1"/>
        <v>40400</v>
      </c>
      <c r="M22" s="74" t="s">
        <v>370</v>
      </c>
      <c r="N22" s="75"/>
      <c r="O22" s="76"/>
      <c r="P22" s="45"/>
      <c r="Q22" s="23"/>
    </row>
    <row r="23" spans="2:17" s="40" customFormat="1" ht="24.95" customHeight="1">
      <c r="B23" s="46">
        <v>16</v>
      </c>
      <c r="C23" s="42" t="s">
        <v>130</v>
      </c>
      <c r="D23" s="42"/>
      <c r="E23" s="43" t="s">
        <v>134</v>
      </c>
      <c r="F23" s="43" t="s">
        <v>264</v>
      </c>
      <c r="G23" s="44" t="s">
        <v>24</v>
      </c>
      <c r="H23" s="70">
        <v>1</v>
      </c>
      <c r="I23" s="71">
        <f t="shared" si="0"/>
        <v>10</v>
      </c>
      <c r="J23" s="72" t="s">
        <v>16</v>
      </c>
      <c r="K23" s="73">
        <v>25550</v>
      </c>
      <c r="L23" s="73">
        <f t="shared" si="1"/>
        <v>255500</v>
      </c>
      <c r="M23" s="74" t="s">
        <v>370</v>
      </c>
      <c r="N23" s="75"/>
      <c r="O23" s="76"/>
      <c r="P23" s="45"/>
      <c r="Q23" s="23"/>
    </row>
    <row r="24" spans="2:17" s="40" customFormat="1" ht="24.95" customHeight="1">
      <c r="B24" s="46">
        <v>17</v>
      </c>
      <c r="C24" s="42" t="s">
        <v>130</v>
      </c>
      <c r="D24" s="42"/>
      <c r="E24" s="43" t="s">
        <v>131</v>
      </c>
      <c r="F24" s="43" t="s">
        <v>270</v>
      </c>
      <c r="G24" s="44" t="s">
        <v>24</v>
      </c>
      <c r="H24" s="70">
        <v>1</v>
      </c>
      <c r="I24" s="71">
        <f t="shared" si="0"/>
        <v>10</v>
      </c>
      <c r="J24" s="72" t="s">
        <v>16</v>
      </c>
      <c r="K24" s="73">
        <v>1580</v>
      </c>
      <c r="L24" s="73">
        <f t="shared" si="1"/>
        <v>15800</v>
      </c>
      <c r="M24" s="74" t="s">
        <v>370</v>
      </c>
      <c r="N24" s="75"/>
      <c r="O24" s="76"/>
      <c r="P24" s="45"/>
      <c r="Q24" s="23"/>
    </row>
    <row r="25" spans="2:17" s="40" customFormat="1" ht="24.95" customHeight="1">
      <c r="B25" s="46">
        <v>18</v>
      </c>
      <c r="C25" s="42" t="s">
        <v>130</v>
      </c>
      <c r="D25" s="42"/>
      <c r="E25" s="43" t="s">
        <v>135</v>
      </c>
      <c r="F25" s="43" t="s">
        <v>268</v>
      </c>
      <c r="G25" s="44" t="s">
        <v>24</v>
      </c>
      <c r="H25" s="70">
        <v>3</v>
      </c>
      <c r="I25" s="71">
        <f t="shared" si="0"/>
        <v>30</v>
      </c>
      <c r="J25" s="72" t="s">
        <v>16</v>
      </c>
      <c r="K25" s="73">
        <v>300</v>
      </c>
      <c r="L25" s="73">
        <f t="shared" si="1"/>
        <v>9000</v>
      </c>
      <c r="M25" s="74" t="s">
        <v>370</v>
      </c>
      <c r="N25" s="75"/>
      <c r="O25" s="76"/>
      <c r="P25" s="45"/>
      <c r="Q25" s="23"/>
    </row>
    <row r="26" spans="2:17" s="40" customFormat="1" ht="24.95" customHeight="1">
      <c r="B26" s="46">
        <v>19</v>
      </c>
      <c r="C26" s="42" t="s">
        <v>130</v>
      </c>
      <c r="D26" s="42"/>
      <c r="E26" s="43" t="s">
        <v>136</v>
      </c>
      <c r="F26" s="43" t="s">
        <v>262</v>
      </c>
      <c r="G26" s="44" t="s">
        <v>24</v>
      </c>
      <c r="H26" s="70">
        <v>2</v>
      </c>
      <c r="I26" s="71">
        <f t="shared" si="0"/>
        <v>20</v>
      </c>
      <c r="J26" s="72" t="s">
        <v>16</v>
      </c>
      <c r="K26" s="73">
        <v>1670</v>
      </c>
      <c r="L26" s="73">
        <f t="shared" si="1"/>
        <v>33400</v>
      </c>
      <c r="M26" s="74" t="s">
        <v>370</v>
      </c>
      <c r="N26" s="75"/>
      <c r="O26" s="76"/>
      <c r="P26" s="45"/>
      <c r="Q26" s="23"/>
    </row>
    <row r="27" spans="2:17" s="40" customFormat="1" ht="24.95" customHeight="1">
      <c r="B27" s="46">
        <v>20</v>
      </c>
      <c r="C27" s="42" t="s">
        <v>130</v>
      </c>
      <c r="D27" s="42"/>
      <c r="E27" s="43" t="s">
        <v>137</v>
      </c>
      <c r="F27" s="43" t="s">
        <v>138</v>
      </c>
      <c r="G27" s="44" t="s">
        <v>24</v>
      </c>
      <c r="H27" s="70">
        <v>1</v>
      </c>
      <c r="I27" s="71">
        <f t="shared" si="0"/>
        <v>10</v>
      </c>
      <c r="J27" s="72" t="s">
        <v>16</v>
      </c>
      <c r="K27" s="73">
        <v>11530</v>
      </c>
      <c r="L27" s="73">
        <f t="shared" si="1"/>
        <v>115300</v>
      </c>
      <c r="M27" s="74" t="s">
        <v>370</v>
      </c>
      <c r="N27" s="75"/>
      <c r="O27" s="76"/>
      <c r="P27" s="45"/>
      <c r="Q27" s="23"/>
    </row>
    <row r="28" spans="2:17" s="40" customFormat="1" ht="24.95" customHeight="1">
      <c r="B28" s="46">
        <v>21</v>
      </c>
      <c r="C28" s="42" t="s">
        <v>130</v>
      </c>
      <c r="D28" s="42"/>
      <c r="E28" s="43" t="s">
        <v>139</v>
      </c>
      <c r="F28" s="43" t="s">
        <v>282</v>
      </c>
      <c r="G28" s="44" t="s">
        <v>24</v>
      </c>
      <c r="H28" s="70">
        <v>2</v>
      </c>
      <c r="I28" s="71">
        <f t="shared" si="0"/>
        <v>20</v>
      </c>
      <c r="J28" s="72" t="s">
        <v>16</v>
      </c>
      <c r="K28" s="73">
        <v>45740</v>
      </c>
      <c r="L28" s="73">
        <f t="shared" si="1"/>
        <v>914800</v>
      </c>
      <c r="M28" s="74" t="s">
        <v>370</v>
      </c>
      <c r="N28" s="75" t="s">
        <v>386</v>
      </c>
      <c r="O28" s="76" t="s">
        <v>386</v>
      </c>
      <c r="P28" s="45"/>
      <c r="Q28" s="23"/>
    </row>
    <row r="29" spans="2:17" s="40" customFormat="1" ht="24.95" customHeight="1">
      <c r="B29" s="46">
        <v>22</v>
      </c>
      <c r="C29" s="42" t="s">
        <v>130</v>
      </c>
      <c r="D29" s="42"/>
      <c r="E29" s="43" t="s">
        <v>131</v>
      </c>
      <c r="F29" s="43" t="s">
        <v>238</v>
      </c>
      <c r="G29" s="44" t="s">
        <v>24</v>
      </c>
      <c r="H29" s="70">
        <v>4</v>
      </c>
      <c r="I29" s="71">
        <f t="shared" si="0"/>
        <v>40</v>
      </c>
      <c r="J29" s="72" t="s">
        <v>16</v>
      </c>
      <c r="K29" s="73">
        <v>2320</v>
      </c>
      <c r="L29" s="73">
        <f t="shared" si="1"/>
        <v>92800</v>
      </c>
      <c r="M29" s="74" t="s">
        <v>370</v>
      </c>
      <c r="N29" s="75"/>
      <c r="O29" s="76"/>
      <c r="P29" s="45"/>
      <c r="Q29" s="23"/>
    </row>
    <row r="30" spans="2:17" s="40" customFormat="1" ht="24.95" customHeight="1">
      <c r="B30" s="46">
        <v>23</v>
      </c>
      <c r="C30" s="42" t="s">
        <v>130</v>
      </c>
      <c r="D30" s="42"/>
      <c r="E30" s="43" t="s">
        <v>141</v>
      </c>
      <c r="F30" s="43" t="s">
        <v>157</v>
      </c>
      <c r="G30" s="44" t="s">
        <v>24</v>
      </c>
      <c r="H30" s="70">
        <v>8</v>
      </c>
      <c r="I30" s="71">
        <f t="shared" si="0"/>
        <v>80</v>
      </c>
      <c r="J30" s="72" t="s">
        <v>16</v>
      </c>
      <c r="K30" s="73">
        <v>5040</v>
      </c>
      <c r="L30" s="73">
        <f t="shared" si="1"/>
        <v>403200</v>
      </c>
      <c r="M30" s="74" t="s">
        <v>370</v>
      </c>
      <c r="N30" s="75"/>
      <c r="O30" s="76"/>
      <c r="P30" s="45"/>
      <c r="Q30" s="23"/>
    </row>
    <row r="31" spans="2:17" s="40" customFormat="1" ht="24.95" customHeight="1">
      <c r="B31" s="46">
        <v>24</v>
      </c>
      <c r="C31" s="42" t="s">
        <v>130</v>
      </c>
      <c r="D31" s="42"/>
      <c r="E31" s="43" t="s">
        <v>131</v>
      </c>
      <c r="F31" s="43" t="s">
        <v>270</v>
      </c>
      <c r="G31" s="44" t="s">
        <v>24</v>
      </c>
      <c r="H31" s="70">
        <v>1</v>
      </c>
      <c r="I31" s="71">
        <f t="shared" si="0"/>
        <v>10</v>
      </c>
      <c r="J31" s="72" t="s">
        <v>16</v>
      </c>
      <c r="K31" s="73">
        <v>1580</v>
      </c>
      <c r="L31" s="73">
        <f t="shared" si="1"/>
        <v>15800</v>
      </c>
      <c r="M31" s="74" t="s">
        <v>370</v>
      </c>
      <c r="N31" s="75"/>
      <c r="O31" s="76"/>
      <c r="P31" s="45"/>
      <c r="Q31" s="23"/>
    </row>
    <row r="32" spans="2:17" s="40" customFormat="1" ht="24.95" customHeight="1">
      <c r="B32" s="46">
        <v>25</v>
      </c>
      <c r="C32" s="42" t="s">
        <v>130</v>
      </c>
      <c r="D32" s="42"/>
      <c r="E32" s="43" t="s">
        <v>135</v>
      </c>
      <c r="F32" s="43" t="s">
        <v>268</v>
      </c>
      <c r="G32" s="44" t="s">
        <v>24</v>
      </c>
      <c r="H32" s="70">
        <v>3</v>
      </c>
      <c r="I32" s="71">
        <f t="shared" si="0"/>
        <v>30</v>
      </c>
      <c r="J32" s="72" t="s">
        <v>16</v>
      </c>
      <c r="K32" s="73">
        <v>300</v>
      </c>
      <c r="L32" s="73">
        <f t="shared" si="1"/>
        <v>9000</v>
      </c>
      <c r="M32" s="74" t="s">
        <v>370</v>
      </c>
      <c r="N32" s="75"/>
      <c r="O32" s="76"/>
      <c r="P32" s="45"/>
      <c r="Q32" s="23"/>
    </row>
    <row r="33" spans="2:17" s="40" customFormat="1" ht="24.95" customHeight="1">
      <c r="B33" s="46">
        <v>26</v>
      </c>
      <c r="C33" s="42" t="s">
        <v>130</v>
      </c>
      <c r="D33" s="42"/>
      <c r="E33" s="43" t="s">
        <v>136</v>
      </c>
      <c r="F33" s="43" t="s">
        <v>19</v>
      </c>
      <c r="G33" s="44" t="s">
        <v>24</v>
      </c>
      <c r="H33" s="70">
        <v>2</v>
      </c>
      <c r="I33" s="71">
        <f t="shared" si="0"/>
        <v>20</v>
      </c>
      <c r="J33" s="72" t="s">
        <v>16</v>
      </c>
      <c r="K33" s="73">
        <v>1670</v>
      </c>
      <c r="L33" s="73">
        <f t="shared" si="1"/>
        <v>33400</v>
      </c>
      <c r="M33" s="74" t="s">
        <v>370</v>
      </c>
      <c r="N33" s="75"/>
      <c r="O33" s="77"/>
      <c r="P33" s="45"/>
      <c r="Q33" s="23"/>
    </row>
    <row r="34" spans="2:17" s="40" customFormat="1" ht="24.95" customHeight="1">
      <c r="B34" s="46">
        <v>27</v>
      </c>
      <c r="C34" s="42" t="s">
        <v>130</v>
      </c>
      <c r="D34" s="42"/>
      <c r="E34" s="43" t="s">
        <v>137</v>
      </c>
      <c r="F34" s="43" t="s">
        <v>142</v>
      </c>
      <c r="G34" s="44" t="s">
        <v>24</v>
      </c>
      <c r="H34" s="70">
        <v>1</v>
      </c>
      <c r="I34" s="71">
        <f t="shared" si="0"/>
        <v>10</v>
      </c>
      <c r="J34" s="72" t="s">
        <v>16</v>
      </c>
      <c r="K34" s="73">
        <v>11500</v>
      </c>
      <c r="L34" s="73">
        <f t="shared" si="1"/>
        <v>115000</v>
      </c>
      <c r="M34" s="74" t="s">
        <v>370</v>
      </c>
      <c r="N34" s="75"/>
      <c r="O34" s="77"/>
      <c r="P34" s="45"/>
      <c r="Q34" s="23"/>
    </row>
    <row r="35" spans="2:17" s="40" customFormat="1" ht="24.95" customHeight="1">
      <c r="B35" s="46">
        <v>28</v>
      </c>
      <c r="C35" s="42" t="s">
        <v>130</v>
      </c>
      <c r="D35" s="42"/>
      <c r="E35" s="43" t="s">
        <v>139</v>
      </c>
      <c r="F35" s="43" t="s">
        <v>21</v>
      </c>
      <c r="G35" s="44" t="s">
        <v>24</v>
      </c>
      <c r="H35" s="70">
        <v>4</v>
      </c>
      <c r="I35" s="71">
        <f t="shared" si="0"/>
        <v>40</v>
      </c>
      <c r="J35" s="72" t="s">
        <v>16</v>
      </c>
      <c r="K35" s="73">
        <v>26460</v>
      </c>
      <c r="L35" s="73">
        <f t="shared" si="1"/>
        <v>1058400</v>
      </c>
      <c r="M35" s="74" t="s">
        <v>370</v>
      </c>
      <c r="N35" s="75"/>
      <c r="O35" s="76"/>
      <c r="P35" s="45"/>
      <c r="Q35" s="23"/>
    </row>
    <row r="36" spans="2:17" s="40" customFormat="1" ht="24.95" customHeight="1">
      <c r="B36" s="46">
        <v>29</v>
      </c>
      <c r="C36" s="42" t="s">
        <v>130</v>
      </c>
      <c r="D36" s="42"/>
      <c r="E36" s="43" t="s">
        <v>139</v>
      </c>
      <c r="F36" s="43" t="s">
        <v>140</v>
      </c>
      <c r="G36" s="44" t="s">
        <v>24</v>
      </c>
      <c r="H36" s="70">
        <v>1</v>
      </c>
      <c r="I36" s="71">
        <f t="shared" si="0"/>
        <v>10</v>
      </c>
      <c r="J36" s="72" t="s">
        <v>16</v>
      </c>
      <c r="K36" s="73">
        <v>45740</v>
      </c>
      <c r="L36" s="73">
        <f t="shared" si="1"/>
        <v>457400</v>
      </c>
      <c r="M36" s="74" t="s">
        <v>370</v>
      </c>
      <c r="N36" s="75" t="s">
        <v>386</v>
      </c>
      <c r="O36" s="76" t="s">
        <v>386</v>
      </c>
      <c r="P36" s="45"/>
      <c r="Q36" s="23"/>
    </row>
    <row r="37" spans="2:17" s="40" customFormat="1" ht="24.95" customHeight="1">
      <c r="B37" s="46">
        <v>30</v>
      </c>
      <c r="C37" s="42" t="s">
        <v>130</v>
      </c>
      <c r="D37" s="42"/>
      <c r="E37" s="43" t="s">
        <v>141</v>
      </c>
      <c r="F37" s="43" t="s">
        <v>266</v>
      </c>
      <c r="G37" s="44" t="s">
        <v>24</v>
      </c>
      <c r="H37" s="70">
        <v>4</v>
      </c>
      <c r="I37" s="71">
        <f t="shared" si="0"/>
        <v>40</v>
      </c>
      <c r="J37" s="72" t="s">
        <v>16</v>
      </c>
      <c r="K37" s="73">
        <v>5040</v>
      </c>
      <c r="L37" s="73">
        <f t="shared" si="1"/>
        <v>201600</v>
      </c>
      <c r="M37" s="74" t="s">
        <v>370</v>
      </c>
      <c r="N37" s="75"/>
      <c r="O37" s="76"/>
      <c r="P37" s="45"/>
      <c r="Q37" s="23"/>
    </row>
    <row r="38" spans="2:17" s="40" customFormat="1" ht="24.95" customHeight="1">
      <c r="B38" s="46">
        <v>31</v>
      </c>
      <c r="C38" s="47" t="s">
        <v>130</v>
      </c>
      <c r="D38" s="47"/>
      <c r="E38" s="48" t="s">
        <v>141</v>
      </c>
      <c r="F38" s="48" t="s">
        <v>239</v>
      </c>
      <c r="G38" s="49" t="s">
        <v>24</v>
      </c>
      <c r="H38" s="70">
        <v>4</v>
      </c>
      <c r="I38" s="71">
        <f t="shared" si="0"/>
        <v>40</v>
      </c>
      <c r="J38" s="72" t="s">
        <v>16</v>
      </c>
      <c r="K38" s="73">
        <v>6770</v>
      </c>
      <c r="L38" s="73">
        <f t="shared" si="1"/>
        <v>270800</v>
      </c>
      <c r="M38" s="74" t="s">
        <v>370</v>
      </c>
      <c r="N38" s="75"/>
      <c r="O38" s="76"/>
      <c r="P38" s="50"/>
      <c r="Q38" s="23"/>
    </row>
    <row r="39" spans="2:17" s="40" customFormat="1" ht="24.95" customHeight="1">
      <c r="B39" s="46">
        <v>32</v>
      </c>
      <c r="C39" s="47" t="s">
        <v>130</v>
      </c>
      <c r="D39" s="47"/>
      <c r="E39" s="48" t="s">
        <v>141</v>
      </c>
      <c r="F39" s="48" t="s">
        <v>265</v>
      </c>
      <c r="G39" s="49" t="s">
        <v>24</v>
      </c>
      <c r="H39" s="70">
        <v>2</v>
      </c>
      <c r="I39" s="71">
        <f t="shared" si="0"/>
        <v>20</v>
      </c>
      <c r="J39" s="72" t="s">
        <v>16</v>
      </c>
      <c r="K39" s="73">
        <v>7740</v>
      </c>
      <c r="L39" s="73">
        <f t="shared" si="1"/>
        <v>154800</v>
      </c>
      <c r="M39" s="74" t="s">
        <v>370</v>
      </c>
      <c r="N39" s="75"/>
      <c r="O39" s="76"/>
      <c r="P39" s="50"/>
      <c r="Q39" s="23"/>
    </row>
    <row r="40" spans="2:17" s="40" customFormat="1" ht="24.95" customHeight="1">
      <c r="B40" s="46">
        <v>33</v>
      </c>
      <c r="C40" s="47" t="s">
        <v>130</v>
      </c>
      <c r="D40" s="47"/>
      <c r="E40" s="48" t="s">
        <v>131</v>
      </c>
      <c r="F40" s="48" t="s">
        <v>270</v>
      </c>
      <c r="G40" s="49" t="s">
        <v>24</v>
      </c>
      <c r="H40" s="70">
        <v>1</v>
      </c>
      <c r="I40" s="71">
        <f t="shared" si="0"/>
        <v>10</v>
      </c>
      <c r="J40" s="72" t="s">
        <v>16</v>
      </c>
      <c r="K40" s="73">
        <v>1580</v>
      </c>
      <c r="L40" s="73">
        <f t="shared" si="1"/>
        <v>15800</v>
      </c>
      <c r="M40" s="74" t="s">
        <v>370</v>
      </c>
      <c r="N40" s="75"/>
      <c r="O40" s="76"/>
      <c r="P40" s="50"/>
      <c r="Q40" s="23"/>
    </row>
    <row r="41" spans="2:17" s="40" customFormat="1" ht="24.95" customHeight="1">
      <c r="B41" s="46">
        <v>34</v>
      </c>
      <c r="C41" s="47" t="s">
        <v>130</v>
      </c>
      <c r="D41" s="47"/>
      <c r="E41" s="48" t="s">
        <v>135</v>
      </c>
      <c r="F41" s="48" t="s">
        <v>268</v>
      </c>
      <c r="G41" s="49" t="s">
        <v>24</v>
      </c>
      <c r="H41" s="70">
        <v>3</v>
      </c>
      <c r="I41" s="71">
        <f t="shared" si="0"/>
        <v>30</v>
      </c>
      <c r="J41" s="72" t="s">
        <v>16</v>
      </c>
      <c r="K41" s="73">
        <v>300</v>
      </c>
      <c r="L41" s="73">
        <f t="shared" si="1"/>
        <v>9000</v>
      </c>
      <c r="M41" s="74" t="s">
        <v>370</v>
      </c>
      <c r="N41" s="75"/>
      <c r="O41" s="76"/>
      <c r="P41" s="50"/>
      <c r="Q41" s="23"/>
    </row>
    <row r="42" spans="2:17" s="40" customFormat="1" ht="24.95" customHeight="1">
      <c r="B42" s="46">
        <v>35</v>
      </c>
      <c r="C42" s="47" t="s">
        <v>130</v>
      </c>
      <c r="D42" s="47"/>
      <c r="E42" s="48" t="s">
        <v>136</v>
      </c>
      <c r="F42" s="48" t="s">
        <v>19</v>
      </c>
      <c r="G42" s="49" t="s">
        <v>24</v>
      </c>
      <c r="H42" s="70">
        <v>2</v>
      </c>
      <c r="I42" s="71">
        <f t="shared" si="0"/>
        <v>20</v>
      </c>
      <c r="J42" s="72" t="s">
        <v>16</v>
      </c>
      <c r="K42" s="73">
        <v>1670</v>
      </c>
      <c r="L42" s="73">
        <f t="shared" si="1"/>
        <v>33400</v>
      </c>
      <c r="M42" s="74" t="s">
        <v>370</v>
      </c>
      <c r="N42" s="75"/>
      <c r="O42" s="76"/>
      <c r="P42" s="50"/>
      <c r="Q42" s="23"/>
    </row>
    <row r="43" spans="2:17" s="40" customFormat="1" ht="24.95" customHeight="1">
      <c r="B43" s="46">
        <v>36</v>
      </c>
      <c r="C43" s="47" t="s">
        <v>130</v>
      </c>
      <c r="D43" s="47"/>
      <c r="E43" s="48" t="s">
        <v>137</v>
      </c>
      <c r="F43" s="48" t="s">
        <v>280</v>
      </c>
      <c r="G43" s="49" t="s">
        <v>24</v>
      </c>
      <c r="H43" s="70">
        <v>1</v>
      </c>
      <c r="I43" s="71">
        <f t="shared" si="0"/>
        <v>10</v>
      </c>
      <c r="J43" s="72" t="s">
        <v>16</v>
      </c>
      <c r="K43" s="73">
        <v>11500</v>
      </c>
      <c r="L43" s="73">
        <f t="shared" si="1"/>
        <v>115000</v>
      </c>
      <c r="M43" s="74" t="s">
        <v>370</v>
      </c>
      <c r="N43" s="75"/>
      <c r="O43" s="76"/>
      <c r="P43" s="50"/>
      <c r="Q43" s="23"/>
    </row>
    <row r="44" spans="2:17" s="40" customFormat="1" ht="24.95" customHeight="1">
      <c r="B44" s="46">
        <v>37</v>
      </c>
      <c r="C44" s="47" t="s">
        <v>130</v>
      </c>
      <c r="D44" s="47"/>
      <c r="E44" s="48" t="s">
        <v>139</v>
      </c>
      <c r="F44" s="48" t="s">
        <v>140</v>
      </c>
      <c r="G44" s="49" t="s">
        <v>24</v>
      </c>
      <c r="H44" s="70">
        <v>1</v>
      </c>
      <c r="I44" s="71">
        <f t="shared" si="0"/>
        <v>10</v>
      </c>
      <c r="J44" s="72" t="s">
        <v>16</v>
      </c>
      <c r="K44" s="73">
        <v>45740</v>
      </c>
      <c r="L44" s="73">
        <f t="shared" si="1"/>
        <v>457400</v>
      </c>
      <c r="M44" s="74" t="s">
        <v>370</v>
      </c>
      <c r="N44" s="75" t="s">
        <v>386</v>
      </c>
      <c r="O44" s="76" t="s">
        <v>386</v>
      </c>
      <c r="P44" s="50"/>
      <c r="Q44" s="23"/>
    </row>
    <row r="45" spans="2:17" s="40" customFormat="1" ht="24.95" customHeight="1">
      <c r="B45" s="46">
        <v>38</v>
      </c>
      <c r="C45" s="42" t="s">
        <v>130</v>
      </c>
      <c r="D45" s="42"/>
      <c r="E45" s="43" t="s">
        <v>139</v>
      </c>
      <c r="F45" s="43" t="s">
        <v>281</v>
      </c>
      <c r="G45" s="44" t="s">
        <v>24</v>
      </c>
      <c r="H45" s="70">
        <v>4</v>
      </c>
      <c r="I45" s="71">
        <f t="shared" si="0"/>
        <v>40</v>
      </c>
      <c r="J45" s="72" t="s">
        <v>16</v>
      </c>
      <c r="K45" s="73">
        <v>26460</v>
      </c>
      <c r="L45" s="73">
        <f t="shared" si="1"/>
        <v>1058400</v>
      </c>
      <c r="M45" s="74" t="s">
        <v>370</v>
      </c>
      <c r="N45" s="75"/>
      <c r="O45" s="76"/>
      <c r="P45" s="45"/>
      <c r="Q45" s="23"/>
    </row>
    <row r="46" spans="2:17" s="40" customFormat="1" ht="24.95" customHeight="1">
      <c r="B46" s="46">
        <v>39</v>
      </c>
      <c r="C46" s="42" t="s">
        <v>130</v>
      </c>
      <c r="D46" s="42"/>
      <c r="E46" s="43" t="s">
        <v>141</v>
      </c>
      <c r="F46" s="43" t="s">
        <v>157</v>
      </c>
      <c r="G46" s="44" t="s">
        <v>24</v>
      </c>
      <c r="H46" s="70">
        <v>6</v>
      </c>
      <c r="I46" s="71">
        <f t="shared" si="0"/>
        <v>60</v>
      </c>
      <c r="J46" s="72" t="s">
        <v>16</v>
      </c>
      <c r="K46" s="73">
        <v>5040</v>
      </c>
      <c r="L46" s="73">
        <f t="shared" si="1"/>
        <v>302400</v>
      </c>
      <c r="M46" s="74" t="s">
        <v>370</v>
      </c>
      <c r="N46" s="75"/>
      <c r="O46" s="76"/>
      <c r="P46" s="45"/>
      <c r="Q46" s="23"/>
    </row>
    <row r="47" spans="2:17" s="40" customFormat="1" ht="24.95" customHeight="1">
      <c r="B47" s="46">
        <v>40</v>
      </c>
      <c r="C47" s="42" t="s">
        <v>130</v>
      </c>
      <c r="D47" s="42"/>
      <c r="E47" s="43" t="s">
        <v>141</v>
      </c>
      <c r="F47" s="43" t="s">
        <v>240</v>
      </c>
      <c r="G47" s="44" t="s">
        <v>24</v>
      </c>
      <c r="H47" s="70">
        <v>6</v>
      </c>
      <c r="I47" s="71">
        <f t="shared" si="0"/>
        <v>60</v>
      </c>
      <c r="J47" s="72" t="s">
        <v>16</v>
      </c>
      <c r="K47" s="73">
        <v>7140</v>
      </c>
      <c r="L47" s="73">
        <f t="shared" si="1"/>
        <v>428400</v>
      </c>
      <c r="M47" s="74" t="s">
        <v>370</v>
      </c>
      <c r="N47" s="75"/>
      <c r="O47" s="76"/>
      <c r="P47" s="45"/>
      <c r="Q47" s="23"/>
    </row>
    <row r="48" spans="2:17" s="40" customFormat="1" ht="24.95" customHeight="1">
      <c r="B48" s="46">
        <v>41</v>
      </c>
      <c r="C48" s="42" t="s">
        <v>130</v>
      </c>
      <c r="D48" s="42"/>
      <c r="E48" s="43" t="s">
        <v>131</v>
      </c>
      <c r="F48" s="43" t="s">
        <v>241</v>
      </c>
      <c r="G48" s="44" t="s">
        <v>24</v>
      </c>
      <c r="H48" s="70">
        <v>6</v>
      </c>
      <c r="I48" s="71">
        <f t="shared" si="0"/>
        <v>60</v>
      </c>
      <c r="J48" s="72" t="s">
        <v>16</v>
      </c>
      <c r="K48" s="73">
        <v>1350</v>
      </c>
      <c r="L48" s="73">
        <f t="shared" si="1"/>
        <v>81000</v>
      </c>
      <c r="M48" s="74" t="s">
        <v>370</v>
      </c>
      <c r="N48" s="75"/>
      <c r="O48" s="76"/>
      <c r="P48" s="45"/>
      <c r="Q48" s="23"/>
    </row>
    <row r="49" spans="2:17" s="40" customFormat="1" ht="24.95" customHeight="1">
      <c r="B49" s="46">
        <v>42</v>
      </c>
      <c r="C49" s="42" t="s">
        <v>130</v>
      </c>
      <c r="D49" s="42"/>
      <c r="E49" s="43" t="s">
        <v>131</v>
      </c>
      <c r="F49" s="43" t="s">
        <v>270</v>
      </c>
      <c r="G49" s="44" t="s">
        <v>24</v>
      </c>
      <c r="H49" s="70">
        <v>1</v>
      </c>
      <c r="I49" s="71">
        <f t="shared" si="0"/>
        <v>10</v>
      </c>
      <c r="J49" s="72" t="s">
        <v>16</v>
      </c>
      <c r="K49" s="73">
        <v>1580</v>
      </c>
      <c r="L49" s="73">
        <f t="shared" si="1"/>
        <v>15800</v>
      </c>
      <c r="M49" s="74" t="s">
        <v>370</v>
      </c>
      <c r="N49" s="75"/>
      <c r="O49" s="76"/>
      <c r="P49" s="45"/>
      <c r="Q49" s="23"/>
    </row>
    <row r="50" spans="2:17" s="40" customFormat="1" ht="24.95" customHeight="1">
      <c r="B50" s="46">
        <v>43</v>
      </c>
      <c r="C50" s="42" t="s">
        <v>130</v>
      </c>
      <c r="D50" s="42"/>
      <c r="E50" s="43" t="s">
        <v>135</v>
      </c>
      <c r="F50" s="43" t="s">
        <v>268</v>
      </c>
      <c r="G50" s="44" t="s">
        <v>24</v>
      </c>
      <c r="H50" s="70">
        <v>3</v>
      </c>
      <c r="I50" s="71">
        <f t="shared" si="0"/>
        <v>30</v>
      </c>
      <c r="J50" s="72" t="s">
        <v>16</v>
      </c>
      <c r="K50" s="73">
        <v>300</v>
      </c>
      <c r="L50" s="73">
        <f t="shared" si="1"/>
        <v>9000</v>
      </c>
      <c r="M50" s="74" t="s">
        <v>370</v>
      </c>
      <c r="N50" s="75"/>
      <c r="O50" s="76"/>
      <c r="P50" s="45"/>
      <c r="Q50" s="23"/>
    </row>
    <row r="51" spans="2:17" s="40" customFormat="1" ht="24.95" customHeight="1">
      <c r="B51" s="46">
        <v>44</v>
      </c>
      <c r="C51" s="42" t="s">
        <v>130</v>
      </c>
      <c r="D51" s="42"/>
      <c r="E51" s="43" t="s">
        <v>136</v>
      </c>
      <c r="F51" s="43" t="s">
        <v>19</v>
      </c>
      <c r="G51" s="44" t="s">
        <v>24</v>
      </c>
      <c r="H51" s="70">
        <v>2</v>
      </c>
      <c r="I51" s="71">
        <f t="shared" si="0"/>
        <v>20</v>
      </c>
      <c r="J51" s="72" t="s">
        <v>16</v>
      </c>
      <c r="K51" s="73">
        <v>1670</v>
      </c>
      <c r="L51" s="73">
        <f t="shared" si="1"/>
        <v>33400</v>
      </c>
      <c r="M51" s="74" t="s">
        <v>370</v>
      </c>
      <c r="N51" s="75"/>
      <c r="O51" s="76"/>
      <c r="P51" s="45"/>
      <c r="Q51" s="23"/>
    </row>
    <row r="52" spans="2:17" s="40" customFormat="1" ht="24.95" customHeight="1">
      <c r="B52" s="46">
        <v>45</v>
      </c>
      <c r="C52" s="42" t="s">
        <v>130</v>
      </c>
      <c r="D52" s="42"/>
      <c r="E52" s="43" t="s">
        <v>137</v>
      </c>
      <c r="F52" s="43" t="s">
        <v>142</v>
      </c>
      <c r="G52" s="44" t="s">
        <v>24</v>
      </c>
      <c r="H52" s="70">
        <v>1</v>
      </c>
      <c r="I52" s="71">
        <f t="shared" si="0"/>
        <v>10</v>
      </c>
      <c r="J52" s="72" t="s">
        <v>16</v>
      </c>
      <c r="K52" s="73">
        <v>11500</v>
      </c>
      <c r="L52" s="73">
        <f t="shared" si="1"/>
        <v>115000</v>
      </c>
      <c r="M52" s="74" t="s">
        <v>370</v>
      </c>
      <c r="N52" s="75"/>
      <c r="O52" s="76"/>
      <c r="P52" s="45"/>
      <c r="Q52" s="23"/>
    </row>
    <row r="53" spans="2:17" s="40" customFormat="1" ht="24.95" customHeight="1">
      <c r="B53" s="46">
        <v>46</v>
      </c>
      <c r="C53" s="42" t="s">
        <v>130</v>
      </c>
      <c r="D53" s="42"/>
      <c r="E53" s="43" t="s">
        <v>139</v>
      </c>
      <c r="F53" s="43" t="s">
        <v>21</v>
      </c>
      <c r="G53" s="44" t="s">
        <v>24</v>
      </c>
      <c r="H53" s="70">
        <v>3</v>
      </c>
      <c r="I53" s="71">
        <f t="shared" si="0"/>
        <v>30</v>
      </c>
      <c r="J53" s="72" t="s">
        <v>16</v>
      </c>
      <c r="K53" s="73">
        <v>26460</v>
      </c>
      <c r="L53" s="73">
        <f t="shared" si="1"/>
        <v>793800</v>
      </c>
      <c r="M53" s="74" t="s">
        <v>370</v>
      </c>
      <c r="N53" s="75"/>
      <c r="O53" s="76"/>
      <c r="P53" s="45"/>
      <c r="Q53" s="23"/>
    </row>
    <row r="54" spans="2:17" s="40" customFormat="1" ht="24.95" customHeight="1">
      <c r="B54" s="46">
        <v>47</v>
      </c>
      <c r="C54" s="42" t="s">
        <v>130</v>
      </c>
      <c r="D54" s="42"/>
      <c r="E54" s="43" t="s">
        <v>141</v>
      </c>
      <c r="F54" s="43" t="s">
        <v>157</v>
      </c>
      <c r="G54" s="44" t="s">
        <v>24</v>
      </c>
      <c r="H54" s="70">
        <v>6</v>
      </c>
      <c r="I54" s="71">
        <f t="shared" si="0"/>
        <v>60</v>
      </c>
      <c r="J54" s="72" t="s">
        <v>16</v>
      </c>
      <c r="K54" s="73">
        <v>5040</v>
      </c>
      <c r="L54" s="73">
        <f t="shared" si="1"/>
        <v>302400</v>
      </c>
      <c r="M54" s="74" t="s">
        <v>370</v>
      </c>
      <c r="N54" s="75"/>
      <c r="O54" s="76"/>
      <c r="P54" s="45"/>
      <c r="Q54" s="23"/>
    </row>
    <row r="55" spans="2:17" s="40" customFormat="1" ht="24.95" customHeight="1">
      <c r="B55" s="46">
        <v>48</v>
      </c>
      <c r="C55" s="42" t="s">
        <v>130</v>
      </c>
      <c r="D55" s="42"/>
      <c r="E55" s="43" t="s">
        <v>143</v>
      </c>
      <c r="F55" s="43" t="s">
        <v>242</v>
      </c>
      <c r="G55" s="44" t="s">
        <v>24</v>
      </c>
      <c r="H55" s="70">
        <v>2</v>
      </c>
      <c r="I55" s="71">
        <f t="shared" si="0"/>
        <v>20</v>
      </c>
      <c r="J55" s="72" t="s">
        <v>16</v>
      </c>
      <c r="K55" s="73">
        <v>1280</v>
      </c>
      <c r="L55" s="73">
        <f t="shared" si="1"/>
        <v>25600</v>
      </c>
      <c r="M55" s="74" t="s">
        <v>370</v>
      </c>
      <c r="N55" s="75"/>
      <c r="O55" s="76"/>
      <c r="P55" s="45"/>
      <c r="Q55" s="23"/>
    </row>
    <row r="56" spans="2:17" s="40" customFormat="1" ht="24.95" customHeight="1">
      <c r="B56" s="46">
        <v>49</v>
      </c>
      <c r="C56" s="42" t="s">
        <v>130</v>
      </c>
      <c r="D56" s="42"/>
      <c r="E56" s="43" t="s">
        <v>131</v>
      </c>
      <c r="F56" s="43" t="s">
        <v>146</v>
      </c>
      <c r="G56" s="44" t="s">
        <v>24</v>
      </c>
      <c r="H56" s="70">
        <v>2</v>
      </c>
      <c r="I56" s="71">
        <f t="shared" si="0"/>
        <v>20</v>
      </c>
      <c r="J56" s="72" t="s">
        <v>16</v>
      </c>
      <c r="K56" s="73">
        <v>2410</v>
      </c>
      <c r="L56" s="73">
        <f t="shared" si="1"/>
        <v>48200</v>
      </c>
      <c r="M56" s="74" t="s">
        <v>370</v>
      </c>
      <c r="N56" s="75"/>
      <c r="O56" s="76"/>
      <c r="P56" s="45"/>
      <c r="Q56" s="23"/>
    </row>
    <row r="57" spans="2:17" s="40" customFormat="1" ht="24.95" customHeight="1">
      <c r="B57" s="46">
        <v>50</v>
      </c>
      <c r="C57" s="42" t="s">
        <v>130</v>
      </c>
      <c r="D57" s="42"/>
      <c r="E57" s="43" t="s">
        <v>139</v>
      </c>
      <c r="F57" s="43" t="s">
        <v>243</v>
      </c>
      <c r="G57" s="44" t="s">
        <v>24</v>
      </c>
      <c r="H57" s="70">
        <v>3</v>
      </c>
      <c r="I57" s="71">
        <f t="shared" si="0"/>
        <v>30</v>
      </c>
      <c r="J57" s="72" t="s">
        <v>16</v>
      </c>
      <c r="K57" s="73">
        <v>8900</v>
      </c>
      <c r="L57" s="73">
        <f t="shared" si="1"/>
        <v>267000</v>
      </c>
      <c r="M57" s="74" t="s">
        <v>370</v>
      </c>
      <c r="N57" s="75"/>
      <c r="O57" s="76"/>
      <c r="P57" s="45"/>
      <c r="Q57" s="23"/>
    </row>
    <row r="58" spans="2:17" s="40" customFormat="1" ht="24.95" customHeight="1">
      <c r="B58" s="46">
        <v>51</v>
      </c>
      <c r="C58" s="42" t="s">
        <v>130</v>
      </c>
      <c r="D58" s="42"/>
      <c r="E58" s="43" t="s">
        <v>144</v>
      </c>
      <c r="F58" s="43" t="s">
        <v>145</v>
      </c>
      <c r="G58" s="44" t="s">
        <v>24</v>
      </c>
      <c r="H58" s="70">
        <v>2</v>
      </c>
      <c r="I58" s="71">
        <f t="shared" si="0"/>
        <v>20</v>
      </c>
      <c r="J58" s="72" t="s">
        <v>16</v>
      </c>
      <c r="K58" s="73">
        <v>10030</v>
      </c>
      <c r="L58" s="73">
        <f t="shared" si="1"/>
        <v>200600</v>
      </c>
      <c r="M58" s="74" t="s">
        <v>370</v>
      </c>
      <c r="N58" s="75"/>
      <c r="O58" s="76"/>
      <c r="P58" s="45"/>
      <c r="Q58" s="23"/>
    </row>
    <row r="59" spans="2:17" s="40" customFormat="1" ht="24.95" customHeight="1">
      <c r="B59" s="46">
        <v>52</v>
      </c>
      <c r="C59" s="42" t="s">
        <v>130</v>
      </c>
      <c r="D59" s="42"/>
      <c r="E59" s="43" t="s">
        <v>141</v>
      </c>
      <c r="F59" s="43" t="s">
        <v>244</v>
      </c>
      <c r="G59" s="44" t="s">
        <v>24</v>
      </c>
      <c r="H59" s="70">
        <v>1</v>
      </c>
      <c r="I59" s="71">
        <f t="shared" si="0"/>
        <v>10</v>
      </c>
      <c r="J59" s="72" t="s">
        <v>16</v>
      </c>
      <c r="K59" s="73">
        <v>7520</v>
      </c>
      <c r="L59" s="73">
        <f t="shared" si="1"/>
        <v>75200</v>
      </c>
      <c r="M59" s="74" t="s">
        <v>370</v>
      </c>
      <c r="N59" s="75"/>
      <c r="O59" s="76"/>
      <c r="P59" s="45"/>
      <c r="Q59" s="23"/>
    </row>
    <row r="60" spans="2:17" s="40" customFormat="1" ht="24.95" customHeight="1">
      <c r="B60" s="46">
        <v>53</v>
      </c>
      <c r="C60" s="42" t="s">
        <v>130</v>
      </c>
      <c r="D60" s="42"/>
      <c r="E60" s="43" t="s">
        <v>131</v>
      </c>
      <c r="F60" s="43" t="s">
        <v>275</v>
      </c>
      <c r="G60" s="44" t="s">
        <v>24</v>
      </c>
      <c r="H60" s="70">
        <v>3</v>
      </c>
      <c r="I60" s="71">
        <f t="shared" si="0"/>
        <v>30</v>
      </c>
      <c r="J60" s="72" t="s">
        <v>16</v>
      </c>
      <c r="K60" s="73">
        <v>2410</v>
      </c>
      <c r="L60" s="73">
        <f t="shared" si="1"/>
        <v>72300</v>
      </c>
      <c r="M60" s="74" t="s">
        <v>370</v>
      </c>
      <c r="N60" s="75"/>
      <c r="O60" s="76"/>
      <c r="P60" s="45"/>
      <c r="Q60" s="23"/>
    </row>
    <row r="61" spans="2:17" s="40" customFormat="1" ht="24.95" customHeight="1">
      <c r="B61" s="46">
        <v>54</v>
      </c>
      <c r="C61" s="42" t="s">
        <v>130</v>
      </c>
      <c r="D61" s="42"/>
      <c r="E61" s="43" t="s">
        <v>131</v>
      </c>
      <c r="F61" s="43" t="s">
        <v>269</v>
      </c>
      <c r="G61" s="44" t="s">
        <v>24</v>
      </c>
      <c r="H61" s="70">
        <v>2</v>
      </c>
      <c r="I61" s="71">
        <f t="shared" si="0"/>
        <v>20</v>
      </c>
      <c r="J61" s="72" t="s">
        <v>16</v>
      </c>
      <c r="K61" s="73">
        <v>1420</v>
      </c>
      <c r="L61" s="73">
        <f t="shared" si="1"/>
        <v>28400</v>
      </c>
      <c r="M61" s="74" t="s">
        <v>370</v>
      </c>
      <c r="N61" s="75"/>
      <c r="O61" s="76"/>
      <c r="P61" s="45"/>
      <c r="Q61" s="23"/>
    </row>
    <row r="62" spans="2:17" s="40" customFormat="1" ht="24.95" customHeight="1">
      <c r="B62" s="46">
        <v>55</v>
      </c>
      <c r="C62" s="42" t="s">
        <v>130</v>
      </c>
      <c r="D62" s="42"/>
      <c r="E62" s="43" t="s">
        <v>131</v>
      </c>
      <c r="F62" s="43" t="s">
        <v>245</v>
      </c>
      <c r="G62" s="44" t="s">
        <v>24</v>
      </c>
      <c r="H62" s="70">
        <v>2</v>
      </c>
      <c r="I62" s="71">
        <f t="shared" si="0"/>
        <v>20</v>
      </c>
      <c r="J62" s="72" t="s">
        <v>16</v>
      </c>
      <c r="K62" s="73">
        <v>1880</v>
      </c>
      <c r="L62" s="73">
        <f t="shared" si="1"/>
        <v>37600</v>
      </c>
      <c r="M62" s="74" t="s">
        <v>370</v>
      </c>
      <c r="N62" s="75"/>
      <c r="O62" s="76"/>
      <c r="P62" s="45"/>
      <c r="Q62" s="23"/>
    </row>
    <row r="63" spans="2:17" s="40" customFormat="1" ht="24.95" customHeight="1">
      <c r="B63" s="46">
        <v>56</v>
      </c>
      <c r="C63" s="42" t="s">
        <v>130</v>
      </c>
      <c r="D63" s="42"/>
      <c r="E63" s="43" t="s">
        <v>149</v>
      </c>
      <c r="F63" s="43" t="s">
        <v>158</v>
      </c>
      <c r="G63" s="44" t="s">
        <v>24</v>
      </c>
      <c r="H63" s="70">
        <v>1</v>
      </c>
      <c r="I63" s="71">
        <f t="shared" si="0"/>
        <v>10</v>
      </c>
      <c r="J63" s="72" t="s">
        <v>16</v>
      </c>
      <c r="K63" s="73">
        <v>8000</v>
      </c>
      <c r="L63" s="73">
        <f t="shared" si="1"/>
        <v>80000</v>
      </c>
      <c r="M63" s="74" t="s">
        <v>370</v>
      </c>
      <c r="N63" s="75"/>
      <c r="O63" s="76"/>
      <c r="P63" s="45"/>
      <c r="Q63" s="23"/>
    </row>
    <row r="64" spans="2:17" s="40" customFormat="1" ht="24.95" customHeight="1">
      <c r="B64" s="46">
        <v>57</v>
      </c>
      <c r="C64" s="42" t="s">
        <v>130</v>
      </c>
      <c r="D64" s="42"/>
      <c r="E64" s="43" t="s">
        <v>131</v>
      </c>
      <c r="F64" s="43" t="s">
        <v>269</v>
      </c>
      <c r="G64" s="44" t="s">
        <v>24</v>
      </c>
      <c r="H64" s="70">
        <v>1</v>
      </c>
      <c r="I64" s="71">
        <f t="shared" si="0"/>
        <v>10</v>
      </c>
      <c r="J64" s="72" t="s">
        <v>16</v>
      </c>
      <c r="K64" s="73">
        <v>1420</v>
      </c>
      <c r="L64" s="73">
        <f t="shared" si="1"/>
        <v>14200</v>
      </c>
      <c r="M64" s="74" t="s">
        <v>370</v>
      </c>
      <c r="N64" s="75"/>
      <c r="O64" s="76"/>
      <c r="P64" s="45"/>
      <c r="Q64" s="23"/>
    </row>
    <row r="65" spans="2:17" s="40" customFormat="1" ht="24.95" customHeight="1">
      <c r="B65" s="46">
        <v>58</v>
      </c>
      <c r="C65" s="42" t="s">
        <v>130</v>
      </c>
      <c r="D65" s="42"/>
      <c r="E65" s="43" t="s">
        <v>144</v>
      </c>
      <c r="F65" s="43" t="s">
        <v>286</v>
      </c>
      <c r="G65" s="44" t="s">
        <v>24</v>
      </c>
      <c r="H65" s="70">
        <v>2</v>
      </c>
      <c r="I65" s="71">
        <f t="shared" si="0"/>
        <v>20</v>
      </c>
      <c r="J65" s="72" t="s">
        <v>16</v>
      </c>
      <c r="K65" s="73">
        <v>10030</v>
      </c>
      <c r="L65" s="73">
        <f t="shared" si="1"/>
        <v>200600</v>
      </c>
      <c r="M65" s="74" t="s">
        <v>370</v>
      </c>
      <c r="N65" s="75"/>
      <c r="O65" s="76"/>
      <c r="P65" s="45"/>
      <c r="Q65" s="23"/>
    </row>
    <row r="66" spans="2:17" s="40" customFormat="1" ht="24.95" customHeight="1">
      <c r="B66" s="46">
        <v>59</v>
      </c>
      <c r="C66" s="42" t="s">
        <v>130</v>
      </c>
      <c r="D66" s="42"/>
      <c r="E66" s="43" t="s">
        <v>131</v>
      </c>
      <c r="F66" s="43" t="s">
        <v>150</v>
      </c>
      <c r="G66" s="44" t="s">
        <v>24</v>
      </c>
      <c r="H66" s="70">
        <v>1</v>
      </c>
      <c r="I66" s="71">
        <f t="shared" si="0"/>
        <v>10</v>
      </c>
      <c r="J66" s="72" t="s">
        <v>16</v>
      </c>
      <c r="K66" s="73">
        <v>3020</v>
      </c>
      <c r="L66" s="73">
        <f t="shared" si="1"/>
        <v>30200</v>
      </c>
      <c r="M66" s="74" t="s">
        <v>370</v>
      </c>
      <c r="N66" s="75"/>
      <c r="O66" s="76"/>
      <c r="P66" s="45"/>
      <c r="Q66" s="23"/>
    </row>
    <row r="67" spans="2:17" s="40" customFormat="1" ht="24.95" customHeight="1">
      <c r="B67" s="46">
        <v>60</v>
      </c>
      <c r="C67" s="42" t="s">
        <v>130</v>
      </c>
      <c r="D67" s="42"/>
      <c r="E67" s="43" t="s">
        <v>132</v>
      </c>
      <c r="F67" s="43" t="s">
        <v>283</v>
      </c>
      <c r="G67" s="44" t="s">
        <v>24</v>
      </c>
      <c r="H67" s="70">
        <v>1</v>
      </c>
      <c r="I67" s="71">
        <f t="shared" ref="I67:I127" si="2">H67*$H$5</f>
        <v>10</v>
      </c>
      <c r="J67" s="72" t="s">
        <v>16</v>
      </c>
      <c r="K67" s="73">
        <v>15710</v>
      </c>
      <c r="L67" s="73">
        <f t="shared" si="1"/>
        <v>157100</v>
      </c>
      <c r="M67" s="74" t="s">
        <v>370</v>
      </c>
      <c r="N67" s="75"/>
      <c r="O67" s="76"/>
      <c r="P67" s="45"/>
      <c r="Q67" s="23"/>
    </row>
    <row r="68" spans="2:17" s="40" customFormat="1" ht="24.95" customHeight="1">
      <c r="B68" s="46">
        <v>61</v>
      </c>
      <c r="C68" s="47" t="s">
        <v>130</v>
      </c>
      <c r="D68" s="47"/>
      <c r="E68" s="48" t="s">
        <v>152</v>
      </c>
      <c r="F68" s="48" t="s">
        <v>285</v>
      </c>
      <c r="G68" s="49" t="s">
        <v>24</v>
      </c>
      <c r="H68" s="70">
        <v>1</v>
      </c>
      <c r="I68" s="71">
        <f t="shared" si="2"/>
        <v>10</v>
      </c>
      <c r="J68" s="72" t="s">
        <v>16</v>
      </c>
      <c r="K68" s="73">
        <v>3140</v>
      </c>
      <c r="L68" s="73">
        <f t="shared" si="1"/>
        <v>31400</v>
      </c>
      <c r="M68" s="74" t="s">
        <v>370</v>
      </c>
      <c r="N68" s="75"/>
      <c r="O68" s="76"/>
      <c r="P68" s="50"/>
      <c r="Q68" s="23"/>
    </row>
    <row r="69" spans="2:17" s="40" customFormat="1" ht="24.95" customHeight="1">
      <c r="B69" s="46">
        <v>62</v>
      </c>
      <c r="C69" s="42" t="s">
        <v>130</v>
      </c>
      <c r="D69" s="42"/>
      <c r="E69" s="43" t="s">
        <v>133</v>
      </c>
      <c r="F69" s="43" t="s">
        <v>267</v>
      </c>
      <c r="G69" s="44" t="s">
        <v>24</v>
      </c>
      <c r="H69" s="70">
        <v>1</v>
      </c>
      <c r="I69" s="71">
        <f t="shared" si="2"/>
        <v>10</v>
      </c>
      <c r="J69" s="72" t="s">
        <v>16</v>
      </c>
      <c r="K69" s="73">
        <v>32400</v>
      </c>
      <c r="L69" s="73">
        <f t="shared" si="1"/>
        <v>324000</v>
      </c>
      <c r="M69" s="74" t="s">
        <v>370</v>
      </c>
      <c r="N69" s="75"/>
      <c r="O69" s="76"/>
      <c r="P69" s="45"/>
      <c r="Q69" s="23"/>
    </row>
    <row r="70" spans="2:17" s="40" customFormat="1" ht="24.95" customHeight="1">
      <c r="B70" s="46">
        <v>63</v>
      </c>
      <c r="C70" s="42" t="s">
        <v>130</v>
      </c>
      <c r="D70" s="42"/>
      <c r="E70" s="43" t="s">
        <v>131</v>
      </c>
      <c r="F70" s="43" t="s">
        <v>390</v>
      </c>
      <c r="G70" s="44" t="s">
        <v>24</v>
      </c>
      <c r="H70" s="70">
        <v>1</v>
      </c>
      <c r="I70" s="71">
        <f t="shared" si="2"/>
        <v>10</v>
      </c>
      <c r="J70" s="72" t="s">
        <v>16</v>
      </c>
      <c r="K70" s="73">
        <v>10330</v>
      </c>
      <c r="L70" s="73">
        <f t="shared" si="1"/>
        <v>103300</v>
      </c>
      <c r="M70" s="74" t="s">
        <v>370</v>
      </c>
      <c r="N70" s="75"/>
      <c r="O70" s="76"/>
      <c r="P70" s="45"/>
      <c r="Q70" s="23"/>
    </row>
    <row r="71" spans="2:17" s="40" customFormat="1" ht="24.95" customHeight="1">
      <c r="B71" s="46">
        <v>64</v>
      </c>
      <c r="C71" s="47" t="s">
        <v>130</v>
      </c>
      <c r="D71" s="47"/>
      <c r="E71" s="48" t="s">
        <v>136</v>
      </c>
      <c r="F71" s="48" t="s">
        <v>263</v>
      </c>
      <c r="G71" s="49" t="s">
        <v>24</v>
      </c>
      <c r="H71" s="70">
        <v>1</v>
      </c>
      <c r="I71" s="71">
        <f t="shared" si="2"/>
        <v>10</v>
      </c>
      <c r="J71" s="72" t="s">
        <v>16</v>
      </c>
      <c r="K71" s="73">
        <v>5160</v>
      </c>
      <c r="L71" s="73">
        <f t="shared" si="1"/>
        <v>51600</v>
      </c>
      <c r="M71" s="74" t="s">
        <v>370</v>
      </c>
      <c r="N71" s="75"/>
      <c r="O71" s="76"/>
      <c r="P71" s="45"/>
      <c r="Q71" s="23"/>
    </row>
    <row r="72" spans="2:17" s="40" customFormat="1" ht="24.95" customHeight="1">
      <c r="B72" s="46">
        <v>65</v>
      </c>
      <c r="C72" s="42" t="s">
        <v>130</v>
      </c>
      <c r="D72" s="42"/>
      <c r="E72" s="43" t="s">
        <v>135</v>
      </c>
      <c r="F72" s="43" t="s">
        <v>159</v>
      </c>
      <c r="G72" s="51" t="s">
        <v>24</v>
      </c>
      <c r="H72" s="70">
        <v>1</v>
      </c>
      <c r="I72" s="71">
        <f t="shared" si="2"/>
        <v>10</v>
      </c>
      <c r="J72" s="72" t="s">
        <v>16</v>
      </c>
      <c r="K72" s="73">
        <v>730</v>
      </c>
      <c r="L72" s="73">
        <f t="shared" ref="L72:L132" si="3">I72*K72</f>
        <v>7300</v>
      </c>
      <c r="M72" s="74" t="s">
        <v>370</v>
      </c>
      <c r="N72" s="75"/>
      <c r="O72" s="76"/>
      <c r="P72" s="45"/>
      <c r="Q72" s="23"/>
    </row>
    <row r="73" spans="2:17" s="40" customFormat="1" ht="24.95" customHeight="1">
      <c r="B73" s="46">
        <v>66</v>
      </c>
      <c r="C73" s="42" t="s">
        <v>130</v>
      </c>
      <c r="D73" s="42"/>
      <c r="E73" s="43" t="s">
        <v>139</v>
      </c>
      <c r="F73" s="43" t="s">
        <v>160</v>
      </c>
      <c r="G73" s="51" t="s">
        <v>24</v>
      </c>
      <c r="H73" s="70">
        <v>1</v>
      </c>
      <c r="I73" s="71">
        <f t="shared" si="2"/>
        <v>10</v>
      </c>
      <c r="J73" s="72" t="s">
        <v>16</v>
      </c>
      <c r="K73" s="73">
        <v>8900</v>
      </c>
      <c r="L73" s="73">
        <f t="shared" si="3"/>
        <v>89000</v>
      </c>
      <c r="M73" s="74" t="s">
        <v>370</v>
      </c>
      <c r="N73" s="75"/>
      <c r="O73" s="76"/>
      <c r="P73" s="45"/>
      <c r="Q73" s="23"/>
    </row>
    <row r="74" spans="2:17" s="40" customFormat="1" ht="24.95" customHeight="1">
      <c r="B74" s="46">
        <v>68</v>
      </c>
      <c r="C74" s="42" t="s">
        <v>130</v>
      </c>
      <c r="D74" s="42"/>
      <c r="E74" s="43" t="s">
        <v>131</v>
      </c>
      <c r="F74" s="43" t="s">
        <v>389</v>
      </c>
      <c r="G74" s="51" t="s">
        <v>24</v>
      </c>
      <c r="H74" s="70">
        <v>1</v>
      </c>
      <c r="I74" s="71">
        <f t="shared" si="2"/>
        <v>10</v>
      </c>
      <c r="J74" s="72" t="s">
        <v>16</v>
      </c>
      <c r="K74" s="73">
        <v>2160</v>
      </c>
      <c r="L74" s="73">
        <f t="shared" si="3"/>
        <v>21600</v>
      </c>
      <c r="M74" s="74" t="s">
        <v>370</v>
      </c>
      <c r="N74" s="75"/>
      <c r="O74" s="76"/>
      <c r="P74" s="45"/>
      <c r="Q74" s="23"/>
    </row>
    <row r="75" spans="2:17" s="40" customFormat="1" ht="24.95" customHeight="1">
      <c r="B75" s="46">
        <v>69</v>
      </c>
      <c r="C75" s="38" t="s">
        <v>130</v>
      </c>
      <c r="D75" s="38"/>
      <c r="E75" s="39" t="s">
        <v>131</v>
      </c>
      <c r="F75" s="39" t="s">
        <v>272</v>
      </c>
      <c r="G75" s="68" t="s">
        <v>24</v>
      </c>
      <c r="H75" s="70">
        <v>1</v>
      </c>
      <c r="I75" s="71">
        <f t="shared" si="2"/>
        <v>10</v>
      </c>
      <c r="J75" s="72" t="s">
        <v>16</v>
      </c>
      <c r="K75" s="73">
        <v>1960</v>
      </c>
      <c r="L75" s="73">
        <f t="shared" si="3"/>
        <v>19600</v>
      </c>
      <c r="M75" s="74" t="s">
        <v>370</v>
      </c>
      <c r="N75" s="75"/>
      <c r="O75" s="76"/>
      <c r="P75" s="45"/>
      <c r="Q75" s="23"/>
    </row>
    <row r="76" spans="2:17" s="40" customFormat="1" ht="24.95" customHeight="1">
      <c r="B76" s="46">
        <v>70</v>
      </c>
      <c r="C76" s="38" t="s">
        <v>130</v>
      </c>
      <c r="D76" s="38"/>
      <c r="E76" s="39" t="s">
        <v>131</v>
      </c>
      <c r="F76" s="39" t="s">
        <v>246</v>
      </c>
      <c r="G76" s="69" t="s">
        <v>24</v>
      </c>
      <c r="H76" s="70">
        <v>1</v>
      </c>
      <c r="I76" s="71">
        <f t="shared" si="2"/>
        <v>10</v>
      </c>
      <c r="J76" s="72" t="s">
        <v>16</v>
      </c>
      <c r="K76" s="73">
        <v>2270</v>
      </c>
      <c r="L76" s="73">
        <f t="shared" si="3"/>
        <v>22700</v>
      </c>
      <c r="M76" s="74" t="s">
        <v>370</v>
      </c>
      <c r="N76" s="75"/>
      <c r="O76" s="76"/>
      <c r="P76" s="45"/>
      <c r="Q76" s="23"/>
    </row>
    <row r="77" spans="2:17" s="40" customFormat="1" ht="24.95" customHeight="1">
      <c r="B77" s="46">
        <v>71</v>
      </c>
      <c r="C77" s="42" t="s">
        <v>130</v>
      </c>
      <c r="D77" s="42"/>
      <c r="E77" s="43" t="s">
        <v>131</v>
      </c>
      <c r="F77" s="43" t="s">
        <v>150</v>
      </c>
      <c r="G77" s="44" t="s">
        <v>24</v>
      </c>
      <c r="H77" s="70">
        <v>1</v>
      </c>
      <c r="I77" s="71">
        <f t="shared" si="2"/>
        <v>10</v>
      </c>
      <c r="J77" s="72" t="s">
        <v>16</v>
      </c>
      <c r="K77" s="73">
        <v>3020</v>
      </c>
      <c r="L77" s="73">
        <f t="shared" si="3"/>
        <v>30200</v>
      </c>
      <c r="M77" s="74" t="s">
        <v>370</v>
      </c>
      <c r="N77" s="75"/>
      <c r="O77" s="76"/>
      <c r="P77" s="45"/>
      <c r="Q77" s="23"/>
    </row>
    <row r="78" spans="2:17" s="40" customFormat="1" ht="24.95" customHeight="1">
      <c r="B78" s="46">
        <v>72</v>
      </c>
      <c r="C78" s="42" t="s">
        <v>130</v>
      </c>
      <c r="D78" s="42"/>
      <c r="E78" s="43" t="s">
        <v>132</v>
      </c>
      <c r="F78" s="43" t="s">
        <v>151</v>
      </c>
      <c r="G78" s="44" t="s">
        <v>24</v>
      </c>
      <c r="H78" s="70">
        <v>1</v>
      </c>
      <c r="I78" s="71">
        <f t="shared" si="2"/>
        <v>10</v>
      </c>
      <c r="J78" s="72" t="s">
        <v>16</v>
      </c>
      <c r="K78" s="73">
        <v>15710</v>
      </c>
      <c r="L78" s="73">
        <f t="shared" si="3"/>
        <v>157100</v>
      </c>
      <c r="M78" s="74" t="s">
        <v>370</v>
      </c>
      <c r="N78" s="75"/>
      <c r="O78" s="76"/>
      <c r="P78" s="45"/>
      <c r="Q78" s="23"/>
    </row>
    <row r="79" spans="2:17" s="40" customFormat="1" ht="24.95" customHeight="1">
      <c r="B79" s="46">
        <v>73</v>
      </c>
      <c r="C79" s="42" t="s">
        <v>130</v>
      </c>
      <c r="D79" s="42"/>
      <c r="E79" s="43" t="s">
        <v>152</v>
      </c>
      <c r="F79" s="43" t="s">
        <v>153</v>
      </c>
      <c r="G79" s="44" t="s">
        <v>24</v>
      </c>
      <c r="H79" s="70">
        <v>1</v>
      </c>
      <c r="I79" s="71">
        <f t="shared" si="2"/>
        <v>10</v>
      </c>
      <c r="J79" s="72" t="s">
        <v>16</v>
      </c>
      <c r="K79" s="73">
        <v>3140</v>
      </c>
      <c r="L79" s="73">
        <f t="shared" si="3"/>
        <v>31400</v>
      </c>
      <c r="M79" s="74" t="s">
        <v>370</v>
      </c>
      <c r="N79" s="75"/>
      <c r="O79" s="76"/>
      <c r="P79" s="45"/>
      <c r="Q79" s="23"/>
    </row>
    <row r="80" spans="2:17" s="40" customFormat="1" ht="24.95" customHeight="1">
      <c r="B80" s="46">
        <v>74</v>
      </c>
      <c r="C80" s="42" t="s">
        <v>130</v>
      </c>
      <c r="D80" s="42"/>
      <c r="E80" s="43" t="s">
        <v>133</v>
      </c>
      <c r="F80" s="43" t="s">
        <v>154</v>
      </c>
      <c r="G80" s="44" t="s">
        <v>24</v>
      </c>
      <c r="H80" s="70">
        <v>1</v>
      </c>
      <c r="I80" s="71">
        <f t="shared" si="2"/>
        <v>10</v>
      </c>
      <c r="J80" s="72" t="s">
        <v>16</v>
      </c>
      <c r="K80" s="73">
        <v>32400</v>
      </c>
      <c r="L80" s="73">
        <f t="shared" si="3"/>
        <v>324000</v>
      </c>
      <c r="M80" s="74" t="s">
        <v>370</v>
      </c>
      <c r="N80" s="75"/>
      <c r="O80" s="76"/>
      <c r="P80" s="45"/>
      <c r="Q80" s="23"/>
    </row>
    <row r="81" spans="2:17" s="40" customFormat="1" ht="24.95" customHeight="1">
      <c r="B81" s="46">
        <v>75</v>
      </c>
      <c r="C81" s="42" t="s">
        <v>130</v>
      </c>
      <c r="D81" s="42"/>
      <c r="E81" s="43" t="s">
        <v>131</v>
      </c>
      <c r="F81" s="43" t="s">
        <v>161</v>
      </c>
      <c r="G81" s="44" t="s">
        <v>24</v>
      </c>
      <c r="H81" s="70">
        <v>1</v>
      </c>
      <c r="I81" s="71">
        <f t="shared" si="2"/>
        <v>10</v>
      </c>
      <c r="J81" s="72" t="s">
        <v>16</v>
      </c>
      <c r="K81" s="73">
        <v>2460</v>
      </c>
      <c r="L81" s="73">
        <f t="shared" si="3"/>
        <v>24600</v>
      </c>
      <c r="M81" s="74" t="s">
        <v>370</v>
      </c>
      <c r="N81" s="75"/>
      <c r="O81" s="76"/>
      <c r="P81" s="45"/>
      <c r="Q81" s="23"/>
    </row>
    <row r="82" spans="2:17" s="40" customFormat="1" ht="24.95" customHeight="1">
      <c r="B82" s="46">
        <v>76</v>
      </c>
      <c r="C82" s="42" t="s">
        <v>130</v>
      </c>
      <c r="D82" s="42"/>
      <c r="E82" s="43" t="s">
        <v>136</v>
      </c>
      <c r="F82" s="43" t="s">
        <v>155</v>
      </c>
      <c r="G82" s="44" t="s">
        <v>24</v>
      </c>
      <c r="H82" s="70">
        <v>1</v>
      </c>
      <c r="I82" s="71">
        <f t="shared" si="2"/>
        <v>10</v>
      </c>
      <c r="J82" s="72" t="s">
        <v>16</v>
      </c>
      <c r="K82" s="73">
        <v>5160</v>
      </c>
      <c r="L82" s="73">
        <f t="shared" si="3"/>
        <v>51600</v>
      </c>
      <c r="M82" s="74" t="s">
        <v>370</v>
      </c>
      <c r="N82" s="75"/>
      <c r="O82" s="76"/>
      <c r="P82" s="45"/>
      <c r="Q82" s="23"/>
    </row>
    <row r="83" spans="2:17" s="40" customFormat="1" ht="24.95" customHeight="1">
      <c r="B83" s="46">
        <v>77</v>
      </c>
      <c r="C83" s="42" t="s">
        <v>130</v>
      </c>
      <c r="D83" s="42"/>
      <c r="E83" s="43" t="s">
        <v>135</v>
      </c>
      <c r="F83" s="43" t="s">
        <v>274</v>
      </c>
      <c r="G83" s="44" t="s">
        <v>24</v>
      </c>
      <c r="H83" s="70">
        <v>1</v>
      </c>
      <c r="I83" s="71">
        <f t="shared" si="2"/>
        <v>10</v>
      </c>
      <c r="J83" s="72" t="s">
        <v>16</v>
      </c>
      <c r="K83" s="73">
        <v>730</v>
      </c>
      <c r="L83" s="73">
        <f t="shared" si="3"/>
        <v>7300</v>
      </c>
      <c r="M83" s="74" t="s">
        <v>370</v>
      </c>
      <c r="N83" s="75"/>
      <c r="O83" s="76"/>
      <c r="P83" s="45"/>
      <c r="Q83" s="23"/>
    </row>
    <row r="84" spans="2:17" s="40" customFormat="1" ht="24.95" customHeight="1">
      <c r="B84" s="46">
        <v>78</v>
      </c>
      <c r="C84" s="42" t="s">
        <v>130</v>
      </c>
      <c r="D84" s="42"/>
      <c r="E84" s="43" t="s">
        <v>139</v>
      </c>
      <c r="F84" s="43" t="s">
        <v>284</v>
      </c>
      <c r="G84" s="44" t="s">
        <v>24</v>
      </c>
      <c r="H84" s="70">
        <v>1</v>
      </c>
      <c r="I84" s="71">
        <f t="shared" si="2"/>
        <v>10</v>
      </c>
      <c r="J84" s="72" t="s">
        <v>16</v>
      </c>
      <c r="K84" s="73">
        <v>8900</v>
      </c>
      <c r="L84" s="73">
        <f t="shared" si="3"/>
        <v>89000</v>
      </c>
      <c r="M84" s="74" t="s">
        <v>394</v>
      </c>
      <c r="N84" s="75"/>
      <c r="O84" s="76"/>
      <c r="P84" s="45"/>
      <c r="Q84" s="23"/>
    </row>
    <row r="85" spans="2:17" s="40" customFormat="1" ht="24.95" customHeight="1">
      <c r="B85" s="46">
        <v>79</v>
      </c>
      <c r="C85" s="42" t="s">
        <v>130</v>
      </c>
      <c r="D85" s="42"/>
      <c r="E85" s="43" t="s">
        <v>131</v>
      </c>
      <c r="F85" s="43" t="s">
        <v>272</v>
      </c>
      <c r="G85" s="44" t="s">
        <v>24</v>
      </c>
      <c r="H85" s="70">
        <v>1</v>
      </c>
      <c r="I85" s="71">
        <f t="shared" si="2"/>
        <v>10</v>
      </c>
      <c r="J85" s="72" t="s">
        <v>16</v>
      </c>
      <c r="K85" s="73">
        <v>1960</v>
      </c>
      <c r="L85" s="73">
        <f t="shared" si="3"/>
        <v>19600</v>
      </c>
      <c r="M85" s="74" t="s">
        <v>370</v>
      </c>
      <c r="N85" s="75"/>
      <c r="O85" s="76"/>
      <c r="P85" s="45"/>
      <c r="Q85" s="23"/>
    </row>
    <row r="86" spans="2:17" s="40" customFormat="1" ht="24.95" customHeight="1">
      <c r="B86" s="46">
        <v>80</v>
      </c>
      <c r="C86" s="42" t="s">
        <v>130</v>
      </c>
      <c r="D86" s="42"/>
      <c r="E86" s="43" t="s">
        <v>131</v>
      </c>
      <c r="F86" s="43" t="s">
        <v>150</v>
      </c>
      <c r="G86" s="44" t="s">
        <v>24</v>
      </c>
      <c r="H86" s="70">
        <v>1</v>
      </c>
      <c r="I86" s="71">
        <f t="shared" si="2"/>
        <v>10</v>
      </c>
      <c r="J86" s="72" t="s">
        <v>16</v>
      </c>
      <c r="K86" s="73">
        <v>3020</v>
      </c>
      <c r="L86" s="73">
        <f t="shared" si="3"/>
        <v>30200</v>
      </c>
      <c r="M86" s="74" t="s">
        <v>370</v>
      </c>
      <c r="N86" s="75"/>
      <c r="O86" s="76"/>
      <c r="P86" s="45"/>
      <c r="Q86" s="23"/>
    </row>
    <row r="87" spans="2:17" s="40" customFormat="1" ht="24.95" customHeight="1">
      <c r="B87" s="46">
        <v>81</v>
      </c>
      <c r="C87" s="42" t="s">
        <v>130</v>
      </c>
      <c r="D87" s="42"/>
      <c r="E87" s="43" t="s">
        <v>132</v>
      </c>
      <c r="F87" s="43" t="s">
        <v>151</v>
      </c>
      <c r="G87" s="44" t="s">
        <v>24</v>
      </c>
      <c r="H87" s="70">
        <v>1</v>
      </c>
      <c r="I87" s="71">
        <f t="shared" si="2"/>
        <v>10</v>
      </c>
      <c r="J87" s="72" t="s">
        <v>16</v>
      </c>
      <c r="K87" s="73">
        <v>15710</v>
      </c>
      <c r="L87" s="73">
        <f t="shared" si="3"/>
        <v>157100</v>
      </c>
      <c r="M87" s="74" t="s">
        <v>370</v>
      </c>
      <c r="N87" s="75"/>
      <c r="O87" s="76"/>
      <c r="P87" s="45"/>
      <c r="Q87" s="23"/>
    </row>
    <row r="88" spans="2:17" s="40" customFormat="1" ht="24.95" customHeight="1">
      <c r="B88" s="46">
        <v>82</v>
      </c>
      <c r="C88" s="42" t="s">
        <v>130</v>
      </c>
      <c r="D88" s="42"/>
      <c r="E88" s="43" t="s">
        <v>152</v>
      </c>
      <c r="F88" s="43" t="s">
        <v>153</v>
      </c>
      <c r="G88" s="44" t="s">
        <v>24</v>
      </c>
      <c r="H88" s="70">
        <v>1</v>
      </c>
      <c r="I88" s="71">
        <f t="shared" si="2"/>
        <v>10</v>
      </c>
      <c r="J88" s="72" t="s">
        <v>16</v>
      </c>
      <c r="K88" s="73">
        <v>3140</v>
      </c>
      <c r="L88" s="73">
        <f t="shared" si="3"/>
        <v>31400</v>
      </c>
      <c r="M88" s="74" t="s">
        <v>370</v>
      </c>
      <c r="N88" s="75"/>
      <c r="O88" s="76"/>
      <c r="P88" s="45"/>
      <c r="Q88" s="23"/>
    </row>
    <row r="89" spans="2:17" s="40" customFormat="1" ht="24.95" customHeight="1">
      <c r="B89" s="46">
        <v>83</v>
      </c>
      <c r="C89" s="42" t="s">
        <v>130</v>
      </c>
      <c r="D89" s="42"/>
      <c r="E89" s="43" t="s">
        <v>133</v>
      </c>
      <c r="F89" s="43" t="s">
        <v>267</v>
      </c>
      <c r="G89" s="44" t="s">
        <v>24</v>
      </c>
      <c r="H89" s="70">
        <v>1</v>
      </c>
      <c r="I89" s="71">
        <f t="shared" si="2"/>
        <v>10</v>
      </c>
      <c r="J89" s="72" t="s">
        <v>16</v>
      </c>
      <c r="K89" s="73">
        <v>32400</v>
      </c>
      <c r="L89" s="73">
        <f t="shared" si="3"/>
        <v>324000</v>
      </c>
      <c r="M89" s="74" t="s">
        <v>370</v>
      </c>
      <c r="N89" s="75"/>
      <c r="O89" s="76"/>
      <c r="P89" s="45"/>
      <c r="Q89" s="23"/>
    </row>
    <row r="90" spans="2:17" s="40" customFormat="1" ht="24.95" customHeight="1">
      <c r="B90" s="46">
        <v>84</v>
      </c>
      <c r="C90" s="42" t="s">
        <v>130</v>
      </c>
      <c r="D90" s="42"/>
      <c r="E90" s="43" t="s">
        <v>131</v>
      </c>
      <c r="F90" s="43" t="s">
        <v>273</v>
      </c>
      <c r="G90" s="44" t="s">
        <v>24</v>
      </c>
      <c r="H90" s="70">
        <v>1</v>
      </c>
      <c r="I90" s="71">
        <f t="shared" si="2"/>
        <v>10</v>
      </c>
      <c r="J90" s="72" t="s">
        <v>16</v>
      </c>
      <c r="K90" s="73">
        <v>2460</v>
      </c>
      <c r="L90" s="73">
        <f t="shared" si="3"/>
        <v>24600</v>
      </c>
      <c r="M90" s="74" t="s">
        <v>370</v>
      </c>
      <c r="N90" s="75"/>
      <c r="O90" s="76"/>
      <c r="P90" s="45"/>
      <c r="Q90" s="23"/>
    </row>
    <row r="91" spans="2:17" s="40" customFormat="1" ht="24.95" customHeight="1">
      <c r="B91" s="46">
        <v>85</v>
      </c>
      <c r="C91" s="42" t="s">
        <v>130</v>
      </c>
      <c r="D91" s="42"/>
      <c r="E91" s="43" t="s">
        <v>136</v>
      </c>
      <c r="F91" s="43" t="s">
        <v>155</v>
      </c>
      <c r="G91" s="44" t="s">
        <v>24</v>
      </c>
      <c r="H91" s="70">
        <v>1</v>
      </c>
      <c r="I91" s="71">
        <f t="shared" si="2"/>
        <v>10</v>
      </c>
      <c r="J91" s="72" t="s">
        <v>16</v>
      </c>
      <c r="K91" s="73">
        <v>5160</v>
      </c>
      <c r="L91" s="73">
        <f t="shared" si="3"/>
        <v>51600</v>
      </c>
      <c r="M91" s="74" t="s">
        <v>370</v>
      </c>
      <c r="N91" s="75"/>
      <c r="O91" s="76"/>
      <c r="P91" s="45"/>
      <c r="Q91" s="23"/>
    </row>
    <row r="92" spans="2:17" s="40" customFormat="1" ht="24.95" customHeight="1">
      <c r="B92" s="46">
        <v>86</v>
      </c>
      <c r="C92" s="42" t="s">
        <v>130</v>
      </c>
      <c r="D92" s="42"/>
      <c r="E92" s="43" t="s">
        <v>135</v>
      </c>
      <c r="F92" s="43" t="s">
        <v>159</v>
      </c>
      <c r="G92" s="44" t="s">
        <v>24</v>
      </c>
      <c r="H92" s="70">
        <v>1</v>
      </c>
      <c r="I92" s="71">
        <f t="shared" si="2"/>
        <v>10</v>
      </c>
      <c r="J92" s="72" t="s">
        <v>16</v>
      </c>
      <c r="K92" s="73">
        <v>730</v>
      </c>
      <c r="L92" s="73">
        <f t="shared" si="3"/>
        <v>7300</v>
      </c>
      <c r="M92" s="74" t="s">
        <v>370</v>
      </c>
      <c r="N92" s="75"/>
      <c r="O92" s="76"/>
      <c r="P92" s="45"/>
      <c r="Q92" s="23"/>
    </row>
    <row r="93" spans="2:17" s="40" customFormat="1" ht="24.95" customHeight="1">
      <c r="B93" s="46">
        <v>87</v>
      </c>
      <c r="C93" s="42" t="s">
        <v>130</v>
      </c>
      <c r="D93" s="42"/>
      <c r="E93" s="43" t="s">
        <v>139</v>
      </c>
      <c r="F93" s="43" t="s">
        <v>160</v>
      </c>
      <c r="G93" s="44" t="s">
        <v>24</v>
      </c>
      <c r="H93" s="70">
        <v>1</v>
      </c>
      <c r="I93" s="71">
        <f t="shared" si="2"/>
        <v>10</v>
      </c>
      <c r="J93" s="72" t="s">
        <v>16</v>
      </c>
      <c r="K93" s="73">
        <v>8900</v>
      </c>
      <c r="L93" s="73">
        <f t="shared" si="3"/>
        <v>89000</v>
      </c>
      <c r="M93" s="74" t="s">
        <v>394</v>
      </c>
      <c r="N93" s="75"/>
      <c r="O93" s="76"/>
      <c r="P93" s="45"/>
      <c r="Q93" s="23"/>
    </row>
    <row r="94" spans="2:17" s="40" customFormat="1" ht="24.95" customHeight="1">
      <c r="B94" s="46">
        <v>88</v>
      </c>
      <c r="C94" s="42" t="s">
        <v>130</v>
      </c>
      <c r="D94" s="42"/>
      <c r="E94" s="43" t="s">
        <v>131</v>
      </c>
      <c r="F94" s="43" t="s">
        <v>388</v>
      </c>
      <c r="G94" s="44" t="s">
        <v>24</v>
      </c>
      <c r="H94" s="70">
        <v>1</v>
      </c>
      <c r="I94" s="71">
        <f t="shared" si="2"/>
        <v>10</v>
      </c>
      <c r="J94" s="72" t="s">
        <v>16</v>
      </c>
      <c r="K94" s="73">
        <v>1460</v>
      </c>
      <c r="L94" s="73">
        <f t="shared" si="3"/>
        <v>14600</v>
      </c>
      <c r="M94" s="74" t="s">
        <v>370</v>
      </c>
      <c r="N94" s="75"/>
      <c r="O94" s="76"/>
      <c r="P94" s="45"/>
      <c r="Q94" s="23"/>
    </row>
    <row r="95" spans="2:17" s="40" customFormat="1" ht="24.95" customHeight="1">
      <c r="B95" s="46">
        <v>89</v>
      </c>
      <c r="C95" s="42" t="s">
        <v>112</v>
      </c>
      <c r="D95" s="42" t="s">
        <v>162</v>
      </c>
      <c r="E95" s="43" t="s">
        <v>80</v>
      </c>
      <c r="F95" s="43" t="s">
        <v>247</v>
      </c>
      <c r="G95" s="44" t="s">
        <v>220</v>
      </c>
      <c r="H95" s="70">
        <v>1</v>
      </c>
      <c r="I95" s="71">
        <f t="shared" si="2"/>
        <v>10</v>
      </c>
      <c r="J95" s="72" t="s">
        <v>16</v>
      </c>
      <c r="K95" s="73">
        <v>243190</v>
      </c>
      <c r="L95" s="73">
        <f t="shared" si="3"/>
        <v>2431900</v>
      </c>
      <c r="M95" s="74" t="s">
        <v>371</v>
      </c>
      <c r="N95" s="75"/>
      <c r="O95" s="76"/>
      <c r="P95" s="45"/>
      <c r="Q95" s="23"/>
    </row>
    <row r="96" spans="2:17" s="40" customFormat="1" ht="24.95" customHeight="1">
      <c r="B96" s="46">
        <v>90</v>
      </c>
      <c r="C96" s="42" t="s">
        <v>112</v>
      </c>
      <c r="D96" s="42" t="s">
        <v>162</v>
      </c>
      <c r="E96" s="43" t="s">
        <v>375</v>
      </c>
      <c r="F96" s="43" t="s">
        <v>402</v>
      </c>
      <c r="G96" s="44" t="s">
        <v>397</v>
      </c>
      <c r="H96" s="70">
        <v>1</v>
      </c>
      <c r="I96" s="71">
        <f t="shared" si="2"/>
        <v>10</v>
      </c>
      <c r="J96" s="72" t="s">
        <v>16</v>
      </c>
      <c r="K96" s="73">
        <v>24800</v>
      </c>
      <c r="L96" s="73">
        <f t="shared" si="3"/>
        <v>248000</v>
      </c>
      <c r="M96" s="74" t="s">
        <v>519</v>
      </c>
      <c r="N96" s="75"/>
      <c r="O96" s="76"/>
      <c r="P96" s="45"/>
      <c r="Q96" s="23"/>
    </row>
    <row r="97" spans="2:17" s="40" customFormat="1" ht="24.95" customHeight="1">
      <c r="B97" s="46">
        <v>91</v>
      </c>
      <c r="C97" s="42" t="s">
        <v>112</v>
      </c>
      <c r="D97" s="42" t="s">
        <v>162</v>
      </c>
      <c r="E97" s="43" t="s">
        <v>71</v>
      </c>
      <c r="F97" s="43" t="s">
        <v>304</v>
      </c>
      <c r="G97" s="44" t="s">
        <v>221</v>
      </c>
      <c r="H97" s="70">
        <v>1</v>
      </c>
      <c r="I97" s="71">
        <f t="shared" si="2"/>
        <v>10</v>
      </c>
      <c r="J97" s="72" t="s">
        <v>16</v>
      </c>
      <c r="K97" s="73">
        <v>34000</v>
      </c>
      <c r="L97" s="73">
        <f t="shared" si="3"/>
        <v>340000</v>
      </c>
      <c r="M97" s="74" t="s">
        <v>370</v>
      </c>
      <c r="N97" s="75"/>
      <c r="O97" s="76"/>
      <c r="P97" s="45"/>
      <c r="Q97" s="23"/>
    </row>
    <row r="98" spans="2:17" s="40" customFormat="1" ht="24.95" customHeight="1">
      <c r="B98" s="46">
        <v>92</v>
      </c>
      <c r="C98" s="42" t="s">
        <v>112</v>
      </c>
      <c r="D98" s="42" t="s">
        <v>162</v>
      </c>
      <c r="E98" s="43" t="s">
        <v>163</v>
      </c>
      <c r="F98" s="43" t="s">
        <v>288</v>
      </c>
      <c r="G98" s="44" t="s">
        <v>31</v>
      </c>
      <c r="H98" s="70">
        <v>2</v>
      </c>
      <c r="I98" s="71">
        <f t="shared" si="2"/>
        <v>20</v>
      </c>
      <c r="J98" s="72" t="s">
        <v>16</v>
      </c>
      <c r="K98" s="73">
        <v>400</v>
      </c>
      <c r="L98" s="73">
        <f t="shared" si="3"/>
        <v>8000</v>
      </c>
      <c r="M98" s="74" t="s">
        <v>370</v>
      </c>
      <c r="N98" s="75"/>
      <c r="O98" s="76"/>
      <c r="P98" s="45"/>
      <c r="Q98" s="23"/>
    </row>
    <row r="99" spans="2:17" s="40" customFormat="1" ht="24.95" customHeight="1">
      <c r="B99" s="46">
        <v>93</v>
      </c>
      <c r="C99" s="42" t="s">
        <v>112</v>
      </c>
      <c r="D99" s="42" t="s">
        <v>162</v>
      </c>
      <c r="E99" s="43" t="s">
        <v>163</v>
      </c>
      <c r="F99" s="43" t="s">
        <v>289</v>
      </c>
      <c r="G99" s="44" t="s">
        <v>31</v>
      </c>
      <c r="H99" s="70">
        <v>2</v>
      </c>
      <c r="I99" s="71">
        <f t="shared" si="2"/>
        <v>20</v>
      </c>
      <c r="J99" s="72" t="s">
        <v>16</v>
      </c>
      <c r="K99" s="73">
        <v>400</v>
      </c>
      <c r="L99" s="73">
        <f t="shared" si="3"/>
        <v>8000</v>
      </c>
      <c r="M99" s="74" t="s">
        <v>370</v>
      </c>
      <c r="N99" s="75"/>
      <c r="O99" s="76"/>
      <c r="P99" s="45"/>
      <c r="Q99" s="23"/>
    </row>
    <row r="100" spans="2:17" s="40" customFormat="1" ht="24.95" customHeight="1">
      <c r="B100" s="46">
        <v>94</v>
      </c>
      <c r="C100" s="42" t="s">
        <v>112</v>
      </c>
      <c r="D100" s="42" t="s">
        <v>162</v>
      </c>
      <c r="E100" s="43" t="s">
        <v>334</v>
      </c>
      <c r="F100" s="43" t="s">
        <v>358</v>
      </c>
      <c r="G100" s="44" t="s">
        <v>219</v>
      </c>
      <c r="H100" s="70">
        <v>1</v>
      </c>
      <c r="I100" s="71">
        <f t="shared" si="2"/>
        <v>10</v>
      </c>
      <c r="J100" s="72" t="s">
        <v>16</v>
      </c>
      <c r="K100" s="73">
        <v>30000</v>
      </c>
      <c r="L100" s="73">
        <f t="shared" si="3"/>
        <v>300000</v>
      </c>
      <c r="M100" s="74" t="s">
        <v>365</v>
      </c>
      <c r="N100" s="75"/>
      <c r="O100" s="76"/>
      <c r="P100" s="45"/>
      <c r="Q100" s="23"/>
    </row>
    <row r="101" spans="2:17" s="40" customFormat="1" ht="24.95" customHeight="1">
      <c r="B101" s="46">
        <v>95</v>
      </c>
      <c r="C101" s="42" t="s">
        <v>112</v>
      </c>
      <c r="D101" s="42" t="s">
        <v>162</v>
      </c>
      <c r="E101" s="43" t="s">
        <v>80</v>
      </c>
      <c r="F101" s="43" t="s">
        <v>392</v>
      </c>
      <c r="G101" s="44" t="s">
        <v>24</v>
      </c>
      <c r="H101" s="70">
        <v>1</v>
      </c>
      <c r="I101" s="71">
        <f t="shared" si="2"/>
        <v>10</v>
      </c>
      <c r="J101" s="72" t="s">
        <v>16</v>
      </c>
      <c r="K101" s="73">
        <v>59400</v>
      </c>
      <c r="L101" s="73">
        <f t="shared" si="3"/>
        <v>594000</v>
      </c>
      <c r="M101" s="74" t="s">
        <v>370</v>
      </c>
      <c r="N101" s="75"/>
      <c r="O101" s="76"/>
      <c r="P101" s="45"/>
      <c r="Q101" s="23"/>
    </row>
    <row r="102" spans="2:17" s="40" customFormat="1" ht="24.95" customHeight="1">
      <c r="B102" s="46">
        <v>96</v>
      </c>
      <c r="C102" s="42" t="s">
        <v>116</v>
      </c>
      <c r="D102" s="42" t="s">
        <v>164</v>
      </c>
      <c r="E102" s="43" t="s">
        <v>88</v>
      </c>
      <c r="F102" s="43" t="s">
        <v>23</v>
      </c>
      <c r="G102" s="44" t="s">
        <v>29</v>
      </c>
      <c r="H102" s="70">
        <v>1</v>
      </c>
      <c r="I102" s="71">
        <f t="shared" si="2"/>
        <v>10</v>
      </c>
      <c r="J102" s="72" t="s">
        <v>16</v>
      </c>
      <c r="K102" s="73">
        <v>146000</v>
      </c>
      <c r="L102" s="73">
        <f t="shared" si="3"/>
        <v>1460000</v>
      </c>
      <c r="M102" s="74" t="s">
        <v>370</v>
      </c>
      <c r="N102" s="75"/>
      <c r="O102" s="76"/>
      <c r="P102" s="45"/>
      <c r="Q102" s="23"/>
    </row>
    <row r="103" spans="2:17" s="40" customFormat="1" ht="24.95" customHeight="1">
      <c r="B103" s="46">
        <v>97</v>
      </c>
      <c r="C103" s="42" t="s">
        <v>116</v>
      </c>
      <c r="D103" s="42" t="s">
        <v>164</v>
      </c>
      <c r="E103" s="43" t="s">
        <v>89</v>
      </c>
      <c r="F103" s="43" t="s">
        <v>306</v>
      </c>
      <c r="G103" s="44" t="s">
        <v>29</v>
      </c>
      <c r="H103" s="70">
        <v>1</v>
      </c>
      <c r="I103" s="71">
        <f t="shared" si="2"/>
        <v>10</v>
      </c>
      <c r="J103" s="72" t="s">
        <v>16</v>
      </c>
      <c r="K103" s="73">
        <v>253000</v>
      </c>
      <c r="L103" s="73">
        <f t="shared" si="3"/>
        <v>2530000</v>
      </c>
      <c r="M103" s="74" t="s">
        <v>370</v>
      </c>
      <c r="N103" s="75"/>
      <c r="O103" s="76"/>
      <c r="P103" s="45"/>
      <c r="Q103" s="23"/>
    </row>
    <row r="104" spans="2:17" s="40" customFormat="1" ht="24.95" customHeight="1" thickBot="1">
      <c r="B104" s="46">
        <v>98</v>
      </c>
      <c r="C104" s="47" t="s">
        <v>116</v>
      </c>
      <c r="D104" s="47" t="s">
        <v>164</v>
      </c>
      <c r="E104" s="48" t="s">
        <v>96</v>
      </c>
      <c r="F104" s="48" t="s">
        <v>312</v>
      </c>
      <c r="G104" s="44" t="s">
        <v>223</v>
      </c>
      <c r="H104" s="70">
        <v>1</v>
      </c>
      <c r="I104" s="71">
        <f t="shared" si="2"/>
        <v>10</v>
      </c>
      <c r="J104" s="72" t="s">
        <v>16</v>
      </c>
      <c r="K104" s="73">
        <v>26600</v>
      </c>
      <c r="L104" s="73">
        <f t="shared" si="3"/>
        <v>266000</v>
      </c>
      <c r="M104" s="74" t="s">
        <v>370</v>
      </c>
      <c r="N104" s="75"/>
      <c r="O104" s="76"/>
      <c r="P104" s="45"/>
      <c r="Q104" s="23"/>
    </row>
    <row r="105" spans="2:17" s="40" customFormat="1" ht="24.95" customHeight="1" thickTop="1" thickBot="1">
      <c r="B105" s="46">
        <v>99</v>
      </c>
      <c r="C105" s="42" t="s">
        <v>116</v>
      </c>
      <c r="D105" s="53" t="s">
        <v>164</v>
      </c>
      <c r="E105" s="43" t="s">
        <v>91</v>
      </c>
      <c r="F105" s="43" t="s">
        <v>166</v>
      </c>
      <c r="G105" s="51" t="s">
        <v>223</v>
      </c>
      <c r="H105" s="70">
        <v>1</v>
      </c>
      <c r="I105" s="71">
        <f t="shared" si="2"/>
        <v>10</v>
      </c>
      <c r="J105" s="72" t="s">
        <v>16</v>
      </c>
      <c r="K105" s="73">
        <v>22800</v>
      </c>
      <c r="L105" s="73">
        <f t="shared" si="3"/>
        <v>228000</v>
      </c>
      <c r="M105" s="74" t="s">
        <v>370</v>
      </c>
      <c r="N105" s="75"/>
      <c r="O105" s="76"/>
      <c r="P105" s="45"/>
      <c r="Q105" s="23"/>
    </row>
    <row r="106" spans="2:17" s="40" customFormat="1" ht="24.95" customHeight="1" thickTop="1">
      <c r="B106" s="46">
        <v>100</v>
      </c>
      <c r="C106" s="38" t="s">
        <v>116</v>
      </c>
      <c r="D106" s="38" t="s">
        <v>164</v>
      </c>
      <c r="E106" s="39" t="s">
        <v>63</v>
      </c>
      <c r="F106" s="39" t="s">
        <v>403</v>
      </c>
      <c r="G106" s="44" t="s">
        <v>398</v>
      </c>
      <c r="H106" s="70">
        <v>2</v>
      </c>
      <c r="I106" s="71">
        <f t="shared" si="2"/>
        <v>20</v>
      </c>
      <c r="J106" s="72" t="s">
        <v>16</v>
      </c>
      <c r="K106" s="73">
        <v>97200</v>
      </c>
      <c r="L106" s="73">
        <f t="shared" si="3"/>
        <v>1944000</v>
      </c>
      <c r="M106" s="74" t="s">
        <v>519</v>
      </c>
      <c r="N106" s="75"/>
      <c r="O106" s="76"/>
      <c r="P106" s="45"/>
      <c r="Q106" s="23"/>
    </row>
    <row r="107" spans="2:17" s="40" customFormat="1" ht="24.95" customHeight="1">
      <c r="B107" s="46">
        <v>102</v>
      </c>
      <c r="C107" s="42" t="s">
        <v>116</v>
      </c>
      <c r="D107" s="42" t="s">
        <v>164</v>
      </c>
      <c r="E107" s="43" t="s">
        <v>66</v>
      </c>
      <c r="F107" s="43" t="s">
        <v>97</v>
      </c>
      <c r="G107" s="44" t="s">
        <v>25</v>
      </c>
      <c r="H107" s="70">
        <v>1</v>
      </c>
      <c r="I107" s="71">
        <f t="shared" si="2"/>
        <v>10</v>
      </c>
      <c r="J107" s="72" t="s">
        <v>16</v>
      </c>
      <c r="K107" s="73">
        <v>29735</v>
      </c>
      <c r="L107" s="73">
        <f t="shared" si="3"/>
        <v>297350</v>
      </c>
      <c r="M107" s="74" t="s">
        <v>365</v>
      </c>
      <c r="N107" s="75"/>
      <c r="O107" s="76"/>
      <c r="P107" s="45"/>
      <c r="Q107" s="23"/>
    </row>
    <row r="108" spans="2:17" s="40" customFormat="1" ht="24.95" customHeight="1">
      <c r="B108" s="46">
        <v>103</v>
      </c>
      <c r="C108" s="42" t="s">
        <v>116</v>
      </c>
      <c r="D108" s="42" t="s">
        <v>164</v>
      </c>
      <c r="E108" s="43" t="s">
        <v>66</v>
      </c>
      <c r="F108" s="43" t="s">
        <v>103</v>
      </c>
      <c r="G108" s="44" t="s">
        <v>25</v>
      </c>
      <c r="H108" s="70">
        <v>1</v>
      </c>
      <c r="I108" s="71">
        <f t="shared" si="2"/>
        <v>10</v>
      </c>
      <c r="J108" s="72" t="s">
        <v>16</v>
      </c>
      <c r="K108" s="73">
        <v>23845</v>
      </c>
      <c r="L108" s="73">
        <f t="shared" si="3"/>
        <v>238450</v>
      </c>
      <c r="M108" s="74" t="s">
        <v>380</v>
      </c>
      <c r="N108" s="75"/>
      <c r="O108" s="76"/>
      <c r="P108" s="45"/>
      <c r="Q108" s="23"/>
    </row>
    <row r="109" spans="2:17" s="40" customFormat="1" ht="24.95" customHeight="1">
      <c r="B109" s="46">
        <v>104</v>
      </c>
      <c r="C109" s="42" t="s">
        <v>116</v>
      </c>
      <c r="D109" s="42" t="s">
        <v>164</v>
      </c>
      <c r="E109" s="43" t="s">
        <v>71</v>
      </c>
      <c r="F109" s="43" t="s">
        <v>326</v>
      </c>
      <c r="G109" s="44" t="s">
        <v>214</v>
      </c>
      <c r="H109" s="70">
        <v>1</v>
      </c>
      <c r="I109" s="71">
        <f t="shared" si="2"/>
        <v>10</v>
      </c>
      <c r="J109" s="72" t="s">
        <v>16</v>
      </c>
      <c r="K109" s="73">
        <v>5800</v>
      </c>
      <c r="L109" s="73">
        <f t="shared" si="3"/>
        <v>58000</v>
      </c>
      <c r="M109" s="74" t="s">
        <v>368</v>
      </c>
      <c r="N109" s="75"/>
      <c r="O109" s="76"/>
      <c r="P109" s="45"/>
      <c r="Q109" s="23"/>
    </row>
    <row r="110" spans="2:17" s="40" customFormat="1" ht="24.95" customHeight="1">
      <c r="B110" s="46">
        <v>105</v>
      </c>
      <c r="C110" s="42" t="s">
        <v>116</v>
      </c>
      <c r="D110" s="42" t="s">
        <v>164</v>
      </c>
      <c r="E110" s="43" t="s">
        <v>79</v>
      </c>
      <c r="F110" s="43" t="s">
        <v>99</v>
      </c>
      <c r="G110" s="44" t="s">
        <v>25</v>
      </c>
      <c r="H110" s="70">
        <v>1</v>
      </c>
      <c r="I110" s="71">
        <f t="shared" si="2"/>
        <v>10</v>
      </c>
      <c r="J110" s="72" t="s">
        <v>16</v>
      </c>
      <c r="K110" s="73">
        <v>5966</v>
      </c>
      <c r="L110" s="73">
        <f t="shared" si="3"/>
        <v>59660</v>
      </c>
      <c r="M110" s="74" t="s">
        <v>380</v>
      </c>
      <c r="N110" s="75"/>
      <c r="O110" s="76"/>
      <c r="P110" s="45"/>
      <c r="Q110" s="23"/>
    </row>
    <row r="111" spans="2:17" s="40" customFormat="1" ht="24.95" customHeight="1">
      <c r="B111" s="46">
        <v>106</v>
      </c>
      <c r="C111" s="42" t="s">
        <v>116</v>
      </c>
      <c r="D111" s="42" t="s">
        <v>164</v>
      </c>
      <c r="E111" s="43" t="s">
        <v>94</v>
      </c>
      <c r="F111" s="43" t="s">
        <v>167</v>
      </c>
      <c r="G111" s="44" t="s">
        <v>171</v>
      </c>
      <c r="H111" s="70">
        <v>1</v>
      </c>
      <c r="I111" s="71">
        <f t="shared" si="2"/>
        <v>10</v>
      </c>
      <c r="J111" s="72" t="s">
        <v>16</v>
      </c>
      <c r="K111" s="73">
        <v>198000</v>
      </c>
      <c r="L111" s="73">
        <f t="shared" si="3"/>
        <v>1980000</v>
      </c>
      <c r="M111" s="74" t="s">
        <v>377</v>
      </c>
      <c r="N111" s="75"/>
      <c r="O111" s="76"/>
      <c r="P111" s="45"/>
      <c r="Q111" s="23"/>
    </row>
    <row r="112" spans="2:17" s="40" customFormat="1" ht="24.95" customHeight="1">
      <c r="B112" s="46">
        <v>107</v>
      </c>
      <c r="C112" s="42" t="s">
        <v>116</v>
      </c>
      <c r="D112" s="42" t="s">
        <v>164</v>
      </c>
      <c r="E112" s="43" t="s">
        <v>334</v>
      </c>
      <c r="F112" s="43" t="s">
        <v>359</v>
      </c>
      <c r="G112" s="44" t="s">
        <v>32</v>
      </c>
      <c r="H112" s="70">
        <v>1</v>
      </c>
      <c r="I112" s="71">
        <f t="shared" si="2"/>
        <v>10</v>
      </c>
      <c r="J112" s="72" t="s">
        <v>16</v>
      </c>
      <c r="K112" s="73">
        <v>75000</v>
      </c>
      <c r="L112" s="73">
        <f t="shared" si="3"/>
        <v>750000</v>
      </c>
      <c r="M112" s="74" t="s">
        <v>365</v>
      </c>
      <c r="N112" s="75"/>
      <c r="O112" s="76"/>
      <c r="P112" s="45"/>
      <c r="Q112" s="23"/>
    </row>
    <row r="113" spans="2:17" s="40" customFormat="1" ht="24.95" customHeight="1">
      <c r="B113" s="46">
        <v>108</v>
      </c>
      <c r="C113" s="42" t="s">
        <v>116</v>
      </c>
      <c r="D113" s="42" t="s">
        <v>164</v>
      </c>
      <c r="E113" s="43" t="s">
        <v>168</v>
      </c>
      <c r="F113" s="43" t="s">
        <v>308</v>
      </c>
      <c r="G113" s="44" t="s">
        <v>29</v>
      </c>
      <c r="H113" s="70">
        <v>1</v>
      </c>
      <c r="I113" s="71">
        <f t="shared" si="2"/>
        <v>10</v>
      </c>
      <c r="J113" s="72" t="s">
        <v>16</v>
      </c>
      <c r="K113" s="73">
        <v>219000</v>
      </c>
      <c r="L113" s="73">
        <f t="shared" si="3"/>
        <v>2190000</v>
      </c>
      <c r="M113" s="74" t="s">
        <v>370</v>
      </c>
      <c r="N113" s="75"/>
      <c r="O113" s="76"/>
      <c r="P113" s="45"/>
      <c r="Q113" s="23"/>
    </row>
    <row r="114" spans="2:17" s="40" customFormat="1" ht="24.95" customHeight="1">
      <c r="B114" s="46">
        <v>109</v>
      </c>
      <c r="C114" s="42" t="s">
        <v>116</v>
      </c>
      <c r="D114" s="42" t="s">
        <v>164</v>
      </c>
      <c r="E114" s="43" t="s">
        <v>89</v>
      </c>
      <c r="F114" s="43" t="s">
        <v>305</v>
      </c>
      <c r="G114" s="44" t="s">
        <v>29</v>
      </c>
      <c r="H114" s="70">
        <v>1</v>
      </c>
      <c r="I114" s="71">
        <f t="shared" si="2"/>
        <v>10</v>
      </c>
      <c r="J114" s="72" t="s">
        <v>16</v>
      </c>
      <c r="K114" s="73">
        <v>253000</v>
      </c>
      <c r="L114" s="73">
        <f t="shared" si="3"/>
        <v>2530000</v>
      </c>
      <c r="M114" s="74" t="s">
        <v>370</v>
      </c>
      <c r="N114" s="75"/>
      <c r="O114" s="76"/>
      <c r="P114" s="45"/>
      <c r="Q114" s="23"/>
    </row>
    <row r="115" spans="2:17" s="40" customFormat="1" ht="24.95" customHeight="1">
      <c r="B115" s="46">
        <v>110</v>
      </c>
      <c r="C115" s="42" t="s">
        <v>116</v>
      </c>
      <c r="D115" s="42" t="s">
        <v>164</v>
      </c>
      <c r="E115" s="43" t="s">
        <v>96</v>
      </c>
      <c r="F115" s="43" t="s">
        <v>312</v>
      </c>
      <c r="G115" s="44" t="s">
        <v>223</v>
      </c>
      <c r="H115" s="70">
        <v>1</v>
      </c>
      <c r="I115" s="71">
        <f t="shared" si="2"/>
        <v>10</v>
      </c>
      <c r="J115" s="72" t="s">
        <v>16</v>
      </c>
      <c r="K115" s="73">
        <v>26600</v>
      </c>
      <c r="L115" s="73">
        <f t="shared" si="3"/>
        <v>266000</v>
      </c>
      <c r="M115" s="74" t="s">
        <v>370</v>
      </c>
      <c r="N115" s="75"/>
      <c r="O115" s="76"/>
      <c r="P115" s="45"/>
      <c r="Q115" s="23"/>
    </row>
    <row r="116" spans="2:17" s="40" customFormat="1" ht="24.95" customHeight="1">
      <c r="B116" s="46">
        <v>111</v>
      </c>
      <c r="C116" s="42" t="s">
        <v>116</v>
      </c>
      <c r="D116" s="42" t="s">
        <v>164</v>
      </c>
      <c r="E116" s="43" t="s">
        <v>91</v>
      </c>
      <c r="F116" s="43" t="s">
        <v>379</v>
      </c>
      <c r="G116" s="44" t="s">
        <v>223</v>
      </c>
      <c r="H116" s="70">
        <v>1</v>
      </c>
      <c r="I116" s="71">
        <f t="shared" si="2"/>
        <v>10</v>
      </c>
      <c r="J116" s="72" t="s">
        <v>16</v>
      </c>
      <c r="K116" s="73">
        <v>22800</v>
      </c>
      <c r="L116" s="73">
        <f t="shared" si="3"/>
        <v>228000</v>
      </c>
      <c r="M116" s="74" t="s">
        <v>370</v>
      </c>
      <c r="N116" s="75"/>
      <c r="O116" s="76"/>
      <c r="P116" s="45"/>
      <c r="Q116" s="23"/>
    </row>
    <row r="117" spans="2:17" s="40" customFormat="1" ht="24.95" customHeight="1">
      <c r="B117" s="46">
        <v>112</v>
      </c>
      <c r="C117" s="42" t="s">
        <v>116</v>
      </c>
      <c r="D117" s="42" t="s">
        <v>164</v>
      </c>
      <c r="E117" s="43" t="s">
        <v>100</v>
      </c>
      <c r="F117" s="43" t="s">
        <v>324</v>
      </c>
      <c r="G117" s="44" t="s">
        <v>223</v>
      </c>
      <c r="H117" s="70">
        <v>1</v>
      </c>
      <c r="I117" s="71">
        <f t="shared" si="2"/>
        <v>10</v>
      </c>
      <c r="J117" s="72" t="s">
        <v>16</v>
      </c>
      <c r="K117" s="73">
        <v>15200</v>
      </c>
      <c r="L117" s="73">
        <f t="shared" si="3"/>
        <v>152000</v>
      </c>
      <c r="M117" s="74" t="s">
        <v>370</v>
      </c>
      <c r="N117" s="75"/>
      <c r="O117" s="76"/>
      <c r="P117" s="45"/>
      <c r="Q117" s="23"/>
    </row>
    <row r="118" spans="2:17" s="54" customFormat="1" ht="24.95" customHeight="1">
      <c r="B118" s="46">
        <v>113</v>
      </c>
      <c r="C118" s="42" t="s">
        <v>116</v>
      </c>
      <c r="D118" s="42" t="s">
        <v>164</v>
      </c>
      <c r="E118" s="43" t="s">
        <v>64</v>
      </c>
      <c r="F118" s="43" t="s">
        <v>216</v>
      </c>
      <c r="G118" s="44" t="s">
        <v>65</v>
      </c>
      <c r="H118" s="70">
        <v>1</v>
      </c>
      <c r="I118" s="71">
        <f t="shared" si="2"/>
        <v>10</v>
      </c>
      <c r="J118" s="72" t="s">
        <v>16</v>
      </c>
      <c r="K118" s="73">
        <v>250000</v>
      </c>
      <c r="L118" s="73">
        <f t="shared" si="3"/>
        <v>2500000</v>
      </c>
      <c r="M118" s="74" t="s">
        <v>371</v>
      </c>
      <c r="N118" s="75"/>
      <c r="O118" s="76"/>
      <c r="P118" s="45"/>
      <c r="Q118" s="37"/>
    </row>
    <row r="119" spans="2:17" s="40" customFormat="1" ht="24.95" customHeight="1">
      <c r="B119" s="46">
        <v>114</v>
      </c>
      <c r="C119" s="42" t="s">
        <v>116</v>
      </c>
      <c r="D119" s="42" t="s">
        <v>164</v>
      </c>
      <c r="E119" s="43" t="s">
        <v>101</v>
      </c>
      <c r="F119" s="43" t="s">
        <v>381</v>
      </c>
      <c r="G119" s="44" t="s">
        <v>25</v>
      </c>
      <c r="H119" s="70">
        <v>1</v>
      </c>
      <c r="I119" s="71">
        <f t="shared" si="2"/>
        <v>10</v>
      </c>
      <c r="J119" s="72" t="s">
        <v>16</v>
      </c>
      <c r="K119" s="73">
        <v>18900</v>
      </c>
      <c r="L119" s="73">
        <f t="shared" si="3"/>
        <v>189000</v>
      </c>
      <c r="M119" s="74" t="s">
        <v>370</v>
      </c>
      <c r="N119" s="75"/>
      <c r="O119" s="76"/>
      <c r="P119" s="45"/>
      <c r="Q119" s="23"/>
    </row>
    <row r="120" spans="2:17" s="40" customFormat="1" ht="24.95" customHeight="1">
      <c r="B120" s="46">
        <v>115</v>
      </c>
      <c r="C120" s="42" t="s">
        <v>116</v>
      </c>
      <c r="D120" s="42" t="s">
        <v>164</v>
      </c>
      <c r="E120" s="43" t="s">
        <v>63</v>
      </c>
      <c r="F120" s="43" t="s">
        <v>404</v>
      </c>
      <c r="G120" s="44" t="s">
        <v>397</v>
      </c>
      <c r="H120" s="70">
        <v>2</v>
      </c>
      <c r="I120" s="71">
        <f t="shared" si="2"/>
        <v>20</v>
      </c>
      <c r="J120" s="72" t="s">
        <v>16</v>
      </c>
      <c r="K120" s="73">
        <v>17600</v>
      </c>
      <c r="L120" s="73">
        <f t="shared" si="3"/>
        <v>352000</v>
      </c>
      <c r="M120" s="74" t="s">
        <v>519</v>
      </c>
      <c r="N120" s="75"/>
      <c r="O120" s="76"/>
      <c r="P120" s="45"/>
      <c r="Q120" s="23"/>
    </row>
    <row r="121" spans="2:17" s="40" customFormat="1" ht="24.95" customHeight="1">
      <c r="B121" s="46">
        <v>116</v>
      </c>
      <c r="C121" s="42" t="s">
        <v>116</v>
      </c>
      <c r="D121" s="42" t="s">
        <v>164</v>
      </c>
      <c r="E121" s="43" t="s">
        <v>71</v>
      </c>
      <c r="F121" s="43" t="s">
        <v>326</v>
      </c>
      <c r="G121" s="44" t="s">
        <v>214</v>
      </c>
      <c r="H121" s="70">
        <v>1</v>
      </c>
      <c r="I121" s="71">
        <f t="shared" si="2"/>
        <v>10</v>
      </c>
      <c r="J121" s="72" t="s">
        <v>16</v>
      </c>
      <c r="K121" s="73">
        <v>5800</v>
      </c>
      <c r="L121" s="73">
        <f t="shared" si="3"/>
        <v>58000</v>
      </c>
      <c r="M121" s="74" t="s">
        <v>368</v>
      </c>
      <c r="N121" s="75"/>
      <c r="O121" s="76"/>
      <c r="P121" s="45"/>
      <c r="Q121" s="23"/>
    </row>
    <row r="122" spans="2:17" s="40" customFormat="1" ht="24.95" customHeight="1">
      <c r="B122" s="46">
        <v>117</v>
      </c>
      <c r="C122" s="42" t="s">
        <v>116</v>
      </c>
      <c r="D122" s="42" t="s">
        <v>164</v>
      </c>
      <c r="E122" s="43" t="s">
        <v>79</v>
      </c>
      <c r="F122" s="43" t="s">
        <v>99</v>
      </c>
      <c r="G122" s="44" t="s">
        <v>25</v>
      </c>
      <c r="H122" s="70">
        <v>1</v>
      </c>
      <c r="I122" s="71">
        <f t="shared" si="2"/>
        <v>10</v>
      </c>
      <c r="J122" s="72" t="s">
        <v>16</v>
      </c>
      <c r="K122" s="73">
        <v>5966</v>
      </c>
      <c r="L122" s="73">
        <f t="shared" si="3"/>
        <v>59660</v>
      </c>
      <c r="M122" s="74" t="s">
        <v>380</v>
      </c>
      <c r="N122" s="75"/>
      <c r="O122" s="76"/>
      <c r="P122" s="45"/>
      <c r="Q122" s="23"/>
    </row>
    <row r="123" spans="2:17" s="40" customFormat="1" ht="24.95" customHeight="1">
      <c r="B123" s="46">
        <v>118</v>
      </c>
      <c r="C123" s="42" t="s">
        <v>116</v>
      </c>
      <c r="D123" s="42" t="s">
        <v>164</v>
      </c>
      <c r="E123" s="43" t="s">
        <v>110</v>
      </c>
      <c r="F123" s="43" t="s">
        <v>111</v>
      </c>
      <c r="G123" s="44" t="s">
        <v>25</v>
      </c>
      <c r="H123" s="70">
        <v>2</v>
      </c>
      <c r="I123" s="71">
        <f t="shared" si="2"/>
        <v>20</v>
      </c>
      <c r="J123" s="72" t="s">
        <v>16</v>
      </c>
      <c r="K123" s="73">
        <v>4948</v>
      </c>
      <c r="L123" s="73">
        <f t="shared" si="3"/>
        <v>98960</v>
      </c>
      <c r="M123" s="74" t="s">
        <v>380</v>
      </c>
      <c r="N123" s="75"/>
      <c r="O123" s="76"/>
      <c r="P123" s="45"/>
      <c r="Q123" s="23"/>
    </row>
    <row r="124" spans="2:17" s="40" customFormat="1" ht="24.95" customHeight="1">
      <c r="B124" s="46">
        <v>119</v>
      </c>
      <c r="C124" s="42" t="s">
        <v>116</v>
      </c>
      <c r="D124" s="42" t="s">
        <v>164</v>
      </c>
      <c r="E124" s="43" t="s">
        <v>330</v>
      </c>
      <c r="F124" s="43" t="s">
        <v>374</v>
      </c>
      <c r="G124" s="44" t="s">
        <v>331</v>
      </c>
      <c r="H124" s="70">
        <v>2</v>
      </c>
      <c r="I124" s="71">
        <f t="shared" si="2"/>
        <v>20</v>
      </c>
      <c r="J124" s="72" t="s">
        <v>16</v>
      </c>
      <c r="K124" s="73">
        <v>350</v>
      </c>
      <c r="L124" s="73">
        <f t="shared" si="3"/>
        <v>7000</v>
      </c>
      <c r="M124" s="74" t="s">
        <v>380</v>
      </c>
      <c r="N124" s="75"/>
      <c r="O124" s="76"/>
      <c r="P124" s="45"/>
      <c r="Q124" s="23"/>
    </row>
    <row r="125" spans="2:17" s="40" customFormat="1" ht="24.95" customHeight="1">
      <c r="B125" s="46">
        <v>120</v>
      </c>
      <c r="C125" s="42" t="s">
        <v>116</v>
      </c>
      <c r="D125" s="42" t="s">
        <v>164</v>
      </c>
      <c r="E125" s="43" t="s">
        <v>109</v>
      </c>
      <c r="F125" s="43" t="s">
        <v>248</v>
      </c>
      <c r="G125" s="44" t="s">
        <v>24</v>
      </c>
      <c r="H125" s="70">
        <v>1</v>
      </c>
      <c r="I125" s="71">
        <f t="shared" si="2"/>
        <v>10</v>
      </c>
      <c r="J125" s="72" t="s">
        <v>16</v>
      </c>
      <c r="K125" s="73">
        <v>1290</v>
      </c>
      <c r="L125" s="73">
        <f t="shared" si="3"/>
        <v>12900</v>
      </c>
      <c r="M125" s="74" t="s">
        <v>370</v>
      </c>
      <c r="N125" s="75"/>
      <c r="O125" s="76"/>
      <c r="P125" s="45"/>
      <c r="Q125" s="23"/>
    </row>
    <row r="126" spans="2:17" s="40" customFormat="1" ht="24.95" customHeight="1">
      <c r="B126" s="46" t="s">
        <v>376</v>
      </c>
      <c r="C126" s="42" t="s">
        <v>116</v>
      </c>
      <c r="D126" s="42" t="s">
        <v>164</v>
      </c>
      <c r="E126" s="43" t="s">
        <v>104</v>
      </c>
      <c r="F126" s="43" t="s">
        <v>287</v>
      </c>
      <c r="G126" s="44" t="s">
        <v>24</v>
      </c>
      <c r="H126" s="70">
        <v>1</v>
      </c>
      <c r="I126" s="71">
        <f t="shared" si="2"/>
        <v>10</v>
      </c>
      <c r="J126" s="72" t="s">
        <v>16</v>
      </c>
      <c r="K126" s="73">
        <v>5430</v>
      </c>
      <c r="L126" s="73">
        <f t="shared" si="3"/>
        <v>54300</v>
      </c>
      <c r="M126" s="74" t="s">
        <v>370</v>
      </c>
      <c r="N126" s="75"/>
      <c r="O126" s="76"/>
      <c r="P126" s="45"/>
      <c r="Q126" s="23"/>
    </row>
    <row r="127" spans="2:17" s="40" customFormat="1" ht="24.95" customHeight="1">
      <c r="B127" s="46">
        <v>123</v>
      </c>
      <c r="C127" s="42" t="s">
        <v>116</v>
      </c>
      <c r="D127" s="42" t="s">
        <v>164</v>
      </c>
      <c r="E127" s="43" t="s">
        <v>169</v>
      </c>
      <c r="F127" s="43" t="s">
        <v>170</v>
      </c>
      <c r="G127" s="44" t="s">
        <v>25</v>
      </c>
      <c r="H127" s="70">
        <v>2</v>
      </c>
      <c r="I127" s="71">
        <f t="shared" si="2"/>
        <v>20</v>
      </c>
      <c r="J127" s="72" t="s">
        <v>16</v>
      </c>
      <c r="K127" s="73">
        <v>532</v>
      </c>
      <c r="L127" s="73">
        <f t="shared" si="3"/>
        <v>10640</v>
      </c>
      <c r="M127" s="74" t="s">
        <v>380</v>
      </c>
      <c r="N127" s="75"/>
      <c r="O127" s="76"/>
      <c r="P127" s="45"/>
      <c r="Q127" s="23"/>
    </row>
    <row r="128" spans="2:17" s="40" customFormat="1" ht="24.95" customHeight="1">
      <c r="B128" s="46">
        <v>124</v>
      </c>
      <c r="C128" s="42" t="s">
        <v>401</v>
      </c>
      <c r="D128" s="42" t="s">
        <v>172</v>
      </c>
      <c r="E128" s="43" t="s">
        <v>34</v>
      </c>
      <c r="F128" s="43" t="s">
        <v>173</v>
      </c>
      <c r="G128" s="44" t="s">
        <v>228</v>
      </c>
      <c r="H128" s="70">
        <v>4</v>
      </c>
      <c r="I128" s="71">
        <f t="shared" ref="I128:I183" si="4">H128*$H$5</f>
        <v>40</v>
      </c>
      <c r="J128" s="72" t="s">
        <v>16</v>
      </c>
      <c r="K128" s="73">
        <v>14089</v>
      </c>
      <c r="L128" s="73">
        <f t="shared" si="3"/>
        <v>563560</v>
      </c>
      <c r="M128" s="74" t="s">
        <v>380</v>
      </c>
      <c r="N128" s="75"/>
      <c r="O128" s="76"/>
      <c r="P128" s="45"/>
      <c r="Q128" s="23"/>
    </row>
    <row r="129" spans="2:17" s="40" customFormat="1" ht="24.95" customHeight="1">
      <c r="B129" s="46">
        <v>125</v>
      </c>
      <c r="C129" s="42" t="s">
        <v>17</v>
      </c>
      <c r="D129" s="42" t="s">
        <v>172</v>
      </c>
      <c r="E129" s="43" t="s">
        <v>35</v>
      </c>
      <c r="F129" s="43" t="s">
        <v>290</v>
      </c>
      <c r="G129" s="44" t="s">
        <v>176</v>
      </c>
      <c r="H129" s="70">
        <v>4</v>
      </c>
      <c r="I129" s="71">
        <f t="shared" si="4"/>
        <v>40</v>
      </c>
      <c r="J129" s="72" t="s">
        <v>16</v>
      </c>
      <c r="K129" s="73">
        <v>13500</v>
      </c>
      <c r="L129" s="73">
        <f t="shared" si="3"/>
        <v>540000</v>
      </c>
      <c r="M129" s="74" t="s">
        <v>370</v>
      </c>
      <c r="N129" s="75"/>
      <c r="O129" s="76"/>
      <c r="P129" s="45"/>
      <c r="Q129" s="23"/>
    </row>
    <row r="130" spans="2:17" s="40" customFormat="1" ht="24.95" customHeight="1">
      <c r="B130" s="46">
        <v>126</v>
      </c>
      <c r="C130" s="42" t="s">
        <v>17</v>
      </c>
      <c r="D130" s="42" t="s">
        <v>172</v>
      </c>
      <c r="E130" s="43" t="s">
        <v>36</v>
      </c>
      <c r="F130" s="43" t="s">
        <v>291</v>
      </c>
      <c r="G130" s="44" t="s">
        <v>177</v>
      </c>
      <c r="H130" s="70">
        <v>4</v>
      </c>
      <c r="I130" s="71">
        <f t="shared" si="4"/>
        <v>40</v>
      </c>
      <c r="J130" s="72" t="s">
        <v>16</v>
      </c>
      <c r="K130" s="73">
        <v>2800</v>
      </c>
      <c r="L130" s="73">
        <f t="shared" si="3"/>
        <v>112000</v>
      </c>
      <c r="M130" s="74" t="s">
        <v>370</v>
      </c>
      <c r="N130" s="75"/>
      <c r="O130" s="76"/>
      <c r="P130" s="45"/>
      <c r="Q130" s="23"/>
    </row>
    <row r="131" spans="2:17" s="40" customFormat="1" ht="24.95" customHeight="1">
      <c r="B131" s="46">
        <v>127</v>
      </c>
      <c r="C131" s="42" t="s">
        <v>17</v>
      </c>
      <c r="D131" s="42" t="s">
        <v>172</v>
      </c>
      <c r="E131" s="43" t="s">
        <v>38</v>
      </c>
      <c r="F131" s="43" t="s">
        <v>292</v>
      </c>
      <c r="G131" s="44" t="s">
        <v>177</v>
      </c>
      <c r="H131" s="70">
        <v>3</v>
      </c>
      <c r="I131" s="71">
        <f t="shared" si="4"/>
        <v>30</v>
      </c>
      <c r="J131" s="72" t="s">
        <v>16</v>
      </c>
      <c r="K131" s="73">
        <v>2800</v>
      </c>
      <c r="L131" s="73">
        <f t="shared" si="3"/>
        <v>84000</v>
      </c>
      <c r="M131" s="74" t="s">
        <v>370</v>
      </c>
      <c r="N131" s="75"/>
      <c r="O131" s="76"/>
      <c r="P131" s="45"/>
      <c r="Q131" s="23"/>
    </row>
    <row r="132" spans="2:17" s="40" customFormat="1" ht="24.95" customHeight="1">
      <c r="B132" s="46">
        <v>128</v>
      </c>
      <c r="C132" s="42" t="s">
        <v>17</v>
      </c>
      <c r="D132" s="42" t="s">
        <v>172</v>
      </c>
      <c r="E132" s="43" t="s">
        <v>40</v>
      </c>
      <c r="F132" s="43" t="s">
        <v>293</v>
      </c>
      <c r="G132" s="44" t="s">
        <v>177</v>
      </c>
      <c r="H132" s="70">
        <v>8</v>
      </c>
      <c r="I132" s="71">
        <f t="shared" si="4"/>
        <v>80</v>
      </c>
      <c r="J132" s="72" t="s">
        <v>16</v>
      </c>
      <c r="K132" s="73">
        <v>3300</v>
      </c>
      <c r="L132" s="73">
        <f t="shared" si="3"/>
        <v>264000</v>
      </c>
      <c r="M132" s="74" t="s">
        <v>370</v>
      </c>
      <c r="N132" s="75"/>
      <c r="O132" s="76"/>
      <c r="P132" s="45"/>
      <c r="Q132" s="23"/>
    </row>
    <row r="133" spans="2:17" s="40" customFormat="1" ht="24.95" customHeight="1">
      <c r="B133" s="46">
        <v>129</v>
      </c>
      <c r="C133" s="42" t="s">
        <v>17</v>
      </c>
      <c r="D133" s="42" t="s">
        <v>172</v>
      </c>
      <c r="E133" s="43" t="s">
        <v>41</v>
      </c>
      <c r="F133" s="43" t="s">
        <v>335</v>
      </c>
      <c r="G133" s="44" t="s">
        <v>49</v>
      </c>
      <c r="H133" s="70">
        <v>1</v>
      </c>
      <c r="I133" s="71">
        <f t="shared" si="4"/>
        <v>10</v>
      </c>
      <c r="J133" s="72" t="s">
        <v>16</v>
      </c>
      <c r="K133" s="73">
        <v>360000</v>
      </c>
      <c r="L133" s="73">
        <f t="shared" ref="L133:L188" si="5">I133*K133</f>
        <v>3600000</v>
      </c>
      <c r="M133" s="74" t="s">
        <v>371</v>
      </c>
      <c r="N133" s="75"/>
      <c r="O133" s="76"/>
      <c r="P133" s="45"/>
      <c r="Q133" s="23"/>
    </row>
    <row r="134" spans="2:17" s="40" customFormat="1" ht="24.95" customHeight="1">
      <c r="B134" s="46">
        <v>130</v>
      </c>
      <c r="C134" s="42" t="s">
        <v>17</v>
      </c>
      <c r="D134" s="42" t="s">
        <v>172</v>
      </c>
      <c r="E134" s="43" t="s">
        <v>43</v>
      </c>
      <c r="F134" s="43" t="s">
        <v>336</v>
      </c>
      <c r="G134" s="44" t="s">
        <v>49</v>
      </c>
      <c r="H134" s="70">
        <v>1</v>
      </c>
      <c r="I134" s="71">
        <f t="shared" si="4"/>
        <v>10</v>
      </c>
      <c r="J134" s="72" t="s">
        <v>16</v>
      </c>
      <c r="K134" s="73">
        <v>80000</v>
      </c>
      <c r="L134" s="73">
        <f t="shared" si="5"/>
        <v>800000</v>
      </c>
      <c r="M134" s="74" t="s">
        <v>371</v>
      </c>
      <c r="N134" s="75"/>
      <c r="O134" s="76"/>
      <c r="P134" s="45"/>
      <c r="Q134" s="23"/>
    </row>
    <row r="135" spans="2:17" s="40" customFormat="1" ht="24.95" customHeight="1">
      <c r="B135" s="46">
        <v>131</v>
      </c>
      <c r="C135" s="42" t="s">
        <v>17</v>
      </c>
      <c r="D135" s="42" t="s">
        <v>172</v>
      </c>
      <c r="E135" s="43" t="s">
        <v>45</v>
      </c>
      <c r="F135" s="43" t="s">
        <v>294</v>
      </c>
      <c r="G135" s="44" t="s">
        <v>177</v>
      </c>
      <c r="H135" s="70">
        <v>2</v>
      </c>
      <c r="I135" s="71">
        <f t="shared" si="4"/>
        <v>20</v>
      </c>
      <c r="J135" s="72" t="s">
        <v>16</v>
      </c>
      <c r="K135" s="73">
        <v>7000</v>
      </c>
      <c r="L135" s="73">
        <f t="shared" si="5"/>
        <v>140000</v>
      </c>
      <c r="M135" s="74" t="s">
        <v>370</v>
      </c>
      <c r="N135" s="75"/>
      <c r="O135" s="76"/>
      <c r="P135" s="45"/>
      <c r="Q135" s="23"/>
    </row>
    <row r="136" spans="2:17" s="40" customFormat="1" ht="24.95" customHeight="1">
      <c r="B136" s="46">
        <v>132</v>
      </c>
      <c r="C136" s="42" t="s">
        <v>17</v>
      </c>
      <c r="D136" s="42" t="s">
        <v>172</v>
      </c>
      <c r="E136" s="43" t="s">
        <v>46</v>
      </c>
      <c r="F136" s="43" t="s">
        <v>295</v>
      </c>
      <c r="G136" s="44" t="s">
        <v>27</v>
      </c>
      <c r="H136" s="70">
        <v>1</v>
      </c>
      <c r="I136" s="71">
        <f t="shared" si="4"/>
        <v>10</v>
      </c>
      <c r="J136" s="72" t="s">
        <v>16</v>
      </c>
      <c r="K136" s="73">
        <v>6100</v>
      </c>
      <c r="L136" s="73">
        <f t="shared" si="5"/>
        <v>61000</v>
      </c>
      <c r="M136" s="74" t="s">
        <v>370</v>
      </c>
      <c r="N136" s="75"/>
      <c r="O136" s="76"/>
      <c r="P136" s="45"/>
      <c r="Q136" s="23"/>
    </row>
    <row r="137" spans="2:17" s="40" customFormat="1" ht="24.95" customHeight="1">
      <c r="B137" s="46">
        <v>133</v>
      </c>
      <c r="C137" s="42" t="s">
        <v>17</v>
      </c>
      <c r="D137" s="42" t="s">
        <v>172</v>
      </c>
      <c r="E137" s="43" t="s">
        <v>47</v>
      </c>
      <c r="F137" s="43" t="s">
        <v>48</v>
      </c>
      <c r="G137" s="44" t="s">
        <v>50</v>
      </c>
      <c r="H137" s="70">
        <v>6</v>
      </c>
      <c r="I137" s="71">
        <f t="shared" si="4"/>
        <v>60</v>
      </c>
      <c r="J137" s="72" t="s">
        <v>51</v>
      </c>
      <c r="K137" s="73">
        <v>12000</v>
      </c>
      <c r="L137" s="73">
        <f t="shared" si="5"/>
        <v>720000</v>
      </c>
      <c r="M137" s="74" t="s">
        <v>368</v>
      </c>
      <c r="N137" s="75"/>
      <c r="O137" s="76"/>
      <c r="P137" s="45"/>
      <c r="Q137" s="23"/>
    </row>
    <row r="138" spans="2:17" s="40" customFormat="1" ht="24.95" customHeight="1">
      <c r="B138" s="46">
        <v>135</v>
      </c>
      <c r="C138" s="42" t="s">
        <v>17</v>
      </c>
      <c r="D138" s="42" t="s">
        <v>172</v>
      </c>
      <c r="E138" s="43" t="s">
        <v>174</v>
      </c>
      <c r="F138" s="43" t="s">
        <v>296</v>
      </c>
      <c r="G138" s="44" t="s">
        <v>175</v>
      </c>
      <c r="H138" s="70">
        <v>1</v>
      </c>
      <c r="I138" s="71">
        <f t="shared" si="4"/>
        <v>10</v>
      </c>
      <c r="J138" s="72" t="s">
        <v>16</v>
      </c>
      <c r="K138" s="73">
        <v>200</v>
      </c>
      <c r="L138" s="73">
        <f t="shared" si="5"/>
        <v>2000</v>
      </c>
      <c r="M138" s="74" t="s">
        <v>370</v>
      </c>
      <c r="N138" s="75"/>
      <c r="O138" s="76"/>
      <c r="P138" s="45"/>
      <c r="Q138" s="23"/>
    </row>
    <row r="139" spans="2:17" s="40" customFormat="1" ht="24.95" customHeight="1">
      <c r="B139" s="46">
        <v>136</v>
      </c>
      <c r="C139" s="42" t="s">
        <v>120</v>
      </c>
      <c r="D139" s="42" t="s">
        <v>178</v>
      </c>
      <c r="E139" s="43" t="s">
        <v>121</v>
      </c>
      <c r="F139" s="43" t="s">
        <v>301</v>
      </c>
      <c r="G139" s="44" t="s">
        <v>30</v>
      </c>
      <c r="H139" s="70">
        <v>2</v>
      </c>
      <c r="I139" s="71">
        <f t="shared" si="4"/>
        <v>20</v>
      </c>
      <c r="J139" s="72" t="s">
        <v>16</v>
      </c>
      <c r="K139" s="73">
        <v>32000</v>
      </c>
      <c r="L139" s="73">
        <f t="shared" si="5"/>
        <v>640000</v>
      </c>
      <c r="M139" s="74" t="s">
        <v>368</v>
      </c>
      <c r="N139" s="75"/>
      <c r="O139" s="76"/>
      <c r="P139" s="45"/>
      <c r="Q139" s="23"/>
    </row>
    <row r="140" spans="2:17" s="40" customFormat="1" ht="24.95" customHeight="1">
      <c r="B140" s="46">
        <v>137</v>
      </c>
      <c r="C140" s="42" t="s">
        <v>120</v>
      </c>
      <c r="D140" s="42" t="s">
        <v>178</v>
      </c>
      <c r="E140" s="43" t="s">
        <v>94</v>
      </c>
      <c r="F140" s="43" t="s">
        <v>302</v>
      </c>
      <c r="G140" s="44" t="s">
        <v>30</v>
      </c>
      <c r="H140" s="70">
        <v>1</v>
      </c>
      <c r="I140" s="71">
        <f t="shared" si="4"/>
        <v>10</v>
      </c>
      <c r="J140" s="72" t="s">
        <v>16</v>
      </c>
      <c r="K140" s="73">
        <v>29500</v>
      </c>
      <c r="L140" s="73">
        <f t="shared" si="5"/>
        <v>295000</v>
      </c>
      <c r="M140" s="74" t="s">
        <v>368</v>
      </c>
      <c r="N140" s="75"/>
      <c r="O140" s="76"/>
      <c r="P140" s="45"/>
      <c r="Q140" s="23"/>
    </row>
    <row r="141" spans="2:17" s="40" customFormat="1" ht="24.95" customHeight="1">
      <c r="B141" s="46">
        <v>138</v>
      </c>
      <c r="C141" s="42" t="s">
        <v>120</v>
      </c>
      <c r="D141" s="42" t="s">
        <v>178</v>
      </c>
      <c r="E141" s="43" t="s">
        <v>94</v>
      </c>
      <c r="F141" s="43" t="s">
        <v>303</v>
      </c>
      <c r="G141" s="44" t="s">
        <v>30</v>
      </c>
      <c r="H141" s="70">
        <v>1</v>
      </c>
      <c r="I141" s="71">
        <f t="shared" si="4"/>
        <v>10</v>
      </c>
      <c r="J141" s="72" t="s">
        <v>16</v>
      </c>
      <c r="K141" s="73">
        <v>27830</v>
      </c>
      <c r="L141" s="73">
        <f t="shared" si="5"/>
        <v>278300</v>
      </c>
      <c r="M141" s="74" t="s">
        <v>368</v>
      </c>
      <c r="N141" s="75"/>
      <c r="O141" s="76"/>
      <c r="P141" s="45"/>
      <c r="Q141" s="23"/>
    </row>
    <row r="142" spans="2:17" s="40" customFormat="1" ht="24.95" customHeight="1">
      <c r="B142" s="46">
        <v>139</v>
      </c>
      <c r="C142" s="42" t="s">
        <v>120</v>
      </c>
      <c r="D142" s="42" t="s">
        <v>178</v>
      </c>
      <c r="E142" s="43" t="s">
        <v>66</v>
      </c>
      <c r="F142" s="43" t="s">
        <v>124</v>
      </c>
      <c r="G142" s="44" t="s">
        <v>25</v>
      </c>
      <c r="H142" s="70">
        <v>4</v>
      </c>
      <c r="I142" s="71">
        <f t="shared" si="4"/>
        <v>40</v>
      </c>
      <c r="J142" s="72" t="s">
        <v>16</v>
      </c>
      <c r="K142" s="73">
        <v>10944</v>
      </c>
      <c r="L142" s="73">
        <f t="shared" si="5"/>
        <v>437760</v>
      </c>
      <c r="M142" s="74" t="s">
        <v>370</v>
      </c>
      <c r="N142" s="75"/>
      <c r="O142" s="76"/>
      <c r="P142" s="45"/>
      <c r="Q142" s="23"/>
    </row>
    <row r="143" spans="2:17" s="40" customFormat="1" ht="24.95" customHeight="1">
      <c r="B143" s="46">
        <v>140</v>
      </c>
      <c r="C143" s="42" t="s">
        <v>120</v>
      </c>
      <c r="D143" s="42" t="s">
        <v>178</v>
      </c>
      <c r="E143" s="43" t="s">
        <v>70</v>
      </c>
      <c r="F143" s="43" t="s">
        <v>125</v>
      </c>
      <c r="G143" s="44" t="s">
        <v>25</v>
      </c>
      <c r="H143" s="70">
        <v>2</v>
      </c>
      <c r="I143" s="71">
        <f t="shared" si="4"/>
        <v>20</v>
      </c>
      <c r="J143" s="72" t="s">
        <v>16</v>
      </c>
      <c r="K143" s="73">
        <v>1824</v>
      </c>
      <c r="L143" s="73">
        <f t="shared" si="5"/>
        <v>36480</v>
      </c>
      <c r="M143" s="74" t="s">
        <v>380</v>
      </c>
      <c r="N143" s="75"/>
      <c r="O143" s="76"/>
      <c r="P143" s="45"/>
      <c r="Q143" s="23"/>
    </row>
    <row r="144" spans="2:17" s="40" customFormat="1" ht="24.95" customHeight="1">
      <c r="B144" s="46">
        <v>141</v>
      </c>
      <c r="C144" s="42" t="s">
        <v>120</v>
      </c>
      <c r="D144" s="42" t="s">
        <v>178</v>
      </c>
      <c r="E144" s="43" t="s">
        <v>330</v>
      </c>
      <c r="F144" s="43" t="s">
        <v>357</v>
      </c>
      <c r="G144" s="44" t="s">
        <v>331</v>
      </c>
      <c r="H144" s="70">
        <v>8</v>
      </c>
      <c r="I144" s="71">
        <f t="shared" si="4"/>
        <v>80</v>
      </c>
      <c r="J144" s="72" t="s">
        <v>16</v>
      </c>
      <c r="K144" s="73">
        <v>750</v>
      </c>
      <c r="L144" s="73">
        <f t="shared" si="5"/>
        <v>60000</v>
      </c>
      <c r="M144" s="74" t="s">
        <v>380</v>
      </c>
      <c r="N144" s="75"/>
      <c r="O144" s="76"/>
      <c r="P144" s="45"/>
      <c r="Q144" s="23"/>
    </row>
    <row r="145" spans="2:17" s="61" customFormat="1" ht="24.95" customHeight="1">
      <c r="B145" s="62">
        <v>143</v>
      </c>
      <c r="C145" s="63" t="s">
        <v>120</v>
      </c>
      <c r="D145" s="42" t="s">
        <v>178</v>
      </c>
      <c r="E145" s="64" t="s">
        <v>80</v>
      </c>
      <c r="F145" s="64" t="s">
        <v>249</v>
      </c>
      <c r="G145" s="65" t="s">
        <v>24</v>
      </c>
      <c r="H145" s="78">
        <v>1</v>
      </c>
      <c r="I145" s="79">
        <f t="shared" si="4"/>
        <v>10</v>
      </c>
      <c r="J145" s="80" t="s">
        <v>16</v>
      </c>
      <c r="K145" s="81">
        <v>77060</v>
      </c>
      <c r="L145" s="81">
        <f t="shared" si="5"/>
        <v>770600</v>
      </c>
      <c r="M145" s="74" t="s">
        <v>370</v>
      </c>
      <c r="N145" s="82"/>
      <c r="O145" s="77"/>
      <c r="P145" s="66"/>
      <c r="Q145" s="67"/>
    </row>
    <row r="146" spans="2:17" s="40" customFormat="1" ht="24.95" customHeight="1">
      <c r="B146" s="46">
        <v>144</v>
      </c>
      <c r="C146" s="42" t="s">
        <v>120</v>
      </c>
      <c r="D146" s="42" t="s">
        <v>178</v>
      </c>
      <c r="E146" s="43" t="s">
        <v>71</v>
      </c>
      <c r="F146" s="43" t="s">
        <v>75</v>
      </c>
      <c r="G146" s="44" t="s">
        <v>29</v>
      </c>
      <c r="H146" s="70">
        <v>4</v>
      </c>
      <c r="I146" s="71">
        <f t="shared" si="4"/>
        <v>40</v>
      </c>
      <c r="J146" s="72" t="s">
        <v>16</v>
      </c>
      <c r="K146" s="73">
        <v>34000</v>
      </c>
      <c r="L146" s="73">
        <f t="shared" si="5"/>
        <v>1360000</v>
      </c>
      <c r="M146" s="74" t="s">
        <v>370</v>
      </c>
      <c r="N146" s="75"/>
      <c r="O146" s="76"/>
      <c r="P146" s="45"/>
      <c r="Q146" s="23"/>
    </row>
    <row r="147" spans="2:17" s="40" customFormat="1" ht="24.95" customHeight="1">
      <c r="B147" s="46">
        <v>146</v>
      </c>
      <c r="C147" s="42" t="s">
        <v>126</v>
      </c>
      <c r="D147" s="42" t="s">
        <v>179</v>
      </c>
      <c r="E147" s="43" t="s">
        <v>121</v>
      </c>
      <c r="F147" s="43" t="s">
        <v>122</v>
      </c>
      <c r="G147" s="44" t="s">
        <v>227</v>
      </c>
      <c r="H147" s="70">
        <v>1</v>
      </c>
      <c r="I147" s="71">
        <f t="shared" si="4"/>
        <v>10</v>
      </c>
      <c r="J147" s="72" t="s">
        <v>16</v>
      </c>
      <c r="K147" s="73">
        <v>32000</v>
      </c>
      <c r="L147" s="73">
        <f t="shared" si="5"/>
        <v>320000</v>
      </c>
      <c r="M147" s="74" t="s">
        <v>368</v>
      </c>
      <c r="N147" s="75"/>
      <c r="O147" s="76"/>
      <c r="P147" s="45"/>
      <c r="Q147" s="23"/>
    </row>
    <row r="148" spans="2:17" s="40" customFormat="1" ht="24.95" customHeight="1">
      <c r="B148" s="46">
        <v>147</v>
      </c>
      <c r="C148" s="42" t="s">
        <v>126</v>
      </c>
      <c r="D148" s="42" t="s">
        <v>179</v>
      </c>
      <c r="E148" s="43" t="s">
        <v>94</v>
      </c>
      <c r="F148" s="43" t="s">
        <v>123</v>
      </c>
      <c r="G148" s="44" t="s">
        <v>30</v>
      </c>
      <c r="H148" s="70">
        <v>1</v>
      </c>
      <c r="I148" s="71">
        <f t="shared" si="4"/>
        <v>10</v>
      </c>
      <c r="J148" s="72" t="s">
        <v>16</v>
      </c>
      <c r="K148" s="73">
        <v>29500</v>
      </c>
      <c r="L148" s="73">
        <f t="shared" si="5"/>
        <v>295000</v>
      </c>
      <c r="M148" s="74" t="s">
        <v>368</v>
      </c>
      <c r="N148" s="75"/>
      <c r="O148" s="76"/>
      <c r="P148" s="45"/>
      <c r="Q148" s="23"/>
    </row>
    <row r="149" spans="2:17" s="40" customFormat="1" ht="24.95" customHeight="1">
      <c r="B149" s="46">
        <v>148</v>
      </c>
      <c r="C149" s="42" t="s">
        <v>126</v>
      </c>
      <c r="D149" s="42" t="s">
        <v>179</v>
      </c>
      <c r="E149" s="43" t="s">
        <v>66</v>
      </c>
      <c r="F149" s="43" t="s">
        <v>395</v>
      </c>
      <c r="G149" s="44" t="s">
        <v>25</v>
      </c>
      <c r="H149" s="70">
        <v>2</v>
      </c>
      <c r="I149" s="71">
        <f t="shared" si="4"/>
        <v>20</v>
      </c>
      <c r="J149" s="72" t="s">
        <v>16</v>
      </c>
      <c r="K149" s="73">
        <v>10944</v>
      </c>
      <c r="L149" s="73">
        <f t="shared" si="5"/>
        <v>218880</v>
      </c>
      <c r="M149" s="74" t="s">
        <v>370</v>
      </c>
      <c r="N149" s="75"/>
      <c r="O149" s="76"/>
      <c r="P149" s="45"/>
      <c r="Q149" s="23"/>
    </row>
    <row r="150" spans="2:17" s="40" customFormat="1" ht="24.95" customHeight="1">
      <c r="B150" s="46">
        <v>149</v>
      </c>
      <c r="C150" s="42" t="s">
        <v>126</v>
      </c>
      <c r="D150" s="42" t="s">
        <v>179</v>
      </c>
      <c r="E150" s="43" t="s">
        <v>70</v>
      </c>
      <c r="F150" s="43" t="s">
        <v>125</v>
      </c>
      <c r="G150" s="44" t="s">
        <v>25</v>
      </c>
      <c r="H150" s="70">
        <v>1</v>
      </c>
      <c r="I150" s="71">
        <f t="shared" si="4"/>
        <v>10</v>
      </c>
      <c r="J150" s="72" t="s">
        <v>16</v>
      </c>
      <c r="K150" s="73">
        <v>1929</v>
      </c>
      <c r="L150" s="73">
        <f t="shared" si="5"/>
        <v>19290</v>
      </c>
      <c r="M150" s="74" t="s">
        <v>380</v>
      </c>
      <c r="N150" s="75"/>
      <c r="O150" s="76"/>
      <c r="P150" s="45"/>
      <c r="Q150" s="23"/>
    </row>
    <row r="151" spans="2:17" s="40" customFormat="1" ht="24.95" customHeight="1">
      <c r="B151" s="46">
        <v>150</v>
      </c>
      <c r="C151" s="42" t="s">
        <v>126</v>
      </c>
      <c r="D151" s="42" t="s">
        <v>179</v>
      </c>
      <c r="E151" s="43" t="s">
        <v>330</v>
      </c>
      <c r="F151" s="43" t="s">
        <v>357</v>
      </c>
      <c r="G151" s="44" t="s">
        <v>331</v>
      </c>
      <c r="H151" s="70">
        <v>4</v>
      </c>
      <c r="I151" s="71">
        <f t="shared" si="4"/>
        <v>40</v>
      </c>
      <c r="J151" s="72" t="s">
        <v>16</v>
      </c>
      <c r="K151" s="73">
        <v>750</v>
      </c>
      <c r="L151" s="73">
        <f t="shared" si="5"/>
        <v>30000</v>
      </c>
      <c r="M151" s="74" t="s">
        <v>380</v>
      </c>
      <c r="N151" s="75"/>
      <c r="O151" s="76"/>
      <c r="P151" s="45"/>
      <c r="Q151" s="23"/>
    </row>
    <row r="152" spans="2:17" s="40" customFormat="1" ht="24.95" customHeight="1">
      <c r="B152" s="46">
        <v>152</v>
      </c>
      <c r="C152" s="42" t="s">
        <v>126</v>
      </c>
      <c r="D152" s="42" t="s">
        <v>179</v>
      </c>
      <c r="E152" s="43" t="s">
        <v>71</v>
      </c>
      <c r="F152" s="43" t="s">
        <v>75</v>
      </c>
      <c r="G152" s="44" t="s">
        <v>29</v>
      </c>
      <c r="H152" s="70">
        <v>2</v>
      </c>
      <c r="I152" s="71">
        <f t="shared" si="4"/>
        <v>20</v>
      </c>
      <c r="J152" s="72" t="s">
        <v>16</v>
      </c>
      <c r="K152" s="73">
        <v>34000</v>
      </c>
      <c r="L152" s="73">
        <f t="shared" si="5"/>
        <v>680000</v>
      </c>
      <c r="M152" s="74" t="s">
        <v>370</v>
      </c>
      <c r="N152" s="75"/>
      <c r="O152" s="76"/>
      <c r="P152" s="45"/>
      <c r="Q152" s="23"/>
    </row>
    <row r="153" spans="2:17" s="40" customFormat="1" ht="24.95" customHeight="1">
      <c r="B153" s="46">
        <v>153</v>
      </c>
      <c r="C153" s="42" t="s">
        <v>147</v>
      </c>
      <c r="D153" s="42"/>
      <c r="E153" s="43" t="s">
        <v>180</v>
      </c>
      <c r="F153" s="43" t="s">
        <v>148</v>
      </c>
      <c r="G153" s="44" t="s">
        <v>520</v>
      </c>
      <c r="H153" s="70">
        <v>1</v>
      </c>
      <c r="I153" s="71">
        <f t="shared" si="4"/>
        <v>10</v>
      </c>
      <c r="J153" s="72" t="s">
        <v>16</v>
      </c>
      <c r="K153" s="73">
        <v>1620000</v>
      </c>
      <c r="L153" s="73">
        <f t="shared" si="5"/>
        <v>16200000</v>
      </c>
      <c r="M153" s="74" t="s">
        <v>233</v>
      </c>
      <c r="N153" s="75">
        <v>45923</v>
      </c>
      <c r="O153" s="76">
        <v>45954</v>
      </c>
      <c r="P153" s="45"/>
      <c r="Q153" s="23"/>
    </row>
    <row r="154" spans="2:17" s="40" customFormat="1" ht="24.95" customHeight="1">
      <c r="B154" s="46">
        <v>154</v>
      </c>
      <c r="C154" s="42" t="s">
        <v>114</v>
      </c>
      <c r="D154" s="42" t="s">
        <v>181</v>
      </c>
      <c r="E154" s="43" t="s">
        <v>95</v>
      </c>
      <c r="F154" s="43" t="s">
        <v>309</v>
      </c>
      <c r="G154" s="44" t="s">
        <v>29</v>
      </c>
      <c r="H154" s="70">
        <v>2</v>
      </c>
      <c r="I154" s="71">
        <f t="shared" si="4"/>
        <v>20</v>
      </c>
      <c r="J154" s="72" t="s">
        <v>16</v>
      </c>
      <c r="K154" s="73">
        <v>146000</v>
      </c>
      <c r="L154" s="73">
        <f t="shared" si="5"/>
        <v>2920000</v>
      </c>
      <c r="M154" s="74" t="s">
        <v>370</v>
      </c>
      <c r="N154" s="75"/>
      <c r="O154" s="76"/>
      <c r="P154" s="45"/>
      <c r="Q154" s="23"/>
    </row>
    <row r="155" spans="2:17" s="40" customFormat="1" ht="24.95" customHeight="1">
      <c r="B155" s="46">
        <v>155</v>
      </c>
      <c r="C155" s="42" t="s">
        <v>114</v>
      </c>
      <c r="D155" s="42" t="s">
        <v>181</v>
      </c>
      <c r="E155" s="43" t="s">
        <v>89</v>
      </c>
      <c r="F155" s="43" t="s">
        <v>90</v>
      </c>
      <c r="G155" s="44" t="s">
        <v>29</v>
      </c>
      <c r="H155" s="70">
        <v>2</v>
      </c>
      <c r="I155" s="71">
        <f t="shared" si="4"/>
        <v>20</v>
      </c>
      <c r="J155" s="72" t="s">
        <v>16</v>
      </c>
      <c r="K155" s="73">
        <v>253000</v>
      </c>
      <c r="L155" s="73">
        <f t="shared" si="5"/>
        <v>5060000</v>
      </c>
      <c r="M155" s="74" t="s">
        <v>370</v>
      </c>
      <c r="N155" s="75"/>
      <c r="O155" s="76"/>
      <c r="P155" s="45"/>
      <c r="Q155" s="23"/>
    </row>
    <row r="156" spans="2:17" s="40" customFormat="1" ht="24.95" customHeight="1">
      <c r="B156" s="46">
        <v>156</v>
      </c>
      <c r="C156" s="42" t="s">
        <v>114</v>
      </c>
      <c r="D156" s="42" t="s">
        <v>181</v>
      </c>
      <c r="E156" s="43" t="s">
        <v>222</v>
      </c>
      <c r="F156" s="43" t="s">
        <v>319</v>
      </c>
      <c r="G156" s="44" t="s">
        <v>223</v>
      </c>
      <c r="H156" s="70">
        <v>2</v>
      </c>
      <c r="I156" s="71">
        <f t="shared" si="4"/>
        <v>20</v>
      </c>
      <c r="J156" s="72" t="s">
        <v>16</v>
      </c>
      <c r="K156" s="73">
        <v>22600</v>
      </c>
      <c r="L156" s="73">
        <f t="shared" si="5"/>
        <v>452000</v>
      </c>
      <c r="M156" s="74" t="s">
        <v>370</v>
      </c>
      <c r="N156" s="75"/>
      <c r="O156" s="76"/>
      <c r="P156" s="45"/>
      <c r="Q156" s="23"/>
    </row>
    <row r="157" spans="2:17" s="40" customFormat="1" ht="24.95" customHeight="1">
      <c r="B157" s="46">
        <v>157</v>
      </c>
      <c r="C157" s="42" t="s">
        <v>114</v>
      </c>
      <c r="D157" s="42" t="s">
        <v>181</v>
      </c>
      <c r="E157" s="43" t="s">
        <v>313</v>
      </c>
      <c r="F157" s="43" t="s">
        <v>314</v>
      </c>
      <c r="G157" s="44" t="s">
        <v>223</v>
      </c>
      <c r="H157" s="70">
        <v>2</v>
      </c>
      <c r="I157" s="71">
        <f t="shared" si="4"/>
        <v>20</v>
      </c>
      <c r="J157" s="72" t="s">
        <v>16</v>
      </c>
      <c r="K157" s="73">
        <v>19700</v>
      </c>
      <c r="L157" s="73">
        <f t="shared" si="5"/>
        <v>394000</v>
      </c>
      <c r="M157" s="74" t="s">
        <v>370</v>
      </c>
      <c r="N157" s="75"/>
      <c r="O157" s="76"/>
      <c r="P157" s="45"/>
      <c r="Q157" s="23"/>
    </row>
    <row r="158" spans="2:17" s="40" customFormat="1" ht="24.95" customHeight="1">
      <c r="B158" s="46">
        <v>158</v>
      </c>
      <c r="C158" s="42" t="s">
        <v>114</v>
      </c>
      <c r="D158" s="42" t="s">
        <v>181</v>
      </c>
      <c r="E158" s="43" t="s">
        <v>94</v>
      </c>
      <c r="F158" s="43" t="s">
        <v>167</v>
      </c>
      <c r="G158" s="44" t="s">
        <v>171</v>
      </c>
      <c r="H158" s="70">
        <v>2</v>
      </c>
      <c r="I158" s="71">
        <f t="shared" si="4"/>
        <v>20</v>
      </c>
      <c r="J158" s="72" t="s">
        <v>16</v>
      </c>
      <c r="K158" s="73">
        <v>198000</v>
      </c>
      <c r="L158" s="73">
        <f t="shared" si="5"/>
        <v>3960000</v>
      </c>
      <c r="M158" s="74" t="s">
        <v>377</v>
      </c>
      <c r="N158" s="75"/>
      <c r="O158" s="76"/>
      <c r="P158" s="45"/>
      <c r="Q158" s="23"/>
    </row>
    <row r="159" spans="2:17" s="40" customFormat="1" ht="24.95" customHeight="1">
      <c r="B159" s="46">
        <v>159</v>
      </c>
      <c r="C159" s="42" t="s">
        <v>114</v>
      </c>
      <c r="D159" s="42" t="s">
        <v>181</v>
      </c>
      <c r="E159" s="43" t="s">
        <v>63</v>
      </c>
      <c r="F159" s="43" t="s">
        <v>405</v>
      </c>
      <c r="G159" s="44" t="s">
        <v>397</v>
      </c>
      <c r="H159" s="70">
        <v>4</v>
      </c>
      <c r="I159" s="71">
        <f t="shared" si="4"/>
        <v>40</v>
      </c>
      <c r="J159" s="72" t="s">
        <v>16</v>
      </c>
      <c r="K159" s="73">
        <v>61400</v>
      </c>
      <c r="L159" s="73">
        <f t="shared" si="5"/>
        <v>2456000</v>
      </c>
      <c r="M159" s="74" t="s">
        <v>519</v>
      </c>
      <c r="N159" s="75"/>
      <c r="O159" s="76"/>
      <c r="P159" s="45"/>
      <c r="Q159" s="23"/>
    </row>
    <row r="160" spans="2:17" s="40" customFormat="1" ht="24.95" customHeight="1">
      <c r="B160" s="46">
        <v>161</v>
      </c>
      <c r="C160" s="42" t="s">
        <v>114</v>
      </c>
      <c r="D160" s="42" t="s">
        <v>181</v>
      </c>
      <c r="E160" s="43" t="s">
        <v>66</v>
      </c>
      <c r="F160" s="43" t="s">
        <v>97</v>
      </c>
      <c r="G160" s="44" t="s">
        <v>25</v>
      </c>
      <c r="H160" s="70">
        <v>2</v>
      </c>
      <c r="I160" s="71">
        <f t="shared" si="4"/>
        <v>20</v>
      </c>
      <c r="J160" s="72" t="s">
        <v>16</v>
      </c>
      <c r="K160" s="73">
        <v>29735</v>
      </c>
      <c r="L160" s="73">
        <f t="shared" si="5"/>
        <v>594700</v>
      </c>
      <c r="M160" s="74" t="s">
        <v>365</v>
      </c>
      <c r="N160" s="75"/>
      <c r="O160" s="76"/>
      <c r="P160" s="45"/>
      <c r="Q160" s="23"/>
    </row>
    <row r="161" spans="2:17" s="40" customFormat="1" ht="24.95" customHeight="1">
      <c r="B161" s="46">
        <v>162</v>
      </c>
      <c r="C161" s="42" t="s">
        <v>114</v>
      </c>
      <c r="D161" s="42" t="s">
        <v>181</v>
      </c>
      <c r="E161" s="43" t="s">
        <v>66</v>
      </c>
      <c r="F161" s="43" t="s">
        <v>115</v>
      </c>
      <c r="G161" s="44" t="s">
        <v>25</v>
      </c>
      <c r="H161" s="70">
        <v>2</v>
      </c>
      <c r="I161" s="71">
        <f t="shared" si="4"/>
        <v>20</v>
      </c>
      <c r="J161" s="72" t="s">
        <v>16</v>
      </c>
      <c r="K161" s="73">
        <v>27360</v>
      </c>
      <c r="L161" s="73">
        <f t="shared" si="5"/>
        <v>547200</v>
      </c>
      <c r="M161" s="74" t="s">
        <v>380</v>
      </c>
      <c r="N161" s="75"/>
      <c r="O161" s="76"/>
      <c r="P161" s="45"/>
      <c r="Q161" s="23"/>
    </row>
    <row r="162" spans="2:17" s="40" customFormat="1" ht="24.95" customHeight="1">
      <c r="B162" s="46">
        <v>163</v>
      </c>
      <c r="C162" s="42" t="s">
        <v>114</v>
      </c>
      <c r="D162" s="42" t="s">
        <v>181</v>
      </c>
      <c r="E162" s="43" t="s">
        <v>71</v>
      </c>
      <c r="F162" s="43" t="s">
        <v>98</v>
      </c>
      <c r="G162" s="44" t="s">
        <v>214</v>
      </c>
      <c r="H162" s="70">
        <v>2</v>
      </c>
      <c r="I162" s="71">
        <f t="shared" si="4"/>
        <v>20</v>
      </c>
      <c r="J162" s="72" t="s">
        <v>16</v>
      </c>
      <c r="K162" s="73">
        <v>5800</v>
      </c>
      <c r="L162" s="73">
        <f t="shared" si="5"/>
        <v>116000</v>
      </c>
      <c r="M162" s="74" t="s">
        <v>368</v>
      </c>
      <c r="N162" s="75"/>
      <c r="O162" s="76"/>
      <c r="P162" s="45"/>
      <c r="Q162" s="23"/>
    </row>
    <row r="163" spans="2:17" s="40" customFormat="1" ht="24.95" customHeight="1">
      <c r="B163" s="46">
        <v>164</v>
      </c>
      <c r="C163" s="42" t="s">
        <v>114</v>
      </c>
      <c r="D163" s="42" t="s">
        <v>181</v>
      </c>
      <c r="E163" s="43" t="s">
        <v>79</v>
      </c>
      <c r="F163" s="43" t="s">
        <v>99</v>
      </c>
      <c r="G163" s="44" t="s">
        <v>25</v>
      </c>
      <c r="H163" s="70">
        <v>2</v>
      </c>
      <c r="I163" s="71">
        <f t="shared" si="4"/>
        <v>20</v>
      </c>
      <c r="J163" s="72" t="s">
        <v>16</v>
      </c>
      <c r="K163" s="73">
        <v>5966</v>
      </c>
      <c r="L163" s="73">
        <f t="shared" si="5"/>
        <v>119320</v>
      </c>
      <c r="M163" s="74" t="s">
        <v>380</v>
      </c>
      <c r="N163" s="75"/>
      <c r="O163" s="76"/>
      <c r="P163" s="45"/>
      <c r="Q163" s="23"/>
    </row>
    <row r="164" spans="2:17" s="40" customFormat="1" ht="24.95" customHeight="1">
      <c r="B164" s="46">
        <v>165</v>
      </c>
      <c r="C164" s="42" t="s">
        <v>114</v>
      </c>
      <c r="D164" s="42" t="s">
        <v>181</v>
      </c>
      <c r="E164" s="43" t="s">
        <v>334</v>
      </c>
      <c r="F164" s="43" t="s">
        <v>360</v>
      </c>
      <c r="G164" s="44" t="s">
        <v>32</v>
      </c>
      <c r="H164" s="70">
        <v>2</v>
      </c>
      <c r="I164" s="71">
        <f t="shared" si="4"/>
        <v>20</v>
      </c>
      <c r="J164" s="72" t="s">
        <v>16</v>
      </c>
      <c r="K164" s="73">
        <v>67000</v>
      </c>
      <c r="L164" s="73">
        <f t="shared" si="5"/>
        <v>1340000</v>
      </c>
      <c r="M164" s="74" t="s">
        <v>365</v>
      </c>
      <c r="N164" s="75"/>
      <c r="O164" s="76"/>
      <c r="P164" s="45"/>
      <c r="Q164" s="23"/>
    </row>
    <row r="165" spans="2:17" s="40" customFormat="1" ht="24.95" customHeight="1">
      <c r="B165" s="46">
        <v>166</v>
      </c>
      <c r="C165" s="42" t="s">
        <v>114</v>
      </c>
      <c r="D165" s="42" t="s">
        <v>181</v>
      </c>
      <c r="E165" s="43" t="s">
        <v>110</v>
      </c>
      <c r="F165" s="43" t="s">
        <v>111</v>
      </c>
      <c r="G165" s="44" t="s">
        <v>25</v>
      </c>
      <c r="H165" s="70">
        <v>4</v>
      </c>
      <c r="I165" s="71">
        <f t="shared" si="4"/>
        <v>40</v>
      </c>
      <c r="J165" s="72" t="s">
        <v>16</v>
      </c>
      <c r="K165" s="73">
        <v>4948</v>
      </c>
      <c r="L165" s="73">
        <f t="shared" si="5"/>
        <v>197920</v>
      </c>
      <c r="M165" s="74" t="s">
        <v>380</v>
      </c>
      <c r="N165" s="75"/>
      <c r="O165" s="76"/>
      <c r="P165" s="45"/>
      <c r="Q165" s="23"/>
    </row>
    <row r="166" spans="2:17" s="40" customFormat="1" ht="24.95" customHeight="1">
      <c r="B166" s="46">
        <v>167</v>
      </c>
      <c r="C166" s="42" t="s">
        <v>114</v>
      </c>
      <c r="D166" s="42" t="s">
        <v>181</v>
      </c>
      <c r="E166" s="43" t="s">
        <v>71</v>
      </c>
      <c r="F166" s="43" t="s">
        <v>75</v>
      </c>
      <c r="G166" s="44" t="s">
        <v>29</v>
      </c>
      <c r="H166" s="70">
        <v>2</v>
      </c>
      <c r="I166" s="71">
        <f t="shared" si="4"/>
        <v>20</v>
      </c>
      <c r="J166" s="72" t="s">
        <v>16</v>
      </c>
      <c r="K166" s="73">
        <v>34000</v>
      </c>
      <c r="L166" s="73">
        <f t="shared" si="5"/>
        <v>680000</v>
      </c>
      <c r="M166" s="74" t="s">
        <v>370</v>
      </c>
      <c r="N166" s="75"/>
      <c r="O166" s="76"/>
      <c r="P166" s="45"/>
      <c r="Q166" s="23"/>
    </row>
    <row r="167" spans="2:17" s="40" customFormat="1" ht="24.95" customHeight="1">
      <c r="B167" s="46">
        <v>168</v>
      </c>
      <c r="C167" s="42" t="s">
        <v>114</v>
      </c>
      <c r="D167" s="42" t="s">
        <v>181</v>
      </c>
      <c r="E167" s="43" t="s">
        <v>71</v>
      </c>
      <c r="F167" s="43" t="s">
        <v>224</v>
      </c>
      <c r="G167" s="44" t="s">
        <v>225</v>
      </c>
      <c r="H167" s="70">
        <v>2</v>
      </c>
      <c r="I167" s="71">
        <f t="shared" si="4"/>
        <v>20</v>
      </c>
      <c r="J167" s="72" t="s">
        <v>16</v>
      </c>
      <c r="K167" s="73">
        <v>27000</v>
      </c>
      <c r="L167" s="73">
        <f t="shared" si="5"/>
        <v>540000</v>
      </c>
      <c r="M167" s="74" t="s">
        <v>368</v>
      </c>
      <c r="N167" s="75"/>
      <c r="O167" s="76"/>
      <c r="P167" s="45"/>
      <c r="Q167" s="23"/>
    </row>
    <row r="168" spans="2:17" s="40" customFormat="1" ht="24.95" customHeight="1">
      <c r="B168" s="46">
        <v>170</v>
      </c>
      <c r="C168" s="42" t="s">
        <v>114</v>
      </c>
      <c r="D168" s="42" t="s">
        <v>181</v>
      </c>
      <c r="E168" s="43" t="s">
        <v>334</v>
      </c>
      <c r="F168" s="43" t="s">
        <v>358</v>
      </c>
      <c r="G168" s="44" t="s">
        <v>32</v>
      </c>
      <c r="H168" s="70">
        <v>1</v>
      </c>
      <c r="I168" s="71">
        <f t="shared" si="4"/>
        <v>10</v>
      </c>
      <c r="J168" s="72" t="s">
        <v>16</v>
      </c>
      <c r="K168" s="73">
        <v>30000</v>
      </c>
      <c r="L168" s="73">
        <f t="shared" si="5"/>
        <v>300000</v>
      </c>
      <c r="M168" s="74" t="s">
        <v>365</v>
      </c>
      <c r="N168" s="75"/>
      <c r="O168" s="76"/>
      <c r="P168" s="45"/>
      <c r="Q168" s="23"/>
    </row>
    <row r="169" spans="2:17" s="40" customFormat="1" ht="24.95" customHeight="1">
      <c r="B169" s="46">
        <v>171</v>
      </c>
      <c r="C169" s="42" t="s">
        <v>113</v>
      </c>
      <c r="D169" s="42" t="s">
        <v>182</v>
      </c>
      <c r="E169" s="43" t="s">
        <v>80</v>
      </c>
      <c r="F169" s="43" t="s">
        <v>250</v>
      </c>
      <c r="G169" s="44" t="s">
        <v>24</v>
      </c>
      <c r="H169" s="70">
        <v>4</v>
      </c>
      <c r="I169" s="71">
        <f t="shared" si="4"/>
        <v>40</v>
      </c>
      <c r="J169" s="72" t="s">
        <v>16</v>
      </c>
      <c r="K169" s="73">
        <v>40560</v>
      </c>
      <c r="L169" s="73">
        <f t="shared" si="5"/>
        <v>1622400</v>
      </c>
      <c r="M169" s="74" t="s">
        <v>370</v>
      </c>
      <c r="N169" s="75"/>
      <c r="O169" s="76"/>
      <c r="P169" s="45"/>
      <c r="Q169" s="23"/>
    </row>
    <row r="170" spans="2:17" s="40" customFormat="1" ht="24.95" customHeight="1">
      <c r="B170" s="46">
        <v>172</v>
      </c>
      <c r="C170" s="42" t="s">
        <v>113</v>
      </c>
      <c r="D170" s="42" t="s">
        <v>182</v>
      </c>
      <c r="E170" s="43" t="s">
        <v>63</v>
      </c>
      <c r="F170" s="43" t="s">
        <v>406</v>
      </c>
      <c r="G170" s="44" t="s">
        <v>397</v>
      </c>
      <c r="H170" s="70">
        <v>2</v>
      </c>
      <c r="I170" s="71">
        <f t="shared" si="4"/>
        <v>20</v>
      </c>
      <c r="J170" s="72" t="s">
        <v>16</v>
      </c>
      <c r="K170" s="73">
        <v>18900</v>
      </c>
      <c r="L170" s="73">
        <f t="shared" si="5"/>
        <v>378000</v>
      </c>
      <c r="M170" s="74" t="s">
        <v>519</v>
      </c>
      <c r="N170" s="75"/>
      <c r="O170" s="76"/>
      <c r="P170" s="45"/>
      <c r="Q170" s="23"/>
    </row>
    <row r="171" spans="2:17" s="40" customFormat="1" ht="24.95" customHeight="1">
      <c r="B171" s="46">
        <v>174</v>
      </c>
      <c r="C171" s="42" t="s">
        <v>113</v>
      </c>
      <c r="D171" s="42" t="s">
        <v>182</v>
      </c>
      <c r="E171" s="43" t="s">
        <v>183</v>
      </c>
      <c r="F171" s="43" t="s">
        <v>231</v>
      </c>
      <c r="G171" s="44" t="s">
        <v>204</v>
      </c>
      <c r="H171" s="70">
        <v>4</v>
      </c>
      <c r="I171" s="71">
        <f t="shared" si="4"/>
        <v>40</v>
      </c>
      <c r="J171" s="72" t="s">
        <v>16</v>
      </c>
      <c r="K171" s="73">
        <v>11210</v>
      </c>
      <c r="L171" s="73">
        <f t="shared" si="5"/>
        <v>448400</v>
      </c>
      <c r="M171" s="74" t="s">
        <v>380</v>
      </c>
      <c r="N171" s="75"/>
      <c r="O171" s="76"/>
      <c r="P171" s="45"/>
      <c r="Q171" s="23"/>
    </row>
    <row r="172" spans="2:17" s="40" customFormat="1" ht="24.95" customHeight="1">
      <c r="B172" s="46">
        <v>175</v>
      </c>
      <c r="C172" s="42" t="s">
        <v>113</v>
      </c>
      <c r="D172" s="42" t="s">
        <v>182</v>
      </c>
      <c r="E172" s="43" t="s">
        <v>184</v>
      </c>
      <c r="F172" s="43" t="s">
        <v>393</v>
      </c>
      <c r="G172" s="44" t="s">
        <v>24</v>
      </c>
      <c r="H172" s="70">
        <v>2</v>
      </c>
      <c r="I172" s="71">
        <f t="shared" si="4"/>
        <v>20</v>
      </c>
      <c r="J172" s="72" t="s">
        <v>16</v>
      </c>
      <c r="K172" s="73">
        <v>8670</v>
      </c>
      <c r="L172" s="73">
        <f t="shared" si="5"/>
        <v>173400</v>
      </c>
      <c r="M172" s="74" t="s">
        <v>370</v>
      </c>
      <c r="N172" s="75"/>
      <c r="O172" s="76"/>
      <c r="P172" s="45"/>
      <c r="Q172" s="23"/>
    </row>
    <row r="173" spans="2:17" s="40" customFormat="1" ht="24.95" customHeight="1">
      <c r="B173" s="46">
        <v>176</v>
      </c>
      <c r="C173" s="42" t="s">
        <v>117</v>
      </c>
      <c r="D173" s="42" t="s">
        <v>185</v>
      </c>
      <c r="E173" s="43" t="s">
        <v>88</v>
      </c>
      <c r="F173" s="43" t="s">
        <v>23</v>
      </c>
      <c r="G173" s="44" t="s">
        <v>29</v>
      </c>
      <c r="H173" s="70">
        <v>1</v>
      </c>
      <c r="I173" s="71">
        <f t="shared" si="4"/>
        <v>10</v>
      </c>
      <c r="J173" s="72" t="s">
        <v>16</v>
      </c>
      <c r="K173" s="73">
        <v>146000</v>
      </c>
      <c r="L173" s="73">
        <f t="shared" si="5"/>
        <v>1460000</v>
      </c>
      <c r="M173" s="74" t="s">
        <v>370</v>
      </c>
      <c r="N173" s="75"/>
      <c r="O173" s="76"/>
      <c r="P173" s="45"/>
      <c r="Q173" s="23"/>
    </row>
    <row r="174" spans="2:17" s="40" customFormat="1" ht="24.95" customHeight="1">
      <c r="B174" s="46">
        <v>177</v>
      </c>
      <c r="C174" s="42" t="s">
        <v>117</v>
      </c>
      <c r="D174" s="42" t="s">
        <v>185</v>
      </c>
      <c r="E174" s="43" t="s">
        <v>89</v>
      </c>
      <c r="F174" s="43" t="s">
        <v>90</v>
      </c>
      <c r="G174" s="44" t="s">
        <v>29</v>
      </c>
      <c r="H174" s="70">
        <v>1</v>
      </c>
      <c r="I174" s="71">
        <f t="shared" si="4"/>
        <v>10</v>
      </c>
      <c r="J174" s="72" t="s">
        <v>16</v>
      </c>
      <c r="K174" s="73">
        <v>253000</v>
      </c>
      <c r="L174" s="73">
        <f t="shared" si="5"/>
        <v>2530000</v>
      </c>
      <c r="M174" s="74" t="s">
        <v>370</v>
      </c>
      <c r="N174" s="75"/>
      <c r="O174" s="76"/>
      <c r="P174" s="45"/>
      <c r="Q174" s="23"/>
    </row>
    <row r="175" spans="2:17" s="40" customFormat="1" ht="24.95" customHeight="1">
      <c r="B175" s="46">
        <v>178</v>
      </c>
      <c r="C175" s="42" t="s">
        <v>117</v>
      </c>
      <c r="D175" s="42" t="s">
        <v>185</v>
      </c>
      <c r="E175" s="43" t="s">
        <v>96</v>
      </c>
      <c r="F175" s="43" t="s">
        <v>165</v>
      </c>
      <c r="G175" s="44" t="s">
        <v>223</v>
      </c>
      <c r="H175" s="70">
        <v>1</v>
      </c>
      <c r="I175" s="71">
        <f t="shared" si="4"/>
        <v>10</v>
      </c>
      <c r="J175" s="72" t="s">
        <v>16</v>
      </c>
      <c r="K175" s="73">
        <v>26600</v>
      </c>
      <c r="L175" s="73">
        <f t="shared" si="5"/>
        <v>266000</v>
      </c>
      <c r="M175" s="74" t="s">
        <v>370</v>
      </c>
      <c r="N175" s="75"/>
      <c r="O175" s="76"/>
      <c r="P175" s="45"/>
      <c r="Q175" s="23"/>
    </row>
    <row r="176" spans="2:17" s="40" customFormat="1" ht="24.95" customHeight="1">
      <c r="B176" s="46">
        <v>179</v>
      </c>
      <c r="C176" s="42" t="s">
        <v>117</v>
      </c>
      <c r="D176" s="42" t="s">
        <v>185</v>
      </c>
      <c r="E176" s="43" t="s">
        <v>91</v>
      </c>
      <c r="F176" s="43" t="s">
        <v>316</v>
      </c>
      <c r="G176" s="44" t="s">
        <v>223</v>
      </c>
      <c r="H176" s="70">
        <v>1</v>
      </c>
      <c r="I176" s="71">
        <f t="shared" si="4"/>
        <v>10</v>
      </c>
      <c r="J176" s="72" t="s">
        <v>16</v>
      </c>
      <c r="K176" s="73">
        <v>22800</v>
      </c>
      <c r="L176" s="73">
        <f t="shared" si="5"/>
        <v>228000</v>
      </c>
      <c r="M176" s="74" t="s">
        <v>370</v>
      </c>
      <c r="N176" s="75"/>
      <c r="O176" s="76"/>
      <c r="P176" s="45"/>
      <c r="Q176" s="23"/>
    </row>
    <row r="177" spans="2:17" s="40" customFormat="1" ht="24.95" customHeight="1">
      <c r="B177" s="46">
        <v>180</v>
      </c>
      <c r="C177" s="42" t="s">
        <v>117</v>
      </c>
      <c r="D177" s="42" t="s">
        <v>185</v>
      </c>
      <c r="E177" s="43" t="s">
        <v>63</v>
      </c>
      <c r="F177" s="43" t="s">
        <v>403</v>
      </c>
      <c r="G177" s="44" t="s">
        <v>398</v>
      </c>
      <c r="H177" s="70">
        <v>2</v>
      </c>
      <c r="I177" s="71">
        <f t="shared" si="4"/>
        <v>20</v>
      </c>
      <c r="J177" s="72" t="s">
        <v>16</v>
      </c>
      <c r="K177" s="73">
        <v>95300</v>
      </c>
      <c r="L177" s="73">
        <f t="shared" si="5"/>
        <v>1906000</v>
      </c>
      <c r="M177" s="74" t="s">
        <v>519</v>
      </c>
      <c r="N177" s="75"/>
      <c r="O177" s="76"/>
      <c r="P177" s="45"/>
      <c r="Q177" s="23"/>
    </row>
    <row r="178" spans="2:17" s="40" customFormat="1" ht="24.95" customHeight="1">
      <c r="B178" s="46">
        <v>182</v>
      </c>
      <c r="C178" s="42" t="s">
        <v>117</v>
      </c>
      <c r="D178" s="42" t="s">
        <v>185</v>
      </c>
      <c r="E178" s="43" t="s">
        <v>66</v>
      </c>
      <c r="F178" s="43" t="s">
        <v>97</v>
      </c>
      <c r="G178" s="44" t="s">
        <v>25</v>
      </c>
      <c r="H178" s="70">
        <v>1</v>
      </c>
      <c r="I178" s="71">
        <f t="shared" si="4"/>
        <v>10</v>
      </c>
      <c r="J178" s="72" t="s">
        <v>16</v>
      </c>
      <c r="K178" s="73">
        <v>29735</v>
      </c>
      <c r="L178" s="73">
        <f t="shared" si="5"/>
        <v>297350</v>
      </c>
      <c r="M178" s="74" t="s">
        <v>365</v>
      </c>
      <c r="N178" s="75"/>
      <c r="O178" s="76"/>
      <c r="P178" s="45"/>
      <c r="Q178" s="23"/>
    </row>
    <row r="179" spans="2:17" s="40" customFormat="1" ht="24.95" customHeight="1">
      <c r="B179" s="46">
        <v>183</v>
      </c>
      <c r="C179" s="42" t="s">
        <v>117</v>
      </c>
      <c r="D179" s="42" t="s">
        <v>185</v>
      </c>
      <c r="E179" s="43" t="s">
        <v>66</v>
      </c>
      <c r="F179" s="43" t="s">
        <v>103</v>
      </c>
      <c r="G179" s="44" t="s">
        <v>25</v>
      </c>
      <c r="H179" s="70">
        <v>1</v>
      </c>
      <c r="I179" s="71">
        <f t="shared" si="4"/>
        <v>10</v>
      </c>
      <c r="J179" s="72" t="s">
        <v>16</v>
      </c>
      <c r="K179" s="73">
        <v>23845</v>
      </c>
      <c r="L179" s="73">
        <f t="shared" si="5"/>
        <v>238450</v>
      </c>
      <c r="M179" s="74" t="s">
        <v>380</v>
      </c>
      <c r="N179" s="75"/>
      <c r="O179" s="76"/>
      <c r="P179" s="45"/>
      <c r="Q179" s="23"/>
    </row>
    <row r="180" spans="2:17" s="40" customFormat="1" ht="24.95" customHeight="1">
      <c r="B180" s="46">
        <v>184</v>
      </c>
      <c r="C180" s="42" t="s">
        <v>117</v>
      </c>
      <c r="D180" s="42" t="s">
        <v>185</v>
      </c>
      <c r="E180" s="43" t="s">
        <v>71</v>
      </c>
      <c r="F180" s="43" t="s">
        <v>98</v>
      </c>
      <c r="G180" s="44" t="s">
        <v>214</v>
      </c>
      <c r="H180" s="70">
        <v>1</v>
      </c>
      <c r="I180" s="71">
        <f t="shared" si="4"/>
        <v>10</v>
      </c>
      <c r="J180" s="72" t="s">
        <v>16</v>
      </c>
      <c r="K180" s="73">
        <v>5800</v>
      </c>
      <c r="L180" s="73">
        <f t="shared" si="5"/>
        <v>58000</v>
      </c>
      <c r="M180" s="74" t="s">
        <v>368</v>
      </c>
      <c r="N180" s="75"/>
      <c r="O180" s="76"/>
      <c r="P180" s="45"/>
      <c r="Q180" s="23"/>
    </row>
    <row r="181" spans="2:17" s="40" customFormat="1" ht="24.95" customHeight="1">
      <c r="B181" s="46">
        <v>185</v>
      </c>
      <c r="C181" s="42" t="s">
        <v>117</v>
      </c>
      <c r="D181" s="42" t="s">
        <v>185</v>
      </c>
      <c r="E181" s="43" t="s">
        <v>79</v>
      </c>
      <c r="F181" s="43" t="s">
        <v>99</v>
      </c>
      <c r="G181" s="44" t="s">
        <v>25</v>
      </c>
      <c r="H181" s="70">
        <v>1</v>
      </c>
      <c r="I181" s="71">
        <f t="shared" si="4"/>
        <v>10</v>
      </c>
      <c r="J181" s="72" t="s">
        <v>16</v>
      </c>
      <c r="K181" s="73">
        <v>5966</v>
      </c>
      <c r="L181" s="73">
        <f t="shared" si="5"/>
        <v>59660</v>
      </c>
      <c r="M181" s="74" t="s">
        <v>380</v>
      </c>
      <c r="N181" s="75"/>
      <c r="O181" s="76"/>
      <c r="P181" s="45"/>
      <c r="Q181" s="23"/>
    </row>
    <row r="182" spans="2:17" s="40" customFormat="1" ht="24.95" customHeight="1">
      <c r="B182" s="46">
        <v>186</v>
      </c>
      <c r="C182" s="42" t="s">
        <v>117</v>
      </c>
      <c r="D182" s="42" t="s">
        <v>185</v>
      </c>
      <c r="E182" s="43" t="s">
        <v>94</v>
      </c>
      <c r="F182" s="43" t="s">
        <v>167</v>
      </c>
      <c r="G182" s="44" t="s">
        <v>171</v>
      </c>
      <c r="H182" s="70">
        <v>1</v>
      </c>
      <c r="I182" s="71">
        <f t="shared" si="4"/>
        <v>10</v>
      </c>
      <c r="J182" s="72" t="s">
        <v>16</v>
      </c>
      <c r="K182" s="73">
        <v>198000</v>
      </c>
      <c r="L182" s="73">
        <f t="shared" si="5"/>
        <v>1980000</v>
      </c>
      <c r="M182" s="74" t="s">
        <v>377</v>
      </c>
      <c r="N182" s="75"/>
      <c r="O182" s="76"/>
      <c r="P182" s="45"/>
      <c r="Q182" s="23"/>
    </row>
    <row r="183" spans="2:17" s="40" customFormat="1" ht="24.95" customHeight="1">
      <c r="B183" s="46">
        <v>187</v>
      </c>
      <c r="C183" s="42" t="s">
        <v>117</v>
      </c>
      <c r="D183" s="42" t="s">
        <v>185</v>
      </c>
      <c r="E183" s="43" t="s">
        <v>334</v>
      </c>
      <c r="F183" s="43" t="s">
        <v>359</v>
      </c>
      <c r="G183" s="44" t="s">
        <v>32</v>
      </c>
      <c r="H183" s="70">
        <v>1</v>
      </c>
      <c r="I183" s="71">
        <f t="shared" si="4"/>
        <v>10</v>
      </c>
      <c r="J183" s="72" t="s">
        <v>16</v>
      </c>
      <c r="K183" s="73">
        <v>75000</v>
      </c>
      <c r="L183" s="73">
        <f t="shared" si="5"/>
        <v>750000</v>
      </c>
      <c r="M183" s="74" t="s">
        <v>365</v>
      </c>
      <c r="N183" s="75"/>
      <c r="O183" s="76"/>
      <c r="P183" s="45"/>
      <c r="Q183" s="23"/>
    </row>
    <row r="184" spans="2:17" s="40" customFormat="1" ht="24.95" customHeight="1">
      <c r="B184" s="46">
        <v>188</v>
      </c>
      <c r="C184" s="42" t="s">
        <v>117</v>
      </c>
      <c r="D184" s="42" t="s">
        <v>185</v>
      </c>
      <c r="E184" s="43" t="s">
        <v>80</v>
      </c>
      <c r="F184" s="43" t="s">
        <v>278</v>
      </c>
      <c r="G184" s="44" t="s">
        <v>24</v>
      </c>
      <c r="H184" s="70">
        <v>1</v>
      </c>
      <c r="I184" s="71">
        <f t="shared" ref="I184:I242" si="6">H184*$H$5</f>
        <v>10</v>
      </c>
      <c r="J184" s="72" t="s">
        <v>16</v>
      </c>
      <c r="K184" s="73">
        <v>221570</v>
      </c>
      <c r="L184" s="73">
        <f t="shared" si="5"/>
        <v>2215700</v>
      </c>
      <c r="M184" s="74" t="s">
        <v>370</v>
      </c>
      <c r="N184" s="75"/>
      <c r="O184" s="76"/>
      <c r="P184" s="45"/>
      <c r="Q184" s="23"/>
    </row>
    <row r="185" spans="2:17" s="40" customFormat="1" ht="24.95" customHeight="1">
      <c r="B185" s="46">
        <v>189</v>
      </c>
      <c r="C185" s="42" t="s">
        <v>117</v>
      </c>
      <c r="D185" s="42" t="s">
        <v>185</v>
      </c>
      <c r="E185" s="43" t="s">
        <v>80</v>
      </c>
      <c r="F185" s="43" t="s">
        <v>118</v>
      </c>
      <c r="G185" s="44" t="s">
        <v>24</v>
      </c>
      <c r="H185" s="70">
        <v>1</v>
      </c>
      <c r="I185" s="71">
        <f t="shared" si="6"/>
        <v>10</v>
      </c>
      <c r="J185" s="72" t="s">
        <v>16</v>
      </c>
      <c r="K185" s="73">
        <v>216130</v>
      </c>
      <c r="L185" s="73">
        <f t="shared" si="5"/>
        <v>2161300</v>
      </c>
      <c r="M185" s="74" t="s">
        <v>370</v>
      </c>
      <c r="N185" s="75"/>
      <c r="O185" s="76"/>
      <c r="P185" s="45"/>
      <c r="Q185" s="23"/>
    </row>
    <row r="186" spans="2:17" s="40" customFormat="1" ht="24.95" customHeight="1">
      <c r="B186" s="46">
        <v>190</v>
      </c>
      <c r="C186" s="42" t="s">
        <v>117</v>
      </c>
      <c r="D186" s="42" t="s">
        <v>185</v>
      </c>
      <c r="E186" s="43" t="s">
        <v>71</v>
      </c>
      <c r="F186" s="43" t="s">
        <v>338</v>
      </c>
      <c r="G186" s="44" t="s">
        <v>226</v>
      </c>
      <c r="H186" s="70">
        <v>1</v>
      </c>
      <c r="I186" s="71">
        <f t="shared" si="6"/>
        <v>10</v>
      </c>
      <c r="J186" s="72" t="s">
        <v>16</v>
      </c>
      <c r="K186" s="73">
        <v>550000</v>
      </c>
      <c r="L186" s="73">
        <f t="shared" si="5"/>
        <v>5500000</v>
      </c>
      <c r="M186" s="74" t="s">
        <v>371</v>
      </c>
      <c r="N186" s="75"/>
      <c r="O186" s="76"/>
      <c r="P186" s="45"/>
      <c r="Q186" s="23"/>
    </row>
    <row r="187" spans="2:17" s="40" customFormat="1" ht="24.95" customHeight="1">
      <c r="B187" s="46">
        <v>191</v>
      </c>
      <c r="C187" s="42" t="s">
        <v>117</v>
      </c>
      <c r="D187" s="42" t="s">
        <v>185</v>
      </c>
      <c r="E187" s="43" t="s">
        <v>79</v>
      </c>
      <c r="F187" s="43" t="s">
        <v>337</v>
      </c>
      <c r="G187" s="44" t="s">
        <v>49</v>
      </c>
      <c r="H187" s="70">
        <v>1</v>
      </c>
      <c r="I187" s="71">
        <f t="shared" si="6"/>
        <v>10</v>
      </c>
      <c r="J187" s="72" t="s">
        <v>16</v>
      </c>
      <c r="K187" s="73">
        <v>25000</v>
      </c>
      <c r="L187" s="73">
        <f t="shared" si="5"/>
        <v>250000</v>
      </c>
      <c r="M187" s="74" t="s">
        <v>371</v>
      </c>
      <c r="N187" s="75"/>
      <c r="O187" s="76"/>
      <c r="P187" s="45"/>
      <c r="Q187" s="23"/>
    </row>
    <row r="188" spans="2:17" s="40" customFormat="1" ht="24.95" customHeight="1">
      <c r="B188" s="46">
        <v>192</v>
      </c>
      <c r="C188" s="42" t="s">
        <v>117</v>
      </c>
      <c r="D188" s="42" t="s">
        <v>185</v>
      </c>
      <c r="E188" s="43" t="s">
        <v>184</v>
      </c>
      <c r="F188" s="43" t="s">
        <v>393</v>
      </c>
      <c r="G188" s="44" t="s">
        <v>24</v>
      </c>
      <c r="H188" s="70">
        <v>1</v>
      </c>
      <c r="I188" s="71">
        <f t="shared" si="6"/>
        <v>10</v>
      </c>
      <c r="J188" s="72" t="s">
        <v>16</v>
      </c>
      <c r="K188" s="73">
        <v>8670</v>
      </c>
      <c r="L188" s="73">
        <f t="shared" si="5"/>
        <v>86700</v>
      </c>
      <c r="M188" s="74" t="s">
        <v>370</v>
      </c>
      <c r="N188" s="75"/>
      <c r="O188" s="76"/>
      <c r="P188" s="45"/>
      <c r="Q188" s="23"/>
    </row>
    <row r="189" spans="2:17" s="40" customFormat="1" ht="24.95" customHeight="1">
      <c r="B189" s="46">
        <v>193</v>
      </c>
      <c r="C189" s="42" t="s">
        <v>117</v>
      </c>
      <c r="D189" s="42" t="s">
        <v>185</v>
      </c>
      <c r="E189" s="43" t="s">
        <v>110</v>
      </c>
      <c r="F189" s="43" t="s">
        <v>111</v>
      </c>
      <c r="G189" s="44" t="s">
        <v>25</v>
      </c>
      <c r="H189" s="70">
        <v>2</v>
      </c>
      <c r="I189" s="71">
        <f t="shared" si="6"/>
        <v>20</v>
      </c>
      <c r="J189" s="72" t="s">
        <v>16</v>
      </c>
      <c r="K189" s="73">
        <v>4948</v>
      </c>
      <c r="L189" s="73">
        <f t="shared" ref="L189:L247" si="7">I189*K189</f>
        <v>98960</v>
      </c>
      <c r="M189" s="74" t="s">
        <v>380</v>
      </c>
      <c r="N189" s="75"/>
      <c r="O189" s="76"/>
      <c r="P189" s="45"/>
      <c r="Q189" s="23"/>
    </row>
    <row r="190" spans="2:17" s="40" customFormat="1" ht="24.95" customHeight="1">
      <c r="B190" s="46">
        <v>194</v>
      </c>
      <c r="C190" s="42" t="s">
        <v>127</v>
      </c>
      <c r="D190" s="42" t="s">
        <v>128</v>
      </c>
      <c r="E190" s="43" t="s">
        <v>129</v>
      </c>
      <c r="F190" s="43" t="s">
        <v>187</v>
      </c>
      <c r="G190" s="44" t="s">
        <v>25</v>
      </c>
      <c r="H190" s="70">
        <v>1</v>
      </c>
      <c r="I190" s="71">
        <f t="shared" si="6"/>
        <v>10</v>
      </c>
      <c r="J190" s="72" t="s">
        <v>16</v>
      </c>
      <c r="K190" s="73">
        <v>68000</v>
      </c>
      <c r="L190" s="73">
        <f t="shared" si="7"/>
        <v>680000</v>
      </c>
      <c r="M190" s="74" t="s">
        <v>370</v>
      </c>
      <c r="N190" s="75" t="s">
        <v>386</v>
      </c>
      <c r="O190" s="76" t="s">
        <v>386</v>
      </c>
      <c r="P190" s="45"/>
      <c r="Q190" s="23"/>
    </row>
    <row r="191" spans="2:17" s="40" customFormat="1" ht="24.95" customHeight="1">
      <c r="B191" s="46">
        <v>195</v>
      </c>
      <c r="C191" s="42" t="s">
        <v>127</v>
      </c>
      <c r="D191" s="42" t="s">
        <v>128</v>
      </c>
      <c r="E191" s="43" t="s">
        <v>63</v>
      </c>
      <c r="F191" s="43" t="s">
        <v>407</v>
      </c>
      <c r="G191" s="44" t="s">
        <v>397</v>
      </c>
      <c r="H191" s="70">
        <v>1</v>
      </c>
      <c r="I191" s="71">
        <f t="shared" si="6"/>
        <v>10</v>
      </c>
      <c r="J191" s="72" t="s">
        <v>16</v>
      </c>
      <c r="K191" s="73">
        <v>22200</v>
      </c>
      <c r="L191" s="73">
        <f t="shared" si="7"/>
        <v>222000</v>
      </c>
      <c r="M191" s="74" t="s">
        <v>519</v>
      </c>
      <c r="N191" s="75"/>
      <c r="O191" s="76"/>
      <c r="P191" s="45"/>
      <c r="Q191" s="23"/>
    </row>
    <row r="192" spans="2:17" s="40" customFormat="1" ht="24.95" customHeight="1">
      <c r="B192" s="46">
        <v>196</v>
      </c>
      <c r="C192" s="42" t="s">
        <v>127</v>
      </c>
      <c r="D192" s="42" t="s">
        <v>128</v>
      </c>
      <c r="E192" s="43" t="s">
        <v>80</v>
      </c>
      <c r="F192" s="43" t="s">
        <v>251</v>
      </c>
      <c r="G192" s="44" t="s">
        <v>24</v>
      </c>
      <c r="H192" s="70">
        <v>1</v>
      </c>
      <c r="I192" s="71">
        <f t="shared" si="6"/>
        <v>10</v>
      </c>
      <c r="J192" s="72" t="s">
        <v>16</v>
      </c>
      <c r="K192" s="73">
        <v>252330</v>
      </c>
      <c r="L192" s="73">
        <f t="shared" si="7"/>
        <v>2523300</v>
      </c>
      <c r="M192" s="74" t="s">
        <v>371</v>
      </c>
      <c r="N192" s="75"/>
      <c r="O192" s="76"/>
      <c r="P192" s="45"/>
      <c r="Q192" s="23"/>
    </row>
    <row r="193" spans="2:17" s="40" customFormat="1" ht="24.95" customHeight="1">
      <c r="B193" s="46">
        <v>197</v>
      </c>
      <c r="C193" s="42" t="s">
        <v>127</v>
      </c>
      <c r="D193" s="42" t="s">
        <v>128</v>
      </c>
      <c r="E193" s="43" t="s">
        <v>80</v>
      </c>
      <c r="F193" s="43" t="s">
        <v>252</v>
      </c>
      <c r="G193" s="44" t="s">
        <v>24</v>
      </c>
      <c r="H193" s="70">
        <v>1</v>
      </c>
      <c r="I193" s="71">
        <f t="shared" si="6"/>
        <v>10</v>
      </c>
      <c r="J193" s="72" t="s">
        <v>16</v>
      </c>
      <c r="K193" s="73">
        <v>174120</v>
      </c>
      <c r="L193" s="73">
        <f t="shared" si="7"/>
        <v>1741200</v>
      </c>
      <c r="M193" s="74" t="s">
        <v>370</v>
      </c>
      <c r="N193" s="75"/>
      <c r="O193" s="76"/>
      <c r="P193" s="45"/>
      <c r="Q193" s="23"/>
    </row>
    <row r="194" spans="2:17" s="40" customFormat="1" ht="24.95" customHeight="1">
      <c r="B194" s="46">
        <v>198</v>
      </c>
      <c r="C194" s="42" t="s">
        <v>127</v>
      </c>
      <c r="D194" s="42" t="s">
        <v>128</v>
      </c>
      <c r="E194" s="43" t="s">
        <v>80</v>
      </c>
      <c r="F194" s="43" t="s">
        <v>253</v>
      </c>
      <c r="G194" s="44" t="s">
        <v>24</v>
      </c>
      <c r="H194" s="70">
        <v>1</v>
      </c>
      <c r="I194" s="71">
        <f t="shared" si="6"/>
        <v>10</v>
      </c>
      <c r="J194" s="72" t="s">
        <v>16</v>
      </c>
      <c r="K194" s="73">
        <v>75590</v>
      </c>
      <c r="L194" s="73">
        <f t="shared" si="7"/>
        <v>755900</v>
      </c>
      <c r="M194" s="74" t="s">
        <v>370</v>
      </c>
      <c r="N194" s="75"/>
      <c r="O194" s="76"/>
      <c r="P194" s="45"/>
      <c r="Q194" s="23"/>
    </row>
    <row r="195" spans="2:17" s="40" customFormat="1" ht="24.95" customHeight="1">
      <c r="B195" s="46">
        <v>199</v>
      </c>
      <c r="C195" s="42" t="s">
        <v>127</v>
      </c>
      <c r="D195" s="42" t="s">
        <v>128</v>
      </c>
      <c r="E195" s="43" t="s">
        <v>80</v>
      </c>
      <c r="F195" s="43" t="s">
        <v>254</v>
      </c>
      <c r="G195" s="44" t="s">
        <v>24</v>
      </c>
      <c r="H195" s="70">
        <v>1</v>
      </c>
      <c r="I195" s="71">
        <f t="shared" si="6"/>
        <v>10</v>
      </c>
      <c r="J195" s="72" t="s">
        <v>16</v>
      </c>
      <c r="K195" s="73">
        <v>202090</v>
      </c>
      <c r="L195" s="73">
        <f t="shared" si="7"/>
        <v>2020900</v>
      </c>
      <c r="M195" s="74" t="s">
        <v>370</v>
      </c>
      <c r="N195" s="75"/>
      <c r="O195" s="76"/>
      <c r="P195" s="45"/>
      <c r="Q195" s="23"/>
    </row>
    <row r="196" spans="2:17" s="40" customFormat="1" ht="24.95" customHeight="1">
      <c r="B196" s="46">
        <v>200</v>
      </c>
      <c r="C196" s="42" t="s">
        <v>127</v>
      </c>
      <c r="D196" s="42" t="s">
        <v>128</v>
      </c>
      <c r="E196" s="43" t="s">
        <v>188</v>
      </c>
      <c r="F196" s="43" t="s">
        <v>189</v>
      </c>
      <c r="G196" s="44" t="s">
        <v>25</v>
      </c>
      <c r="H196" s="70">
        <v>1</v>
      </c>
      <c r="I196" s="71">
        <f t="shared" si="6"/>
        <v>10</v>
      </c>
      <c r="J196" s="72" t="s">
        <v>16</v>
      </c>
      <c r="K196" s="73">
        <v>2661</v>
      </c>
      <c r="L196" s="73">
        <f t="shared" si="7"/>
        <v>26610</v>
      </c>
      <c r="M196" s="74" t="s">
        <v>380</v>
      </c>
      <c r="N196" s="75"/>
      <c r="O196" s="76"/>
      <c r="P196" s="45"/>
      <c r="Q196" s="23"/>
    </row>
    <row r="197" spans="2:17" s="40" customFormat="1" ht="24.95" customHeight="1">
      <c r="B197" s="46">
        <v>201</v>
      </c>
      <c r="C197" s="42" t="s">
        <v>127</v>
      </c>
      <c r="D197" s="42" t="s">
        <v>128</v>
      </c>
      <c r="E197" s="43" t="s">
        <v>163</v>
      </c>
      <c r="F197" s="43" t="s">
        <v>288</v>
      </c>
      <c r="G197" s="44" t="s">
        <v>31</v>
      </c>
      <c r="H197" s="70">
        <v>5</v>
      </c>
      <c r="I197" s="71">
        <f t="shared" si="6"/>
        <v>50</v>
      </c>
      <c r="J197" s="72" t="s">
        <v>16</v>
      </c>
      <c r="K197" s="73">
        <v>400</v>
      </c>
      <c r="L197" s="73">
        <f t="shared" si="7"/>
        <v>20000</v>
      </c>
      <c r="M197" s="74" t="s">
        <v>370</v>
      </c>
      <c r="N197" s="75"/>
      <c r="O197" s="76"/>
      <c r="P197" s="45"/>
      <c r="Q197" s="23"/>
    </row>
    <row r="198" spans="2:17" s="40" customFormat="1" ht="24.95" customHeight="1">
      <c r="B198" s="46">
        <v>202</v>
      </c>
      <c r="C198" s="42" t="s">
        <v>127</v>
      </c>
      <c r="D198" s="42" t="s">
        <v>128</v>
      </c>
      <c r="E198" s="43" t="s">
        <v>163</v>
      </c>
      <c r="F198" s="43" t="s">
        <v>289</v>
      </c>
      <c r="G198" s="44" t="s">
        <v>31</v>
      </c>
      <c r="H198" s="70">
        <v>4</v>
      </c>
      <c r="I198" s="71">
        <f t="shared" si="6"/>
        <v>40</v>
      </c>
      <c r="J198" s="72" t="s">
        <v>16</v>
      </c>
      <c r="K198" s="73">
        <v>400</v>
      </c>
      <c r="L198" s="73">
        <f t="shared" si="7"/>
        <v>16000</v>
      </c>
      <c r="M198" s="74" t="s">
        <v>370</v>
      </c>
      <c r="N198" s="75"/>
      <c r="O198" s="76"/>
      <c r="P198" s="45"/>
      <c r="Q198" s="23"/>
    </row>
    <row r="199" spans="2:17" s="40" customFormat="1" ht="24.95" customHeight="1">
      <c r="B199" s="46">
        <v>204</v>
      </c>
      <c r="C199" s="42" t="s">
        <v>87</v>
      </c>
      <c r="D199" s="42" t="s">
        <v>190</v>
      </c>
      <c r="E199" s="43" t="s">
        <v>95</v>
      </c>
      <c r="F199" s="43" t="s">
        <v>23</v>
      </c>
      <c r="G199" s="44" t="s">
        <v>29</v>
      </c>
      <c r="H199" s="70">
        <v>1</v>
      </c>
      <c r="I199" s="71">
        <f t="shared" si="6"/>
        <v>10</v>
      </c>
      <c r="J199" s="72" t="s">
        <v>16</v>
      </c>
      <c r="K199" s="73">
        <v>146000</v>
      </c>
      <c r="L199" s="73">
        <f t="shared" si="7"/>
        <v>1460000</v>
      </c>
      <c r="M199" s="74" t="s">
        <v>370</v>
      </c>
      <c r="N199" s="75"/>
      <c r="O199" s="76"/>
      <c r="P199" s="45"/>
      <c r="Q199" s="23"/>
    </row>
    <row r="200" spans="2:17" s="40" customFormat="1" ht="24.95" customHeight="1">
      <c r="B200" s="46">
        <v>205</v>
      </c>
      <c r="C200" s="42" t="s">
        <v>87</v>
      </c>
      <c r="D200" s="42" t="s">
        <v>190</v>
      </c>
      <c r="E200" s="43" t="s">
        <v>89</v>
      </c>
      <c r="F200" s="43" t="s">
        <v>90</v>
      </c>
      <c r="G200" s="44" t="s">
        <v>29</v>
      </c>
      <c r="H200" s="70">
        <v>1</v>
      </c>
      <c r="I200" s="71">
        <f t="shared" si="6"/>
        <v>10</v>
      </c>
      <c r="J200" s="72" t="s">
        <v>16</v>
      </c>
      <c r="K200" s="73">
        <v>253000</v>
      </c>
      <c r="L200" s="73">
        <f t="shared" si="7"/>
        <v>2530000</v>
      </c>
      <c r="M200" s="74" t="s">
        <v>370</v>
      </c>
      <c r="N200" s="75"/>
      <c r="O200" s="76"/>
      <c r="P200" s="45"/>
      <c r="Q200" s="23"/>
    </row>
    <row r="201" spans="2:17" s="40" customFormat="1" ht="24.95" customHeight="1">
      <c r="B201" s="46">
        <v>206</v>
      </c>
      <c r="C201" s="42" t="s">
        <v>87</v>
      </c>
      <c r="D201" s="42" t="s">
        <v>190</v>
      </c>
      <c r="E201" s="43" t="s">
        <v>96</v>
      </c>
      <c r="F201" s="43" t="s">
        <v>320</v>
      </c>
      <c r="G201" s="44" t="s">
        <v>223</v>
      </c>
      <c r="H201" s="70">
        <v>1</v>
      </c>
      <c r="I201" s="71">
        <f t="shared" si="6"/>
        <v>10</v>
      </c>
      <c r="J201" s="72" t="s">
        <v>16</v>
      </c>
      <c r="K201" s="73">
        <v>23200</v>
      </c>
      <c r="L201" s="73">
        <f t="shared" si="7"/>
        <v>232000</v>
      </c>
      <c r="M201" s="74" t="s">
        <v>370</v>
      </c>
      <c r="N201" s="75"/>
      <c r="O201" s="76"/>
      <c r="P201" s="45"/>
      <c r="Q201" s="23"/>
    </row>
    <row r="202" spans="2:17" s="40" customFormat="1" ht="24.95" customHeight="1">
      <c r="B202" s="46">
        <v>207</v>
      </c>
      <c r="C202" s="42" t="s">
        <v>87</v>
      </c>
      <c r="D202" s="42" t="s">
        <v>190</v>
      </c>
      <c r="E202" s="43" t="s">
        <v>91</v>
      </c>
      <c r="F202" s="43" t="s">
        <v>315</v>
      </c>
      <c r="G202" s="44" t="s">
        <v>223</v>
      </c>
      <c r="H202" s="70">
        <v>1</v>
      </c>
      <c r="I202" s="71">
        <f t="shared" si="6"/>
        <v>10</v>
      </c>
      <c r="J202" s="72" t="s">
        <v>16</v>
      </c>
      <c r="K202" s="73">
        <v>21400</v>
      </c>
      <c r="L202" s="73">
        <f t="shared" si="7"/>
        <v>214000</v>
      </c>
      <c r="M202" s="74" t="s">
        <v>370</v>
      </c>
      <c r="N202" s="75"/>
      <c r="O202" s="76"/>
      <c r="P202" s="45"/>
      <c r="Q202" s="23"/>
    </row>
    <row r="203" spans="2:17" s="40" customFormat="1" ht="24.95" customHeight="1">
      <c r="B203" s="46">
        <v>208</v>
      </c>
      <c r="C203" s="42" t="s">
        <v>87</v>
      </c>
      <c r="D203" s="42" t="s">
        <v>190</v>
      </c>
      <c r="E203" s="43" t="s">
        <v>63</v>
      </c>
      <c r="F203" s="43" t="s">
        <v>408</v>
      </c>
      <c r="G203" s="44" t="s">
        <v>397</v>
      </c>
      <c r="H203" s="70">
        <v>2</v>
      </c>
      <c r="I203" s="71">
        <f t="shared" si="6"/>
        <v>20</v>
      </c>
      <c r="J203" s="72" t="s">
        <v>16</v>
      </c>
      <c r="K203" s="73">
        <v>43900</v>
      </c>
      <c r="L203" s="73">
        <f t="shared" si="7"/>
        <v>878000</v>
      </c>
      <c r="M203" s="74" t="s">
        <v>519</v>
      </c>
      <c r="N203" s="75"/>
      <c r="O203" s="76"/>
      <c r="P203" s="45"/>
      <c r="Q203" s="23"/>
    </row>
    <row r="204" spans="2:17" s="40" customFormat="1" ht="24.95" customHeight="1">
      <c r="B204" s="46">
        <v>210</v>
      </c>
      <c r="C204" s="42" t="s">
        <v>87</v>
      </c>
      <c r="D204" s="42" t="s">
        <v>190</v>
      </c>
      <c r="E204" s="43" t="s">
        <v>66</v>
      </c>
      <c r="F204" s="43" t="s">
        <v>92</v>
      </c>
      <c r="G204" s="44" t="s">
        <v>25</v>
      </c>
      <c r="H204" s="70">
        <v>1</v>
      </c>
      <c r="I204" s="71">
        <f t="shared" si="6"/>
        <v>10</v>
      </c>
      <c r="J204" s="72" t="s">
        <v>16</v>
      </c>
      <c r="K204" s="73">
        <v>38285</v>
      </c>
      <c r="L204" s="73">
        <f t="shared" si="7"/>
        <v>382850</v>
      </c>
      <c r="M204" s="74" t="s">
        <v>365</v>
      </c>
      <c r="N204" s="75"/>
      <c r="O204" s="76"/>
      <c r="P204" s="45"/>
      <c r="Q204" s="23"/>
    </row>
    <row r="205" spans="2:17" s="40" customFormat="1" ht="24.95" customHeight="1">
      <c r="B205" s="46">
        <v>211</v>
      </c>
      <c r="C205" s="42" t="s">
        <v>87</v>
      </c>
      <c r="D205" s="42" t="s">
        <v>190</v>
      </c>
      <c r="E205" s="43" t="s">
        <v>66</v>
      </c>
      <c r="F205" s="43" t="s">
        <v>93</v>
      </c>
      <c r="G205" s="44" t="s">
        <v>25</v>
      </c>
      <c r="H205" s="70">
        <v>1</v>
      </c>
      <c r="I205" s="71">
        <f t="shared" si="6"/>
        <v>10</v>
      </c>
      <c r="J205" s="72" t="s">
        <v>16</v>
      </c>
      <c r="K205" s="73">
        <v>32680</v>
      </c>
      <c r="L205" s="73">
        <f t="shared" si="7"/>
        <v>326800</v>
      </c>
      <c r="M205" s="74" t="s">
        <v>380</v>
      </c>
      <c r="N205" s="75"/>
      <c r="O205" s="76"/>
      <c r="P205" s="45"/>
      <c r="Q205" s="23"/>
    </row>
    <row r="206" spans="2:17" s="40" customFormat="1" ht="24.95" customHeight="1">
      <c r="B206" s="46">
        <v>212</v>
      </c>
      <c r="C206" s="42" t="s">
        <v>87</v>
      </c>
      <c r="D206" s="42" t="s">
        <v>190</v>
      </c>
      <c r="E206" s="43" t="s">
        <v>71</v>
      </c>
      <c r="F206" s="43" t="s">
        <v>72</v>
      </c>
      <c r="G206" s="44" t="s">
        <v>214</v>
      </c>
      <c r="H206" s="70">
        <v>1</v>
      </c>
      <c r="I206" s="71">
        <f t="shared" si="6"/>
        <v>10</v>
      </c>
      <c r="J206" s="72" t="s">
        <v>16</v>
      </c>
      <c r="K206" s="73">
        <v>5800</v>
      </c>
      <c r="L206" s="73">
        <f t="shared" si="7"/>
        <v>58000</v>
      </c>
      <c r="M206" s="74" t="s">
        <v>368</v>
      </c>
      <c r="N206" s="75"/>
      <c r="O206" s="76"/>
      <c r="P206" s="45"/>
      <c r="Q206" s="23"/>
    </row>
    <row r="207" spans="2:17" s="40" customFormat="1" ht="24.95" customHeight="1">
      <c r="B207" s="46">
        <v>213</v>
      </c>
      <c r="C207" s="42" t="s">
        <v>87</v>
      </c>
      <c r="D207" s="42" t="s">
        <v>190</v>
      </c>
      <c r="E207" s="43" t="s">
        <v>94</v>
      </c>
      <c r="F207" s="43" t="s">
        <v>167</v>
      </c>
      <c r="G207" s="44" t="s">
        <v>171</v>
      </c>
      <c r="H207" s="70">
        <v>1</v>
      </c>
      <c r="I207" s="71">
        <f t="shared" si="6"/>
        <v>10</v>
      </c>
      <c r="J207" s="72" t="s">
        <v>16</v>
      </c>
      <c r="K207" s="73">
        <v>198000</v>
      </c>
      <c r="L207" s="73">
        <f t="shared" si="7"/>
        <v>1980000</v>
      </c>
      <c r="M207" s="74" t="s">
        <v>377</v>
      </c>
      <c r="N207" s="75"/>
      <c r="O207" s="76"/>
      <c r="P207" s="45"/>
      <c r="Q207" s="23"/>
    </row>
    <row r="208" spans="2:17" s="40" customFormat="1" ht="24.95" customHeight="1">
      <c r="B208" s="46">
        <v>214</v>
      </c>
      <c r="C208" s="42" t="s">
        <v>87</v>
      </c>
      <c r="D208" s="42" t="s">
        <v>190</v>
      </c>
      <c r="E208" s="43" t="s">
        <v>334</v>
      </c>
      <c r="F208" s="43" t="s">
        <v>361</v>
      </c>
      <c r="G208" s="44" t="s">
        <v>32</v>
      </c>
      <c r="H208" s="70">
        <v>1</v>
      </c>
      <c r="I208" s="71">
        <f t="shared" si="6"/>
        <v>10</v>
      </c>
      <c r="J208" s="72" t="s">
        <v>16</v>
      </c>
      <c r="K208" s="73">
        <v>123000</v>
      </c>
      <c r="L208" s="73">
        <f t="shared" si="7"/>
        <v>1230000</v>
      </c>
      <c r="M208" s="74" t="s">
        <v>365</v>
      </c>
      <c r="N208" s="75"/>
      <c r="O208" s="76"/>
      <c r="P208" s="45"/>
      <c r="Q208" s="23"/>
    </row>
    <row r="209" spans="2:17" s="40" customFormat="1" ht="24.95" customHeight="1">
      <c r="B209" s="46">
        <v>215</v>
      </c>
      <c r="C209" s="42" t="s">
        <v>87</v>
      </c>
      <c r="D209" s="42" t="s">
        <v>190</v>
      </c>
      <c r="E209" s="43" t="s">
        <v>88</v>
      </c>
      <c r="F209" s="43" t="s">
        <v>23</v>
      </c>
      <c r="G209" s="44" t="s">
        <v>29</v>
      </c>
      <c r="H209" s="70">
        <v>1</v>
      </c>
      <c r="I209" s="71">
        <f t="shared" si="6"/>
        <v>10</v>
      </c>
      <c r="J209" s="72" t="s">
        <v>16</v>
      </c>
      <c r="K209" s="73">
        <v>146000</v>
      </c>
      <c r="L209" s="73">
        <f t="shared" si="7"/>
        <v>1460000</v>
      </c>
      <c r="M209" s="74" t="s">
        <v>370</v>
      </c>
      <c r="N209" s="75"/>
      <c r="O209" s="76"/>
      <c r="P209" s="45"/>
      <c r="Q209" s="23"/>
    </row>
    <row r="210" spans="2:17" s="40" customFormat="1" ht="24.95" customHeight="1">
      <c r="B210" s="46">
        <v>216</v>
      </c>
      <c r="C210" s="42" t="s">
        <v>87</v>
      </c>
      <c r="D210" s="42" t="s">
        <v>190</v>
      </c>
      <c r="E210" s="43" t="s">
        <v>89</v>
      </c>
      <c r="F210" s="43" t="s">
        <v>90</v>
      </c>
      <c r="G210" s="44" t="s">
        <v>29</v>
      </c>
      <c r="H210" s="70">
        <v>1</v>
      </c>
      <c r="I210" s="71">
        <f t="shared" si="6"/>
        <v>10</v>
      </c>
      <c r="J210" s="72" t="s">
        <v>16</v>
      </c>
      <c r="K210" s="73">
        <v>253000</v>
      </c>
      <c r="L210" s="73">
        <f t="shared" si="7"/>
        <v>2530000</v>
      </c>
      <c r="M210" s="74" t="s">
        <v>370</v>
      </c>
      <c r="N210" s="75"/>
      <c r="O210" s="76"/>
      <c r="P210" s="45"/>
      <c r="Q210" s="23"/>
    </row>
    <row r="211" spans="2:17" s="40" customFormat="1" ht="24.95" customHeight="1">
      <c r="B211" s="46">
        <v>217</v>
      </c>
      <c r="C211" s="42" t="s">
        <v>87</v>
      </c>
      <c r="D211" s="42" t="s">
        <v>190</v>
      </c>
      <c r="E211" s="43" t="s">
        <v>96</v>
      </c>
      <c r="F211" s="43" t="s">
        <v>321</v>
      </c>
      <c r="G211" s="44" t="s">
        <v>223</v>
      </c>
      <c r="H211" s="70">
        <v>1</v>
      </c>
      <c r="I211" s="71">
        <f t="shared" si="6"/>
        <v>10</v>
      </c>
      <c r="J211" s="72" t="s">
        <v>16</v>
      </c>
      <c r="K211" s="73">
        <v>29100</v>
      </c>
      <c r="L211" s="73">
        <f t="shared" si="7"/>
        <v>291000</v>
      </c>
      <c r="M211" s="74" t="s">
        <v>370</v>
      </c>
      <c r="N211" s="75"/>
      <c r="O211" s="76"/>
      <c r="P211" s="45"/>
      <c r="Q211" s="23"/>
    </row>
    <row r="212" spans="2:17" s="40" customFormat="1" ht="24.95" customHeight="1">
      <c r="B212" s="46">
        <v>218</v>
      </c>
      <c r="C212" s="42" t="s">
        <v>87</v>
      </c>
      <c r="D212" s="42" t="s">
        <v>190</v>
      </c>
      <c r="E212" s="43" t="s">
        <v>91</v>
      </c>
      <c r="F212" s="43" t="s">
        <v>317</v>
      </c>
      <c r="G212" s="44" t="s">
        <v>223</v>
      </c>
      <c r="H212" s="70">
        <v>1</v>
      </c>
      <c r="I212" s="71">
        <f t="shared" si="6"/>
        <v>10</v>
      </c>
      <c r="J212" s="72" t="s">
        <v>16</v>
      </c>
      <c r="K212" s="73">
        <v>24800</v>
      </c>
      <c r="L212" s="73">
        <f t="shared" si="7"/>
        <v>248000</v>
      </c>
      <c r="M212" s="74" t="s">
        <v>370</v>
      </c>
      <c r="N212" s="75"/>
      <c r="O212" s="76"/>
      <c r="P212" s="45"/>
      <c r="Q212" s="23"/>
    </row>
    <row r="213" spans="2:17" s="40" customFormat="1" ht="24.95" customHeight="1">
      <c r="B213" s="46">
        <v>219</v>
      </c>
      <c r="C213" s="42" t="s">
        <v>87</v>
      </c>
      <c r="D213" s="42" t="s">
        <v>190</v>
      </c>
      <c r="E213" s="43" t="s">
        <v>63</v>
      </c>
      <c r="F213" s="43" t="s">
        <v>409</v>
      </c>
      <c r="G213" s="44" t="s">
        <v>398</v>
      </c>
      <c r="H213" s="70">
        <v>2</v>
      </c>
      <c r="I213" s="71">
        <f t="shared" si="6"/>
        <v>20</v>
      </c>
      <c r="J213" s="72" t="s">
        <v>16</v>
      </c>
      <c r="K213" s="73">
        <v>93750</v>
      </c>
      <c r="L213" s="73">
        <f t="shared" si="7"/>
        <v>1875000</v>
      </c>
      <c r="M213" s="74" t="s">
        <v>519</v>
      </c>
      <c r="N213" s="75"/>
      <c r="O213" s="76"/>
      <c r="P213" s="45"/>
      <c r="Q213" s="23"/>
    </row>
    <row r="214" spans="2:17" s="40" customFormat="1" ht="24.95" customHeight="1">
      <c r="B214" s="46">
        <v>221</v>
      </c>
      <c r="C214" s="42" t="s">
        <v>87</v>
      </c>
      <c r="D214" s="42" t="s">
        <v>190</v>
      </c>
      <c r="E214" s="43" t="s">
        <v>66</v>
      </c>
      <c r="F214" s="43" t="s">
        <v>97</v>
      </c>
      <c r="G214" s="44" t="s">
        <v>25</v>
      </c>
      <c r="H214" s="70">
        <v>1</v>
      </c>
      <c r="I214" s="71">
        <f t="shared" si="6"/>
        <v>10</v>
      </c>
      <c r="J214" s="72" t="s">
        <v>16</v>
      </c>
      <c r="K214" s="73">
        <v>29735</v>
      </c>
      <c r="L214" s="73">
        <f t="shared" si="7"/>
        <v>297350</v>
      </c>
      <c r="M214" s="74" t="s">
        <v>365</v>
      </c>
      <c r="N214" s="75"/>
      <c r="O214" s="76"/>
      <c r="P214" s="45"/>
      <c r="Q214" s="23"/>
    </row>
    <row r="215" spans="2:17" s="40" customFormat="1" ht="24.95" customHeight="1">
      <c r="B215" s="46">
        <v>222</v>
      </c>
      <c r="C215" s="42" t="s">
        <v>87</v>
      </c>
      <c r="D215" s="42" t="s">
        <v>190</v>
      </c>
      <c r="E215" s="43" t="s">
        <v>66</v>
      </c>
      <c r="F215" s="43" t="s">
        <v>103</v>
      </c>
      <c r="G215" s="44" t="s">
        <v>25</v>
      </c>
      <c r="H215" s="70">
        <v>1</v>
      </c>
      <c r="I215" s="71">
        <f t="shared" si="6"/>
        <v>10</v>
      </c>
      <c r="J215" s="72" t="s">
        <v>16</v>
      </c>
      <c r="K215" s="73">
        <v>23845</v>
      </c>
      <c r="L215" s="73">
        <f t="shared" si="7"/>
        <v>238450</v>
      </c>
      <c r="M215" s="74" t="s">
        <v>380</v>
      </c>
      <c r="N215" s="75"/>
      <c r="O215" s="76"/>
      <c r="P215" s="45"/>
      <c r="Q215" s="23"/>
    </row>
    <row r="216" spans="2:17" s="40" customFormat="1" ht="24.95" customHeight="1">
      <c r="B216" s="46">
        <v>223</v>
      </c>
      <c r="C216" s="42" t="s">
        <v>87</v>
      </c>
      <c r="D216" s="42" t="s">
        <v>190</v>
      </c>
      <c r="E216" s="43" t="s">
        <v>71</v>
      </c>
      <c r="F216" s="43" t="s">
        <v>98</v>
      </c>
      <c r="G216" s="44" t="s">
        <v>214</v>
      </c>
      <c r="H216" s="70">
        <v>1</v>
      </c>
      <c r="I216" s="71">
        <f t="shared" si="6"/>
        <v>10</v>
      </c>
      <c r="J216" s="72" t="s">
        <v>16</v>
      </c>
      <c r="K216" s="73">
        <v>5800</v>
      </c>
      <c r="L216" s="73">
        <f t="shared" si="7"/>
        <v>58000</v>
      </c>
      <c r="M216" s="74" t="s">
        <v>368</v>
      </c>
      <c r="N216" s="75"/>
      <c r="O216" s="76"/>
      <c r="P216" s="45"/>
      <c r="Q216" s="23"/>
    </row>
    <row r="217" spans="2:17" s="40" customFormat="1" ht="24.95" customHeight="1">
      <c r="B217" s="46">
        <v>224</v>
      </c>
      <c r="C217" s="42" t="s">
        <v>87</v>
      </c>
      <c r="D217" s="42" t="s">
        <v>190</v>
      </c>
      <c r="E217" s="43" t="s">
        <v>79</v>
      </c>
      <c r="F217" s="43" t="s">
        <v>99</v>
      </c>
      <c r="G217" s="44" t="s">
        <v>25</v>
      </c>
      <c r="H217" s="70">
        <v>1</v>
      </c>
      <c r="I217" s="71">
        <f t="shared" si="6"/>
        <v>10</v>
      </c>
      <c r="J217" s="72" t="s">
        <v>16</v>
      </c>
      <c r="K217" s="73">
        <v>5966</v>
      </c>
      <c r="L217" s="73">
        <f t="shared" si="7"/>
        <v>59660</v>
      </c>
      <c r="M217" s="74" t="s">
        <v>380</v>
      </c>
      <c r="N217" s="75"/>
      <c r="O217" s="76"/>
      <c r="P217" s="45"/>
      <c r="Q217" s="23"/>
    </row>
    <row r="218" spans="2:17" s="40" customFormat="1" ht="24.95" customHeight="1">
      <c r="B218" s="46">
        <v>225</v>
      </c>
      <c r="C218" s="42" t="s">
        <v>87</v>
      </c>
      <c r="D218" s="42" t="s">
        <v>190</v>
      </c>
      <c r="E218" s="43" t="s">
        <v>94</v>
      </c>
      <c r="F218" s="43" t="s">
        <v>167</v>
      </c>
      <c r="G218" s="44" t="s">
        <v>171</v>
      </c>
      <c r="H218" s="70">
        <v>1</v>
      </c>
      <c r="I218" s="71">
        <f t="shared" si="6"/>
        <v>10</v>
      </c>
      <c r="J218" s="72" t="s">
        <v>16</v>
      </c>
      <c r="K218" s="73">
        <v>198000</v>
      </c>
      <c r="L218" s="73">
        <f t="shared" si="7"/>
        <v>1980000</v>
      </c>
      <c r="M218" s="74" t="s">
        <v>377</v>
      </c>
      <c r="N218" s="75"/>
      <c r="O218" s="76"/>
      <c r="P218" s="45"/>
      <c r="Q218" s="23"/>
    </row>
    <row r="219" spans="2:17" s="40" customFormat="1" ht="24.95" customHeight="1">
      <c r="B219" s="46">
        <v>226</v>
      </c>
      <c r="C219" s="42" t="s">
        <v>87</v>
      </c>
      <c r="D219" s="42" t="s">
        <v>190</v>
      </c>
      <c r="E219" s="43" t="s">
        <v>334</v>
      </c>
      <c r="F219" s="43" t="s">
        <v>362</v>
      </c>
      <c r="G219" s="44" t="s">
        <v>32</v>
      </c>
      <c r="H219" s="70">
        <v>1</v>
      </c>
      <c r="I219" s="71">
        <f t="shared" si="6"/>
        <v>10</v>
      </c>
      <c r="J219" s="72" t="s">
        <v>16</v>
      </c>
      <c r="K219" s="73">
        <v>69000</v>
      </c>
      <c r="L219" s="73">
        <f t="shared" si="7"/>
        <v>690000</v>
      </c>
      <c r="M219" s="74" t="s">
        <v>365</v>
      </c>
      <c r="N219" s="75"/>
      <c r="O219" s="76"/>
      <c r="P219" s="45"/>
      <c r="Q219" s="23"/>
    </row>
    <row r="220" spans="2:17" s="40" customFormat="1" ht="24.95" customHeight="1">
      <c r="B220" s="46">
        <v>227</v>
      </c>
      <c r="C220" s="42" t="s">
        <v>87</v>
      </c>
      <c r="D220" s="42" t="s">
        <v>190</v>
      </c>
      <c r="E220" s="43" t="s">
        <v>191</v>
      </c>
      <c r="F220" s="43" t="s">
        <v>310</v>
      </c>
      <c r="G220" s="44" t="s">
        <v>29</v>
      </c>
      <c r="H220" s="70">
        <v>1</v>
      </c>
      <c r="I220" s="71">
        <f t="shared" si="6"/>
        <v>10</v>
      </c>
      <c r="J220" s="72" t="s">
        <v>16</v>
      </c>
      <c r="K220" s="73">
        <v>255000</v>
      </c>
      <c r="L220" s="73">
        <f t="shared" si="7"/>
        <v>2550000</v>
      </c>
      <c r="M220" s="74" t="s">
        <v>370</v>
      </c>
      <c r="N220" s="75"/>
      <c r="O220" s="76"/>
      <c r="P220" s="45"/>
      <c r="Q220" s="23"/>
    </row>
    <row r="221" spans="2:17" s="40" customFormat="1" ht="24.95" customHeight="1">
      <c r="B221" s="46">
        <v>228</v>
      </c>
      <c r="C221" s="42" t="s">
        <v>87</v>
      </c>
      <c r="D221" s="42" t="s">
        <v>190</v>
      </c>
      <c r="E221" s="43" t="s">
        <v>89</v>
      </c>
      <c r="F221" s="43" t="s">
        <v>90</v>
      </c>
      <c r="G221" s="44" t="s">
        <v>29</v>
      </c>
      <c r="H221" s="70">
        <v>1</v>
      </c>
      <c r="I221" s="71">
        <f t="shared" si="6"/>
        <v>10</v>
      </c>
      <c r="J221" s="72" t="s">
        <v>16</v>
      </c>
      <c r="K221" s="73">
        <v>253000</v>
      </c>
      <c r="L221" s="73">
        <f t="shared" si="7"/>
        <v>2530000</v>
      </c>
      <c r="M221" s="74" t="s">
        <v>370</v>
      </c>
      <c r="N221" s="75"/>
      <c r="O221" s="76"/>
      <c r="P221" s="45"/>
      <c r="Q221" s="23"/>
    </row>
    <row r="222" spans="2:17" s="40" customFormat="1" ht="24.95" customHeight="1">
      <c r="B222" s="46">
        <v>229</v>
      </c>
      <c r="C222" s="42" t="s">
        <v>87</v>
      </c>
      <c r="D222" s="42" t="s">
        <v>190</v>
      </c>
      <c r="E222" s="43" t="s">
        <v>96</v>
      </c>
      <c r="F222" s="43" t="s">
        <v>322</v>
      </c>
      <c r="G222" s="44" t="s">
        <v>223</v>
      </c>
      <c r="H222" s="70">
        <v>1</v>
      </c>
      <c r="I222" s="71">
        <f t="shared" si="6"/>
        <v>10</v>
      </c>
      <c r="J222" s="72" t="s">
        <v>16</v>
      </c>
      <c r="K222" s="73">
        <v>33000</v>
      </c>
      <c r="L222" s="73">
        <f t="shared" si="7"/>
        <v>330000</v>
      </c>
      <c r="M222" s="74" t="s">
        <v>370</v>
      </c>
      <c r="N222" s="75"/>
      <c r="O222" s="76"/>
      <c r="P222" s="45"/>
      <c r="Q222" s="23"/>
    </row>
    <row r="223" spans="2:17" s="40" customFormat="1" ht="24.95" customHeight="1">
      <c r="B223" s="46">
        <v>230</v>
      </c>
      <c r="C223" s="42" t="s">
        <v>87</v>
      </c>
      <c r="D223" s="42" t="s">
        <v>190</v>
      </c>
      <c r="E223" s="43" t="s">
        <v>91</v>
      </c>
      <c r="F223" s="43" t="s">
        <v>318</v>
      </c>
      <c r="G223" s="44" t="s">
        <v>223</v>
      </c>
      <c r="H223" s="70">
        <v>1</v>
      </c>
      <c r="I223" s="71">
        <f t="shared" si="6"/>
        <v>10</v>
      </c>
      <c r="J223" s="72" t="s">
        <v>16</v>
      </c>
      <c r="K223" s="73">
        <v>28000</v>
      </c>
      <c r="L223" s="73">
        <f t="shared" si="7"/>
        <v>280000</v>
      </c>
      <c r="M223" s="74" t="s">
        <v>370</v>
      </c>
      <c r="N223" s="75"/>
      <c r="O223" s="76"/>
      <c r="P223" s="45"/>
      <c r="Q223" s="23"/>
    </row>
    <row r="224" spans="2:17" s="40" customFormat="1" ht="24.95" customHeight="1">
      <c r="B224" s="46">
        <v>231</v>
      </c>
      <c r="C224" s="42" t="s">
        <v>87</v>
      </c>
      <c r="D224" s="42" t="s">
        <v>190</v>
      </c>
      <c r="E224" s="43" t="s">
        <v>100</v>
      </c>
      <c r="F224" s="43" t="s">
        <v>325</v>
      </c>
      <c r="G224" s="44" t="s">
        <v>223</v>
      </c>
      <c r="H224" s="70">
        <v>1</v>
      </c>
      <c r="I224" s="71">
        <f t="shared" si="6"/>
        <v>10</v>
      </c>
      <c r="J224" s="72" t="s">
        <v>16</v>
      </c>
      <c r="K224" s="73">
        <v>19200</v>
      </c>
      <c r="L224" s="73">
        <f t="shared" si="7"/>
        <v>192000</v>
      </c>
      <c r="M224" s="74" t="s">
        <v>370</v>
      </c>
      <c r="N224" s="75"/>
      <c r="O224" s="76"/>
      <c r="P224" s="45"/>
      <c r="Q224" s="23"/>
    </row>
    <row r="225" spans="2:17" s="40" customFormat="1" ht="24.95" customHeight="1">
      <c r="B225" s="46">
        <v>232</v>
      </c>
      <c r="C225" s="42" t="s">
        <v>87</v>
      </c>
      <c r="D225" s="42" t="s">
        <v>190</v>
      </c>
      <c r="E225" s="43" t="s">
        <v>63</v>
      </c>
      <c r="F225" s="43" t="s">
        <v>410</v>
      </c>
      <c r="G225" s="44" t="s">
        <v>397</v>
      </c>
      <c r="H225" s="70">
        <v>1</v>
      </c>
      <c r="I225" s="71">
        <f t="shared" si="6"/>
        <v>10</v>
      </c>
      <c r="J225" s="72" t="s">
        <v>16</v>
      </c>
      <c r="K225" s="73">
        <v>33800</v>
      </c>
      <c r="L225" s="73">
        <f t="shared" si="7"/>
        <v>338000</v>
      </c>
      <c r="M225" s="74" t="s">
        <v>519</v>
      </c>
      <c r="N225" s="75"/>
      <c r="O225" s="76"/>
      <c r="P225" s="45"/>
      <c r="Q225" s="23"/>
    </row>
    <row r="226" spans="2:17" s="40" customFormat="1" ht="24.95" customHeight="1">
      <c r="B226" s="46">
        <v>233</v>
      </c>
      <c r="C226" s="42" t="s">
        <v>87</v>
      </c>
      <c r="D226" s="42" t="s">
        <v>190</v>
      </c>
      <c r="E226" s="43" t="s">
        <v>63</v>
      </c>
      <c r="F226" s="43" t="s">
        <v>411</v>
      </c>
      <c r="G226" s="44" t="s">
        <v>397</v>
      </c>
      <c r="H226" s="70">
        <v>1</v>
      </c>
      <c r="I226" s="71">
        <f t="shared" si="6"/>
        <v>10</v>
      </c>
      <c r="J226" s="72" t="s">
        <v>16</v>
      </c>
      <c r="K226" s="73">
        <v>24500</v>
      </c>
      <c r="L226" s="73">
        <f t="shared" si="7"/>
        <v>245000</v>
      </c>
      <c r="M226" s="74" t="s">
        <v>519</v>
      </c>
      <c r="N226" s="75"/>
      <c r="O226" s="76"/>
      <c r="P226" s="45"/>
      <c r="Q226" s="23"/>
    </row>
    <row r="227" spans="2:17" s="40" customFormat="1" ht="24.95" customHeight="1">
      <c r="B227" s="46">
        <v>234</v>
      </c>
      <c r="C227" s="42" t="s">
        <v>87</v>
      </c>
      <c r="D227" s="42" t="s">
        <v>190</v>
      </c>
      <c r="E227" s="43" t="s">
        <v>71</v>
      </c>
      <c r="F227" s="43" t="s">
        <v>98</v>
      </c>
      <c r="G227" s="44" t="s">
        <v>214</v>
      </c>
      <c r="H227" s="70">
        <v>1</v>
      </c>
      <c r="I227" s="71">
        <f t="shared" si="6"/>
        <v>10</v>
      </c>
      <c r="J227" s="72" t="s">
        <v>16</v>
      </c>
      <c r="K227" s="73">
        <v>5800</v>
      </c>
      <c r="L227" s="73">
        <f t="shared" si="7"/>
        <v>58000</v>
      </c>
      <c r="M227" s="74" t="s">
        <v>368</v>
      </c>
      <c r="N227" s="75"/>
      <c r="O227" s="76"/>
      <c r="P227" s="45"/>
      <c r="Q227" s="23"/>
    </row>
    <row r="228" spans="2:17" s="40" customFormat="1" ht="24.95" customHeight="1">
      <c r="B228" s="46">
        <v>235</v>
      </c>
      <c r="C228" s="42" t="s">
        <v>87</v>
      </c>
      <c r="D228" s="42" t="s">
        <v>190</v>
      </c>
      <c r="E228" s="43" t="s">
        <v>79</v>
      </c>
      <c r="F228" s="43" t="s">
        <v>99</v>
      </c>
      <c r="G228" s="44" t="s">
        <v>25</v>
      </c>
      <c r="H228" s="70">
        <v>1</v>
      </c>
      <c r="I228" s="71">
        <f t="shared" si="6"/>
        <v>10</v>
      </c>
      <c r="J228" s="72" t="s">
        <v>16</v>
      </c>
      <c r="K228" s="73">
        <v>5966</v>
      </c>
      <c r="L228" s="73">
        <f t="shared" si="7"/>
        <v>59660</v>
      </c>
      <c r="M228" s="74" t="s">
        <v>380</v>
      </c>
      <c r="N228" s="75"/>
      <c r="O228" s="76"/>
      <c r="P228" s="45"/>
      <c r="Q228" s="23"/>
    </row>
    <row r="229" spans="2:17" s="40" customFormat="1" ht="24.95" customHeight="1">
      <c r="B229" s="46">
        <v>236</v>
      </c>
      <c r="C229" s="42" t="s">
        <v>87</v>
      </c>
      <c r="D229" s="42" t="s">
        <v>190</v>
      </c>
      <c r="E229" s="43" t="s">
        <v>396</v>
      </c>
      <c r="F229" s="43" t="s">
        <v>230</v>
      </c>
      <c r="G229" s="44" t="s">
        <v>192</v>
      </c>
      <c r="H229" s="70">
        <v>1</v>
      </c>
      <c r="I229" s="71">
        <f t="shared" si="6"/>
        <v>10</v>
      </c>
      <c r="J229" s="72" t="s">
        <v>16</v>
      </c>
      <c r="K229" s="73">
        <v>290000</v>
      </c>
      <c r="L229" s="73">
        <f t="shared" si="7"/>
        <v>2900000</v>
      </c>
      <c r="M229" s="74" t="s">
        <v>366</v>
      </c>
      <c r="N229" s="75"/>
      <c r="O229" s="76"/>
      <c r="P229" s="45"/>
      <c r="Q229" s="23"/>
    </row>
    <row r="230" spans="2:17" s="40" customFormat="1" ht="24.95" customHeight="1">
      <c r="B230" s="46">
        <v>237</v>
      </c>
      <c r="C230" s="42" t="s">
        <v>87</v>
      </c>
      <c r="D230" s="42" t="s">
        <v>190</v>
      </c>
      <c r="E230" s="43" t="s">
        <v>136</v>
      </c>
      <c r="F230" s="43" t="s">
        <v>260</v>
      </c>
      <c r="G230" s="44" t="s">
        <v>24</v>
      </c>
      <c r="H230" s="70">
        <v>8</v>
      </c>
      <c r="I230" s="71">
        <f t="shared" si="6"/>
        <v>80</v>
      </c>
      <c r="J230" s="72" t="s">
        <v>16</v>
      </c>
      <c r="K230" s="73">
        <v>3600</v>
      </c>
      <c r="L230" s="73">
        <f t="shared" si="7"/>
        <v>288000</v>
      </c>
      <c r="M230" s="74" t="s">
        <v>370</v>
      </c>
      <c r="N230" s="75"/>
      <c r="O230" s="76"/>
      <c r="P230" s="45"/>
      <c r="Q230" s="23"/>
    </row>
    <row r="231" spans="2:17" s="40" customFormat="1" ht="24.95" customHeight="1">
      <c r="B231" s="46">
        <v>238</v>
      </c>
      <c r="C231" s="42" t="s">
        <v>87</v>
      </c>
      <c r="D231" s="42" t="s">
        <v>190</v>
      </c>
      <c r="E231" s="43" t="s">
        <v>184</v>
      </c>
      <c r="F231" s="43" t="s">
        <v>393</v>
      </c>
      <c r="G231" s="44" t="s">
        <v>24</v>
      </c>
      <c r="H231" s="70">
        <v>1</v>
      </c>
      <c r="I231" s="71">
        <f t="shared" si="6"/>
        <v>10</v>
      </c>
      <c r="J231" s="72" t="s">
        <v>16</v>
      </c>
      <c r="K231" s="73">
        <v>8670</v>
      </c>
      <c r="L231" s="73">
        <f t="shared" si="7"/>
        <v>86700</v>
      </c>
      <c r="M231" s="74" t="s">
        <v>370</v>
      </c>
      <c r="N231" s="75"/>
      <c r="O231" s="76"/>
      <c r="P231" s="45"/>
      <c r="Q231" s="23"/>
    </row>
    <row r="232" spans="2:17" s="40" customFormat="1" ht="24.95" customHeight="1">
      <c r="B232" s="46">
        <v>239</v>
      </c>
      <c r="C232" s="42" t="s">
        <v>87</v>
      </c>
      <c r="D232" s="42" t="s">
        <v>190</v>
      </c>
      <c r="E232" s="43" t="s">
        <v>80</v>
      </c>
      <c r="F232" s="43" t="s">
        <v>255</v>
      </c>
      <c r="G232" s="44" t="s">
        <v>24</v>
      </c>
      <c r="H232" s="70">
        <v>1</v>
      </c>
      <c r="I232" s="71">
        <f t="shared" si="6"/>
        <v>10</v>
      </c>
      <c r="J232" s="72" t="s">
        <v>16</v>
      </c>
      <c r="K232" s="73">
        <v>220800</v>
      </c>
      <c r="L232" s="73">
        <f t="shared" si="7"/>
        <v>2208000</v>
      </c>
      <c r="M232" s="74" t="s">
        <v>370</v>
      </c>
      <c r="N232" s="75"/>
      <c r="O232" s="76"/>
      <c r="P232" s="45"/>
      <c r="Q232" s="23"/>
    </row>
    <row r="233" spans="2:17" s="40" customFormat="1" ht="24.95" customHeight="1">
      <c r="B233" s="46">
        <v>240</v>
      </c>
      <c r="C233" s="42" t="s">
        <v>87</v>
      </c>
      <c r="D233" s="42" t="s">
        <v>190</v>
      </c>
      <c r="E233" s="43" t="s">
        <v>334</v>
      </c>
      <c r="F233" s="43" t="s">
        <v>363</v>
      </c>
      <c r="G233" s="44" t="s">
        <v>32</v>
      </c>
      <c r="H233" s="70">
        <v>1</v>
      </c>
      <c r="I233" s="71">
        <f t="shared" si="6"/>
        <v>10</v>
      </c>
      <c r="J233" s="72" t="s">
        <v>16</v>
      </c>
      <c r="K233" s="73">
        <v>33000</v>
      </c>
      <c r="L233" s="73">
        <f t="shared" si="7"/>
        <v>330000</v>
      </c>
      <c r="M233" s="74" t="s">
        <v>365</v>
      </c>
      <c r="N233" s="75"/>
      <c r="O233" s="76"/>
      <c r="P233" s="45"/>
      <c r="Q233" s="23"/>
    </row>
    <row r="234" spans="2:17" s="40" customFormat="1" ht="24.95" customHeight="1">
      <c r="B234" s="46">
        <v>241</v>
      </c>
      <c r="C234" s="42" t="s">
        <v>87</v>
      </c>
      <c r="D234" s="42" t="s">
        <v>190</v>
      </c>
      <c r="E234" s="43" t="s">
        <v>76</v>
      </c>
      <c r="F234" s="43" t="s">
        <v>385</v>
      </c>
      <c r="G234" s="44" t="s">
        <v>25</v>
      </c>
      <c r="H234" s="70">
        <v>1</v>
      </c>
      <c r="I234" s="71">
        <f t="shared" si="6"/>
        <v>10</v>
      </c>
      <c r="J234" s="72" t="s">
        <v>16</v>
      </c>
      <c r="K234" s="73">
        <v>119043</v>
      </c>
      <c r="L234" s="73">
        <f t="shared" si="7"/>
        <v>1190430</v>
      </c>
      <c r="M234" s="74" t="s">
        <v>370</v>
      </c>
      <c r="N234" s="75"/>
      <c r="O234" s="76"/>
      <c r="P234" s="45"/>
      <c r="Q234" s="23"/>
    </row>
    <row r="235" spans="2:17" s="40" customFormat="1" ht="24.95" customHeight="1">
      <c r="B235" s="46">
        <v>243</v>
      </c>
      <c r="C235" s="42" t="s">
        <v>87</v>
      </c>
      <c r="D235" s="42" t="s">
        <v>190</v>
      </c>
      <c r="E235" s="43" t="s">
        <v>333</v>
      </c>
      <c r="F235" s="43" t="s">
        <v>217</v>
      </c>
      <c r="G235" s="44" t="s">
        <v>65</v>
      </c>
      <c r="H235" s="70">
        <v>1</v>
      </c>
      <c r="I235" s="71">
        <f t="shared" si="6"/>
        <v>10</v>
      </c>
      <c r="J235" s="72" t="s">
        <v>16</v>
      </c>
      <c r="K235" s="73">
        <v>151000</v>
      </c>
      <c r="L235" s="73">
        <f t="shared" si="7"/>
        <v>1510000</v>
      </c>
      <c r="M235" s="74" t="s">
        <v>371</v>
      </c>
      <c r="N235" s="75"/>
      <c r="O235" s="76"/>
      <c r="P235" s="45"/>
      <c r="Q235" s="23"/>
    </row>
    <row r="236" spans="2:17" s="40" customFormat="1" ht="24.95" customHeight="1">
      <c r="B236" s="46">
        <v>244</v>
      </c>
      <c r="C236" s="42" t="s">
        <v>87</v>
      </c>
      <c r="D236" s="42" t="s">
        <v>190</v>
      </c>
      <c r="E236" s="43" t="s">
        <v>101</v>
      </c>
      <c r="F236" s="43" t="s">
        <v>102</v>
      </c>
      <c r="G236" s="44" t="s">
        <v>25</v>
      </c>
      <c r="H236" s="70">
        <v>1</v>
      </c>
      <c r="I236" s="71">
        <f t="shared" si="6"/>
        <v>10</v>
      </c>
      <c r="J236" s="72" t="s">
        <v>16</v>
      </c>
      <c r="K236" s="73">
        <v>17100</v>
      </c>
      <c r="L236" s="73">
        <f t="shared" si="7"/>
        <v>171000</v>
      </c>
      <c r="M236" s="74" t="s">
        <v>370</v>
      </c>
      <c r="N236" s="75"/>
      <c r="O236" s="76"/>
      <c r="P236" s="45"/>
      <c r="Q236" s="23"/>
    </row>
    <row r="237" spans="2:17" s="40" customFormat="1" ht="24.95" customHeight="1">
      <c r="B237" s="46">
        <v>245</v>
      </c>
      <c r="C237" s="42" t="s">
        <v>87</v>
      </c>
      <c r="D237" s="42" t="s">
        <v>190</v>
      </c>
      <c r="E237" s="43" t="s">
        <v>196</v>
      </c>
      <c r="F237" s="43" t="s">
        <v>105</v>
      </c>
      <c r="G237" s="44" t="s">
        <v>232</v>
      </c>
      <c r="H237" s="70">
        <v>1</v>
      </c>
      <c r="I237" s="71">
        <f t="shared" si="6"/>
        <v>10</v>
      </c>
      <c r="J237" s="72" t="s">
        <v>16</v>
      </c>
      <c r="K237" s="73">
        <v>2550000</v>
      </c>
      <c r="L237" s="73">
        <f t="shared" si="7"/>
        <v>25500000</v>
      </c>
      <c r="M237" s="74" t="s">
        <v>235</v>
      </c>
      <c r="N237" s="75" t="s">
        <v>234</v>
      </c>
      <c r="O237" s="76"/>
      <c r="P237" s="45"/>
      <c r="Q237" s="23"/>
    </row>
    <row r="238" spans="2:17" s="40" customFormat="1" ht="24.95" customHeight="1">
      <c r="B238" s="46">
        <v>246</v>
      </c>
      <c r="C238" s="42" t="s">
        <v>87</v>
      </c>
      <c r="D238" s="42" t="s">
        <v>190</v>
      </c>
      <c r="E238" s="43" t="s">
        <v>197</v>
      </c>
      <c r="F238" s="43" t="s">
        <v>106</v>
      </c>
      <c r="G238" s="44" t="s">
        <v>221</v>
      </c>
      <c r="H238" s="70">
        <v>1</v>
      </c>
      <c r="I238" s="71">
        <f t="shared" si="6"/>
        <v>10</v>
      </c>
      <c r="J238" s="72" t="s">
        <v>16</v>
      </c>
      <c r="K238" s="73">
        <v>440000</v>
      </c>
      <c r="L238" s="73">
        <f t="shared" si="7"/>
        <v>4400000</v>
      </c>
      <c r="M238" s="74" t="s">
        <v>235</v>
      </c>
      <c r="N238" s="75" t="s">
        <v>234</v>
      </c>
      <c r="O238" s="76"/>
      <c r="P238" s="45"/>
      <c r="Q238" s="23"/>
    </row>
    <row r="239" spans="2:17" s="40" customFormat="1" ht="24.95" customHeight="1">
      <c r="B239" s="46">
        <v>247</v>
      </c>
      <c r="C239" s="42" t="s">
        <v>87</v>
      </c>
      <c r="D239" s="42" t="s">
        <v>190</v>
      </c>
      <c r="E239" s="43" t="s">
        <v>107</v>
      </c>
      <c r="F239" s="43" t="s">
        <v>193</v>
      </c>
      <c r="G239" s="44" t="s">
        <v>232</v>
      </c>
      <c r="H239" s="70">
        <v>1</v>
      </c>
      <c r="I239" s="71">
        <f t="shared" si="6"/>
        <v>10</v>
      </c>
      <c r="J239" s="72" t="s">
        <v>16</v>
      </c>
      <c r="K239" s="73">
        <v>75000</v>
      </c>
      <c r="L239" s="73">
        <f t="shared" si="7"/>
        <v>750000</v>
      </c>
      <c r="M239" s="74" t="s">
        <v>235</v>
      </c>
      <c r="N239" s="75" t="s">
        <v>234</v>
      </c>
      <c r="O239" s="76"/>
      <c r="P239" s="45"/>
      <c r="Q239" s="23"/>
    </row>
    <row r="240" spans="2:17" s="40" customFormat="1" ht="24.95" customHeight="1">
      <c r="B240" s="46">
        <v>248</v>
      </c>
      <c r="C240" s="42" t="s">
        <v>87</v>
      </c>
      <c r="D240" s="42" t="s">
        <v>190</v>
      </c>
      <c r="E240" s="43" t="s">
        <v>108</v>
      </c>
      <c r="F240" s="43" t="s">
        <v>194</v>
      </c>
      <c r="G240" s="44" t="s">
        <v>232</v>
      </c>
      <c r="H240" s="70">
        <v>1</v>
      </c>
      <c r="I240" s="71">
        <f t="shared" si="6"/>
        <v>10</v>
      </c>
      <c r="J240" s="72" t="s">
        <v>16</v>
      </c>
      <c r="K240" s="73">
        <v>115800</v>
      </c>
      <c r="L240" s="73">
        <f t="shared" si="7"/>
        <v>1158000</v>
      </c>
      <c r="M240" s="74" t="s">
        <v>235</v>
      </c>
      <c r="N240" s="75" t="s">
        <v>234</v>
      </c>
      <c r="O240" s="76"/>
      <c r="P240" s="45"/>
      <c r="Q240" s="23"/>
    </row>
    <row r="241" spans="2:17" s="40" customFormat="1" ht="24.95" customHeight="1">
      <c r="B241" s="46" t="s">
        <v>376</v>
      </c>
      <c r="C241" s="42" t="s">
        <v>87</v>
      </c>
      <c r="D241" s="42" t="s">
        <v>190</v>
      </c>
      <c r="E241" s="43" t="s">
        <v>104</v>
      </c>
      <c r="F241" s="43" t="s">
        <v>383</v>
      </c>
      <c r="G241" s="44" t="s">
        <v>382</v>
      </c>
      <c r="H241" s="70">
        <v>1</v>
      </c>
      <c r="I241" s="71">
        <f t="shared" si="6"/>
        <v>10</v>
      </c>
      <c r="J241" s="72" t="s">
        <v>16</v>
      </c>
      <c r="K241" s="73">
        <v>5430</v>
      </c>
      <c r="L241" s="73">
        <f t="shared" si="7"/>
        <v>54300</v>
      </c>
      <c r="M241" s="74" t="s">
        <v>370</v>
      </c>
      <c r="N241" s="75"/>
      <c r="O241" s="76"/>
      <c r="P241" s="45"/>
      <c r="Q241" s="23"/>
    </row>
    <row r="242" spans="2:17" s="40" customFormat="1" ht="24.95" customHeight="1">
      <c r="B242" s="46">
        <v>251</v>
      </c>
      <c r="C242" s="42" t="s">
        <v>87</v>
      </c>
      <c r="D242" s="42" t="s">
        <v>190</v>
      </c>
      <c r="E242" s="43" t="s">
        <v>109</v>
      </c>
      <c r="F242" s="43" t="s">
        <v>256</v>
      </c>
      <c r="G242" s="44" t="s">
        <v>24</v>
      </c>
      <c r="H242" s="70">
        <v>1</v>
      </c>
      <c r="I242" s="71">
        <f t="shared" si="6"/>
        <v>10</v>
      </c>
      <c r="J242" s="72" t="s">
        <v>16</v>
      </c>
      <c r="K242" s="73">
        <v>1300</v>
      </c>
      <c r="L242" s="73">
        <f t="shared" si="7"/>
        <v>13000</v>
      </c>
      <c r="M242" s="74" t="s">
        <v>370</v>
      </c>
      <c r="N242" s="75"/>
      <c r="O242" s="76"/>
      <c r="P242" s="45"/>
      <c r="Q242" s="23"/>
    </row>
    <row r="243" spans="2:17" s="40" customFormat="1" ht="24.95" customHeight="1">
      <c r="B243" s="46">
        <v>252</v>
      </c>
      <c r="C243" s="42" t="s">
        <v>87</v>
      </c>
      <c r="D243" s="42" t="s">
        <v>190</v>
      </c>
      <c r="E243" s="43" t="s">
        <v>195</v>
      </c>
      <c r="F243" s="43" t="s">
        <v>276</v>
      </c>
      <c r="G243" s="44" t="s">
        <v>24</v>
      </c>
      <c r="H243" s="70">
        <v>1</v>
      </c>
      <c r="I243" s="71">
        <f t="shared" ref="I243:I347" si="8">H243*$H$5</f>
        <v>10</v>
      </c>
      <c r="J243" s="72" t="s">
        <v>16</v>
      </c>
      <c r="K243" s="73">
        <v>8000</v>
      </c>
      <c r="L243" s="73">
        <f t="shared" si="7"/>
        <v>80000</v>
      </c>
      <c r="M243" s="74" t="s">
        <v>370</v>
      </c>
      <c r="N243" s="75"/>
      <c r="O243" s="76"/>
      <c r="P243" s="45"/>
      <c r="Q243" s="23"/>
    </row>
    <row r="244" spans="2:17" s="40" customFormat="1" ht="24.95" customHeight="1">
      <c r="B244" s="46">
        <v>253</v>
      </c>
      <c r="C244" s="42" t="s">
        <v>87</v>
      </c>
      <c r="D244" s="42" t="s">
        <v>190</v>
      </c>
      <c r="E244" s="43" t="s">
        <v>71</v>
      </c>
      <c r="F244" s="43" t="s">
        <v>72</v>
      </c>
      <c r="G244" s="44" t="s">
        <v>214</v>
      </c>
      <c r="H244" s="70">
        <v>2</v>
      </c>
      <c r="I244" s="71">
        <f t="shared" si="8"/>
        <v>20</v>
      </c>
      <c r="J244" s="72" t="s">
        <v>16</v>
      </c>
      <c r="K244" s="73">
        <v>5800</v>
      </c>
      <c r="L244" s="73">
        <f t="shared" si="7"/>
        <v>116000</v>
      </c>
      <c r="M244" s="74" t="s">
        <v>368</v>
      </c>
      <c r="N244" s="75"/>
      <c r="O244" s="76"/>
      <c r="P244" s="45"/>
      <c r="Q244" s="23"/>
    </row>
    <row r="245" spans="2:17" s="40" customFormat="1" ht="24.95" customHeight="1">
      <c r="B245" s="46">
        <v>254</v>
      </c>
      <c r="C245" s="42" t="s">
        <v>87</v>
      </c>
      <c r="D245" s="42" t="s">
        <v>190</v>
      </c>
      <c r="E245" s="43" t="s">
        <v>110</v>
      </c>
      <c r="F245" s="43" t="s">
        <v>111</v>
      </c>
      <c r="G245" s="44" t="s">
        <v>25</v>
      </c>
      <c r="H245" s="70">
        <v>2</v>
      </c>
      <c r="I245" s="71">
        <f t="shared" si="8"/>
        <v>20</v>
      </c>
      <c r="J245" s="72" t="s">
        <v>16</v>
      </c>
      <c r="K245" s="73">
        <v>4948</v>
      </c>
      <c r="L245" s="73">
        <f t="shared" si="7"/>
        <v>98960</v>
      </c>
      <c r="M245" s="74" t="s">
        <v>380</v>
      </c>
      <c r="N245" s="75"/>
      <c r="O245" s="76"/>
      <c r="P245" s="45"/>
      <c r="Q245" s="23"/>
    </row>
    <row r="246" spans="2:17" s="40" customFormat="1" ht="24.95" customHeight="1">
      <c r="B246" s="46">
        <v>255</v>
      </c>
      <c r="C246" s="42" t="s">
        <v>87</v>
      </c>
      <c r="D246" s="42" t="s">
        <v>190</v>
      </c>
      <c r="E246" s="43" t="s">
        <v>63</v>
      </c>
      <c r="F246" s="43" t="s">
        <v>412</v>
      </c>
      <c r="G246" s="44" t="s">
        <v>398</v>
      </c>
      <c r="H246" s="70">
        <v>2</v>
      </c>
      <c r="I246" s="71">
        <f t="shared" si="8"/>
        <v>20</v>
      </c>
      <c r="J246" s="72" t="s">
        <v>16</v>
      </c>
      <c r="K246" s="73">
        <v>17800</v>
      </c>
      <c r="L246" s="73">
        <f t="shared" si="7"/>
        <v>356000</v>
      </c>
      <c r="M246" s="74" t="s">
        <v>519</v>
      </c>
      <c r="N246" s="75"/>
      <c r="O246" s="76"/>
      <c r="P246" s="45"/>
      <c r="Q246" s="23"/>
    </row>
    <row r="247" spans="2:17" s="40" customFormat="1" ht="24.95" customHeight="1">
      <c r="B247" s="46">
        <v>256</v>
      </c>
      <c r="C247" s="42" t="s">
        <v>18</v>
      </c>
      <c r="D247" s="42" t="s">
        <v>198</v>
      </c>
      <c r="E247" s="43" t="s">
        <v>36</v>
      </c>
      <c r="F247" s="43" t="s">
        <v>37</v>
      </c>
      <c r="G247" s="44" t="s">
        <v>177</v>
      </c>
      <c r="H247" s="70">
        <v>16</v>
      </c>
      <c r="I247" s="71">
        <f t="shared" si="8"/>
        <v>160</v>
      </c>
      <c r="J247" s="72" t="s">
        <v>16</v>
      </c>
      <c r="K247" s="73">
        <v>2800</v>
      </c>
      <c r="L247" s="73">
        <f t="shared" si="7"/>
        <v>448000</v>
      </c>
      <c r="M247" s="74" t="s">
        <v>370</v>
      </c>
      <c r="N247" s="75"/>
      <c r="O247" s="76"/>
      <c r="P247" s="45"/>
      <c r="Q247" s="23"/>
    </row>
    <row r="248" spans="2:17" s="40" customFormat="1" ht="24.95" customHeight="1">
      <c r="B248" s="46">
        <v>257</v>
      </c>
      <c r="C248" s="42" t="s">
        <v>18</v>
      </c>
      <c r="D248" s="42" t="s">
        <v>198</v>
      </c>
      <c r="E248" s="43" t="s">
        <v>38</v>
      </c>
      <c r="F248" s="43" t="s">
        <v>39</v>
      </c>
      <c r="G248" s="44" t="s">
        <v>177</v>
      </c>
      <c r="H248" s="70">
        <v>8</v>
      </c>
      <c r="I248" s="71">
        <f t="shared" si="8"/>
        <v>80</v>
      </c>
      <c r="J248" s="72" t="s">
        <v>16</v>
      </c>
      <c r="K248" s="73">
        <v>2800</v>
      </c>
      <c r="L248" s="73">
        <f t="shared" ref="L248:L303" si="9">I248*K248</f>
        <v>224000</v>
      </c>
      <c r="M248" s="74" t="s">
        <v>370</v>
      </c>
      <c r="N248" s="75"/>
      <c r="O248" s="76"/>
      <c r="P248" s="45"/>
      <c r="Q248" s="23"/>
    </row>
    <row r="249" spans="2:17" s="52" customFormat="1" ht="24.95" customHeight="1">
      <c r="B249" s="46">
        <v>258</v>
      </c>
      <c r="C249" s="42" t="s">
        <v>18</v>
      </c>
      <c r="D249" s="42" t="s">
        <v>198</v>
      </c>
      <c r="E249" s="43" t="s">
        <v>40</v>
      </c>
      <c r="F249" s="43" t="s">
        <v>20</v>
      </c>
      <c r="G249" s="44" t="s">
        <v>177</v>
      </c>
      <c r="H249" s="70">
        <v>17</v>
      </c>
      <c r="I249" s="71">
        <f t="shared" si="8"/>
        <v>170</v>
      </c>
      <c r="J249" s="72" t="s">
        <v>16</v>
      </c>
      <c r="K249" s="73">
        <v>3300</v>
      </c>
      <c r="L249" s="73">
        <f t="shared" si="9"/>
        <v>561000</v>
      </c>
      <c r="M249" s="74" t="s">
        <v>370</v>
      </c>
      <c r="N249" s="75"/>
      <c r="O249" s="76"/>
      <c r="P249" s="45"/>
      <c r="Q249" s="36"/>
    </row>
    <row r="250" spans="2:17" s="40" customFormat="1" ht="24.95" customHeight="1">
      <c r="B250" s="46">
        <v>259</v>
      </c>
      <c r="C250" s="42" t="s">
        <v>18</v>
      </c>
      <c r="D250" s="42" t="s">
        <v>198</v>
      </c>
      <c r="E250" s="43" t="s">
        <v>40</v>
      </c>
      <c r="F250" s="43" t="s">
        <v>384</v>
      </c>
      <c r="G250" s="44" t="s">
        <v>25</v>
      </c>
      <c r="H250" s="70">
        <v>12</v>
      </c>
      <c r="I250" s="71">
        <f t="shared" si="8"/>
        <v>120</v>
      </c>
      <c r="J250" s="72" t="s">
        <v>16</v>
      </c>
      <c r="K250" s="73">
        <v>1309</v>
      </c>
      <c r="L250" s="73">
        <f t="shared" si="9"/>
        <v>157080</v>
      </c>
      <c r="M250" s="74" t="s">
        <v>380</v>
      </c>
      <c r="N250" s="75"/>
      <c r="O250" s="76"/>
      <c r="P250" s="45"/>
      <c r="Q250" s="23"/>
    </row>
    <row r="251" spans="2:17" s="52" customFormat="1" ht="24.95" customHeight="1">
      <c r="B251" s="46">
        <v>260</v>
      </c>
      <c r="C251" s="42" t="s">
        <v>18</v>
      </c>
      <c r="D251" s="42" t="s">
        <v>198</v>
      </c>
      <c r="E251" s="43" t="s">
        <v>199</v>
      </c>
      <c r="F251" s="43" t="s">
        <v>329</v>
      </c>
      <c r="G251" s="44" t="s">
        <v>205</v>
      </c>
      <c r="H251" s="70">
        <v>1</v>
      </c>
      <c r="I251" s="71">
        <f t="shared" si="8"/>
        <v>10</v>
      </c>
      <c r="J251" s="72" t="s">
        <v>16</v>
      </c>
      <c r="K251" s="73">
        <v>15100</v>
      </c>
      <c r="L251" s="73">
        <f t="shared" si="9"/>
        <v>151000</v>
      </c>
      <c r="M251" s="74" t="s">
        <v>235</v>
      </c>
      <c r="N251" s="75">
        <v>45923</v>
      </c>
      <c r="O251" s="76"/>
      <c r="P251" s="45"/>
      <c r="Q251" s="36"/>
    </row>
    <row r="252" spans="2:17" s="52" customFormat="1" ht="24.95" customHeight="1">
      <c r="B252" s="46">
        <v>261</v>
      </c>
      <c r="C252" s="42" t="s">
        <v>18</v>
      </c>
      <c r="D252" s="42" t="s">
        <v>198</v>
      </c>
      <c r="E252" s="43" t="s">
        <v>52</v>
      </c>
      <c r="F252" s="43" t="s">
        <v>328</v>
      </c>
      <c r="G252" s="44" t="s">
        <v>53</v>
      </c>
      <c r="H252" s="70">
        <v>8</v>
      </c>
      <c r="I252" s="71">
        <f t="shared" si="8"/>
        <v>80</v>
      </c>
      <c r="J252" s="72" t="s">
        <v>16</v>
      </c>
      <c r="K252" s="73">
        <v>33000</v>
      </c>
      <c r="L252" s="73">
        <f t="shared" si="9"/>
        <v>2640000</v>
      </c>
      <c r="M252" s="74" t="s">
        <v>368</v>
      </c>
      <c r="N252" s="75"/>
      <c r="O252" s="76"/>
      <c r="P252" s="45"/>
      <c r="Q252" s="36"/>
    </row>
    <row r="253" spans="2:17" s="52" customFormat="1" ht="24.95" customHeight="1">
      <c r="B253" s="46">
        <v>262</v>
      </c>
      <c r="C253" s="42" t="s">
        <v>18</v>
      </c>
      <c r="D253" s="42" t="s">
        <v>198</v>
      </c>
      <c r="E253" s="43" t="s">
        <v>200</v>
      </c>
      <c r="F253" s="43" t="s">
        <v>201</v>
      </c>
      <c r="G253" s="44" t="s">
        <v>26</v>
      </c>
      <c r="H253" s="70">
        <v>1</v>
      </c>
      <c r="I253" s="71">
        <f t="shared" si="8"/>
        <v>10</v>
      </c>
      <c r="J253" s="72" t="s">
        <v>16</v>
      </c>
      <c r="K253" s="73">
        <v>315000</v>
      </c>
      <c r="L253" s="73">
        <f t="shared" si="9"/>
        <v>3150000</v>
      </c>
      <c r="M253" s="74" t="s">
        <v>368</v>
      </c>
      <c r="N253" s="75"/>
      <c r="O253" s="76"/>
      <c r="P253" s="45"/>
      <c r="Q253" s="36"/>
    </row>
    <row r="254" spans="2:17" s="52" customFormat="1" ht="24.95" customHeight="1">
      <c r="B254" s="46">
        <v>263</v>
      </c>
      <c r="C254" s="42" t="s">
        <v>18</v>
      </c>
      <c r="D254" s="42" t="s">
        <v>198</v>
      </c>
      <c r="E254" s="43" t="s">
        <v>54</v>
      </c>
      <c r="F254" s="43" t="s">
        <v>22</v>
      </c>
      <c r="G254" s="44" t="s">
        <v>203</v>
      </c>
      <c r="H254" s="70">
        <v>1</v>
      </c>
      <c r="I254" s="71">
        <f t="shared" si="8"/>
        <v>10</v>
      </c>
      <c r="J254" s="72" t="s">
        <v>16</v>
      </c>
      <c r="K254" s="73">
        <v>60000</v>
      </c>
      <c r="L254" s="73">
        <f t="shared" si="9"/>
        <v>600000</v>
      </c>
      <c r="M254" s="74" t="s">
        <v>368</v>
      </c>
      <c r="N254" s="75"/>
      <c r="O254" s="76"/>
      <c r="P254" s="45"/>
      <c r="Q254" s="36"/>
    </row>
    <row r="255" spans="2:17" s="52" customFormat="1" ht="24.95" customHeight="1">
      <c r="B255" s="46">
        <v>264</v>
      </c>
      <c r="C255" s="42" t="s">
        <v>18</v>
      </c>
      <c r="D255" s="42" t="s">
        <v>198</v>
      </c>
      <c r="E255" s="43" t="s">
        <v>55</v>
      </c>
      <c r="F255" s="43" t="s">
        <v>297</v>
      </c>
      <c r="G255" s="44" t="s">
        <v>28</v>
      </c>
      <c r="H255" s="70">
        <v>1</v>
      </c>
      <c r="I255" s="71">
        <f t="shared" si="8"/>
        <v>10</v>
      </c>
      <c r="J255" s="72" t="s">
        <v>16</v>
      </c>
      <c r="K255" s="73">
        <v>21500</v>
      </c>
      <c r="L255" s="73">
        <f t="shared" si="9"/>
        <v>215000</v>
      </c>
      <c r="M255" s="74" t="s">
        <v>370</v>
      </c>
      <c r="N255" s="75"/>
      <c r="O255" s="76"/>
      <c r="P255" s="45"/>
      <c r="Q255" s="36"/>
    </row>
    <row r="256" spans="2:17" s="40" customFormat="1" ht="24.95" customHeight="1">
      <c r="B256" s="46">
        <v>265</v>
      </c>
      <c r="C256" s="42" t="s">
        <v>18</v>
      </c>
      <c r="D256" s="42" t="s">
        <v>198</v>
      </c>
      <c r="E256" s="43" t="s">
        <v>56</v>
      </c>
      <c r="F256" s="43" t="s">
        <v>298</v>
      </c>
      <c r="G256" s="44" t="s">
        <v>27</v>
      </c>
      <c r="H256" s="70">
        <v>1</v>
      </c>
      <c r="I256" s="71">
        <f t="shared" si="8"/>
        <v>10</v>
      </c>
      <c r="J256" s="72" t="s">
        <v>16</v>
      </c>
      <c r="K256" s="73">
        <v>7300</v>
      </c>
      <c r="L256" s="73">
        <f t="shared" si="9"/>
        <v>73000</v>
      </c>
      <c r="M256" s="74" t="s">
        <v>370</v>
      </c>
      <c r="N256" s="75"/>
      <c r="O256" s="76"/>
      <c r="P256" s="45"/>
      <c r="Q256" s="23"/>
    </row>
    <row r="257" spans="2:17" s="40" customFormat="1" ht="24.95" customHeight="1">
      <c r="B257" s="46">
        <v>266</v>
      </c>
      <c r="C257" s="42" t="s">
        <v>18</v>
      </c>
      <c r="D257" s="42" t="s">
        <v>198</v>
      </c>
      <c r="E257" s="43" t="s">
        <v>57</v>
      </c>
      <c r="F257" s="43" t="s">
        <v>295</v>
      </c>
      <c r="G257" s="44" t="s">
        <v>27</v>
      </c>
      <c r="H257" s="70">
        <v>3</v>
      </c>
      <c r="I257" s="71">
        <f t="shared" si="8"/>
        <v>30</v>
      </c>
      <c r="J257" s="72" t="s">
        <v>16</v>
      </c>
      <c r="K257" s="73">
        <v>6100</v>
      </c>
      <c r="L257" s="73">
        <f t="shared" si="9"/>
        <v>183000</v>
      </c>
      <c r="M257" s="74" t="s">
        <v>370</v>
      </c>
      <c r="N257" s="75"/>
      <c r="O257" s="76"/>
      <c r="P257" s="45"/>
      <c r="Q257" s="23"/>
    </row>
    <row r="258" spans="2:17" s="40" customFormat="1" ht="24.95" customHeight="1">
      <c r="B258" s="46">
        <v>267</v>
      </c>
      <c r="C258" s="42" t="s">
        <v>18</v>
      </c>
      <c r="D258" s="42" t="s">
        <v>198</v>
      </c>
      <c r="E258" s="43" t="s">
        <v>58</v>
      </c>
      <c r="F258" s="43" t="s">
        <v>299</v>
      </c>
      <c r="G258" s="44" t="s">
        <v>27</v>
      </c>
      <c r="H258" s="70">
        <v>1</v>
      </c>
      <c r="I258" s="71">
        <f t="shared" si="8"/>
        <v>10</v>
      </c>
      <c r="J258" s="72" t="s">
        <v>16</v>
      </c>
      <c r="K258" s="73">
        <v>6100</v>
      </c>
      <c r="L258" s="73">
        <f t="shared" si="9"/>
        <v>61000</v>
      </c>
      <c r="M258" s="74" t="s">
        <v>370</v>
      </c>
      <c r="N258" s="75"/>
      <c r="O258" s="76"/>
      <c r="P258" s="45"/>
      <c r="Q258" s="23"/>
    </row>
    <row r="259" spans="2:17" s="40" customFormat="1" ht="24.95" customHeight="1">
      <c r="B259" s="46">
        <v>270</v>
      </c>
      <c r="C259" s="42" t="s">
        <v>18</v>
      </c>
      <c r="D259" s="42" t="s">
        <v>198</v>
      </c>
      <c r="E259" s="43" t="s">
        <v>59</v>
      </c>
      <c r="F259" s="43" t="s">
        <v>300</v>
      </c>
      <c r="G259" s="44" t="s">
        <v>229</v>
      </c>
      <c r="H259" s="70">
        <v>1</v>
      </c>
      <c r="I259" s="71">
        <f t="shared" si="8"/>
        <v>10</v>
      </c>
      <c r="J259" s="72" t="s">
        <v>16</v>
      </c>
      <c r="K259" s="73">
        <v>29800</v>
      </c>
      <c r="L259" s="73">
        <f t="shared" si="9"/>
        <v>298000</v>
      </c>
      <c r="M259" s="74" t="s">
        <v>365</v>
      </c>
      <c r="N259" s="75"/>
      <c r="O259" s="76"/>
      <c r="P259" s="45"/>
      <c r="Q259" s="23"/>
    </row>
    <row r="260" spans="2:17" s="40" customFormat="1" ht="24.95" customHeight="1">
      <c r="B260" s="46">
        <v>271</v>
      </c>
      <c r="C260" s="42" t="s">
        <v>18</v>
      </c>
      <c r="D260" s="42" t="s">
        <v>198</v>
      </c>
      <c r="E260" s="43" t="s">
        <v>41</v>
      </c>
      <c r="F260" s="43" t="s">
        <v>42</v>
      </c>
      <c r="G260" s="44" t="s">
        <v>49</v>
      </c>
      <c r="H260" s="70">
        <v>2</v>
      </c>
      <c r="I260" s="71">
        <f t="shared" si="8"/>
        <v>20</v>
      </c>
      <c r="J260" s="72" t="s">
        <v>16</v>
      </c>
      <c r="K260" s="73">
        <v>360000</v>
      </c>
      <c r="L260" s="73">
        <f t="shared" si="9"/>
        <v>7200000</v>
      </c>
      <c r="M260" s="74" t="s">
        <v>371</v>
      </c>
      <c r="N260" s="75"/>
      <c r="O260" s="76"/>
      <c r="P260" s="45"/>
      <c r="Q260" s="23"/>
    </row>
    <row r="261" spans="2:17" s="40" customFormat="1" ht="24.95" customHeight="1">
      <c r="B261" s="46">
        <v>272</v>
      </c>
      <c r="C261" s="42" t="s">
        <v>18</v>
      </c>
      <c r="D261" s="42" t="s">
        <v>198</v>
      </c>
      <c r="E261" s="43" t="s">
        <v>43</v>
      </c>
      <c r="F261" s="43" t="s">
        <v>44</v>
      </c>
      <c r="G261" s="44" t="s">
        <v>49</v>
      </c>
      <c r="H261" s="70">
        <v>2</v>
      </c>
      <c r="I261" s="71">
        <f t="shared" si="8"/>
        <v>20</v>
      </c>
      <c r="J261" s="72" t="s">
        <v>16</v>
      </c>
      <c r="K261" s="73">
        <v>80000</v>
      </c>
      <c r="L261" s="73">
        <f t="shared" si="9"/>
        <v>1600000</v>
      </c>
      <c r="M261" s="74" t="s">
        <v>371</v>
      </c>
      <c r="N261" s="75"/>
      <c r="O261" s="76"/>
      <c r="P261" s="45"/>
      <c r="Q261" s="23"/>
    </row>
    <row r="262" spans="2:17" s="40" customFormat="1" ht="24.95" customHeight="1">
      <c r="B262" s="46">
        <v>273</v>
      </c>
      <c r="C262" s="42" t="s">
        <v>18</v>
      </c>
      <c r="D262" s="42" t="s">
        <v>198</v>
      </c>
      <c r="E262" s="43" t="s">
        <v>60</v>
      </c>
      <c r="F262" s="43" t="s">
        <v>257</v>
      </c>
      <c r="G262" s="44" t="s">
        <v>24</v>
      </c>
      <c r="H262" s="70">
        <v>2</v>
      </c>
      <c r="I262" s="71">
        <f t="shared" si="8"/>
        <v>20</v>
      </c>
      <c r="J262" s="72" t="s">
        <v>16</v>
      </c>
      <c r="K262" s="73">
        <v>51030</v>
      </c>
      <c r="L262" s="73">
        <f t="shared" si="9"/>
        <v>1020600</v>
      </c>
      <c r="M262" s="74" t="s">
        <v>370</v>
      </c>
      <c r="N262" s="75"/>
      <c r="O262" s="76"/>
      <c r="P262" s="45"/>
      <c r="Q262" s="23"/>
    </row>
    <row r="263" spans="2:17" s="40" customFormat="1" ht="24.95" customHeight="1">
      <c r="B263" s="46">
        <v>274</v>
      </c>
      <c r="C263" s="42" t="s">
        <v>18</v>
      </c>
      <c r="D263" s="42" t="s">
        <v>198</v>
      </c>
      <c r="E263" s="43" t="s">
        <v>61</v>
      </c>
      <c r="F263" s="43" t="s">
        <v>332</v>
      </c>
      <c r="G263" s="44" t="s">
        <v>204</v>
      </c>
      <c r="H263" s="70">
        <v>3</v>
      </c>
      <c r="I263" s="71">
        <f t="shared" si="8"/>
        <v>30</v>
      </c>
      <c r="J263" s="72" t="s">
        <v>16</v>
      </c>
      <c r="K263" s="73">
        <v>68000</v>
      </c>
      <c r="L263" s="73">
        <f t="shared" si="9"/>
        <v>2040000</v>
      </c>
      <c r="M263" s="74" t="s">
        <v>370</v>
      </c>
      <c r="N263" s="75" t="s">
        <v>386</v>
      </c>
      <c r="O263" s="76" t="s">
        <v>386</v>
      </c>
      <c r="P263" s="45"/>
      <c r="Q263" s="23"/>
    </row>
    <row r="264" spans="2:17" s="40" customFormat="1" ht="24.95" customHeight="1">
      <c r="B264" s="46">
        <v>275</v>
      </c>
      <c r="C264" s="42" t="s">
        <v>18</v>
      </c>
      <c r="D264" s="42" t="s">
        <v>198</v>
      </c>
      <c r="E264" s="43" t="s">
        <v>61</v>
      </c>
      <c r="F264" s="43" t="s">
        <v>202</v>
      </c>
      <c r="G264" s="44" t="s">
        <v>204</v>
      </c>
      <c r="H264" s="70">
        <v>1</v>
      </c>
      <c r="I264" s="71">
        <f t="shared" si="8"/>
        <v>10</v>
      </c>
      <c r="J264" s="72" t="s">
        <v>16</v>
      </c>
      <c r="K264" s="73">
        <v>107350</v>
      </c>
      <c r="L264" s="73">
        <f t="shared" si="9"/>
        <v>1073500</v>
      </c>
      <c r="M264" s="74" t="s">
        <v>380</v>
      </c>
      <c r="N264" s="75"/>
      <c r="O264" s="76"/>
      <c r="P264" s="45"/>
      <c r="Q264" s="23"/>
    </row>
    <row r="265" spans="2:17" s="40" customFormat="1" ht="24.95" customHeight="1">
      <c r="B265" s="46">
        <v>276</v>
      </c>
      <c r="C265" s="42" t="s">
        <v>18</v>
      </c>
      <c r="D265" s="42" t="s">
        <v>198</v>
      </c>
      <c r="E265" s="43" t="s">
        <v>344</v>
      </c>
      <c r="F265" s="43" t="s">
        <v>343</v>
      </c>
      <c r="G265" s="44" t="s">
        <v>339</v>
      </c>
      <c r="H265" s="70">
        <v>1</v>
      </c>
      <c r="I265" s="71">
        <f t="shared" si="8"/>
        <v>10</v>
      </c>
      <c r="J265" s="72" t="s">
        <v>16</v>
      </c>
      <c r="K265" s="73">
        <v>670000</v>
      </c>
      <c r="L265" s="73">
        <f t="shared" si="9"/>
        <v>6700000</v>
      </c>
      <c r="M265" s="74" t="s">
        <v>367</v>
      </c>
      <c r="N265" s="75"/>
      <c r="O265" s="76"/>
      <c r="P265" s="45"/>
      <c r="Q265" s="23"/>
    </row>
    <row r="266" spans="2:17" s="40" customFormat="1" ht="24.95" customHeight="1">
      <c r="B266" s="46">
        <v>277</v>
      </c>
      <c r="C266" s="42" t="s">
        <v>18</v>
      </c>
      <c r="D266" s="42" t="s">
        <v>198</v>
      </c>
      <c r="E266" s="43" t="s">
        <v>345</v>
      </c>
      <c r="F266" s="43" t="s">
        <v>351</v>
      </c>
      <c r="G266" s="44" t="s">
        <v>339</v>
      </c>
      <c r="H266" s="70">
        <v>1</v>
      </c>
      <c r="I266" s="71">
        <f t="shared" si="8"/>
        <v>10</v>
      </c>
      <c r="J266" s="72" t="s">
        <v>16</v>
      </c>
      <c r="K266" s="73">
        <v>195000</v>
      </c>
      <c r="L266" s="73">
        <f t="shared" si="9"/>
        <v>1950000</v>
      </c>
      <c r="M266" s="74" t="s">
        <v>367</v>
      </c>
      <c r="N266" s="75"/>
      <c r="O266" s="76"/>
      <c r="P266" s="45"/>
      <c r="Q266" s="23"/>
    </row>
    <row r="267" spans="2:17" s="40" customFormat="1" ht="24.95" customHeight="1">
      <c r="B267" s="46">
        <v>278</v>
      </c>
      <c r="C267" s="42" t="s">
        <v>18</v>
      </c>
      <c r="D267" s="42" t="s">
        <v>198</v>
      </c>
      <c r="E267" s="43" t="s">
        <v>346</v>
      </c>
      <c r="F267" s="43" t="s">
        <v>352</v>
      </c>
      <c r="G267" s="44" t="s">
        <v>340</v>
      </c>
      <c r="H267" s="70">
        <v>2</v>
      </c>
      <c r="I267" s="71">
        <f t="shared" si="8"/>
        <v>20</v>
      </c>
      <c r="J267" s="72" t="s">
        <v>16</v>
      </c>
      <c r="K267" s="73">
        <v>715000</v>
      </c>
      <c r="L267" s="73">
        <f t="shared" si="9"/>
        <v>14300000</v>
      </c>
      <c r="M267" s="74" t="s">
        <v>367</v>
      </c>
      <c r="N267" s="75"/>
      <c r="O267" s="76"/>
      <c r="P267" s="45"/>
      <c r="Q267" s="23"/>
    </row>
    <row r="268" spans="2:17" s="40" customFormat="1" ht="24.95" customHeight="1">
      <c r="B268" s="46">
        <v>279</v>
      </c>
      <c r="C268" s="42" t="s">
        <v>18</v>
      </c>
      <c r="D268" s="42" t="s">
        <v>198</v>
      </c>
      <c r="E268" s="43" t="s">
        <v>347</v>
      </c>
      <c r="F268" s="43" t="s">
        <v>353</v>
      </c>
      <c r="G268" s="44" t="s">
        <v>341</v>
      </c>
      <c r="H268" s="70">
        <v>1</v>
      </c>
      <c r="I268" s="71">
        <f t="shared" si="8"/>
        <v>10</v>
      </c>
      <c r="J268" s="72" t="s">
        <v>16</v>
      </c>
      <c r="K268" s="73">
        <v>400000</v>
      </c>
      <c r="L268" s="73">
        <f t="shared" si="9"/>
        <v>4000000</v>
      </c>
      <c r="M268" s="74" t="s">
        <v>367</v>
      </c>
      <c r="N268" s="75"/>
      <c r="O268" s="76"/>
      <c r="P268" s="45"/>
      <c r="Q268" s="23"/>
    </row>
    <row r="269" spans="2:17" s="40" customFormat="1" ht="24.95" customHeight="1">
      <c r="B269" s="46">
        <v>280</v>
      </c>
      <c r="C269" s="42" t="s">
        <v>18</v>
      </c>
      <c r="D269" s="42" t="s">
        <v>198</v>
      </c>
      <c r="E269" s="43" t="s">
        <v>348</v>
      </c>
      <c r="F269" s="43" t="s">
        <v>354</v>
      </c>
      <c r="G269" s="44" t="s">
        <v>342</v>
      </c>
      <c r="H269" s="70">
        <v>8</v>
      </c>
      <c r="I269" s="71">
        <f t="shared" si="8"/>
        <v>80</v>
      </c>
      <c r="J269" s="72" t="s">
        <v>16</v>
      </c>
      <c r="K269" s="73">
        <v>4000</v>
      </c>
      <c r="L269" s="73">
        <f t="shared" si="9"/>
        <v>320000</v>
      </c>
      <c r="M269" s="74" t="s">
        <v>367</v>
      </c>
      <c r="N269" s="75"/>
      <c r="O269" s="76"/>
      <c r="P269" s="45"/>
      <c r="Q269" s="23"/>
    </row>
    <row r="270" spans="2:17" s="40" customFormat="1" ht="24.95" customHeight="1">
      <c r="B270" s="46">
        <v>281</v>
      </c>
      <c r="C270" s="42" t="s">
        <v>18</v>
      </c>
      <c r="D270" s="42" t="s">
        <v>198</v>
      </c>
      <c r="E270" s="43" t="s">
        <v>349</v>
      </c>
      <c r="F270" s="43" t="s">
        <v>355</v>
      </c>
      <c r="G270" s="44" t="s">
        <v>342</v>
      </c>
      <c r="H270" s="70">
        <v>1</v>
      </c>
      <c r="I270" s="71">
        <f t="shared" si="8"/>
        <v>10</v>
      </c>
      <c r="J270" s="72" t="s">
        <v>16</v>
      </c>
      <c r="K270" s="73">
        <v>25000</v>
      </c>
      <c r="L270" s="73">
        <f t="shared" si="9"/>
        <v>250000</v>
      </c>
      <c r="M270" s="74" t="s">
        <v>367</v>
      </c>
      <c r="N270" s="75"/>
      <c r="O270" s="76"/>
      <c r="P270" s="45"/>
      <c r="Q270" s="23"/>
    </row>
    <row r="271" spans="2:17" s="40" customFormat="1" ht="24.95" customHeight="1">
      <c r="B271" s="46">
        <v>282</v>
      </c>
      <c r="C271" s="42" t="s">
        <v>18</v>
      </c>
      <c r="D271" s="42" t="s">
        <v>198</v>
      </c>
      <c r="E271" s="43" t="s">
        <v>350</v>
      </c>
      <c r="F271" s="43" t="s">
        <v>356</v>
      </c>
      <c r="G271" s="44" t="s">
        <v>342</v>
      </c>
      <c r="H271" s="70">
        <v>1</v>
      </c>
      <c r="I271" s="71">
        <f t="shared" si="8"/>
        <v>10</v>
      </c>
      <c r="J271" s="72" t="s">
        <v>16</v>
      </c>
      <c r="K271" s="73">
        <v>180000</v>
      </c>
      <c r="L271" s="73">
        <f t="shared" si="9"/>
        <v>1800000</v>
      </c>
      <c r="M271" s="74" t="s">
        <v>367</v>
      </c>
      <c r="N271" s="75"/>
      <c r="O271" s="76"/>
      <c r="P271" s="45"/>
      <c r="Q271" s="23"/>
    </row>
    <row r="272" spans="2:17" s="40" customFormat="1" ht="24.95" customHeight="1">
      <c r="B272" s="46">
        <v>283</v>
      </c>
      <c r="C272" s="42" t="s">
        <v>62</v>
      </c>
      <c r="D272" s="42" t="s">
        <v>206</v>
      </c>
      <c r="E272" s="43" t="s">
        <v>63</v>
      </c>
      <c r="F272" s="43" t="s">
        <v>413</v>
      </c>
      <c r="G272" s="44" t="s">
        <v>397</v>
      </c>
      <c r="H272" s="70">
        <v>4</v>
      </c>
      <c r="I272" s="71">
        <f t="shared" ref="I272:I310" si="10">H272*$H$5</f>
        <v>40</v>
      </c>
      <c r="J272" s="72" t="s">
        <v>16</v>
      </c>
      <c r="K272" s="73">
        <v>53500</v>
      </c>
      <c r="L272" s="73">
        <f t="shared" si="9"/>
        <v>2140000</v>
      </c>
      <c r="M272" s="74" t="s">
        <v>519</v>
      </c>
      <c r="N272" s="75"/>
      <c r="O272" s="76"/>
      <c r="P272" s="45"/>
      <c r="Q272" s="23"/>
    </row>
    <row r="273" spans="2:17" s="40" customFormat="1" ht="24.95" customHeight="1">
      <c r="B273" s="46">
        <v>284</v>
      </c>
      <c r="C273" s="42" t="s">
        <v>62</v>
      </c>
      <c r="D273" s="42" t="s">
        <v>206</v>
      </c>
      <c r="E273" s="43" t="s">
        <v>64</v>
      </c>
      <c r="F273" s="43" t="s">
        <v>218</v>
      </c>
      <c r="G273" s="44" t="s">
        <v>65</v>
      </c>
      <c r="H273" s="70">
        <v>2</v>
      </c>
      <c r="I273" s="71">
        <f t="shared" si="10"/>
        <v>20</v>
      </c>
      <c r="J273" s="72" t="s">
        <v>16</v>
      </c>
      <c r="K273" s="73">
        <v>254000</v>
      </c>
      <c r="L273" s="73">
        <f t="shared" si="9"/>
        <v>5080000</v>
      </c>
      <c r="M273" s="74" t="s">
        <v>371</v>
      </c>
      <c r="N273" s="75"/>
      <c r="O273" s="76"/>
      <c r="P273" s="45"/>
      <c r="Q273" s="23"/>
    </row>
    <row r="274" spans="2:17" s="40" customFormat="1" ht="24.95" customHeight="1">
      <c r="B274" s="46">
        <v>285</v>
      </c>
      <c r="C274" s="42" t="s">
        <v>62</v>
      </c>
      <c r="D274" s="42" t="s">
        <v>206</v>
      </c>
      <c r="E274" s="43" t="s">
        <v>66</v>
      </c>
      <c r="F274" s="43" t="s">
        <v>82</v>
      </c>
      <c r="G274" s="44" t="s">
        <v>25</v>
      </c>
      <c r="H274" s="70">
        <v>2</v>
      </c>
      <c r="I274" s="71">
        <f t="shared" si="10"/>
        <v>20</v>
      </c>
      <c r="J274" s="72" t="s">
        <v>16</v>
      </c>
      <c r="K274" s="73">
        <v>10821</v>
      </c>
      <c r="L274" s="73">
        <f t="shared" si="9"/>
        <v>216420</v>
      </c>
      <c r="M274" s="74" t="s">
        <v>370</v>
      </c>
      <c r="N274" s="75"/>
      <c r="O274" s="76"/>
      <c r="P274" s="45"/>
      <c r="Q274" s="23"/>
    </row>
    <row r="275" spans="2:17" s="40" customFormat="1" ht="24.95" customHeight="1">
      <c r="B275" s="46">
        <v>286</v>
      </c>
      <c r="C275" s="42" t="s">
        <v>62</v>
      </c>
      <c r="D275" s="42" t="s">
        <v>206</v>
      </c>
      <c r="E275" s="43" t="s">
        <v>66</v>
      </c>
      <c r="F275" s="43" t="s">
        <v>67</v>
      </c>
      <c r="G275" s="44" t="s">
        <v>25</v>
      </c>
      <c r="H275" s="70">
        <v>2</v>
      </c>
      <c r="I275" s="71">
        <f t="shared" si="10"/>
        <v>20</v>
      </c>
      <c r="J275" s="72" t="s">
        <v>16</v>
      </c>
      <c r="K275" s="73">
        <v>10821</v>
      </c>
      <c r="L275" s="73">
        <f t="shared" si="9"/>
        <v>216420</v>
      </c>
      <c r="M275" s="74" t="s">
        <v>370</v>
      </c>
      <c r="N275" s="75"/>
      <c r="O275" s="76"/>
      <c r="P275" s="45"/>
      <c r="Q275" s="23"/>
    </row>
    <row r="276" spans="2:17" s="40" customFormat="1" ht="24.95" customHeight="1">
      <c r="B276" s="46">
        <v>287</v>
      </c>
      <c r="C276" s="42" t="s">
        <v>62</v>
      </c>
      <c r="D276" s="42" t="s">
        <v>206</v>
      </c>
      <c r="E276" s="43" t="s">
        <v>68</v>
      </c>
      <c r="F276" s="43" t="s">
        <v>69</v>
      </c>
      <c r="G276" s="44" t="s">
        <v>25</v>
      </c>
      <c r="H276" s="70">
        <v>2</v>
      </c>
      <c r="I276" s="71">
        <f t="shared" si="10"/>
        <v>20</v>
      </c>
      <c r="J276" s="72" t="s">
        <v>16</v>
      </c>
      <c r="K276" s="73">
        <v>7619</v>
      </c>
      <c r="L276" s="73">
        <f t="shared" si="9"/>
        <v>152380</v>
      </c>
      <c r="M276" s="74" t="s">
        <v>380</v>
      </c>
      <c r="N276" s="75"/>
      <c r="O276" s="76"/>
      <c r="P276" s="45"/>
      <c r="Q276" s="23"/>
    </row>
    <row r="277" spans="2:17" s="40" customFormat="1" ht="24.95" customHeight="1">
      <c r="B277" s="46">
        <v>288</v>
      </c>
      <c r="C277" s="42" t="s">
        <v>62</v>
      </c>
      <c r="D277" s="42" t="s">
        <v>206</v>
      </c>
      <c r="E277" s="43" t="s">
        <v>68</v>
      </c>
      <c r="F277" s="43" t="s">
        <v>83</v>
      </c>
      <c r="G277" s="44" t="s">
        <v>25</v>
      </c>
      <c r="H277" s="70">
        <v>2</v>
      </c>
      <c r="I277" s="71">
        <f t="shared" si="10"/>
        <v>20</v>
      </c>
      <c r="J277" s="72" t="s">
        <v>16</v>
      </c>
      <c r="K277" s="73">
        <v>7059</v>
      </c>
      <c r="L277" s="73">
        <f t="shared" si="9"/>
        <v>141180</v>
      </c>
      <c r="M277" s="74" t="s">
        <v>380</v>
      </c>
      <c r="N277" s="75"/>
      <c r="O277" s="76"/>
      <c r="P277" s="45"/>
      <c r="Q277" s="23"/>
    </row>
    <row r="278" spans="2:17" s="40" customFormat="1" ht="24.95" customHeight="1">
      <c r="B278" s="46">
        <v>289</v>
      </c>
      <c r="C278" s="42" t="s">
        <v>62</v>
      </c>
      <c r="D278" s="42" t="s">
        <v>206</v>
      </c>
      <c r="E278" s="43" t="s">
        <v>70</v>
      </c>
      <c r="F278" s="43" t="s">
        <v>207</v>
      </c>
      <c r="G278" s="44" t="s">
        <v>25</v>
      </c>
      <c r="H278" s="70">
        <v>2</v>
      </c>
      <c r="I278" s="71">
        <f t="shared" si="10"/>
        <v>20</v>
      </c>
      <c r="J278" s="72" t="s">
        <v>16</v>
      </c>
      <c r="K278" s="73">
        <v>4750</v>
      </c>
      <c r="L278" s="73">
        <f t="shared" si="9"/>
        <v>95000</v>
      </c>
      <c r="M278" s="74" t="s">
        <v>380</v>
      </c>
      <c r="N278" s="75"/>
      <c r="O278" s="76"/>
      <c r="P278" s="45"/>
      <c r="Q278" s="23"/>
    </row>
    <row r="279" spans="2:17" s="40" customFormat="1" ht="24.95" customHeight="1">
      <c r="B279" s="46">
        <v>290</v>
      </c>
      <c r="C279" s="42" t="s">
        <v>62</v>
      </c>
      <c r="D279" s="42" t="s">
        <v>206</v>
      </c>
      <c r="E279" s="43" t="s">
        <v>334</v>
      </c>
      <c r="F279" s="43" t="s">
        <v>364</v>
      </c>
      <c r="G279" s="44" t="s">
        <v>32</v>
      </c>
      <c r="H279" s="70">
        <v>2</v>
      </c>
      <c r="I279" s="71">
        <f t="shared" si="10"/>
        <v>20</v>
      </c>
      <c r="J279" s="72" t="s">
        <v>16</v>
      </c>
      <c r="K279" s="73">
        <v>56000</v>
      </c>
      <c r="L279" s="73">
        <f t="shared" si="9"/>
        <v>1120000</v>
      </c>
      <c r="M279" s="74" t="s">
        <v>365</v>
      </c>
      <c r="N279" s="75"/>
      <c r="O279" s="76"/>
      <c r="P279" s="45"/>
      <c r="Q279" s="23"/>
    </row>
    <row r="280" spans="2:17" s="40" customFormat="1" ht="24.95" customHeight="1">
      <c r="B280" s="46">
        <v>291</v>
      </c>
      <c r="C280" s="42" t="s">
        <v>62</v>
      </c>
      <c r="D280" s="42" t="s">
        <v>206</v>
      </c>
      <c r="E280" s="43" t="s">
        <v>71</v>
      </c>
      <c r="F280" s="43" t="s">
        <v>327</v>
      </c>
      <c r="G280" s="44" t="s">
        <v>214</v>
      </c>
      <c r="H280" s="70">
        <v>2</v>
      </c>
      <c r="I280" s="71">
        <f t="shared" si="10"/>
        <v>20</v>
      </c>
      <c r="J280" s="72" t="s">
        <v>16</v>
      </c>
      <c r="K280" s="73">
        <v>5800</v>
      </c>
      <c r="L280" s="73">
        <f t="shared" si="9"/>
        <v>116000</v>
      </c>
      <c r="M280" s="74" t="s">
        <v>368</v>
      </c>
      <c r="N280" s="75"/>
      <c r="O280" s="76"/>
      <c r="P280" s="45"/>
      <c r="Q280" s="23"/>
    </row>
    <row r="281" spans="2:17" s="40" customFormat="1" ht="24.95" customHeight="1">
      <c r="B281" s="46">
        <v>292</v>
      </c>
      <c r="C281" s="42" t="s">
        <v>62</v>
      </c>
      <c r="D281" s="42" t="s">
        <v>206</v>
      </c>
      <c r="E281" s="43" t="s">
        <v>208</v>
      </c>
      <c r="F281" s="43" t="s">
        <v>311</v>
      </c>
      <c r="G281" s="44" t="s">
        <v>29</v>
      </c>
      <c r="H281" s="70">
        <v>2</v>
      </c>
      <c r="I281" s="71">
        <f t="shared" si="10"/>
        <v>20</v>
      </c>
      <c r="J281" s="72" t="s">
        <v>16</v>
      </c>
      <c r="K281" s="73">
        <v>258000</v>
      </c>
      <c r="L281" s="73">
        <f t="shared" si="9"/>
        <v>5160000</v>
      </c>
      <c r="M281" s="74" t="s">
        <v>370</v>
      </c>
      <c r="N281" s="75"/>
      <c r="O281" s="76"/>
      <c r="P281" s="45" t="s">
        <v>378</v>
      </c>
      <c r="Q281" s="23"/>
    </row>
    <row r="282" spans="2:17" s="40" customFormat="1" ht="24.95" customHeight="1">
      <c r="B282" s="46">
        <v>293</v>
      </c>
      <c r="C282" s="42" t="s">
        <v>62</v>
      </c>
      <c r="D282" s="42" t="s">
        <v>206</v>
      </c>
      <c r="E282" s="43" t="s">
        <v>73</v>
      </c>
      <c r="F282" s="43" t="s">
        <v>307</v>
      </c>
      <c r="G282" s="44" t="s">
        <v>29</v>
      </c>
      <c r="H282" s="70">
        <v>2</v>
      </c>
      <c r="I282" s="71">
        <f t="shared" si="10"/>
        <v>20</v>
      </c>
      <c r="J282" s="72" t="s">
        <v>16</v>
      </c>
      <c r="K282" s="73">
        <v>260000</v>
      </c>
      <c r="L282" s="73">
        <f t="shared" si="9"/>
        <v>5200000</v>
      </c>
      <c r="M282" s="74" t="s">
        <v>370</v>
      </c>
      <c r="N282" s="75"/>
      <c r="O282" s="76"/>
      <c r="P282" s="45" t="s">
        <v>378</v>
      </c>
      <c r="Q282" s="23"/>
    </row>
    <row r="283" spans="2:17" s="40" customFormat="1" ht="24.95" customHeight="1">
      <c r="B283" s="46">
        <v>294</v>
      </c>
      <c r="C283" s="42" t="s">
        <v>62</v>
      </c>
      <c r="D283" s="42" t="s">
        <v>206</v>
      </c>
      <c r="E283" s="43" t="s">
        <v>74</v>
      </c>
      <c r="F283" s="43" t="s">
        <v>319</v>
      </c>
      <c r="G283" s="44" t="s">
        <v>223</v>
      </c>
      <c r="H283" s="70">
        <v>2</v>
      </c>
      <c r="I283" s="71">
        <f t="shared" si="10"/>
        <v>20</v>
      </c>
      <c r="J283" s="72" t="s">
        <v>16</v>
      </c>
      <c r="K283" s="73">
        <v>22600</v>
      </c>
      <c r="L283" s="73">
        <f t="shared" si="9"/>
        <v>452000</v>
      </c>
      <c r="M283" s="74" t="s">
        <v>370</v>
      </c>
      <c r="N283" s="75"/>
      <c r="O283" s="76"/>
      <c r="P283" s="45"/>
      <c r="Q283" s="23"/>
    </row>
    <row r="284" spans="2:17" s="40" customFormat="1" ht="24.95" customHeight="1">
      <c r="B284" s="46">
        <v>295</v>
      </c>
      <c r="C284" s="42" t="s">
        <v>62</v>
      </c>
      <c r="D284" s="42" t="s">
        <v>206</v>
      </c>
      <c r="E284" s="43" t="s">
        <v>209</v>
      </c>
      <c r="F284" s="43" t="s">
        <v>314</v>
      </c>
      <c r="G284" s="44" t="s">
        <v>223</v>
      </c>
      <c r="H284" s="70">
        <v>2</v>
      </c>
      <c r="I284" s="71">
        <f t="shared" si="10"/>
        <v>20</v>
      </c>
      <c r="J284" s="72" t="s">
        <v>16</v>
      </c>
      <c r="K284" s="73">
        <v>19700</v>
      </c>
      <c r="L284" s="73">
        <f t="shared" si="9"/>
        <v>394000</v>
      </c>
      <c r="M284" s="74" t="s">
        <v>370</v>
      </c>
      <c r="N284" s="75"/>
      <c r="O284" s="76"/>
      <c r="P284" s="45"/>
      <c r="Q284" s="23"/>
    </row>
    <row r="285" spans="2:17" s="40" customFormat="1" ht="24.95" customHeight="1">
      <c r="B285" s="46">
        <v>296</v>
      </c>
      <c r="C285" s="42" t="s">
        <v>62</v>
      </c>
      <c r="D285" s="42" t="s">
        <v>206</v>
      </c>
      <c r="E285" s="43" t="s">
        <v>210</v>
      </c>
      <c r="F285" s="43" t="s">
        <v>323</v>
      </c>
      <c r="G285" s="44" t="s">
        <v>223</v>
      </c>
      <c r="H285" s="70">
        <v>2</v>
      </c>
      <c r="I285" s="71">
        <f t="shared" si="10"/>
        <v>20</v>
      </c>
      <c r="J285" s="72" t="s">
        <v>16</v>
      </c>
      <c r="K285" s="73">
        <v>12800</v>
      </c>
      <c r="L285" s="73">
        <f t="shared" si="9"/>
        <v>256000</v>
      </c>
      <c r="M285" s="74" t="s">
        <v>370</v>
      </c>
      <c r="N285" s="75"/>
      <c r="O285" s="76"/>
      <c r="P285" s="45"/>
      <c r="Q285" s="23"/>
    </row>
    <row r="286" spans="2:17" s="40" customFormat="1" ht="24.95" customHeight="1">
      <c r="B286" s="46">
        <v>297</v>
      </c>
      <c r="C286" s="42" t="s">
        <v>62</v>
      </c>
      <c r="D286" s="42" t="s">
        <v>206</v>
      </c>
      <c r="E286" s="43" t="s">
        <v>71</v>
      </c>
      <c r="F286" s="43" t="s">
        <v>75</v>
      </c>
      <c r="G286" s="44" t="s">
        <v>29</v>
      </c>
      <c r="H286" s="70">
        <v>10</v>
      </c>
      <c r="I286" s="71">
        <f t="shared" si="10"/>
        <v>100</v>
      </c>
      <c r="J286" s="72" t="s">
        <v>16</v>
      </c>
      <c r="K286" s="73">
        <v>34000</v>
      </c>
      <c r="L286" s="73">
        <f t="shared" si="9"/>
        <v>3400000</v>
      </c>
      <c r="M286" s="74" t="s">
        <v>370</v>
      </c>
      <c r="N286" s="75"/>
      <c r="O286" s="76"/>
      <c r="P286" s="45"/>
      <c r="Q286" s="23"/>
    </row>
    <row r="287" spans="2:17" s="40" customFormat="1" ht="24.95" customHeight="1">
      <c r="B287" s="46">
        <v>298</v>
      </c>
      <c r="C287" s="42" t="s">
        <v>62</v>
      </c>
      <c r="D287" s="42" t="s">
        <v>206</v>
      </c>
      <c r="E287" s="43" t="s">
        <v>76</v>
      </c>
      <c r="F287" s="43" t="s">
        <v>77</v>
      </c>
      <c r="G287" s="44" t="s">
        <v>25</v>
      </c>
      <c r="H287" s="70">
        <v>2</v>
      </c>
      <c r="I287" s="71">
        <f t="shared" si="10"/>
        <v>20</v>
      </c>
      <c r="J287" s="72" t="s">
        <v>16</v>
      </c>
      <c r="K287" s="73">
        <v>5501</v>
      </c>
      <c r="L287" s="73">
        <f t="shared" si="9"/>
        <v>110020</v>
      </c>
      <c r="M287" s="74" t="s">
        <v>380</v>
      </c>
      <c r="N287" s="75"/>
      <c r="O287" s="76"/>
      <c r="P287" s="45"/>
      <c r="Q287" s="23"/>
    </row>
    <row r="288" spans="2:17" s="40" customFormat="1" ht="24.95" customHeight="1">
      <c r="B288" s="46">
        <v>299</v>
      </c>
      <c r="C288" s="42" t="s">
        <v>62</v>
      </c>
      <c r="D288" s="42" t="s">
        <v>206</v>
      </c>
      <c r="E288" s="43" t="s">
        <v>76</v>
      </c>
      <c r="F288" s="43" t="s">
        <v>78</v>
      </c>
      <c r="G288" s="44" t="s">
        <v>25</v>
      </c>
      <c r="H288" s="70">
        <v>2</v>
      </c>
      <c r="I288" s="71">
        <f t="shared" si="10"/>
        <v>20</v>
      </c>
      <c r="J288" s="72" t="s">
        <v>16</v>
      </c>
      <c r="K288" s="73">
        <v>13965</v>
      </c>
      <c r="L288" s="73">
        <f t="shared" si="9"/>
        <v>279300</v>
      </c>
      <c r="M288" s="74" t="s">
        <v>380</v>
      </c>
      <c r="N288" s="75"/>
      <c r="O288" s="76"/>
      <c r="P288" s="45"/>
      <c r="Q288" s="23"/>
    </row>
    <row r="289" spans="2:17" s="40" customFormat="1" ht="24.95" customHeight="1">
      <c r="B289" s="46">
        <v>300</v>
      </c>
      <c r="C289" s="42" t="s">
        <v>62</v>
      </c>
      <c r="D289" s="42" t="s">
        <v>206</v>
      </c>
      <c r="E289" s="43" t="s">
        <v>79</v>
      </c>
      <c r="F289" s="43" t="s">
        <v>99</v>
      </c>
      <c r="G289" s="44" t="s">
        <v>25</v>
      </c>
      <c r="H289" s="70">
        <v>4</v>
      </c>
      <c r="I289" s="71">
        <f t="shared" si="10"/>
        <v>40</v>
      </c>
      <c r="J289" s="72" t="s">
        <v>16</v>
      </c>
      <c r="K289" s="73">
        <v>5966</v>
      </c>
      <c r="L289" s="73">
        <f t="shared" si="9"/>
        <v>238640</v>
      </c>
      <c r="M289" s="74" t="s">
        <v>380</v>
      </c>
      <c r="N289" s="75"/>
      <c r="O289" s="76"/>
      <c r="P289" s="45"/>
      <c r="Q289" s="23"/>
    </row>
    <row r="290" spans="2:17" s="40" customFormat="1" ht="24.95" customHeight="1">
      <c r="B290" s="46">
        <v>301</v>
      </c>
      <c r="C290" s="42" t="s">
        <v>62</v>
      </c>
      <c r="D290" s="42" t="s">
        <v>206</v>
      </c>
      <c r="E290" s="43" t="s">
        <v>80</v>
      </c>
      <c r="F290" s="43" t="s">
        <v>391</v>
      </c>
      <c r="G290" s="44" t="s">
        <v>24</v>
      </c>
      <c r="H290" s="70">
        <v>2</v>
      </c>
      <c r="I290" s="71">
        <f t="shared" si="10"/>
        <v>20</v>
      </c>
      <c r="J290" s="72" t="s">
        <v>16</v>
      </c>
      <c r="K290" s="73">
        <v>65690</v>
      </c>
      <c r="L290" s="73">
        <f t="shared" si="9"/>
        <v>1313800</v>
      </c>
      <c r="M290" s="74" t="s">
        <v>370</v>
      </c>
      <c r="N290" s="75"/>
      <c r="O290" s="76"/>
      <c r="P290" s="45"/>
      <c r="Q290" s="23"/>
    </row>
    <row r="291" spans="2:17" s="40" customFormat="1" ht="24.95" customHeight="1">
      <c r="B291" s="46">
        <v>302</v>
      </c>
      <c r="C291" s="42" t="s">
        <v>62</v>
      </c>
      <c r="D291" s="42" t="s">
        <v>206</v>
      </c>
      <c r="E291" s="43" t="s">
        <v>81</v>
      </c>
      <c r="F291" s="43" t="s">
        <v>84</v>
      </c>
      <c r="G291" s="44" t="s">
        <v>25</v>
      </c>
      <c r="H291" s="70">
        <v>4</v>
      </c>
      <c r="I291" s="71">
        <f t="shared" si="10"/>
        <v>40</v>
      </c>
      <c r="J291" s="72" t="s">
        <v>16</v>
      </c>
      <c r="K291" s="73">
        <v>3867</v>
      </c>
      <c r="L291" s="73">
        <f t="shared" si="9"/>
        <v>154680</v>
      </c>
      <c r="M291" s="74" t="s">
        <v>380</v>
      </c>
      <c r="N291" s="75"/>
      <c r="O291" s="76"/>
      <c r="P291" s="45"/>
      <c r="Q291" s="23"/>
    </row>
    <row r="292" spans="2:17" s="40" customFormat="1" ht="24.95" customHeight="1">
      <c r="B292" s="46">
        <v>303</v>
      </c>
      <c r="C292" s="42" t="s">
        <v>62</v>
      </c>
      <c r="D292" s="42" t="s">
        <v>206</v>
      </c>
      <c r="E292" s="43" t="s">
        <v>373</v>
      </c>
      <c r="F292" s="43" t="s">
        <v>372</v>
      </c>
      <c r="G292" s="44" t="s">
        <v>85</v>
      </c>
      <c r="H292" s="70">
        <v>4</v>
      </c>
      <c r="I292" s="71">
        <f t="shared" si="10"/>
        <v>40</v>
      </c>
      <c r="J292" s="72" t="s">
        <v>16</v>
      </c>
      <c r="K292" s="73">
        <v>270000</v>
      </c>
      <c r="L292" s="73">
        <f t="shared" si="9"/>
        <v>10800000</v>
      </c>
      <c r="M292" s="74" t="s">
        <v>365</v>
      </c>
      <c r="N292" s="75"/>
      <c r="O292" s="76"/>
      <c r="P292" s="45"/>
      <c r="Q292" s="23"/>
    </row>
    <row r="293" spans="2:17" s="40" customFormat="1" ht="24.95" customHeight="1">
      <c r="B293" s="46">
        <v>304</v>
      </c>
      <c r="C293" s="42" t="s">
        <v>62</v>
      </c>
      <c r="D293" s="42" t="s">
        <v>206</v>
      </c>
      <c r="E293" s="43" t="s">
        <v>86</v>
      </c>
      <c r="F293" s="43" t="s">
        <v>211</v>
      </c>
      <c r="G293" s="44" t="s">
        <v>85</v>
      </c>
      <c r="H293" s="70">
        <v>4</v>
      </c>
      <c r="I293" s="71">
        <f t="shared" si="10"/>
        <v>40</v>
      </c>
      <c r="J293" s="72" t="s">
        <v>16</v>
      </c>
      <c r="K293" s="73">
        <v>20000</v>
      </c>
      <c r="L293" s="73">
        <f t="shared" si="9"/>
        <v>800000</v>
      </c>
      <c r="M293" s="74" t="s">
        <v>365</v>
      </c>
      <c r="N293" s="75"/>
      <c r="O293" s="76"/>
      <c r="P293" s="45"/>
      <c r="Q293" s="23"/>
    </row>
    <row r="294" spans="2:17" s="40" customFormat="1" ht="24.95" customHeight="1">
      <c r="B294" s="46">
        <v>306</v>
      </c>
      <c r="C294" s="42" t="s">
        <v>62</v>
      </c>
      <c r="D294" s="42" t="s">
        <v>206</v>
      </c>
      <c r="E294" s="43" t="s">
        <v>213</v>
      </c>
      <c r="F294" s="43" t="s">
        <v>212</v>
      </c>
      <c r="G294" s="44" t="s">
        <v>85</v>
      </c>
      <c r="H294" s="70">
        <v>4</v>
      </c>
      <c r="I294" s="71">
        <f t="shared" si="10"/>
        <v>40</v>
      </c>
      <c r="J294" s="72" t="s">
        <v>16</v>
      </c>
      <c r="K294" s="73">
        <v>15000</v>
      </c>
      <c r="L294" s="73">
        <f t="shared" si="9"/>
        <v>600000</v>
      </c>
      <c r="M294" s="74" t="s">
        <v>365</v>
      </c>
      <c r="N294" s="75"/>
      <c r="O294" s="76"/>
      <c r="P294" s="45"/>
      <c r="Q294" s="23"/>
    </row>
    <row r="295" spans="2:17" s="40" customFormat="1" ht="24.95" customHeight="1">
      <c r="B295" s="46">
        <v>309</v>
      </c>
      <c r="C295" s="42" t="s">
        <v>62</v>
      </c>
      <c r="D295" s="42" t="s">
        <v>206</v>
      </c>
      <c r="E295" s="43" t="s">
        <v>80</v>
      </c>
      <c r="F295" s="43" t="s">
        <v>258</v>
      </c>
      <c r="G295" s="44" t="s">
        <v>24</v>
      </c>
      <c r="H295" s="70">
        <v>1</v>
      </c>
      <c r="I295" s="71">
        <f t="shared" si="10"/>
        <v>10</v>
      </c>
      <c r="J295" s="72" t="s">
        <v>16</v>
      </c>
      <c r="K295" s="73">
        <v>82950</v>
      </c>
      <c r="L295" s="73">
        <f t="shared" si="9"/>
        <v>829500</v>
      </c>
      <c r="M295" s="74" t="s">
        <v>370</v>
      </c>
      <c r="N295" s="75"/>
      <c r="O295" s="76"/>
      <c r="P295" s="45"/>
      <c r="Q295" s="23"/>
    </row>
    <row r="296" spans="2:17" s="40" customFormat="1" ht="24.95" customHeight="1">
      <c r="B296" s="46">
        <v>310</v>
      </c>
      <c r="C296" s="42" t="s">
        <v>119</v>
      </c>
      <c r="D296" s="42" t="s">
        <v>215</v>
      </c>
      <c r="E296" s="42" t="s">
        <v>88</v>
      </c>
      <c r="F296" s="42" t="s">
        <v>23</v>
      </c>
      <c r="G296" s="55" t="s">
        <v>29</v>
      </c>
      <c r="H296" s="70">
        <v>1</v>
      </c>
      <c r="I296" s="71">
        <f t="shared" si="10"/>
        <v>10</v>
      </c>
      <c r="J296" s="72" t="s">
        <v>16</v>
      </c>
      <c r="K296" s="73">
        <v>146000</v>
      </c>
      <c r="L296" s="73">
        <f t="shared" si="9"/>
        <v>1460000</v>
      </c>
      <c r="M296" s="74" t="s">
        <v>370</v>
      </c>
      <c r="N296" s="75"/>
      <c r="O296" s="76"/>
      <c r="P296" s="45"/>
      <c r="Q296" s="23"/>
    </row>
    <row r="297" spans="2:17" s="40" customFormat="1" ht="24.95" customHeight="1">
      <c r="B297" s="46">
        <v>311</v>
      </c>
      <c r="C297" s="42" t="s">
        <v>119</v>
      </c>
      <c r="D297" s="42" t="s">
        <v>215</v>
      </c>
      <c r="E297" s="42" t="s">
        <v>89</v>
      </c>
      <c r="F297" s="42" t="s">
        <v>90</v>
      </c>
      <c r="G297" s="55" t="s">
        <v>29</v>
      </c>
      <c r="H297" s="70">
        <v>1</v>
      </c>
      <c r="I297" s="71">
        <f t="shared" si="10"/>
        <v>10</v>
      </c>
      <c r="J297" s="72" t="s">
        <v>16</v>
      </c>
      <c r="K297" s="73">
        <v>253000</v>
      </c>
      <c r="L297" s="73">
        <f t="shared" si="9"/>
        <v>2530000</v>
      </c>
      <c r="M297" s="74" t="s">
        <v>370</v>
      </c>
      <c r="N297" s="75"/>
      <c r="O297" s="76"/>
      <c r="P297" s="45"/>
      <c r="Q297" s="23"/>
    </row>
    <row r="298" spans="2:17" s="40" customFormat="1" ht="24.95" customHeight="1">
      <c r="B298" s="46">
        <v>312</v>
      </c>
      <c r="C298" s="42" t="s">
        <v>119</v>
      </c>
      <c r="D298" s="42" t="s">
        <v>215</v>
      </c>
      <c r="E298" s="42" t="s">
        <v>96</v>
      </c>
      <c r="F298" s="42" t="s">
        <v>165</v>
      </c>
      <c r="G298" s="55" t="s">
        <v>223</v>
      </c>
      <c r="H298" s="70">
        <v>1</v>
      </c>
      <c r="I298" s="71">
        <f t="shared" si="10"/>
        <v>10</v>
      </c>
      <c r="J298" s="72" t="s">
        <v>16</v>
      </c>
      <c r="K298" s="73">
        <v>26600</v>
      </c>
      <c r="L298" s="73">
        <f t="shared" si="9"/>
        <v>266000</v>
      </c>
      <c r="M298" s="74" t="s">
        <v>370</v>
      </c>
      <c r="N298" s="75"/>
      <c r="O298" s="76"/>
      <c r="P298" s="45"/>
      <c r="Q298" s="23"/>
    </row>
    <row r="299" spans="2:17" s="40" customFormat="1" ht="24.95" customHeight="1">
      <c r="B299" s="46">
        <v>313</v>
      </c>
      <c r="C299" s="42" t="s">
        <v>119</v>
      </c>
      <c r="D299" s="42" t="s">
        <v>215</v>
      </c>
      <c r="E299" s="42" t="s">
        <v>91</v>
      </c>
      <c r="F299" s="42" t="s">
        <v>166</v>
      </c>
      <c r="G299" s="55" t="s">
        <v>223</v>
      </c>
      <c r="H299" s="70">
        <v>1</v>
      </c>
      <c r="I299" s="71">
        <f t="shared" si="10"/>
        <v>10</v>
      </c>
      <c r="J299" s="72" t="s">
        <v>16</v>
      </c>
      <c r="K299" s="73">
        <v>22800</v>
      </c>
      <c r="L299" s="73">
        <f t="shared" si="9"/>
        <v>228000</v>
      </c>
      <c r="M299" s="74" t="s">
        <v>370</v>
      </c>
      <c r="N299" s="75"/>
      <c r="O299" s="76"/>
      <c r="P299" s="45"/>
      <c r="Q299" s="23"/>
    </row>
    <row r="300" spans="2:17" s="40" customFormat="1" ht="24.95" customHeight="1">
      <c r="B300" s="46">
        <v>314</v>
      </c>
      <c r="C300" s="42" t="s">
        <v>119</v>
      </c>
      <c r="D300" s="42" t="s">
        <v>215</v>
      </c>
      <c r="E300" s="42" t="s">
        <v>63</v>
      </c>
      <c r="F300" s="42" t="s">
        <v>414</v>
      </c>
      <c r="G300" s="55" t="s">
        <v>398</v>
      </c>
      <c r="H300" s="70">
        <v>1</v>
      </c>
      <c r="I300" s="71">
        <f t="shared" si="10"/>
        <v>10</v>
      </c>
      <c r="J300" s="72" t="s">
        <v>16</v>
      </c>
      <c r="K300" s="73">
        <v>82100</v>
      </c>
      <c r="L300" s="73">
        <f t="shared" si="9"/>
        <v>821000</v>
      </c>
      <c r="M300" s="74" t="s">
        <v>519</v>
      </c>
      <c r="N300" s="75"/>
      <c r="O300" s="76"/>
      <c r="P300" s="45"/>
      <c r="Q300" s="23"/>
    </row>
    <row r="301" spans="2:17" s="40" customFormat="1" ht="24.95" customHeight="1">
      <c r="B301" s="46">
        <v>316</v>
      </c>
      <c r="C301" s="42" t="s">
        <v>119</v>
      </c>
      <c r="D301" s="42" t="s">
        <v>215</v>
      </c>
      <c r="E301" s="42" t="s">
        <v>66</v>
      </c>
      <c r="F301" s="42" t="s">
        <v>369</v>
      </c>
      <c r="G301" s="55" t="s">
        <v>25</v>
      </c>
      <c r="H301" s="70">
        <v>1</v>
      </c>
      <c r="I301" s="71">
        <f t="shared" si="10"/>
        <v>10</v>
      </c>
      <c r="J301" s="72" t="s">
        <v>16</v>
      </c>
      <c r="K301" s="73">
        <v>29735</v>
      </c>
      <c r="L301" s="73">
        <f t="shared" si="9"/>
        <v>297350</v>
      </c>
      <c r="M301" s="74" t="s">
        <v>365</v>
      </c>
      <c r="N301" s="75"/>
      <c r="O301" s="76"/>
      <c r="P301" s="45"/>
      <c r="Q301" s="23"/>
    </row>
    <row r="302" spans="2:17" s="40" customFormat="1" ht="24.95" customHeight="1">
      <c r="B302" s="46">
        <v>317</v>
      </c>
      <c r="C302" s="42" t="s">
        <v>119</v>
      </c>
      <c r="D302" s="42" t="s">
        <v>215</v>
      </c>
      <c r="E302" s="42" t="s">
        <v>66</v>
      </c>
      <c r="F302" s="42" t="s">
        <v>103</v>
      </c>
      <c r="G302" s="55" t="s">
        <v>25</v>
      </c>
      <c r="H302" s="70">
        <v>1</v>
      </c>
      <c r="I302" s="71">
        <f t="shared" si="10"/>
        <v>10</v>
      </c>
      <c r="J302" s="72" t="s">
        <v>16</v>
      </c>
      <c r="K302" s="73">
        <v>23845</v>
      </c>
      <c r="L302" s="73">
        <f t="shared" si="9"/>
        <v>238450</v>
      </c>
      <c r="M302" s="74" t="s">
        <v>380</v>
      </c>
      <c r="N302" s="75"/>
      <c r="O302" s="76"/>
      <c r="P302" s="45"/>
      <c r="Q302" s="23"/>
    </row>
    <row r="303" spans="2:17" s="40" customFormat="1" ht="24.95" customHeight="1">
      <c r="B303" s="46">
        <v>318</v>
      </c>
      <c r="C303" s="42" t="s">
        <v>119</v>
      </c>
      <c r="D303" s="42" t="s">
        <v>215</v>
      </c>
      <c r="E303" s="42" t="s">
        <v>71</v>
      </c>
      <c r="F303" s="42" t="s">
        <v>72</v>
      </c>
      <c r="G303" s="55" t="s">
        <v>214</v>
      </c>
      <c r="H303" s="70">
        <v>1</v>
      </c>
      <c r="I303" s="71">
        <f t="shared" si="10"/>
        <v>10</v>
      </c>
      <c r="J303" s="72" t="s">
        <v>16</v>
      </c>
      <c r="K303" s="73">
        <v>5800</v>
      </c>
      <c r="L303" s="73">
        <f t="shared" si="9"/>
        <v>58000</v>
      </c>
      <c r="M303" s="74" t="s">
        <v>368</v>
      </c>
      <c r="N303" s="75"/>
      <c r="O303" s="76"/>
      <c r="P303" s="45"/>
      <c r="Q303" s="23"/>
    </row>
    <row r="304" spans="2:17" s="40" customFormat="1" ht="24.95" customHeight="1">
      <c r="B304" s="46">
        <v>319</v>
      </c>
      <c r="C304" s="42" t="s">
        <v>119</v>
      </c>
      <c r="D304" s="42" t="s">
        <v>215</v>
      </c>
      <c r="E304" s="42" t="s">
        <v>94</v>
      </c>
      <c r="F304" s="42" t="s">
        <v>167</v>
      </c>
      <c r="G304" s="55" t="s">
        <v>171</v>
      </c>
      <c r="H304" s="70">
        <v>1</v>
      </c>
      <c r="I304" s="71">
        <f t="shared" si="10"/>
        <v>10</v>
      </c>
      <c r="J304" s="72" t="s">
        <v>16</v>
      </c>
      <c r="K304" s="73">
        <v>198000</v>
      </c>
      <c r="L304" s="73">
        <f t="shared" ref="L304:L356" si="11">I304*K304</f>
        <v>1980000</v>
      </c>
      <c r="M304" s="74" t="s">
        <v>377</v>
      </c>
      <c r="N304" s="75"/>
      <c r="O304" s="76"/>
      <c r="P304" s="45"/>
      <c r="Q304" s="23"/>
    </row>
    <row r="305" spans="2:17" s="40" customFormat="1" ht="24.95" customHeight="1">
      <c r="B305" s="46">
        <v>320</v>
      </c>
      <c r="C305" s="42" t="s">
        <v>119</v>
      </c>
      <c r="D305" s="42" t="s">
        <v>215</v>
      </c>
      <c r="E305" s="42" t="s">
        <v>334</v>
      </c>
      <c r="F305" s="42" t="s">
        <v>359</v>
      </c>
      <c r="G305" s="55" t="s">
        <v>32</v>
      </c>
      <c r="H305" s="70">
        <v>1</v>
      </c>
      <c r="I305" s="71">
        <f t="shared" si="10"/>
        <v>10</v>
      </c>
      <c r="J305" s="72" t="s">
        <v>16</v>
      </c>
      <c r="K305" s="73">
        <v>75000</v>
      </c>
      <c r="L305" s="73">
        <f t="shared" si="11"/>
        <v>750000</v>
      </c>
      <c r="M305" s="74" t="s">
        <v>365</v>
      </c>
      <c r="N305" s="75"/>
      <c r="O305" s="76"/>
      <c r="P305" s="45"/>
      <c r="Q305" s="23"/>
    </row>
    <row r="306" spans="2:17" s="40" customFormat="1" ht="24.95" customHeight="1">
      <c r="B306" s="46">
        <v>321</v>
      </c>
      <c r="C306" s="47" t="s">
        <v>119</v>
      </c>
      <c r="D306" s="47" t="s">
        <v>215</v>
      </c>
      <c r="E306" s="47" t="s">
        <v>80</v>
      </c>
      <c r="F306" s="47" t="s">
        <v>186</v>
      </c>
      <c r="G306" s="56" t="s">
        <v>24</v>
      </c>
      <c r="H306" s="70">
        <v>1</v>
      </c>
      <c r="I306" s="71">
        <f t="shared" si="10"/>
        <v>10</v>
      </c>
      <c r="J306" s="72" t="s">
        <v>16</v>
      </c>
      <c r="K306" s="73">
        <v>221570</v>
      </c>
      <c r="L306" s="73">
        <f t="shared" si="11"/>
        <v>2215700</v>
      </c>
      <c r="M306" s="74" t="s">
        <v>370</v>
      </c>
      <c r="N306" s="75"/>
      <c r="O306" s="76"/>
      <c r="P306" s="50"/>
      <c r="Q306" s="23"/>
    </row>
    <row r="307" spans="2:17" s="40" customFormat="1" ht="24.95" customHeight="1">
      <c r="B307" s="46">
        <v>322</v>
      </c>
      <c r="C307" s="47" t="s">
        <v>119</v>
      </c>
      <c r="D307" s="47" t="s">
        <v>215</v>
      </c>
      <c r="E307" s="47" t="s">
        <v>80</v>
      </c>
      <c r="F307" s="47" t="s">
        <v>277</v>
      </c>
      <c r="G307" s="56" t="s">
        <v>24</v>
      </c>
      <c r="H307" s="70">
        <v>1</v>
      </c>
      <c r="I307" s="71">
        <f t="shared" si="10"/>
        <v>10</v>
      </c>
      <c r="J307" s="72" t="s">
        <v>16</v>
      </c>
      <c r="K307" s="73">
        <v>216130</v>
      </c>
      <c r="L307" s="73">
        <f t="shared" si="11"/>
        <v>2161300</v>
      </c>
      <c r="M307" s="74" t="s">
        <v>370</v>
      </c>
      <c r="N307" s="75"/>
      <c r="O307" s="76"/>
      <c r="P307" s="50"/>
      <c r="Q307" s="23"/>
    </row>
    <row r="308" spans="2:17" s="40" customFormat="1" ht="24.95" customHeight="1">
      <c r="B308" s="46">
        <v>323</v>
      </c>
      <c r="C308" s="47" t="s">
        <v>119</v>
      </c>
      <c r="D308" s="47" t="s">
        <v>215</v>
      </c>
      <c r="E308" s="47" t="s">
        <v>110</v>
      </c>
      <c r="F308" s="47" t="s">
        <v>111</v>
      </c>
      <c r="G308" s="56" t="s">
        <v>204</v>
      </c>
      <c r="H308" s="70">
        <v>2</v>
      </c>
      <c r="I308" s="71">
        <f t="shared" si="10"/>
        <v>20</v>
      </c>
      <c r="J308" s="72" t="s">
        <v>16</v>
      </c>
      <c r="K308" s="73">
        <v>4948</v>
      </c>
      <c r="L308" s="73">
        <f t="shared" si="11"/>
        <v>98960</v>
      </c>
      <c r="M308" s="74" t="s">
        <v>380</v>
      </c>
      <c r="N308" s="75"/>
      <c r="O308" s="76"/>
      <c r="P308" s="50"/>
      <c r="Q308" s="23"/>
    </row>
    <row r="309" spans="2:17" s="40" customFormat="1" ht="24.95" customHeight="1">
      <c r="B309" s="46">
        <v>324</v>
      </c>
      <c r="C309" s="47" t="s">
        <v>119</v>
      </c>
      <c r="D309" s="47" t="s">
        <v>215</v>
      </c>
      <c r="E309" s="47" t="s">
        <v>184</v>
      </c>
      <c r="F309" s="47" t="s">
        <v>393</v>
      </c>
      <c r="G309" s="56" t="s">
        <v>24</v>
      </c>
      <c r="H309" s="70">
        <v>1</v>
      </c>
      <c r="I309" s="71">
        <f t="shared" si="10"/>
        <v>10</v>
      </c>
      <c r="J309" s="72" t="s">
        <v>16</v>
      </c>
      <c r="K309" s="73">
        <v>8670</v>
      </c>
      <c r="L309" s="73">
        <f t="shared" si="11"/>
        <v>86700</v>
      </c>
      <c r="M309" s="74" t="s">
        <v>370</v>
      </c>
      <c r="N309" s="75"/>
      <c r="O309" s="76"/>
      <c r="P309" s="50"/>
      <c r="Q309" s="23"/>
    </row>
    <row r="310" spans="2:17" s="40" customFormat="1" ht="24.95" customHeight="1">
      <c r="B310" s="46">
        <v>325</v>
      </c>
      <c r="C310" s="47" t="s">
        <v>119</v>
      </c>
      <c r="D310" s="47" t="s">
        <v>215</v>
      </c>
      <c r="E310" s="47" t="s">
        <v>80</v>
      </c>
      <c r="F310" s="47" t="s">
        <v>259</v>
      </c>
      <c r="G310" s="56" t="s">
        <v>24</v>
      </c>
      <c r="H310" s="70">
        <v>1</v>
      </c>
      <c r="I310" s="71">
        <f t="shared" si="10"/>
        <v>10</v>
      </c>
      <c r="J310" s="72" t="s">
        <v>16</v>
      </c>
      <c r="K310" s="73">
        <v>218480</v>
      </c>
      <c r="L310" s="73">
        <f t="shared" si="11"/>
        <v>2184800</v>
      </c>
      <c r="M310" s="74" t="s">
        <v>370</v>
      </c>
      <c r="N310" s="75"/>
      <c r="O310" s="76"/>
      <c r="P310" s="50"/>
      <c r="Q310" s="23"/>
    </row>
    <row r="311" spans="2:17" s="40" customFormat="1" ht="24.95" customHeight="1">
      <c r="B311" s="46">
        <v>327</v>
      </c>
      <c r="C311" s="47" t="s">
        <v>415</v>
      </c>
      <c r="D311" s="47" t="s">
        <v>416</v>
      </c>
      <c r="E311" s="47" t="s">
        <v>417</v>
      </c>
      <c r="F311" s="47" t="s">
        <v>492</v>
      </c>
      <c r="G311" s="56" t="s">
        <v>463</v>
      </c>
      <c r="H311" s="70">
        <v>1</v>
      </c>
      <c r="I311" s="71">
        <f t="shared" ref="I311:I313" si="12">H311*$H$5</f>
        <v>10</v>
      </c>
      <c r="J311" s="72" t="s">
        <v>16</v>
      </c>
      <c r="K311" s="73">
        <v>50000</v>
      </c>
      <c r="L311" s="73">
        <f t="shared" si="11"/>
        <v>500000</v>
      </c>
      <c r="M311" s="74" t="s">
        <v>518</v>
      </c>
      <c r="N311" s="75"/>
      <c r="O311" s="76"/>
      <c r="P311" s="50"/>
      <c r="Q311" s="23"/>
    </row>
    <row r="312" spans="2:17" s="40" customFormat="1" ht="24.95" customHeight="1">
      <c r="B312" s="46">
        <v>328</v>
      </c>
      <c r="C312" s="47" t="s">
        <v>415</v>
      </c>
      <c r="D312" s="47" t="s">
        <v>416</v>
      </c>
      <c r="E312" s="47" t="s">
        <v>418</v>
      </c>
      <c r="F312" s="47" t="s">
        <v>493</v>
      </c>
      <c r="G312" s="56" t="s">
        <v>463</v>
      </c>
      <c r="H312" s="70">
        <v>1</v>
      </c>
      <c r="I312" s="71">
        <f t="shared" si="12"/>
        <v>10</v>
      </c>
      <c r="J312" s="72" t="s">
        <v>16</v>
      </c>
      <c r="K312" s="73">
        <v>2600</v>
      </c>
      <c r="L312" s="73">
        <f t="shared" si="11"/>
        <v>26000</v>
      </c>
      <c r="M312" s="74" t="s">
        <v>518</v>
      </c>
      <c r="N312" s="75"/>
      <c r="O312" s="76"/>
      <c r="P312" s="50"/>
      <c r="Q312" s="23"/>
    </row>
    <row r="313" spans="2:17" s="40" customFormat="1" ht="24.95" customHeight="1">
      <c r="B313" s="46">
        <v>329</v>
      </c>
      <c r="C313" s="47" t="s">
        <v>415</v>
      </c>
      <c r="D313" s="47" t="s">
        <v>416</v>
      </c>
      <c r="E313" s="47" t="s">
        <v>419</v>
      </c>
      <c r="F313" s="47" t="s">
        <v>475</v>
      </c>
      <c r="G313" s="56" t="s">
        <v>464</v>
      </c>
      <c r="H313" s="70">
        <v>2</v>
      </c>
      <c r="I313" s="71">
        <f t="shared" si="12"/>
        <v>20</v>
      </c>
      <c r="J313" s="72" t="s">
        <v>16</v>
      </c>
      <c r="K313" s="73">
        <v>27600</v>
      </c>
      <c r="L313" s="73">
        <f t="shared" si="11"/>
        <v>552000</v>
      </c>
      <c r="M313" s="74" t="s">
        <v>518</v>
      </c>
      <c r="N313" s="75"/>
      <c r="O313" s="76"/>
      <c r="P313" s="50"/>
      <c r="Q313" s="23"/>
    </row>
    <row r="314" spans="2:17" s="40" customFormat="1" ht="24.95" customHeight="1">
      <c r="B314" s="46">
        <v>330</v>
      </c>
      <c r="C314" s="42" t="s">
        <v>415</v>
      </c>
      <c r="D314" s="42" t="s">
        <v>416</v>
      </c>
      <c r="E314" s="43" t="s">
        <v>419</v>
      </c>
      <c r="F314" s="43" t="s">
        <v>476</v>
      </c>
      <c r="G314" s="44" t="s">
        <v>464</v>
      </c>
      <c r="H314" s="70">
        <v>1</v>
      </c>
      <c r="I314" s="71">
        <f t="shared" si="8"/>
        <v>10</v>
      </c>
      <c r="J314" s="72" t="s">
        <v>16</v>
      </c>
      <c r="K314" s="73">
        <v>5500</v>
      </c>
      <c r="L314" s="73">
        <f t="shared" si="11"/>
        <v>55000</v>
      </c>
      <c r="M314" s="74" t="s">
        <v>518</v>
      </c>
      <c r="N314" s="75"/>
      <c r="O314" s="76"/>
      <c r="P314" s="45"/>
      <c r="Q314" s="23"/>
    </row>
    <row r="315" spans="2:17" s="40" customFormat="1" ht="24.95" customHeight="1">
      <c r="B315" s="46">
        <v>331</v>
      </c>
      <c r="C315" s="42" t="s">
        <v>415</v>
      </c>
      <c r="D315" s="42" t="s">
        <v>416</v>
      </c>
      <c r="E315" s="43" t="s">
        <v>419</v>
      </c>
      <c r="F315" s="43" t="s">
        <v>477</v>
      </c>
      <c r="G315" s="44" t="s">
        <v>464</v>
      </c>
      <c r="H315" s="70">
        <v>1</v>
      </c>
      <c r="I315" s="71">
        <f t="shared" si="8"/>
        <v>10</v>
      </c>
      <c r="J315" s="72" t="s">
        <v>16</v>
      </c>
      <c r="K315" s="73">
        <v>18000</v>
      </c>
      <c r="L315" s="73">
        <f t="shared" si="11"/>
        <v>180000</v>
      </c>
      <c r="M315" s="74" t="s">
        <v>518</v>
      </c>
      <c r="N315" s="75"/>
      <c r="O315" s="76"/>
      <c r="P315" s="45"/>
      <c r="Q315" s="23"/>
    </row>
    <row r="316" spans="2:17" s="40" customFormat="1" ht="24.95" customHeight="1">
      <c r="B316" s="46">
        <v>332</v>
      </c>
      <c r="C316" s="42" t="s">
        <v>415</v>
      </c>
      <c r="D316" s="42" t="s">
        <v>416</v>
      </c>
      <c r="E316" s="43" t="s">
        <v>420</v>
      </c>
      <c r="F316" s="43" t="s">
        <v>521</v>
      </c>
      <c r="G316" s="44" t="s">
        <v>421</v>
      </c>
      <c r="H316" s="70">
        <v>12</v>
      </c>
      <c r="I316" s="71">
        <f t="shared" si="8"/>
        <v>120</v>
      </c>
      <c r="J316" s="72" t="s">
        <v>16</v>
      </c>
      <c r="K316" s="73">
        <v>97000</v>
      </c>
      <c r="L316" s="73">
        <f t="shared" si="11"/>
        <v>11640000</v>
      </c>
      <c r="M316" s="74" t="s">
        <v>367</v>
      </c>
      <c r="N316" s="75">
        <v>45923</v>
      </c>
      <c r="O316" s="76">
        <v>45952</v>
      </c>
      <c r="P316" s="45"/>
      <c r="Q316" s="23"/>
    </row>
    <row r="317" spans="2:17" s="40" customFormat="1" ht="24.95" customHeight="1">
      <c r="B317" s="46">
        <v>333</v>
      </c>
      <c r="C317" s="42" t="s">
        <v>415</v>
      </c>
      <c r="D317" s="42" t="s">
        <v>416</v>
      </c>
      <c r="E317" s="43" t="s">
        <v>422</v>
      </c>
      <c r="F317" s="43" t="s">
        <v>478</v>
      </c>
      <c r="G317" s="44" t="s">
        <v>214</v>
      </c>
      <c r="H317" s="70">
        <v>3</v>
      </c>
      <c r="I317" s="71">
        <f t="shared" si="8"/>
        <v>30</v>
      </c>
      <c r="J317" s="72" t="s">
        <v>16</v>
      </c>
      <c r="K317" s="73">
        <v>12600</v>
      </c>
      <c r="L317" s="73">
        <f t="shared" si="11"/>
        <v>378000</v>
      </c>
      <c r="M317" s="74" t="s">
        <v>518</v>
      </c>
      <c r="N317" s="75"/>
      <c r="O317" s="76"/>
      <c r="P317" s="45"/>
      <c r="Q317" s="23"/>
    </row>
    <row r="318" spans="2:17" s="40" customFormat="1" ht="24.95" customHeight="1">
      <c r="B318" s="46">
        <v>334</v>
      </c>
      <c r="C318" s="42" t="s">
        <v>415</v>
      </c>
      <c r="D318" s="42" t="s">
        <v>416</v>
      </c>
      <c r="E318" s="43" t="s">
        <v>423</v>
      </c>
      <c r="F318" s="43" t="s">
        <v>479</v>
      </c>
      <c r="G318" s="44" t="s">
        <v>53</v>
      </c>
      <c r="H318" s="70">
        <v>3</v>
      </c>
      <c r="I318" s="71">
        <f t="shared" si="8"/>
        <v>30</v>
      </c>
      <c r="J318" s="72" t="s">
        <v>16</v>
      </c>
      <c r="K318" s="73">
        <v>2200</v>
      </c>
      <c r="L318" s="73">
        <f t="shared" si="11"/>
        <v>66000</v>
      </c>
      <c r="M318" s="74" t="s">
        <v>518</v>
      </c>
      <c r="N318" s="75"/>
      <c r="O318" s="76"/>
      <c r="P318" s="45"/>
      <c r="Q318" s="23"/>
    </row>
    <row r="319" spans="2:17" s="40" customFormat="1" ht="24.95" customHeight="1">
      <c r="B319" s="46">
        <v>335</v>
      </c>
      <c r="C319" s="42" t="s">
        <v>415</v>
      </c>
      <c r="D319" s="42" t="s">
        <v>416</v>
      </c>
      <c r="E319" s="43" t="s">
        <v>424</v>
      </c>
      <c r="F319" s="43" t="s">
        <v>480</v>
      </c>
      <c r="G319" s="44" t="s">
        <v>425</v>
      </c>
      <c r="H319" s="70">
        <v>1</v>
      </c>
      <c r="I319" s="71">
        <f t="shared" si="8"/>
        <v>10</v>
      </c>
      <c r="J319" s="72" t="s">
        <v>16</v>
      </c>
      <c r="K319" s="73">
        <v>13000</v>
      </c>
      <c r="L319" s="73">
        <f t="shared" si="11"/>
        <v>130000</v>
      </c>
      <c r="M319" s="74" t="s">
        <v>518</v>
      </c>
      <c r="N319" s="75"/>
      <c r="O319" s="76"/>
      <c r="P319" s="45"/>
      <c r="Q319" s="23"/>
    </row>
    <row r="320" spans="2:17" s="40" customFormat="1" ht="24.95" customHeight="1">
      <c r="B320" s="46">
        <v>336</v>
      </c>
      <c r="C320" s="42" t="s">
        <v>415</v>
      </c>
      <c r="D320" s="42" t="s">
        <v>416</v>
      </c>
      <c r="E320" s="43" t="s">
        <v>424</v>
      </c>
      <c r="F320" s="43" t="s">
        <v>481</v>
      </c>
      <c r="G320" s="44" t="s">
        <v>425</v>
      </c>
      <c r="H320" s="70">
        <v>1</v>
      </c>
      <c r="I320" s="71">
        <f t="shared" si="8"/>
        <v>10</v>
      </c>
      <c r="J320" s="72" t="s">
        <v>16</v>
      </c>
      <c r="K320" s="73">
        <v>35000</v>
      </c>
      <c r="L320" s="73">
        <f t="shared" si="11"/>
        <v>350000</v>
      </c>
      <c r="M320" s="74" t="s">
        <v>518</v>
      </c>
      <c r="N320" s="75"/>
      <c r="O320" s="76"/>
      <c r="P320" s="45"/>
      <c r="Q320" s="23"/>
    </row>
    <row r="321" spans="2:17" s="40" customFormat="1" ht="24.95" customHeight="1">
      <c r="B321" s="46">
        <v>337</v>
      </c>
      <c r="C321" s="42" t="s">
        <v>415</v>
      </c>
      <c r="D321" s="42" t="s">
        <v>416</v>
      </c>
      <c r="E321" s="43" t="s">
        <v>426</v>
      </c>
      <c r="F321" s="43" t="s">
        <v>489</v>
      </c>
      <c r="G321" s="44" t="s">
        <v>427</v>
      </c>
      <c r="H321" s="70">
        <v>11</v>
      </c>
      <c r="I321" s="71">
        <f t="shared" si="8"/>
        <v>110</v>
      </c>
      <c r="J321" s="72" t="s">
        <v>16</v>
      </c>
      <c r="K321" s="73">
        <v>17700</v>
      </c>
      <c r="L321" s="73">
        <f t="shared" si="11"/>
        <v>1947000</v>
      </c>
      <c r="M321" s="74" t="s">
        <v>519</v>
      </c>
      <c r="N321" s="75"/>
      <c r="O321" s="76"/>
      <c r="P321" s="45"/>
      <c r="Q321" s="23"/>
    </row>
    <row r="322" spans="2:17" s="40" customFormat="1" ht="24.95" customHeight="1">
      <c r="B322" s="46">
        <v>338</v>
      </c>
      <c r="C322" s="42" t="s">
        <v>415</v>
      </c>
      <c r="D322" s="42" t="s">
        <v>416</v>
      </c>
      <c r="E322" s="43" t="s">
        <v>426</v>
      </c>
      <c r="F322" s="43" t="s">
        <v>490</v>
      </c>
      <c r="G322" s="44" t="s">
        <v>427</v>
      </c>
      <c r="H322" s="70">
        <v>2</v>
      </c>
      <c r="I322" s="71">
        <f t="shared" si="8"/>
        <v>20</v>
      </c>
      <c r="J322" s="72" t="s">
        <v>16</v>
      </c>
      <c r="K322" s="73">
        <v>17700</v>
      </c>
      <c r="L322" s="73">
        <f t="shared" si="11"/>
        <v>354000</v>
      </c>
      <c r="M322" s="74" t="s">
        <v>519</v>
      </c>
      <c r="N322" s="75"/>
      <c r="O322" s="76"/>
      <c r="P322" s="45"/>
      <c r="Q322" s="23"/>
    </row>
    <row r="323" spans="2:17" s="40" customFormat="1" ht="24.95" customHeight="1">
      <c r="B323" s="46">
        <v>339</v>
      </c>
      <c r="C323" s="42" t="s">
        <v>415</v>
      </c>
      <c r="D323" s="42" t="s">
        <v>416</v>
      </c>
      <c r="E323" s="43" t="s">
        <v>426</v>
      </c>
      <c r="F323" s="43" t="s">
        <v>491</v>
      </c>
      <c r="G323" s="44" t="s">
        <v>427</v>
      </c>
      <c r="H323" s="70">
        <v>1</v>
      </c>
      <c r="I323" s="71">
        <f t="shared" si="8"/>
        <v>10</v>
      </c>
      <c r="J323" s="72" t="s">
        <v>16</v>
      </c>
      <c r="K323" s="73">
        <v>17700</v>
      </c>
      <c r="L323" s="73">
        <f t="shared" si="11"/>
        <v>177000</v>
      </c>
      <c r="M323" s="74" t="s">
        <v>519</v>
      </c>
      <c r="N323" s="75"/>
      <c r="O323" s="76"/>
      <c r="P323" s="45"/>
      <c r="Q323" s="23"/>
    </row>
    <row r="324" spans="2:17" s="40" customFormat="1" ht="24.95" customHeight="1">
      <c r="B324" s="46">
        <v>340</v>
      </c>
      <c r="C324" s="42" t="s">
        <v>415</v>
      </c>
      <c r="D324" s="42" t="s">
        <v>416</v>
      </c>
      <c r="E324" s="43" t="s">
        <v>428</v>
      </c>
      <c r="F324" s="43" t="s">
        <v>508</v>
      </c>
      <c r="G324" s="44" t="s">
        <v>516</v>
      </c>
      <c r="H324" s="70">
        <v>12</v>
      </c>
      <c r="I324" s="71">
        <f t="shared" si="8"/>
        <v>120</v>
      </c>
      <c r="J324" s="72" t="s">
        <v>16</v>
      </c>
      <c r="K324" s="73">
        <v>24000</v>
      </c>
      <c r="L324" s="73">
        <f t="shared" si="11"/>
        <v>2880000</v>
      </c>
      <c r="M324" s="74" t="s">
        <v>517</v>
      </c>
      <c r="N324" s="75">
        <v>45923</v>
      </c>
      <c r="O324" s="76">
        <v>45950</v>
      </c>
      <c r="P324" s="45"/>
      <c r="Q324" s="23"/>
    </row>
    <row r="325" spans="2:17" s="40" customFormat="1" ht="24.95" customHeight="1">
      <c r="B325" s="46">
        <v>341</v>
      </c>
      <c r="C325" s="42" t="s">
        <v>415</v>
      </c>
      <c r="D325" s="42" t="s">
        <v>416</v>
      </c>
      <c r="E325" s="43" t="s">
        <v>430</v>
      </c>
      <c r="F325" s="43" t="s">
        <v>502</v>
      </c>
      <c r="G325" s="44" t="s">
        <v>465</v>
      </c>
      <c r="H325" s="70">
        <v>1</v>
      </c>
      <c r="I325" s="71">
        <f t="shared" si="8"/>
        <v>10</v>
      </c>
      <c r="J325" s="72" t="s">
        <v>16</v>
      </c>
      <c r="K325" s="73">
        <v>148000</v>
      </c>
      <c r="L325" s="73">
        <f t="shared" si="11"/>
        <v>1480000</v>
      </c>
      <c r="M325" s="74" t="s">
        <v>368</v>
      </c>
      <c r="N325" s="75"/>
      <c r="O325" s="76"/>
      <c r="P325" s="45"/>
      <c r="Q325" s="23"/>
    </row>
    <row r="326" spans="2:17" s="40" customFormat="1" ht="24.95" customHeight="1">
      <c r="B326" s="46">
        <v>342</v>
      </c>
      <c r="C326" s="42" t="s">
        <v>415</v>
      </c>
      <c r="D326" s="42" t="s">
        <v>416</v>
      </c>
      <c r="E326" s="43" t="s">
        <v>431</v>
      </c>
      <c r="F326" s="43" t="s">
        <v>432</v>
      </c>
      <c r="G326" s="44" t="s">
        <v>465</v>
      </c>
      <c r="H326" s="70">
        <v>9</v>
      </c>
      <c r="I326" s="71">
        <f t="shared" si="8"/>
        <v>90</v>
      </c>
      <c r="J326" s="72" t="s">
        <v>16</v>
      </c>
      <c r="K326" s="73">
        <v>53000</v>
      </c>
      <c r="L326" s="73">
        <f t="shared" si="11"/>
        <v>4770000</v>
      </c>
      <c r="M326" s="74" t="s">
        <v>368</v>
      </c>
      <c r="N326" s="75"/>
      <c r="O326" s="76"/>
      <c r="P326" s="45"/>
      <c r="Q326" s="23"/>
    </row>
    <row r="327" spans="2:17" s="40" customFormat="1" ht="24.95" customHeight="1">
      <c r="B327" s="46">
        <v>343</v>
      </c>
      <c r="C327" s="42" t="s">
        <v>415</v>
      </c>
      <c r="D327" s="42" t="s">
        <v>416</v>
      </c>
      <c r="E327" s="43" t="s">
        <v>433</v>
      </c>
      <c r="F327" s="43" t="s">
        <v>434</v>
      </c>
      <c r="G327" s="44" t="s">
        <v>465</v>
      </c>
      <c r="H327" s="70">
        <v>9</v>
      </c>
      <c r="I327" s="71">
        <v>10</v>
      </c>
      <c r="J327" s="72" t="s">
        <v>16</v>
      </c>
      <c r="K327" s="73">
        <v>59000</v>
      </c>
      <c r="L327" s="73">
        <f t="shared" si="11"/>
        <v>590000</v>
      </c>
      <c r="M327" s="74" t="s">
        <v>368</v>
      </c>
      <c r="N327" s="75"/>
      <c r="O327" s="76"/>
      <c r="P327" s="45"/>
      <c r="Q327" s="23"/>
    </row>
    <row r="328" spans="2:17" s="40" customFormat="1" ht="24.95" customHeight="1">
      <c r="B328" s="46">
        <v>343</v>
      </c>
      <c r="C328" s="42" t="s">
        <v>415</v>
      </c>
      <c r="D328" s="42" t="s">
        <v>416</v>
      </c>
      <c r="E328" s="43" t="s">
        <v>433</v>
      </c>
      <c r="F328" s="43" t="s">
        <v>522</v>
      </c>
      <c r="G328" s="44" t="s">
        <v>465</v>
      </c>
      <c r="H328" s="70">
        <v>9</v>
      </c>
      <c r="I328" s="71">
        <v>80</v>
      </c>
      <c r="J328" s="72" t="s">
        <v>16</v>
      </c>
      <c r="K328" s="73">
        <v>59000</v>
      </c>
      <c r="L328" s="73">
        <f t="shared" si="11"/>
        <v>4720000</v>
      </c>
      <c r="M328" s="83" t="s">
        <v>515</v>
      </c>
      <c r="N328" s="75">
        <v>45923</v>
      </c>
      <c r="O328" s="76">
        <v>45930</v>
      </c>
      <c r="P328" s="45"/>
      <c r="Q328" s="23"/>
    </row>
    <row r="329" spans="2:17" s="40" customFormat="1" ht="24.95" customHeight="1">
      <c r="B329" s="46">
        <v>344</v>
      </c>
      <c r="C329" s="42" t="s">
        <v>415</v>
      </c>
      <c r="D329" s="42" t="s">
        <v>416</v>
      </c>
      <c r="E329" s="43" t="s">
        <v>435</v>
      </c>
      <c r="F329" s="43" t="s">
        <v>503</v>
      </c>
      <c r="G329" s="44" t="s">
        <v>436</v>
      </c>
      <c r="H329" s="70">
        <v>5</v>
      </c>
      <c r="I329" s="71">
        <f t="shared" si="8"/>
        <v>50</v>
      </c>
      <c r="J329" s="72" t="s">
        <v>16</v>
      </c>
      <c r="K329" s="73">
        <v>8400</v>
      </c>
      <c r="L329" s="73">
        <f t="shared" si="11"/>
        <v>420000</v>
      </c>
      <c r="M329" s="74" t="s">
        <v>519</v>
      </c>
      <c r="N329" s="75"/>
      <c r="O329" s="76"/>
      <c r="P329" s="45"/>
      <c r="Q329" s="23"/>
    </row>
    <row r="330" spans="2:17" s="40" customFormat="1" ht="24.95" customHeight="1">
      <c r="B330" s="46">
        <v>345</v>
      </c>
      <c r="C330" s="42" t="s">
        <v>415</v>
      </c>
      <c r="D330" s="42" t="s">
        <v>416</v>
      </c>
      <c r="E330" s="43" t="s">
        <v>437</v>
      </c>
      <c r="F330" s="43" t="s">
        <v>487</v>
      </c>
      <c r="G330" s="44" t="s">
        <v>466</v>
      </c>
      <c r="H330" s="70">
        <v>1</v>
      </c>
      <c r="I330" s="71">
        <f t="shared" si="8"/>
        <v>10</v>
      </c>
      <c r="J330" s="72" t="s">
        <v>16</v>
      </c>
      <c r="K330" s="73">
        <v>40000</v>
      </c>
      <c r="L330" s="73">
        <f t="shared" si="11"/>
        <v>400000</v>
      </c>
      <c r="M330" s="74" t="s">
        <v>514</v>
      </c>
      <c r="N330" s="75">
        <v>45923</v>
      </c>
      <c r="O330" s="76">
        <v>45954</v>
      </c>
      <c r="P330" s="45"/>
      <c r="Q330" s="23"/>
    </row>
    <row r="331" spans="2:17" s="40" customFormat="1" ht="24.95" customHeight="1">
      <c r="B331" s="46">
        <v>346</v>
      </c>
      <c r="C331" s="42" t="s">
        <v>415</v>
      </c>
      <c r="D331" s="42" t="s">
        <v>416</v>
      </c>
      <c r="E331" s="43" t="s">
        <v>438</v>
      </c>
      <c r="F331" s="43" t="s">
        <v>488</v>
      </c>
      <c r="G331" s="44" t="s">
        <v>466</v>
      </c>
      <c r="H331" s="70">
        <v>1</v>
      </c>
      <c r="I331" s="71">
        <f t="shared" si="8"/>
        <v>10</v>
      </c>
      <c r="J331" s="72" t="s">
        <v>16</v>
      </c>
      <c r="K331" s="73">
        <v>51800</v>
      </c>
      <c r="L331" s="73">
        <f t="shared" si="11"/>
        <v>518000</v>
      </c>
      <c r="M331" s="74" t="s">
        <v>514</v>
      </c>
      <c r="N331" s="75">
        <v>45923</v>
      </c>
      <c r="O331" s="76">
        <v>45929</v>
      </c>
      <c r="P331" s="45"/>
      <c r="Q331" s="23"/>
    </row>
    <row r="332" spans="2:17" s="40" customFormat="1" ht="24.95" customHeight="1">
      <c r="B332" s="46">
        <v>347</v>
      </c>
      <c r="C332" s="42" t="s">
        <v>415</v>
      </c>
      <c r="D332" s="42" t="s">
        <v>416</v>
      </c>
      <c r="E332" s="43" t="s">
        <v>420</v>
      </c>
      <c r="F332" s="43" t="s">
        <v>509</v>
      </c>
      <c r="G332" s="44" t="s">
        <v>429</v>
      </c>
      <c r="H332" s="70">
        <v>1</v>
      </c>
      <c r="I332" s="71">
        <f t="shared" si="8"/>
        <v>10</v>
      </c>
      <c r="J332" s="72" t="s">
        <v>16</v>
      </c>
      <c r="K332" s="73">
        <v>49000</v>
      </c>
      <c r="L332" s="73">
        <f t="shared" si="11"/>
        <v>490000</v>
      </c>
      <c r="M332" s="74" t="s">
        <v>517</v>
      </c>
      <c r="N332" s="75">
        <v>45923</v>
      </c>
      <c r="O332" s="76">
        <v>45950</v>
      </c>
      <c r="P332" s="45"/>
      <c r="Q332" s="23"/>
    </row>
    <row r="333" spans="2:17" s="40" customFormat="1" ht="24.95" customHeight="1">
      <c r="B333" s="46">
        <v>348</v>
      </c>
      <c r="C333" s="42" t="s">
        <v>415</v>
      </c>
      <c r="D333" s="42" t="s">
        <v>416</v>
      </c>
      <c r="E333" s="43" t="s">
        <v>420</v>
      </c>
      <c r="F333" s="43" t="s">
        <v>510</v>
      </c>
      <c r="G333" s="44" t="s">
        <v>429</v>
      </c>
      <c r="H333" s="70">
        <v>1</v>
      </c>
      <c r="I333" s="71">
        <f t="shared" si="8"/>
        <v>10</v>
      </c>
      <c r="J333" s="72" t="s">
        <v>16</v>
      </c>
      <c r="K333" s="73">
        <v>85000</v>
      </c>
      <c r="L333" s="73">
        <f t="shared" si="11"/>
        <v>850000</v>
      </c>
      <c r="M333" s="74" t="s">
        <v>518</v>
      </c>
      <c r="N333" s="75"/>
      <c r="O333" s="76"/>
      <c r="P333" s="45"/>
      <c r="Q333" s="23"/>
    </row>
    <row r="334" spans="2:17" s="40" customFormat="1" ht="24.95" customHeight="1">
      <c r="B334" s="46">
        <v>349</v>
      </c>
      <c r="C334" s="42" t="s">
        <v>415</v>
      </c>
      <c r="D334" s="42" t="s">
        <v>416</v>
      </c>
      <c r="E334" s="43" t="s">
        <v>439</v>
      </c>
      <c r="F334" s="43" t="s">
        <v>511</v>
      </c>
      <c r="G334" s="44" t="s">
        <v>467</v>
      </c>
      <c r="H334" s="70">
        <v>2</v>
      </c>
      <c r="I334" s="71">
        <f t="shared" si="8"/>
        <v>20</v>
      </c>
      <c r="J334" s="72" t="s">
        <v>16</v>
      </c>
      <c r="K334" s="73">
        <v>48000</v>
      </c>
      <c r="L334" s="73">
        <f t="shared" si="11"/>
        <v>960000</v>
      </c>
      <c r="M334" s="74" t="s">
        <v>518</v>
      </c>
      <c r="N334" s="75"/>
      <c r="O334" s="76"/>
      <c r="P334" s="45"/>
      <c r="Q334" s="23"/>
    </row>
    <row r="335" spans="2:17" s="40" customFormat="1" ht="24.95" customHeight="1">
      <c r="B335" s="46">
        <v>350</v>
      </c>
      <c r="C335" s="42" t="s">
        <v>415</v>
      </c>
      <c r="D335" s="42" t="s">
        <v>416</v>
      </c>
      <c r="E335" s="43" t="s">
        <v>439</v>
      </c>
      <c r="F335" s="43" t="s">
        <v>512</v>
      </c>
      <c r="G335" s="44" t="s">
        <v>467</v>
      </c>
      <c r="H335" s="70">
        <v>1</v>
      </c>
      <c r="I335" s="71">
        <f t="shared" si="8"/>
        <v>10</v>
      </c>
      <c r="J335" s="72" t="s">
        <v>16</v>
      </c>
      <c r="K335" s="73">
        <v>21000</v>
      </c>
      <c r="L335" s="73">
        <f t="shared" si="11"/>
        <v>210000</v>
      </c>
      <c r="M335" s="74" t="s">
        <v>518</v>
      </c>
      <c r="N335" s="75"/>
      <c r="O335" s="76"/>
      <c r="P335" s="45"/>
      <c r="Q335" s="23"/>
    </row>
    <row r="336" spans="2:17" s="40" customFormat="1" ht="24.95" customHeight="1">
      <c r="B336" s="46">
        <v>351</v>
      </c>
      <c r="C336" s="42" t="s">
        <v>415</v>
      </c>
      <c r="D336" s="42" t="s">
        <v>416</v>
      </c>
      <c r="E336" s="43" t="s">
        <v>440</v>
      </c>
      <c r="F336" s="43" t="s">
        <v>504</v>
      </c>
      <c r="G336" s="44" t="s">
        <v>468</v>
      </c>
      <c r="H336" s="70">
        <v>5</v>
      </c>
      <c r="I336" s="71">
        <f t="shared" si="8"/>
        <v>50</v>
      </c>
      <c r="J336" s="72" t="s">
        <v>16</v>
      </c>
      <c r="K336" s="73">
        <v>31700</v>
      </c>
      <c r="L336" s="73">
        <f t="shared" si="11"/>
        <v>1585000</v>
      </c>
      <c r="M336" s="74" t="s">
        <v>519</v>
      </c>
      <c r="N336" s="75"/>
      <c r="O336" s="76"/>
      <c r="P336" s="45"/>
      <c r="Q336" s="23"/>
    </row>
    <row r="337" spans="2:17" s="40" customFormat="1" ht="24.95" customHeight="1">
      <c r="B337" s="46">
        <v>352</v>
      </c>
      <c r="C337" s="42" t="s">
        <v>415</v>
      </c>
      <c r="D337" s="42" t="s">
        <v>416</v>
      </c>
      <c r="E337" s="43" t="s">
        <v>441</v>
      </c>
      <c r="F337" s="43" t="s">
        <v>494</v>
      </c>
      <c r="G337" s="44" t="s">
        <v>469</v>
      </c>
      <c r="H337" s="70">
        <v>7</v>
      </c>
      <c r="I337" s="71">
        <f t="shared" si="8"/>
        <v>70</v>
      </c>
      <c r="J337" s="72" t="s">
        <v>16</v>
      </c>
      <c r="K337" s="73">
        <v>10500</v>
      </c>
      <c r="L337" s="73">
        <f t="shared" si="11"/>
        <v>735000</v>
      </c>
      <c r="M337" s="74" t="s">
        <v>518</v>
      </c>
      <c r="N337" s="75"/>
      <c r="O337" s="76"/>
      <c r="P337" s="45"/>
      <c r="Q337" s="23"/>
    </row>
    <row r="338" spans="2:17" s="40" customFormat="1" ht="24.95" customHeight="1">
      <c r="B338" s="46">
        <v>353</v>
      </c>
      <c r="C338" s="42" t="s">
        <v>415</v>
      </c>
      <c r="D338" s="42" t="s">
        <v>416</v>
      </c>
      <c r="E338" s="43" t="s">
        <v>442</v>
      </c>
      <c r="F338" s="43" t="s">
        <v>495</v>
      </c>
      <c r="G338" s="44" t="s">
        <v>469</v>
      </c>
      <c r="H338" s="70">
        <v>7</v>
      </c>
      <c r="I338" s="71">
        <f t="shared" si="8"/>
        <v>70</v>
      </c>
      <c r="J338" s="72" t="s">
        <v>16</v>
      </c>
      <c r="K338" s="73">
        <v>10600</v>
      </c>
      <c r="L338" s="73">
        <f t="shared" si="11"/>
        <v>742000</v>
      </c>
      <c r="M338" s="74" t="s">
        <v>518</v>
      </c>
      <c r="N338" s="75"/>
      <c r="O338" s="76"/>
      <c r="P338" s="45"/>
      <c r="Q338" s="23"/>
    </row>
    <row r="339" spans="2:17" s="40" customFormat="1" ht="24.95" customHeight="1">
      <c r="B339" s="46">
        <v>354</v>
      </c>
      <c r="C339" s="42" t="s">
        <v>415</v>
      </c>
      <c r="D339" s="42" t="s">
        <v>416</v>
      </c>
      <c r="E339" s="43" t="s">
        <v>443</v>
      </c>
      <c r="F339" s="43" t="s">
        <v>496</v>
      </c>
      <c r="G339" s="44" t="s">
        <v>469</v>
      </c>
      <c r="H339" s="70">
        <v>1</v>
      </c>
      <c r="I339" s="71">
        <f t="shared" si="8"/>
        <v>10</v>
      </c>
      <c r="J339" s="72" t="s">
        <v>16</v>
      </c>
      <c r="K339" s="73">
        <v>390000</v>
      </c>
      <c r="L339" s="73">
        <f t="shared" si="11"/>
        <v>3900000</v>
      </c>
      <c r="M339" s="74" t="s">
        <v>518</v>
      </c>
      <c r="N339" s="75"/>
      <c r="O339" s="76"/>
      <c r="P339" s="45"/>
      <c r="Q339" s="23"/>
    </row>
    <row r="340" spans="2:17" s="40" customFormat="1" ht="24.95" customHeight="1">
      <c r="B340" s="46">
        <v>355</v>
      </c>
      <c r="C340" s="42" t="s">
        <v>415</v>
      </c>
      <c r="D340" s="42" t="s">
        <v>416</v>
      </c>
      <c r="E340" s="43" t="s">
        <v>444</v>
      </c>
      <c r="F340" s="43" t="s">
        <v>513</v>
      </c>
      <c r="G340" s="44" t="s">
        <v>445</v>
      </c>
      <c r="H340" s="70">
        <v>1</v>
      </c>
      <c r="I340" s="71">
        <f t="shared" si="8"/>
        <v>10</v>
      </c>
      <c r="J340" s="72" t="s">
        <v>16</v>
      </c>
      <c r="K340" s="73">
        <v>1160000</v>
      </c>
      <c r="L340" s="73">
        <f t="shared" si="11"/>
        <v>11600000</v>
      </c>
      <c r="M340" s="74" t="s">
        <v>519</v>
      </c>
      <c r="N340" s="75"/>
      <c r="O340" s="76"/>
      <c r="P340" s="45"/>
      <c r="Q340" s="23"/>
    </row>
    <row r="341" spans="2:17" s="40" customFormat="1" ht="24.95" customHeight="1">
      <c r="B341" s="46">
        <v>356</v>
      </c>
      <c r="C341" s="42" t="s">
        <v>415</v>
      </c>
      <c r="D341" s="42" t="s">
        <v>416</v>
      </c>
      <c r="E341" s="43" t="s">
        <v>446</v>
      </c>
      <c r="F341" s="43" t="s">
        <v>497</v>
      </c>
      <c r="G341" s="44" t="s">
        <v>447</v>
      </c>
      <c r="H341" s="70">
        <v>1</v>
      </c>
      <c r="I341" s="71">
        <f t="shared" si="8"/>
        <v>10</v>
      </c>
      <c r="J341" s="72" t="s">
        <v>16</v>
      </c>
      <c r="K341" s="73">
        <v>10000</v>
      </c>
      <c r="L341" s="73">
        <f t="shared" si="11"/>
        <v>100000</v>
      </c>
      <c r="M341" s="74" t="s">
        <v>518</v>
      </c>
      <c r="N341" s="75"/>
      <c r="O341" s="76"/>
      <c r="P341" s="45"/>
      <c r="Q341" s="23"/>
    </row>
    <row r="342" spans="2:17" s="40" customFormat="1" ht="24.95" customHeight="1">
      <c r="B342" s="46">
        <v>357</v>
      </c>
      <c r="C342" s="42" t="s">
        <v>415</v>
      </c>
      <c r="D342" s="42" t="s">
        <v>416</v>
      </c>
      <c r="E342" s="42" t="s">
        <v>448</v>
      </c>
      <c r="F342" s="42" t="s">
        <v>498</v>
      </c>
      <c r="G342" s="55" t="s">
        <v>449</v>
      </c>
      <c r="H342" s="70">
        <v>1</v>
      </c>
      <c r="I342" s="71">
        <f t="shared" si="8"/>
        <v>10</v>
      </c>
      <c r="J342" s="72" t="s">
        <v>16</v>
      </c>
      <c r="K342" s="73">
        <v>2000</v>
      </c>
      <c r="L342" s="73">
        <f t="shared" si="11"/>
        <v>20000</v>
      </c>
      <c r="M342" s="74" t="s">
        <v>518</v>
      </c>
      <c r="N342" s="75"/>
      <c r="O342" s="76"/>
      <c r="P342" s="45"/>
      <c r="Q342" s="23"/>
    </row>
    <row r="343" spans="2:17" s="40" customFormat="1" ht="24.95" customHeight="1">
      <c r="B343" s="46">
        <v>358</v>
      </c>
      <c r="C343" s="42" t="s">
        <v>415</v>
      </c>
      <c r="D343" s="42" t="s">
        <v>416</v>
      </c>
      <c r="E343" s="42" t="s">
        <v>450</v>
      </c>
      <c r="F343" s="42" t="s">
        <v>499</v>
      </c>
      <c r="G343" s="55" t="s">
        <v>451</v>
      </c>
      <c r="H343" s="70">
        <v>1</v>
      </c>
      <c r="I343" s="71">
        <f t="shared" si="8"/>
        <v>10</v>
      </c>
      <c r="J343" s="72" t="s">
        <v>16</v>
      </c>
      <c r="K343" s="73">
        <v>38000</v>
      </c>
      <c r="L343" s="73">
        <f t="shared" si="11"/>
        <v>380000</v>
      </c>
      <c r="M343" s="74" t="s">
        <v>518</v>
      </c>
      <c r="N343" s="75"/>
      <c r="O343" s="76"/>
      <c r="P343" s="45"/>
      <c r="Q343" s="23"/>
    </row>
    <row r="344" spans="2:17" s="40" customFormat="1" ht="24.95" customHeight="1">
      <c r="B344" s="46">
        <v>359</v>
      </c>
      <c r="C344" s="42" t="s">
        <v>415</v>
      </c>
      <c r="D344" s="42" t="s">
        <v>416</v>
      </c>
      <c r="E344" s="42" t="s">
        <v>452</v>
      </c>
      <c r="F344" s="42" t="s">
        <v>500</v>
      </c>
      <c r="G344" s="55" t="s">
        <v>453</v>
      </c>
      <c r="H344" s="70">
        <v>18</v>
      </c>
      <c r="I344" s="71">
        <f t="shared" si="8"/>
        <v>180</v>
      </c>
      <c r="J344" s="72" t="s">
        <v>16</v>
      </c>
      <c r="K344" s="73">
        <v>160</v>
      </c>
      <c r="L344" s="73">
        <f t="shared" si="11"/>
        <v>28800</v>
      </c>
      <c r="M344" s="74" t="s">
        <v>518</v>
      </c>
      <c r="N344" s="75"/>
      <c r="O344" s="76"/>
      <c r="P344" s="45"/>
      <c r="Q344" s="23"/>
    </row>
    <row r="345" spans="2:17" s="40" customFormat="1" ht="24.95" customHeight="1">
      <c r="B345" s="46">
        <v>360</v>
      </c>
      <c r="C345" s="42" t="s">
        <v>415</v>
      </c>
      <c r="D345" s="42" t="s">
        <v>416</v>
      </c>
      <c r="E345" s="42" t="s">
        <v>454</v>
      </c>
      <c r="F345" s="42" t="s">
        <v>505</v>
      </c>
      <c r="G345" s="55" t="s">
        <v>468</v>
      </c>
      <c r="H345" s="70">
        <v>12</v>
      </c>
      <c r="I345" s="71">
        <f t="shared" si="8"/>
        <v>120</v>
      </c>
      <c r="J345" s="72" t="s">
        <v>16</v>
      </c>
      <c r="K345" s="73">
        <v>20000</v>
      </c>
      <c r="L345" s="73">
        <f t="shared" si="11"/>
        <v>2400000</v>
      </c>
      <c r="M345" s="74" t="s">
        <v>519</v>
      </c>
      <c r="N345" s="75"/>
      <c r="O345" s="76"/>
      <c r="P345" s="45"/>
      <c r="Q345" s="23"/>
    </row>
    <row r="346" spans="2:17" s="40" customFormat="1" ht="24.95" customHeight="1">
      <c r="B346" s="46">
        <v>361</v>
      </c>
      <c r="C346" s="42" t="s">
        <v>415</v>
      </c>
      <c r="D346" s="42" t="s">
        <v>416</v>
      </c>
      <c r="E346" s="42" t="s">
        <v>455</v>
      </c>
      <c r="F346" s="42" t="s">
        <v>501</v>
      </c>
      <c r="G346" s="55" t="s">
        <v>470</v>
      </c>
      <c r="H346" s="70">
        <v>1</v>
      </c>
      <c r="I346" s="71">
        <f t="shared" si="8"/>
        <v>10</v>
      </c>
      <c r="J346" s="72" t="s">
        <v>16</v>
      </c>
      <c r="K346" s="73">
        <v>12000</v>
      </c>
      <c r="L346" s="73">
        <f t="shared" si="11"/>
        <v>120000</v>
      </c>
      <c r="M346" s="74" t="s">
        <v>518</v>
      </c>
      <c r="N346" s="75"/>
      <c r="O346" s="76"/>
      <c r="P346" s="45"/>
      <c r="Q346" s="23"/>
    </row>
    <row r="347" spans="2:17" s="40" customFormat="1" ht="24.95" customHeight="1">
      <c r="B347" s="46">
        <v>362</v>
      </c>
      <c r="C347" s="42" t="s">
        <v>415</v>
      </c>
      <c r="D347" s="42" t="s">
        <v>416</v>
      </c>
      <c r="E347" s="42" t="s">
        <v>456</v>
      </c>
      <c r="F347" s="42" t="s">
        <v>482</v>
      </c>
      <c r="G347" s="55" t="s">
        <v>425</v>
      </c>
      <c r="H347" s="70">
        <v>3</v>
      </c>
      <c r="I347" s="71">
        <f t="shared" si="8"/>
        <v>30</v>
      </c>
      <c r="J347" s="72" t="s">
        <v>16</v>
      </c>
      <c r="K347" s="73">
        <v>24000</v>
      </c>
      <c r="L347" s="73">
        <f t="shared" si="11"/>
        <v>720000</v>
      </c>
      <c r="M347" s="74" t="s">
        <v>518</v>
      </c>
      <c r="N347" s="75"/>
      <c r="O347" s="76"/>
      <c r="P347" s="45"/>
      <c r="Q347" s="23"/>
    </row>
    <row r="348" spans="2:17" s="40" customFormat="1" ht="24.95" customHeight="1">
      <c r="B348" s="46">
        <v>363</v>
      </c>
      <c r="C348" s="42" t="s">
        <v>415</v>
      </c>
      <c r="D348" s="42" t="s">
        <v>416</v>
      </c>
      <c r="E348" s="42" t="s">
        <v>457</v>
      </c>
      <c r="F348" s="42" t="s">
        <v>483</v>
      </c>
      <c r="G348" s="55" t="s">
        <v>425</v>
      </c>
      <c r="H348" s="70">
        <v>3</v>
      </c>
      <c r="I348" s="71">
        <f t="shared" ref="I348:I356" si="13">H348*$H$5</f>
        <v>30</v>
      </c>
      <c r="J348" s="72" t="s">
        <v>16</v>
      </c>
      <c r="K348" s="73">
        <v>9000</v>
      </c>
      <c r="L348" s="73">
        <f t="shared" si="11"/>
        <v>270000</v>
      </c>
      <c r="M348" s="74" t="s">
        <v>518</v>
      </c>
      <c r="N348" s="75"/>
      <c r="O348" s="76"/>
      <c r="P348" s="45"/>
      <c r="Q348" s="23"/>
    </row>
    <row r="349" spans="2:17" s="40" customFormat="1" ht="24.95" customHeight="1">
      <c r="B349" s="46">
        <v>364</v>
      </c>
      <c r="C349" s="42" t="s">
        <v>415</v>
      </c>
      <c r="D349" s="42" t="s">
        <v>416</v>
      </c>
      <c r="E349" s="42" t="s">
        <v>458</v>
      </c>
      <c r="F349" s="42" t="s">
        <v>506</v>
      </c>
      <c r="G349" s="55" t="s">
        <v>436</v>
      </c>
      <c r="H349" s="70">
        <v>12</v>
      </c>
      <c r="I349" s="71">
        <f t="shared" si="13"/>
        <v>120</v>
      </c>
      <c r="J349" s="72" t="s">
        <v>16</v>
      </c>
      <c r="K349" s="73">
        <v>14400</v>
      </c>
      <c r="L349" s="73">
        <f t="shared" si="11"/>
        <v>1728000</v>
      </c>
      <c r="M349" s="74" t="s">
        <v>519</v>
      </c>
      <c r="N349" s="75"/>
      <c r="O349" s="76"/>
      <c r="P349" s="45"/>
      <c r="Q349" s="23"/>
    </row>
    <row r="350" spans="2:17" s="40" customFormat="1" ht="24.95" customHeight="1">
      <c r="B350" s="46">
        <v>365</v>
      </c>
      <c r="C350" s="42" t="s">
        <v>415</v>
      </c>
      <c r="D350" s="42" t="s">
        <v>416</v>
      </c>
      <c r="E350" s="42" t="s">
        <v>458</v>
      </c>
      <c r="F350" s="42" t="s">
        <v>507</v>
      </c>
      <c r="G350" s="55" t="s">
        <v>436</v>
      </c>
      <c r="H350" s="70">
        <v>1</v>
      </c>
      <c r="I350" s="71">
        <f t="shared" si="13"/>
        <v>10</v>
      </c>
      <c r="J350" s="72" t="s">
        <v>16</v>
      </c>
      <c r="K350" s="73">
        <v>26800</v>
      </c>
      <c r="L350" s="73">
        <f t="shared" si="11"/>
        <v>268000</v>
      </c>
      <c r="M350" s="74" t="s">
        <v>519</v>
      </c>
      <c r="N350" s="75"/>
      <c r="O350" s="76"/>
      <c r="P350" s="45"/>
      <c r="Q350" s="23"/>
    </row>
    <row r="351" spans="2:17" s="40" customFormat="1" ht="24.95" customHeight="1">
      <c r="B351" s="46">
        <v>366</v>
      </c>
      <c r="C351" s="42" t="s">
        <v>415</v>
      </c>
      <c r="D351" s="42" t="s">
        <v>416</v>
      </c>
      <c r="E351" s="42" t="s">
        <v>458</v>
      </c>
      <c r="F351" s="42" t="s">
        <v>459</v>
      </c>
      <c r="G351" s="55" t="s">
        <v>436</v>
      </c>
      <c r="H351" s="70">
        <v>1</v>
      </c>
      <c r="I351" s="71">
        <f t="shared" si="13"/>
        <v>10</v>
      </c>
      <c r="J351" s="72" t="s">
        <v>16</v>
      </c>
      <c r="K351" s="73">
        <v>22800</v>
      </c>
      <c r="L351" s="73">
        <f t="shared" si="11"/>
        <v>228000</v>
      </c>
      <c r="M351" s="74" t="s">
        <v>519</v>
      </c>
      <c r="N351" s="75"/>
      <c r="O351" s="76"/>
      <c r="P351" s="45"/>
      <c r="Q351" s="23"/>
    </row>
    <row r="352" spans="2:17" s="40" customFormat="1" ht="24.95" customHeight="1">
      <c r="B352" s="46">
        <v>367</v>
      </c>
      <c r="C352" s="42" t="s">
        <v>415</v>
      </c>
      <c r="D352" s="42" t="s">
        <v>416</v>
      </c>
      <c r="E352" s="42" t="s">
        <v>460</v>
      </c>
      <c r="F352" s="42" t="s">
        <v>484</v>
      </c>
      <c r="G352" s="55" t="s">
        <v>467</v>
      </c>
      <c r="H352" s="70">
        <v>2</v>
      </c>
      <c r="I352" s="71">
        <f t="shared" si="13"/>
        <v>20</v>
      </c>
      <c r="J352" s="72" t="s">
        <v>16</v>
      </c>
      <c r="K352" s="73">
        <v>16200</v>
      </c>
      <c r="L352" s="73">
        <f t="shared" si="11"/>
        <v>324000</v>
      </c>
      <c r="M352" s="74" t="s">
        <v>518</v>
      </c>
      <c r="N352" s="75"/>
      <c r="O352" s="76"/>
      <c r="P352" s="45"/>
      <c r="Q352" s="23"/>
    </row>
    <row r="353" spans="2:72" s="40" customFormat="1" ht="24.95" customHeight="1">
      <c r="B353" s="46">
        <v>368</v>
      </c>
      <c r="C353" s="47" t="s">
        <v>415</v>
      </c>
      <c r="D353" s="47" t="s">
        <v>416</v>
      </c>
      <c r="E353" s="47" t="s">
        <v>461</v>
      </c>
      <c r="F353" s="47" t="s">
        <v>485</v>
      </c>
      <c r="G353" s="56" t="s">
        <v>470</v>
      </c>
      <c r="H353" s="70">
        <v>2</v>
      </c>
      <c r="I353" s="71">
        <f t="shared" si="13"/>
        <v>20</v>
      </c>
      <c r="J353" s="72" t="s">
        <v>16</v>
      </c>
      <c r="K353" s="73">
        <v>2250</v>
      </c>
      <c r="L353" s="73">
        <f t="shared" si="11"/>
        <v>45000</v>
      </c>
      <c r="M353" s="74" t="s">
        <v>518</v>
      </c>
      <c r="N353" s="75"/>
      <c r="O353" s="76"/>
      <c r="P353" s="50"/>
      <c r="Q353" s="23"/>
    </row>
    <row r="354" spans="2:72" s="40" customFormat="1" ht="24.95" customHeight="1">
      <c r="B354" s="46">
        <v>369</v>
      </c>
      <c r="C354" s="47" t="s">
        <v>415</v>
      </c>
      <c r="D354" s="47" t="s">
        <v>416</v>
      </c>
      <c r="E354" s="47" t="s">
        <v>462</v>
      </c>
      <c r="F354" s="47" t="s">
        <v>486</v>
      </c>
      <c r="G354" s="56" t="s">
        <v>470</v>
      </c>
      <c r="H354" s="70">
        <v>2</v>
      </c>
      <c r="I354" s="71">
        <f t="shared" si="13"/>
        <v>20</v>
      </c>
      <c r="J354" s="72" t="s">
        <v>16</v>
      </c>
      <c r="K354" s="73">
        <v>400</v>
      </c>
      <c r="L354" s="73">
        <f t="shared" si="11"/>
        <v>8000</v>
      </c>
      <c r="M354" s="74" t="s">
        <v>518</v>
      </c>
      <c r="N354" s="75"/>
      <c r="O354" s="76"/>
      <c r="P354" s="50"/>
      <c r="Q354" s="23"/>
    </row>
    <row r="355" spans="2:72" s="40" customFormat="1" ht="24.95" customHeight="1">
      <c r="B355" s="46">
        <v>370</v>
      </c>
      <c r="C355" s="47" t="s">
        <v>415</v>
      </c>
      <c r="D355" s="47" t="s">
        <v>416</v>
      </c>
      <c r="E355" s="47" t="s">
        <v>471</v>
      </c>
      <c r="F355" s="47" t="s">
        <v>471</v>
      </c>
      <c r="G355" s="56" t="s">
        <v>470</v>
      </c>
      <c r="H355" s="70">
        <v>1</v>
      </c>
      <c r="I355" s="71">
        <f t="shared" si="13"/>
        <v>10</v>
      </c>
      <c r="J355" s="72" t="s">
        <v>16</v>
      </c>
      <c r="K355" s="73">
        <v>350</v>
      </c>
      <c r="L355" s="73">
        <f t="shared" si="11"/>
        <v>3500</v>
      </c>
      <c r="M355" s="74" t="s">
        <v>518</v>
      </c>
      <c r="N355" s="75"/>
      <c r="O355" s="76"/>
      <c r="P355" s="50"/>
      <c r="Q355" s="23"/>
    </row>
    <row r="356" spans="2:72" s="40" customFormat="1" ht="24.95" customHeight="1">
      <c r="B356" s="46">
        <v>371</v>
      </c>
      <c r="C356" s="47" t="s">
        <v>415</v>
      </c>
      <c r="D356" s="47" t="s">
        <v>416</v>
      </c>
      <c r="E356" s="47" t="s">
        <v>473</v>
      </c>
      <c r="F356" s="47" t="s">
        <v>472</v>
      </c>
      <c r="G356" s="56" t="s">
        <v>474</v>
      </c>
      <c r="H356" s="70">
        <v>1</v>
      </c>
      <c r="I356" s="71">
        <f t="shared" si="13"/>
        <v>10</v>
      </c>
      <c r="J356" s="72" t="s">
        <v>16</v>
      </c>
      <c r="K356" s="73">
        <v>300</v>
      </c>
      <c r="L356" s="73">
        <f t="shared" si="11"/>
        <v>3000</v>
      </c>
      <c r="M356" s="74" t="s">
        <v>518</v>
      </c>
      <c r="N356" s="75"/>
      <c r="O356" s="76"/>
      <c r="P356" s="50"/>
      <c r="Q356" s="23"/>
    </row>
    <row r="357" spans="2:72" s="40" customFormat="1" ht="24.95" customHeight="1">
      <c r="B357" s="46"/>
      <c r="C357" s="47"/>
      <c r="D357" s="47"/>
      <c r="E357" s="47"/>
      <c r="F357" s="47"/>
      <c r="G357" s="56"/>
      <c r="H357" s="70"/>
      <c r="I357" s="71"/>
      <c r="J357" s="72"/>
      <c r="K357" s="73"/>
      <c r="L357" s="73"/>
      <c r="M357" s="74"/>
      <c r="N357" s="75"/>
      <c r="O357" s="76"/>
      <c r="P357" s="50"/>
      <c r="Q357" s="23"/>
    </row>
    <row r="358" spans="2:72" s="40" customFormat="1" ht="24.95" customHeight="1">
      <c r="B358" s="46"/>
      <c r="C358" s="47"/>
      <c r="D358" s="47"/>
      <c r="E358" s="47"/>
      <c r="F358" s="47"/>
      <c r="G358" s="56"/>
      <c r="H358" s="70"/>
      <c r="I358" s="71"/>
      <c r="J358" s="72"/>
      <c r="K358" s="73"/>
      <c r="L358" s="73"/>
      <c r="M358" s="74"/>
      <c r="N358" s="75"/>
      <c r="O358" s="76"/>
      <c r="P358" s="50"/>
      <c r="Q358" s="23"/>
    </row>
    <row r="359" spans="2:72" s="40" customFormat="1" ht="24.95" customHeight="1">
      <c r="B359" s="46"/>
      <c r="C359" s="47"/>
      <c r="D359" s="47"/>
      <c r="E359" s="47"/>
      <c r="F359" s="47"/>
      <c r="G359" s="56"/>
      <c r="H359" s="70"/>
      <c r="I359" s="71"/>
      <c r="J359" s="72"/>
      <c r="K359" s="73"/>
      <c r="L359" s="73"/>
      <c r="M359" s="74"/>
      <c r="N359" s="75"/>
      <c r="O359" s="76"/>
      <c r="P359" s="50"/>
      <c r="Q359" s="23"/>
    </row>
    <row r="360" spans="2:72" s="40" customFormat="1" ht="24.95" customHeight="1">
      <c r="B360" s="46"/>
      <c r="C360" s="47"/>
      <c r="D360" s="47"/>
      <c r="E360" s="47"/>
      <c r="F360" s="47"/>
      <c r="G360" s="56"/>
      <c r="H360" s="70"/>
      <c r="I360" s="71"/>
      <c r="J360" s="72"/>
      <c r="K360" s="73"/>
      <c r="L360" s="73"/>
      <c r="M360" s="74"/>
      <c r="N360" s="75"/>
      <c r="O360" s="76"/>
      <c r="P360" s="50"/>
      <c r="Q360" s="23"/>
    </row>
    <row r="361" spans="2:72" s="40" customFormat="1" ht="24.95" customHeight="1">
      <c r="B361" s="46"/>
      <c r="C361" s="47"/>
      <c r="D361" s="47"/>
      <c r="E361" s="47"/>
      <c r="F361" s="47"/>
      <c r="G361" s="56"/>
      <c r="H361" s="70"/>
      <c r="I361" s="71"/>
      <c r="J361" s="72"/>
      <c r="K361" s="73"/>
      <c r="L361" s="73"/>
      <c r="M361" s="74"/>
      <c r="N361" s="75"/>
      <c r="O361" s="76"/>
      <c r="P361" s="50"/>
      <c r="Q361" s="23"/>
    </row>
    <row r="362" spans="2:72" s="40" customFormat="1" ht="24.95" customHeight="1" thickBot="1">
      <c r="B362" s="57"/>
      <c r="C362" s="58"/>
      <c r="D362" s="58"/>
      <c r="E362" s="58"/>
      <c r="F362" s="58"/>
      <c r="G362" s="59"/>
      <c r="H362" s="84"/>
      <c r="I362" s="85"/>
      <c r="J362" s="86"/>
      <c r="K362" s="87"/>
      <c r="L362" s="87"/>
      <c r="M362" s="88"/>
      <c r="N362" s="89"/>
      <c r="O362" s="90"/>
      <c r="P362" s="60"/>
      <c r="Q362" s="23"/>
    </row>
    <row r="363" spans="2:72" s="18" customFormat="1" ht="24.95" customHeight="1">
      <c r="B363" s="24"/>
      <c r="E363" s="19"/>
      <c r="H363" s="26">
        <f>SUBTOTAL(9,H8:H362)</f>
        <v>768</v>
      </c>
      <c r="I363" s="31">
        <f>SUBTOTAL(9,I8:I362)</f>
        <v>7590</v>
      </c>
      <c r="K363" s="31">
        <f>SUBTOTAL(9,K8:K362)</f>
        <v>24735600</v>
      </c>
      <c r="L363" s="20">
        <f>SUBTOTAL(9,L8:L362)</f>
        <v>347412000</v>
      </c>
      <c r="M363" s="33"/>
      <c r="N363" s="25"/>
      <c r="O363" s="25"/>
      <c r="P363" s="35"/>
      <c r="Q363" s="21"/>
      <c r="BM363" s="22"/>
      <c r="BN363" s="22"/>
      <c r="BO363" s="22"/>
      <c r="BP363" s="22"/>
      <c r="BQ363" s="22"/>
      <c r="BR363" s="22"/>
      <c r="BS363" s="22"/>
      <c r="BT363" s="22"/>
    </row>
    <row r="364" spans="2:72" ht="24.95" customHeight="1"/>
    <row r="365" spans="2:72" ht="24.95" customHeight="1"/>
    <row r="366" spans="2:72" ht="24.95" customHeight="1"/>
    <row r="367" spans="2:72" ht="24.95" customHeight="1"/>
    <row r="368" spans="2:72" ht="24.95" customHeight="1"/>
    <row r="369" ht="24.95" customHeight="1"/>
    <row r="370" ht="24.95" customHeight="1"/>
    <row r="371" ht="24.95" customHeight="1"/>
    <row r="372" ht="24.95" customHeight="1"/>
    <row r="373" ht="24.95" customHeight="1"/>
    <row r="374" ht="24.95" customHeight="1"/>
    <row r="375" ht="24.95" customHeight="1"/>
    <row r="376" ht="24.95" customHeight="1"/>
    <row r="377" ht="24.95" customHeight="1"/>
    <row r="378" ht="24.95" customHeight="1"/>
    <row r="379" ht="24.95" customHeight="1"/>
    <row r="380" ht="24.95" customHeight="1"/>
    <row r="381" ht="24.95" customHeight="1"/>
    <row r="382" ht="24.95" customHeight="1"/>
    <row r="383" ht="24.95" customHeight="1"/>
    <row r="384" ht="24.95" customHeight="1"/>
    <row r="385" ht="24.95" customHeight="1"/>
    <row r="386" ht="24.95" customHeight="1"/>
    <row r="387" ht="24.95" customHeight="1"/>
    <row r="388" ht="24.95" customHeight="1"/>
    <row r="389" ht="24.95" customHeight="1"/>
    <row r="390" ht="24.95" customHeight="1"/>
    <row r="391" ht="24.95" customHeight="1"/>
    <row r="392" ht="24.95" customHeight="1"/>
    <row r="393" ht="24.95" customHeight="1"/>
    <row r="394" ht="24.95" customHeight="1"/>
    <row r="395" ht="24.95" customHeight="1"/>
    <row r="396" ht="24.95" customHeight="1"/>
    <row r="397" ht="24.95" customHeight="1"/>
    <row r="398" ht="24.95" customHeight="1"/>
    <row r="399" ht="24.95" customHeight="1"/>
    <row r="400" ht="24.95" customHeight="1"/>
    <row r="401" ht="24.95" customHeight="1"/>
    <row r="402" ht="24.95" customHeight="1"/>
    <row r="403" ht="24.95" customHeight="1"/>
    <row r="404" ht="24.95" customHeight="1"/>
    <row r="405" ht="24.95" customHeight="1"/>
    <row r="406" ht="24.95" customHeight="1"/>
    <row r="407" ht="24.95" customHeight="1"/>
    <row r="408" ht="24.95" customHeight="1"/>
    <row r="409" ht="24.95" customHeight="1"/>
    <row r="410" ht="24.95" customHeight="1"/>
    <row r="411" ht="24.95" customHeight="1"/>
    <row r="412" ht="24.95" customHeight="1"/>
    <row r="413" ht="24.95" customHeight="1"/>
    <row r="414" ht="24.95" customHeight="1"/>
    <row r="415" ht="24.95" customHeight="1"/>
    <row r="416" ht="24.95" customHeight="1"/>
    <row r="417" ht="24.95" customHeight="1"/>
    <row r="418" ht="24.95" customHeight="1"/>
    <row r="419" ht="24.95" customHeight="1"/>
    <row r="420" ht="24.95" customHeight="1"/>
    <row r="421" ht="24.95" customHeight="1"/>
    <row r="422" ht="24.95" customHeight="1"/>
    <row r="423" ht="24.95" customHeight="1"/>
    <row r="424" ht="24.95" customHeight="1"/>
    <row r="425" ht="24.95" customHeight="1"/>
    <row r="426" ht="24.95" customHeight="1"/>
    <row r="427" ht="24.95" customHeight="1"/>
    <row r="428" ht="24.95" customHeight="1"/>
    <row r="429" ht="24.95" customHeight="1"/>
    <row r="430" ht="24.95" customHeight="1"/>
    <row r="431" ht="24.95" customHeight="1"/>
    <row r="432" ht="24.95" customHeight="1"/>
    <row r="433" ht="24.95" customHeight="1"/>
    <row r="434" ht="24.95" customHeight="1"/>
    <row r="435" ht="24.95" customHeight="1"/>
    <row r="436" ht="24.95" customHeight="1"/>
    <row r="437" ht="24.95" customHeight="1"/>
    <row r="438" ht="24.95" customHeight="1"/>
    <row r="439" ht="24.95" customHeight="1"/>
    <row r="440" ht="24.95" customHeight="1"/>
    <row r="441" ht="24.95" customHeight="1"/>
    <row r="442" ht="24.95" customHeight="1"/>
    <row r="443" ht="24.95" customHeight="1"/>
    <row r="444" ht="24.95" customHeight="1"/>
    <row r="445" ht="24.95" customHeight="1"/>
    <row r="446" ht="24.95" customHeight="1"/>
    <row r="447" ht="24.95" customHeight="1"/>
    <row r="448" ht="24.95" customHeight="1"/>
    <row r="449" ht="24.95" customHeight="1"/>
    <row r="450" ht="24.95" customHeight="1"/>
    <row r="451" ht="24.95" customHeight="1"/>
    <row r="452" ht="24.95" customHeight="1"/>
    <row r="453" ht="24.95" customHeight="1"/>
    <row r="454" ht="24.95" customHeight="1"/>
    <row r="455" ht="24.95" customHeight="1"/>
    <row r="456" ht="24.95" customHeight="1"/>
    <row r="457" ht="24.95" customHeight="1"/>
    <row r="458" ht="24.95" customHeight="1"/>
    <row r="459" ht="24.95" customHeight="1"/>
    <row r="460" ht="24.95" customHeight="1"/>
    <row r="461" ht="24.95" customHeight="1"/>
    <row r="462" ht="24.95" customHeight="1"/>
    <row r="463" ht="24.95" customHeight="1"/>
    <row r="464" ht="24.95" customHeight="1"/>
    <row r="465" ht="24.95" customHeight="1"/>
    <row r="466" ht="24.95" customHeight="1"/>
    <row r="467" ht="24.95" customHeight="1"/>
    <row r="468" ht="24.95" customHeight="1"/>
    <row r="469" ht="24.95" customHeight="1"/>
    <row r="470" ht="24.95" customHeight="1"/>
    <row r="471" ht="24.95" customHeight="1"/>
    <row r="472" ht="24.95" customHeight="1"/>
    <row r="473" ht="24.95" customHeight="1"/>
    <row r="474" ht="24.95" customHeight="1"/>
    <row r="475" ht="24.95" customHeight="1"/>
    <row r="476" ht="24.95" customHeight="1"/>
    <row r="477" ht="24.95" customHeight="1"/>
    <row r="478" ht="24.95" customHeight="1"/>
    <row r="479" ht="24.95" customHeight="1"/>
    <row r="480" ht="24.95" customHeight="1"/>
    <row r="481" ht="24.95" customHeight="1"/>
    <row r="482" ht="24.95" customHeight="1"/>
    <row r="483" ht="24.95" customHeight="1"/>
    <row r="484" ht="24.95" customHeight="1"/>
    <row r="485" ht="24.95" customHeight="1"/>
    <row r="486" ht="24.95" customHeight="1"/>
    <row r="487" ht="24.95" customHeight="1"/>
    <row r="488" ht="24.95" customHeight="1"/>
    <row r="489" ht="24.95" customHeight="1"/>
    <row r="490" ht="24.95" customHeight="1"/>
    <row r="491" ht="24.95" customHeight="1"/>
    <row r="492" ht="24.95" customHeight="1"/>
  </sheetData>
  <autoFilter ref="B7:P362" xr:uid="{00000000-0009-0000-0000-000000000000}">
    <sortState xmlns:xlrd2="http://schemas.microsoft.com/office/spreadsheetml/2017/richdata2" ref="B8:P362">
      <sortCondition ref="B7:B362"/>
    </sortState>
  </autoFilter>
  <mergeCells count="1">
    <mergeCell ref="C2:P3"/>
  </mergeCells>
  <phoneticPr fontId="8" type="noConversion"/>
  <pageMargins left="0.7" right="0.7" top="0.75" bottom="0.75" header="0.3" footer="0.3"/>
  <pageSetup paperSize="8" scale="64" fitToHeight="0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 구매품</vt:lpstr>
      <vt:lpstr>'1. 구매품'!Print_Area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</dc:creator>
  <cp:lastModifiedBy>정락 김</cp:lastModifiedBy>
  <cp:lastPrinted>2024-07-02T03:53:06Z</cp:lastPrinted>
  <dcterms:created xsi:type="dcterms:W3CDTF">2017-09-27T00:44:17Z</dcterms:created>
  <dcterms:modified xsi:type="dcterms:W3CDTF">2026-05-14T04:36:26Z</dcterms:modified>
</cp:coreProperties>
</file>