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op00\JR\HAIST Innovation\전체일정표\참고자료\"/>
    </mc:Choice>
  </mc:AlternateContent>
  <xr:revisionPtr revIDLastSave="0" documentId="13_ncr:1_{3F05FC31-5503-46B0-9C16-0C9721402907}" xr6:coauthVersionLast="47" xr6:coauthVersionMax="47" xr10:uidLastSave="{00000000-0000-0000-0000-000000000000}"/>
  <bookViews>
    <workbookView xWindow="-38520" yWindow="-120" windowWidth="38640" windowHeight="21840" tabRatio="716" activeTab="1" xr2:uid="{00000000-000D-0000-FFFF-FFFF00000000}"/>
  </bookViews>
  <sheets>
    <sheet name="INVOICE" sheetId="16" r:id="rId1"/>
    <sheet name="PACKING LIST" sheetId="14" r:id="rId2"/>
  </sheets>
  <definedNames>
    <definedName name="_xlnm._FilterDatabase" localSheetId="0" hidden="1">INVOICE!$A$33:$O$732</definedName>
    <definedName name="_xlnm.Print_Area" localSheetId="0">INVOICE!$A$1:$I$756</definedName>
    <definedName name="_xlnm.Print_Area" localSheetId="1">'PACKING LIST'!$A$1:$J$760</definedName>
    <definedName name="Z_65FFECE4_B9C6_11D2_BDB6_444553540000_.wvu.PrintArea" localSheetId="0" hidden="1">INVOICE!$1:$1048576</definedName>
    <definedName name="Z_65FFECE4_B9C6_11D2_BDB6_444553540000_.wvu.PrintArea" localSheetId="1" hidden="1">'PACKING LIST'!$1:$1048576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4" l="1"/>
  <c r="I38" i="14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4" i="16"/>
  <c r="I645" i="16"/>
  <c r="I646" i="16"/>
  <c r="I647" i="16"/>
  <c r="I648" i="16"/>
  <c r="I649" i="16"/>
  <c r="I650" i="16"/>
  <c r="I651" i="16"/>
  <c r="I652" i="16"/>
  <c r="I653" i="16"/>
  <c r="I654" i="16"/>
  <c r="I655" i="16"/>
  <c r="I656" i="16"/>
  <c r="I657" i="16"/>
  <c r="I658" i="16"/>
  <c r="I659" i="16"/>
  <c r="I660" i="16"/>
  <c r="I661" i="16"/>
  <c r="I662" i="16"/>
  <c r="I663" i="16"/>
  <c r="I664" i="16"/>
  <c r="I665" i="16"/>
  <c r="I666" i="16"/>
  <c r="I667" i="16"/>
  <c r="I668" i="16"/>
  <c r="I669" i="16"/>
  <c r="I670" i="16"/>
  <c r="I671" i="16"/>
  <c r="I672" i="16"/>
  <c r="I673" i="16"/>
  <c r="I674" i="16"/>
  <c r="I675" i="16"/>
  <c r="I676" i="16"/>
  <c r="I677" i="16"/>
  <c r="I678" i="16"/>
  <c r="I679" i="16"/>
  <c r="I680" i="16"/>
  <c r="I681" i="16"/>
  <c r="I682" i="16"/>
  <c r="I683" i="16"/>
  <c r="I684" i="16"/>
  <c r="I685" i="16"/>
  <c r="I686" i="16"/>
  <c r="I687" i="16"/>
  <c r="I688" i="16"/>
  <c r="I689" i="16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704" i="16"/>
  <c r="I705" i="16"/>
  <c r="I706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19" i="16"/>
  <c r="I420" i="16"/>
  <c r="I421" i="16"/>
  <c r="I422" i="16"/>
  <c r="I423" i="16"/>
  <c r="I424" i="16"/>
  <c r="I425" i="16"/>
  <c r="I426" i="16"/>
  <c r="I427" i="16"/>
  <c r="I428" i="16"/>
  <c r="I429" i="16"/>
  <c r="I465" i="16"/>
  <c r="I466" i="16"/>
  <c r="I430" i="16"/>
  <c r="O39" i="14"/>
  <c r="G4" i="14" l="1"/>
  <c r="I41" i="16" l="1"/>
  <c r="I431" i="16"/>
  <c r="I432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34" i="16" l="1"/>
  <c r="I35" i="16"/>
  <c r="I36" i="16"/>
  <c r="I37" i="16"/>
  <c r="I38" i="16"/>
  <c r="I39" i="16"/>
  <c r="I40" i="16"/>
  <c r="F734" i="16"/>
  <c r="I734" i="16" l="1"/>
  <c r="D33" i="14"/>
  <c r="D29" i="14"/>
  <c r="A29" i="14"/>
  <c r="J4" i="14"/>
  <c r="F738" i="14" l="1"/>
  <c r="H738" i="14" l="1"/>
  <c r="J738" i="14"/>
  <c r="I738" i="14"/>
</calcChain>
</file>

<file path=xl/sharedStrings.xml><?xml version="1.0" encoding="utf-8"?>
<sst xmlns="http://schemas.openxmlformats.org/spreadsheetml/2006/main" count="6440" uniqueCount="995">
  <si>
    <t xml:space="preserve"> </t>
    <phoneticPr fontId="2" type="noConversion"/>
  </si>
  <si>
    <t xml:space="preserve">  </t>
    <phoneticPr fontId="2" type="noConversion"/>
  </si>
  <si>
    <t>Signed by</t>
    <phoneticPr fontId="2" type="noConversion"/>
  </si>
  <si>
    <t>T/T</t>
    <phoneticPr fontId="2" type="noConversion"/>
  </si>
  <si>
    <t>16) Amount</t>
    <phoneticPr fontId="2" type="noConversion"/>
  </si>
  <si>
    <t>1) Shipper / Exporter</t>
    <phoneticPr fontId="2" type="noConversion"/>
  </si>
  <si>
    <t>8) No. &amp; Date of Invoice</t>
    <phoneticPr fontId="2" type="noConversion"/>
  </si>
  <si>
    <t>9) No. &amp; Date of L/C</t>
    <phoneticPr fontId="2" type="noConversion"/>
  </si>
  <si>
    <t>2) For Account &amp; Risk of Messrs</t>
    <phoneticPr fontId="2" type="noConversion"/>
  </si>
  <si>
    <t>3) Notify Party</t>
    <phoneticPr fontId="2" type="noConversion"/>
  </si>
  <si>
    <t>11) Remarks</t>
    <phoneticPr fontId="2" type="noConversion"/>
  </si>
  <si>
    <t>4) Port of Loading</t>
    <phoneticPr fontId="2" type="noConversion"/>
  </si>
  <si>
    <t>5) Final Destination</t>
    <phoneticPr fontId="2" type="noConversion"/>
  </si>
  <si>
    <t>6) Carrier</t>
    <phoneticPr fontId="2" type="noConversion"/>
  </si>
  <si>
    <t>7) Sailing On or About</t>
    <phoneticPr fontId="2" type="noConversion"/>
  </si>
  <si>
    <t>12) Marks and Number of PKGS</t>
    <phoneticPr fontId="2" type="noConversion"/>
  </si>
  <si>
    <t xml:space="preserve"> 14) Q'ty /Unit</t>
    <phoneticPr fontId="2" type="noConversion"/>
  </si>
  <si>
    <t>15) Unit Price</t>
    <phoneticPr fontId="2" type="noConversion"/>
  </si>
  <si>
    <t>13) Description of Goods</t>
    <phoneticPr fontId="2" type="noConversion"/>
  </si>
  <si>
    <t>10) Issuing Bank</t>
    <phoneticPr fontId="2" type="noConversion"/>
  </si>
  <si>
    <t>TOTAL</t>
    <phoneticPr fontId="2" type="noConversion"/>
  </si>
  <si>
    <t>______________________________________</t>
    <phoneticPr fontId="2" type="noConversion"/>
  </si>
  <si>
    <t>DATE:</t>
    <phoneticPr fontId="2" type="noConversion"/>
  </si>
  <si>
    <t>KNK VINA Co., Ltd.</t>
    <phoneticPr fontId="2" type="noConversion"/>
  </si>
  <si>
    <t>SAME AS ABOVE</t>
    <phoneticPr fontId="2" type="noConversion"/>
  </si>
  <si>
    <t>PACKING LIST</t>
    <phoneticPr fontId="2" type="noConversion"/>
  </si>
  <si>
    <t>DATE :</t>
    <phoneticPr fontId="2" type="noConversion"/>
  </si>
  <si>
    <t>Net -</t>
  </si>
  <si>
    <t>Gross-</t>
    <phoneticPr fontId="2" type="noConversion"/>
  </si>
  <si>
    <t>Measurement</t>
    <phoneticPr fontId="2" type="noConversion"/>
  </si>
  <si>
    <t>Weight</t>
    <phoneticPr fontId="2" type="noConversion"/>
  </si>
  <si>
    <t>___________________________________</t>
    <phoneticPr fontId="2" type="noConversion"/>
  </si>
  <si>
    <t xml:space="preserve"> COMMERCIAL  INVOICE</t>
    <phoneticPr fontId="2" type="noConversion"/>
  </si>
  <si>
    <t>Incheon, Korea</t>
    <phoneticPr fontId="2" type="noConversion"/>
  </si>
  <si>
    <t>ATTN : NGUYEN DINH TAM (+84-98-204-9966)</t>
    <phoneticPr fontId="2" type="noConversion"/>
  </si>
  <si>
    <t>KNK CO.,LTD</t>
  </si>
  <si>
    <t>2, Gisan-ro 87 beon-gil, Hwaseong-si, Gyeonggi-do, Korea.</t>
  </si>
  <si>
    <t>TEL : +82-70-4045-0407</t>
  </si>
  <si>
    <t>FAX:  +82-31-267-0407</t>
  </si>
  <si>
    <t>ATTN : Ji-Yeon, An (+82-10-2739-2660)</t>
  </si>
  <si>
    <t>Hanoi, Vietnam</t>
    <phoneticPr fontId="2" type="noConversion"/>
  </si>
  <si>
    <t>INCOTERMS : C.I.P</t>
    <phoneticPr fontId="2" type="noConversion"/>
  </si>
  <si>
    <t>LOT CN5B-2,QUE VO III INDUSTRIAL PARK,</t>
    <phoneticPr fontId="2" type="noConversion"/>
  </si>
  <si>
    <t>QUE VO WARD, BAC NINH PROVINCE, VIETNAM.</t>
    <phoneticPr fontId="2" type="noConversion"/>
  </si>
  <si>
    <t>Loại hình</t>
  </si>
  <si>
    <t>NO.</t>
    <phoneticPr fontId="2" type="noConversion"/>
  </si>
  <si>
    <t>SIZE</t>
    <phoneticPr fontId="2" type="noConversion"/>
  </si>
  <si>
    <t>G/W</t>
    <phoneticPr fontId="2" type="noConversion"/>
  </si>
  <si>
    <t>KNK-260402-1</t>
    <phoneticPr fontId="2" type="noConversion"/>
  </si>
  <si>
    <t>001M2603</t>
    <phoneticPr fontId="2" type="noConversion"/>
  </si>
  <si>
    <t>SRS1-C1202-2</t>
  </si>
  <si>
    <t>PS-DS1001-25P</t>
  </si>
  <si>
    <t>DCP32DN 3A</t>
  </si>
  <si>
    <t>DCP32DN 15A</t>
  </si>
  <si>
    <t>AFB1224M-F00/AFB1224M</t>
  </si>
  <si>
    <t>AFB1224SHE-R00</t>
  </si>
  <si>
    <t>D-SUB 25 Pin / Female</t>
  </si>
  <si>
    <t>T-DFF120</t>
  </si>
  <si>
    <t>120*120</t>
  </si>
  <si>
    <t>BK10S-T2-2P</t>
  </si>
  <si>
    <t>SD10-T2-2P</t>
  </si>
  <si>
    <t>G7SA-2A2B</t>
  </si>
  <si>
    <t>P7SA-10F-ND</t>
  </si>
  <si>
    <t>G9SP-N10S</t>
  </si>
  <si>
    <t>PYF08A</t>
  </si>
  <si>
    <t>LC1D126M7</t>
  </si>
  <si>
    <t>LC1D186BD</t>
  </si>
  <si>
    <t>GV2ME08</t>
  </si>
  <si>
    <t>GV2ME10</t>
  </si>
  <si>
    <t>GVAD1001</t>
  </si>
  <si>
    <t>GV2ME07</t>
  </si>
  <si>
    <t>WSIG7-M425 / 25 Hole</t>
  </si>
  <si>
    <t>WSIG7-M405 / 5 Hole</t>
  </si>
  <si>
    <t>WSIG7-M415 / 15 Hole</t>
  </si>
  <si>
    <t>BS5-Y2M</t>
  </si>
  <si>
    <t>CT-02 5M</t>
  </si>
  <si>
    <t>D40A_1C2</t>
  </si>
  <si>
    <t>K400+</t>
  </si>
  <si>
    <t>OGGB-60-G18-2</t>
  </si>
  <si>
    <t>NM-TNT121 (3M)</t>
  </si>
  <si>
    <t>NMC-UB250</t>
  </si>
  <si>
    <t>DYM-AL6 (2.5m)</t>
  </si>
  <si>
    <t>JTSN-2</t>
  </si>
  <si>
    <t>4SQ / 3C / 4M</t>
  </si>
  <si>
    <t>D-SUB 15pin female</t>
  </si>
  <si>
    <t>5V / 1A</t>
  </si>
  <si>
    <t>AS1201F-M5-04A</t>
  </si>
  <si>
    <t>MXQ6-20AS-M9BL</t>
  </si>
  <si>
    <t>MXQ6L-20-M9B</t>
  </si>
  <si>
    <t>MXQ8-30AS-M9B</t>
  </si>
  <si>
    <t>MHF2-8D1-M9B</t>
  </si>
  <si>
    <t>AS1201F-M3-04A-X790</t>
  </si>
  <si>
    <t>JMHZ2-12D(30_0)</t>
  </si>
  <si>
    <t>KQ2L10-02NS</t>
  </si>
  <si>
    <t>M-3ALU-3</t>
  </si>
  <si>
    <t>MGPM12-30Z-M9BL</t>
  </si>
  <si>
    <t>AN30-03</t>
  </si>
  <si>
    <t>AS1201F-M5-06A</t>
  </si>
  <si>
    <t>KQ2S10-01NS</t>
  </si>
  <si>
    <t>MY1B16-350L-M9B</t>
  </si>
  <si>
    <t>MXQ16-30A-M9B</t>
  </si>
  <si>
    <t>CDJP2B6-15D-M9B</t>
  </si>
  <si>
    <t>VHS30-02-D</t>
  </si>
  <si>
    <t>AW30-02BG-D</t>
  </si>
  <si>
    <t>KQ2ZT06-02NS</t>
  </si>
  <si>
    <t>KQ2P-06</t>
  </si>
  <si>
    <t>AN10-01</t>
  </si>
  <si>
    <t>KPT18</t>
  </si>
  <si>
    <t>SS5Y3-20-08</t>
  </si>
  <si>
    <t>SS5Y7-20-02</t>
  </si>
  <si>
    <t>AN15-02</t>
  </si>
  <si>
    <t>KPT14</t>
  </si>
  <si>
    <t>SY3120-5LZ-C4</t>
  </si>
  <si>
    <t>SY3120-5LZ-C6</t>
  </si>
  <si>
    <t>SY7120-5LZ-C10</t>
  </si>
  <si>
    <t>SS5Y3-20-02</t>
  </si>
  <si>
    <t>SS5Y3-20-04</t>
  </si>
  <si>
    <t>KQ2U04-00A</t>
  </si>
  <si>
    <t>SY3000-26-09A</t>
  </si>
  <si>
    <t>KQ2L06-M5N</t>
  </si>
  <si>
    <t>Y300T-D</t>
  </si>
  <si>
    <t>ANA1-02</t>
  </si>
  <si>
    <t>KQ2L06-01NS</t>
  </si>
  <si>
    <t>KQ2P-04</t>
  </si>
  <si>
    <t>SY3220-5LZ-C4</t>
  </si>
  <si>
    <t>MXQ16-30AS-M9B</t>
  </si>
  <si>
    <t>ANA1-C08</t>
  </si>
  <si>
    <t>ZH10DSA-06-06-08</t>
  </si>
  <si>
    <t>4*4*10 2R</t>
  </si>
  <si>
    <t>4*4*15 2R</t>
  </si>
  <si>
    <t>BY183-3 CV</t>
  </si>
  <si>
    <t>BYH6060-30 CV</t>
  </si>
  <si>
    <t>BY3-56-3</t>
  </si>
  <si>
    <t>D-SUB 15PIN</t>
  </si>
  <si>
    <t>BYR-5ST</t>
  </si>
  <si>
    <t>KSP-42S</t>
  </si>
  <si>
    <t>STL025-D51-3-N</t>
  </si>
  <si>
    <t>EN-AGS111107</t>
  </si>
  <si>
    <t>KDX-QMD21G</t>
  </si>
  <si>
    <t>KDX-QMD21BK</t>
  </si>
  <si>
    <t>KDX-QMD21Y</t>
  </si>
  <si>
    <t>KGK-H2M1A</t>
  </si>
  <si>
    <t>QDC600F</t>
  </si>
  <si>
    <t>BYC-103 CV</t>
  </si>
  <si>
    <t>MXQ6-20-M9B</t>
  </si>
  <si>
    <t>MXQ12L-20AS-M9B</t>
  </si>
  <si>
    <t>MXQ12-20AS-M9B</t>
  </si>
  <si>
    <t>3*3*10 2R</t>
  </si>
  <si>
    <t>KDE-Q3R2R(X)</t>
  </si>
  <si>
    <t>4*4*25 2R</t>
  </si>
  <si>
    <t>GT-12DF</t>
  </si>
  <si>
    <t>GT-225F</t>
  </si>
  <si>
    <t>GL-9086</t>
  </si>
  <si>
    <t>XTB-COM30T</t>
  </si>
  <si>
    <t>S4T-16P-202D</t>
  </si>
  <si>
    <t>SIO-PAB-E/R</t>
  </si>
  <si>
    <t>EX-13EB</t>
  </si>
  <si>
    <t>MFMCA0040NJD</t>
  </si>
  <si>
    <t>MFECA0040MJD</t>
  </si>
  <si>
    <t>MFMCB0040PJT</t>
  </si>
  <si>
    <t>MFMCA0050NJD</t>
  </si>
  <si>
    <t>MFECA0050MJD</t>
  </si>
  <si>
    <t>CN-14A-C5</t>
  </si>
  <si>
    <t>SEN7-SSA-0.4M (BLACK)</t>
  </si>
  <si>
    <t>SEN7-SSA-3.5M (YELLOW)</t>
  </si>
  <si>
    <t>SEN7-SSA-2.5M (RED)</t>
  </si>
  <si>
    <t>SEN7-SSA-0.15M (BLACK)</t>
  </si>
  <si>
    <t>NSB020CR.20.R28/FT-420L / 21LK</t>
  </si>
  <si>
    <t>CPS020.30.R28/B1T-380L / 19LK</t>
  </si>
  <si>
    <t>NSB022CR.77.R35/FT-638L / 29LK</t>
  </si>
  <si>
    <t>NSB022CR.67.R35/FT-418L / 19LK</t>
  </si>
  <si>
    <t>NSB020CR.40.R28/FT-220L / 11LK</t>
  </si>
  <si>
    <t>HIR1510RC7N-613 R/D</t>
  </si>
  <si>
    <t>HIR1210RC7N-171 R/D</t>
  </si>
  <si>
    <t>YOI-320B-TH</t>
  </si>
  <si>
    <t>KFV-10</t>
  </si>
  <si>
    <t>EW50AAG-2P030C 100mA</t>
  </si>
  <si>
    <t>BW9BTAA-S2</t>
  </si>
  <si>
    <t>C-HTPA14S5M100-A-N10</t>
  </si>
  <si>
    <t>E-HTPA14S5M100-A-N8</t>
  </si>
  <si>
    <t>C-HTBN300S5M-150</t>
  </si>
  <si>
    <t>AK10P5_YJ</t>
  </si>
  <si>
    <t>AF10_YJ</t>
  </si>
  <si>
    <t>C-SCPW34-8-11</t>
  </si>
  <si>
    <t xml:space="preserve">EAC-06-472-D </t>
  </si>
  <si>
    <t>NBH-06-432-D</t>
  </si>
  <si>
    <t>NBH-30-432-D</t>
  </si>
  <si>
    <t>DRL-24V240W1EN</t>
  </si>
  <si>
    <t>DRL-24V75W1AZ</t>
  </si>
  <si>
    <t>CR1000-M5BG(AR10)</t>
  </si>
  <si>
    <t>SS6000ZZS</t>
  </si>
  <si>
    <t>MCH15N-2-680L R/D / LMG15H 2UU+680L ES10 R/D / E-HLGH15-680-B2-ES10-R</t>
  </si>
  <si>
    <t>6001ZZS</t>
  </si>
  <si>
    <t>MCH15N-1-470L R/D / LMG15HUU+470L ES25 R/D / E-HLGH15-470-ES25-R</t>
  </si>
  <si>
    <t>MCH15N-2-1070L R/D / LMG15H 2UU+1070L ES25 R/D / E-HLGH15-1070-B2-ES25-R</t>
  </si>
  <si>
    <t>MCM12W-2-162L R/D / LMNW12T 2UU+162L ES21 R/D / %ELLG-E-SMLGW7H-162-B2-ES21-R</t>
  </si>
  <si>
    <t>SS6800ZZ</t>
  </si>
  <si>
    <t>S6901ZZS</t>
  </si>
  <si>
    <t>MCM9M-1-50L R/D / LMN9T+50L ES5 R/D / C-MLG9-50-ES5-R</t>
  </si>
  <si>
    <t>SS6702ZZ</t>
  </si>
  <si>
    <t>MSMF042L1T1</t>
  </si>
  <si>
    <t>MBDLN25BE</t>
  </si>
  <si>
    <t>MSMF022L1S1</t>
  </si>
  <si>
    <t>MADLN15BE</t>
  </si>
  <si>
    <t>PM-Y65</t>
  </si>
  <si>
    <t>PM-F65</t>
  </si>
  <si>
    <t>S6I06GD</t>
  </si>
  <si>
    <t>S6KA15B</t>
  </si>
  <si>
    <t>S7I15GD</t>
  </si>
  <si>
    <t>S7KA15B</t>
  </si>
  <si>
    <t>MMC_BDP008PCB</t>
  </si>
  <si>
    <t>XFHT4060</t>
  </si>
  <si>
    <t>C-HTBN200S5M-100</t>
  </si>
  <si>
    <t>NGB60</t>
  </si>
  <si>
    <t>E-XPG80-CR</t>
  </si>
  <si>
    <t>E-HTPA26S5M150-A-H23</t>
  </si>
  <si>
    <t>E-HTPA26S5M150-A-H28</t>
  </si>
  <si>
    <t>E-MLM14</t>
  </si>
  <si>
    <t>E-MLM10</t>
  </si>
  <si>
    <t>SP25B16-N-10K</t>
  </si>
  <si>
    <t>C-CHE25-240</t>
  </si>
  <si>
    <t>C-TEF12</t>
  </si>
  <si>
    <t>C-TEK12</t>
  </si>
  <si>
    <t>GSACL20-5-8</t>
  </si>
  <si>
    <t>A-MR-24-150</t>
  </si>
  <si>
    <t>E-HTPA14S5M100-A-N10</t>
  </si>
  <si>
    <t>KOREA</t>
  </si>
  <si>
    <t>CHINA</t>
  </si>
  <si>
    <t>TAIWAN</t>
  </si>
  <si>
    <t>JAPAN</t>
  </si>
  <si>
    <t>FRANCE</t>
  </si>
  <si>
    <t>TIWAN</t>
  </si>
  <si>
    <t>GERMANY</t>
  </si>
  <si>
    <t>SSR</t>
  </si>
  <si>
    <t>D-SUB HOOD</t>
  </si>
  <si>
    <t>MCB</t>
  </si>
  <si>
    <t>냉각팬</t>
  </si>
  <si>
    <t>커버</t>
  </si>
  <si>
    <t>스틸망</t>
  </si>
  <si>
    <t>SPD_KS</t>
  </si>
  <si>
    <t>SPD CP_KS</t>
  </si>
  <si>
    <t>Safety Relay Coil</t>
  </si>
  <si>
    <t>Safety Relay Soket</t>
  </si>
  <si>
    <t>Safety PLC</t>
  </si>
  <si>
    <t>SSR Soket</t>
  </si>
  <si>
    <t>Magnetic Contactor</t>
  </si>
  <si>
    <t>MMS</t>
  </si>
  <si>
    <t>MMS 트립 접점</t>
  </si>
  <si>
    <t>EARTH BAR</t>
  </si>
  <si>
    <t>SENSOR</t>
  </si>
  <si>
    <t>SENSOR CABLE</t>
  </si>
  <si>
    <t>KEY BOARD</t>
  </si>
  <si>
    <t>BERNOULLI GRIPPER</t>
  </si>
  <si>
    <t>HDMI Cable</t>
  </si>
  <si>
    <t>USB2.0 AM-BM Cable</t>
  </si>
  <si>
    <t>Concent Plug</t>
  </si>
  <si>
    <t>스토퍼</t>
  </si>
  <si>
    <t>TFR-CV Cable</t>
  </si>
  <si>
    <t>D-SUB 15Pin</t>
  </si>
  <si>
    <t>Adapter</t>
  </si>
  <si>
    <t>SPEED CONTROLLER</t>
  </si>
  <si>
    <t>CYLINDER</t>
  </si>
  <si>
    <t>FITTING</t>
  </si>
  <si>
    <t>SILENCER</t>
  </si>
  <si>
    <t>LOCK VALVE</t>
  </si>
  <si>
    <t>REGULATOR</t>
  </si>
  <si>
    <t>PLUG</t>
  </si>
  <si>
    <t>MANIFOLD</t>
  </si>
  <si>
    <t>SOL V/V</t>
  </si>
  <si>
    <t>Blanking Plate</t>
  </si>
  <si>
    <t>BRACKET</t>
  </si>
  <si>
    <t>VACUUM EJECTOR</t>
  </si>
  <si>
    <t>KEY</t>
  </si>
  <si>
    <t>HANDLE</t>
  </si>
  <si>
    <t>HINGE</t>
  </si>
  <si>
    <t>MAGNET</t>
  </si>
  <si>
    <t>CONECTOR</t>
  </si>
  <si>
    <t>DOOR LOCK</t>
  </si>
  <si>
    <t>BUZZER</t>
  </si>
  <si>
    <t>TOWER LAMP</t>
  </si>
  <si>
    <t>OP BOX</t>
  </si>
  <si>
    <t>START BUTTON</t>
  </si>
  <si>
    <t>STOP  BUTTON</t>
  </si>
  <si>
    <t>RESET BUTTON</t>
  </si>
  <si>
    <t>LOTO KEYS</t>
  </si>
  <si>
    <t>CASTER WHEEL</t>
  </si>
  <si>
    <t>EMG BUTTON</t>
  </si>
  <si>
    <t>Remote I/O (Input)</t>
  </si>
  <si>
    <t>Remote I/O (OutPut)</t>
  </si>
  <si>
    <t>Remote I/O (CPU)</t>
  </si>
  <si>
    <t>COM T/B</t>
  </si>
  <si>
    <t>Relay</t>
  </si>
  <si>
    <t>Servo Inter Face T/B</t>
  </si>
  <si>
    <t>POWER CABLE</t>
  </si>
  <si>
    <t>ENCODER CABLE</t>
  </si>
  <si>
    <t>BREAK CABLE</t>
  </si>
  <si>
    <t>LAN CABLE 하네스</t>
  </si>
  <si>
    <t>ROBO CHAIN+END BKT</t>
  </si>
  <si>
    <t>BALL SCREW_681L</t>
  </si>
  <si>
    <t>BALL SCREW_232L</t>
  </si>
  <si>
    <t>산업용 PC</t>
  </si>
  <si>
    <t>Noise Filter</t>
  </si>
  <si>
    <t>ELB</t>
  </si>
  <si>
    <t>ELB Cover</t>
  </si>
  <si>
    <t>TIMING PULLEY</t>
  </si>
  <si>
    <t>TIMING BELT</t>
  </si>
  <si>
    <t>SUPPORT UNIT</t>
  </si>
  <si>
    <t>COUPLING</t>
  </si>
  <si>
    <t>EMC Filter</t>
  </si>
  <si>
    <t>DCP</t>
  </si>
  <si>
    <t>REGULATOR+BKT</t>
  </si>
  <si>
    <t>BEARING</t>
  </si>
  <si>
    <t>LM GUIDE</t>
  </si>
  <si>
    <t>SERVO MOTOR</t>
  </si>
  <si>
    <t>SERVO DRIVER</t>
  </si>
  <si>
    <t>INDUCTION MOTOR</t>
  </si>
  <si>
    <t>GEAR HEAD</t>
  </si>
  <si>
    <t>Master Board</t>
  </si>
  <si>
    <t>O-RING</t>
  </si>
  <si>
    <t>MICRO STAGE</t>
  </si>
  <si>
    <t>PULLEY</t>
  </si>
  <si>
    <t>POWER LOCK</t>
  </si>
  <si>
    <t>SPROCKET</t>
  </si>
  <si>
    <t>SPROCKET CHAIN</t>
  </si>
  <si>
    <t>LEVEL FOOT</t>
  </si>
  <si>
    <t>ORIGIN</t>
    <phoneticPr fontId="2" type="noConversion"/>
  </si>
  <si>
    <t>MXQ16-30A_M9B</t>
  </si>
  <si>
    <t>002M2603</t>
    <phoneticPr fontId="2" type="noConversion"/>
  </si>
  <si>
    <t>SOLENOID VALVE</t>
  </si>
  <si>
    <t>DOVETAIL STAGE</t>
  </si>
  <si>
    <t>C-CHE25-240</t>
    <phoneticPr fontId="2" type="noConversion"/>
  </si>
  <si>
    <t>003M2603</t>
    <phoneticPr fontId="2" type="noConversion"/>
  </si>
  <si>
    <t>D40A-1C2</t>
  </si>
  <si>
    <t>BS5-P1MD</t>
  </si>
  <si>
    <t>KCP-32ANM-3A</t>
  </si>
  <si>
    <t>LC1D186M7</t>
  </si>
  <si>
    <t>RSP-150-24</t>
  </si>
  <si>
    <t>G9SP-N20S</t>
  </si>
  <si>
    <t xml:space="preserve">K400+ </t>
  </si>
  <si>
    <t>VHS30-03-D</t>
  </si>
  <si>
    <t>AW30-03G-D</t>
  </si>
  <si>
    <t>AR20-02BG-D</t>
  </si>
  <si>
    <t>AN101-01</t>
  </si>
  <si>
    <t>KQ2L10-03NS</t>
  </si>
  <si>
    <t>KQ2L06-03NS</t>
  </si>
  <si>
    <t>KQ2L04-02NS</t>
  </si>
  <si>
    <t>CXSJM10-20</t>
  </si>
  <si>
    <t>MSQB10R</t>
  </si>
  <si>
    <t>MHF2-8D2</t>
  </si>
  <si>
    <t>D-M9BL</t>
  </si>
  <si>
    <t>KDX-QMD22Y</t>
  </si>
  <si>
    <t>EX-14A</t>
  </si>
  <si>
    <t>MFMCA0050RJD</t>
  </si>
  <si>
    <t>MFECA0050TJD</t>
  </si>
  <si>
    <t>MFMCB0050PJT</t>
  </si>
  <si>
    <t>S7KA20B</t>
  </si>
  <si>
    <t>S7KA30B</t>
  </si>
  <si>
    <t>PGX62-H-10</t>
  </si>
  <si>
    <t>10472(10A)</t>
  </si>
  <si>
    <t>KF-10</t>
  </si>
  <si>
    <t>M15CUU2-150L 15_15 R/D</t>
  </si>
  <si>
    <t>A-MR20-180-78</t>
  </si>
  <si>
    <t>C-AHTF24S5M100</t>
  </si>
  <si>
    <t>C-BMSB10-15</t>
  </si>
  <si>
    <t>C-TBCR-S5M100</t>
  </si>
  <si>
    <t>E-MCK14</t>
  </si>
  <si>
    <t>FSSARN080-03A</t>
  </si>
  <si>
    <t>C-SPA25B16-N-10K</t>
  </si>
  <si>
    <t>C-SSRXN36Y16</t>
  </si>
  <si>
    <t>STWN10</t>
  </si>
  <si>
    <t>SXYK16</t>
  </si>
  <si>
    <t>TBCR-S5M150</t>
  </si>
  <si>
    <t>SWITZERLAND</t>
  </si>
  <si>
    <t>DOOR SENSOR</t>
  </si>
  <si>
    <t>SENOSR</t>
  </si>
  <si>
    <t>SPD Protector</t>
  </si>
  <si>
    <t>SPD</t>
  </si>
  <si>
    <t>CP</t>
  </si>
  <si>
    <t>Power Supply</t>
  </si>
  <si>
    <t>SAFETY PLC</t>
  </si>
  <si>
    <t>KEYBOARD</t>
  </si>
  <si>
    <t>VALVE</t>
  </si>
  <si>
    <t>RAGULATOR</t>
  </si>
  <si>
    <t>BRACKET SPACER</t>
  </si>
  <si>
    <t>SLINCER</t>
  </si>
  <si>
    <t>SOLVALVE</t>
  </si>
  <si>
    <t>AUTO SWITCH</t>
  </si>
  <si>
    <t>COOLING FAN</t>
  </si>
  <si>
    <t>CASTER</t>
  </si>
  <si>
    <t>CAM LOCK</t>
  </si>
  <si>
    <t>D-SUB</t>
  </si>
  <si>
    <t>MOTOR POWER CABLE</t>
  </si>
  <si>
    <t>MOTOR ENCODER CABLE</t>
  </si>
  <si>
    <t>MOTOR BRAKE CABLE</t>
  </si>
  <si>
    <t>REDUCER</t>
  </si>
  <si>
    <t>Teminal Block</t>
  </si>
  <si>
    <t>Inductive Filter</t>
  </si>
  <si>
    <t>TIMMING BELT</t>
  </si>
  <si>
    <t>STRIPPER BOLT</t>
  </si>
  <si>
    <t>CHAIN</t>
  </si>
  <si>
    <t>BELT CLAPM</t>
  </si>
  <si>
    <t>SENSOR RAIL</t>
  </si>
  <si>
    <t>SLIDE RAIL</t>
  </si>
  <si>
    <t>SNAP RING</t>
  </si>
  <si>
    <t>PLUNGER</t>
  </si>
  <si>
    <t>004M2603</t>
    <phoneticPr fontId="2" type="noConversion"/>
  </si>
  <si>
    <t>C-HTBN1650S5M-150</t>
  </si>
  <si>
    <t>C-HTBN2100S5M-150</t>
  </si>
  <si>
    <t>SLIENCER</t>
  </si>
  <si>
    <t>PULLY</t>
  </si>
  <si>
    <t>005M2603</t>
  </si>
  <si>
    <t>005M2603</t>
    <phoneticPr fontId="2" type="noConversion"/>
  </si>
  <si>
    <t>KFC-120</t>
  </si>
  <si>
    <t>DCP32DN 2A</t>
  </si>
  <si>
    <t>KCP-32ANM 15A</t>
  </si>
  <si>
    <t>KCP-32ANM 3A</t>
  </si>
  <si>
    <t>KCP-32ANM 5A</t>
  </si>
  <si>
    <t>ITV1050-RC1CS</t>
  </si>
  <si>
    <t>M12</t>
  </si>
  <si>
    <t>S-06</t>
  </si>
  <si>
    <t>AS2201F-01-06SA</t>
  </si>
  <si>
    <t>MY1B25G-300LZ-M9N</t>
  </si>
  <si>
    <t>CDQSB12-10D-M9NV</t>
  </si>
  <si>
    <t>AS2201F-02-08SA</t>
  </si>
  <si>
    <t>MDBB50-75Z-M9N</t>
  </si>
  <si>
    <t>Y300-D</t>
  </si>
  <si>
    <t>ANA1-01</t>
  </si>
  <si>
    <t>SS5Y5-20-07</t>
  </si>
  <si>
    <t>SY5220-5LZ-C4</t>
  </si>
  <si>
    <t>SS5Y5-20-02</t>
  </si>
  <si>
    <t>SY5000-26-20A</t>
  </si>
  <si>
    <t>SY5220-5LZ-C6</t>
  </si>
  <si>
    <t>SY5240-5LZ-02</t>
  </si>
  <si>
    <t>MHF2-8D2-M9N</t>
  </si>
  <si>
    <t>MSQB10R-M9N</t>
  </si>
  <si>
    <t>MXQ16-50B-M9N</t>
  </si>
  <si>
    <t>D-SUB_(15 PIN)</t>
  </si>
  <si>
    <t>MXQ16L-50B-M9N</t>
  </si>
  <si>
    <t>SHF10-10</t>
  </si>
  <si>
    <t>SQL10-02S-X2-R</t>
  </si>
  <si>
    <t>SQM08-02S-6-R</t>
  </si>
  <si>
    <t>SQL08-02S-X2-R</t>
  </si>
  <si>
    <t>SQL08-01S-X2-R</t>
  </si>
  <si>
    <t>2.5SQ / 3C / 3M</t>
  </si>
  <si>
    <t xml:space="preserve">KMY4C-P </t>
  </si>
  <si>
    <t>NSB022CRG.47.R35/FT-594L (DVS:2) / 27LK</t>
  </si>
  <si>
    <t>EW50AAG 2P015B 30mA</t>
  </si>
  <si>
    <t>EAC-06-472-D</t>
  </si>
  <si>
    <t>EAC-16-472-D</t>
  </si>
  <si>
    <t>DRL-24V120W1EN</t>
  </si>
  <si>
    <t>A-MR-20-180-Φ78</t>
  </si>
  <si>
    <t>E-LBHM12LUU</t>
  </si>
  <si>
    <t>FSSARL080-03A</t>
  </si>
  <si>
    <t>C-HTBN234S3M-100</t>
  </si>
  <si>
    <t>E-HTPA25S3M100-A-NK10</t>
  </si>
  <si>
    <t>MSSFS4-8</t>
  </si>
  <si>
    <t>MSWTMK2</t>
  </si>
  <si>
    <t>STWS12</t>
  </si>
  <si>
    <t>DYM-AL4(SC) 2.5M</t>
    <phoneticPr fontId="2" type="noConversion"/>
  </si>
  <si>
    <t>SSFAD12-217-F35-B35-P12-N5</t>
    <phoneticPr fontId="2" type="noConversion"/>
  </si>
  <si>
    <t>COOLING FAN COVER</t>
  </si>
  <si>
    <t>COOLING FAN STEEL COVER</t>
  </si>
  <si>
    <t>SPD CP</t>
  </si>
  <si>
    <t>E/P REGULATOR</t>
  </si>
  <si>
    <t>NUT (NI)</t>
  </si>
  <si>
    <t>스냅링</t>
  </si>
  <si>
    <t>SPEED CONTOROLLER</t>
  </si>
  <si>
    <t>AIR CYLINDER</t>
  </si>
  <si>
    <t>SILENCE</t>
  </si>
  <si>
    <t>SPACER</t>
  </si>
  <si>
    <t>RELIEF VALVE</t>
  </si>
  <si>
    <t>MAGNET CATCH</t>
  </si>
  <si>
    <t>PLATE</t>
  </si>
  <si>
    <t>HAND VALVE</t>
  </si>
  <si>
    <t>EMO SWITCH</t>
  </si>
  <si>
    <t>SWITCH</t>
  </si>
  <si>
    <t>MELODY BUZZER</t>
  </si>
  <si>
    <t>Power Cable</t>
  </si>
  <si>
    <t>AC MOTOR</t>
  </si>
  <si>
    <t>LEVLINGFOOT</t>
  </si>
  <si>
    <t>리니어부시</t>
  </si>
  <si>
    <t>샤프트</t>
  </si>
  <si>
    <t>SENSOR BRACKET</t>
  </si>
  <si>
    <t>TIMING PULLY</t>
  </si>
  <si>
    <t>SOCKET SET SCREW</t>
  </si>
  <si>
    <t>CZECHIA</t>
  </si>
  <si>
    <t>002M2508</t>
    <phoneticPr fontId="2" type="noConversion"/>
  </si>
  <si>
    <t>BS5-T1M</t>
  </si>
  <si>
    <t>WSIG7-M415</t>
  </si>
  <si>
    <t>221-2411</t>
  </si>
  <si>
    <t>GV2P07</t>
  </si>
  <si>
    <t>WSIG7-M405</t>
  </si>
  <si>
    <t>AM4113ZT</t>
  </si>
  <si>
    <t>BY183-3 BK</t>
  </si>
  <si>
    <t>BYH-4040 BK</t>
  </si>
  <si>
    <t>BYH6060-30 BK</t>
  </si>
  <si>
    <t>HR-2-10 BK</t>
  </si>
  <si>
    <t>EW32AAG 2P 15A / 100mA</t>
  </si>
  <si>
    <t>NX342 5M</t>
  </si>
  <si>
    <t>2.5SQx3C / 3M</t>
  </si>
  <si>
    <t>DYM-AL6 / 2.5M</t>
  </si>
  <si>
    <t>EN-AGS-1111-07</t>
  </si>
  <si>
    <t>KDX-QMD21W</t>
  </si>
  <si>
    <t>KMY4C</t>
  </si>
  <si>
    <t>NMC-UB250 5M</t>
  </si>
  <si>
    <t>AC30A-03G-V-D</t>
  </si>
  <si>
    <t>AN20-02</t>
  </si>
  <si>
    <t>KQ2H04-06A</t>
  </si>
  <si>
    <t>KQ2H06-08A</t>
  </si>
  <si>
    <t>KQ2L04-M5N</t>
  </si>
  <si>
    <t>KQ2L06-02NS</t>
  </si>
  <si>
    <t>KQ2L06-08A</t>
  </si>
  <si>
    <t>KQ2L08-02NS</t>
  </si>
  <si>
    <t>KQ2L08-03NS</t>
  </si>
  <si>
    <t>KQ2U06-00A</t>
  </si>
  <si>
    <t>KQ2U08-00A</t>
  </si>
  <si>
    <t>KQ2UD04-06A</t>
  </si>
  <si>
    <t>KQ2UD06-08A</t>
  </si>
  <si>
    <t>KQ2ZT06-03NS</t>
  </si>
  <si>
    <t>SS5Y3-20-06</t>
  </si>
  <si>
    <t>SY3000-26-9A</t>
  </si>
  <si>
    <t>SY3320-5LZ-C4</t>
  </si>
  <si>
    <t>VQ21A1-5G-C6</t>
  </si>
  <si>
    <t>MHF2-8D1-M9N</t>
  </si>
  <si>
    <t>AS2201F-01-04SA</t>
  </si>
  <si>
    <t>MXQ6-10AS-M9N</t>
  </si>
  <si>
    <t>MXQ6L-10AS-M9N</t>
  </si>
  <si>
    <t>MGPM25-20Z-M9N</t>
  </si>
  <si>
    <t>MGPM16-10Z-M9N</t>
  </si>
  <si>
    <t>MGPM20-20Z-M9N</t>
  </si>
  <si>
    <t>MGPM20-50Z-M9N</t>
  </si>
  <si>
    <t>MHZL2-20D-M9N</t>
  </si>
  <si>
    <t>MXQ20L-50AS-M9N</t>
  </si>
  <si>
    <t>ZP3-T10BNJ10-B5</t>
  </si>
  <si>
    <t>CQ2B12-10D</t>
  </si>
  <si>
    <t>MY1M16-300L-M9N</t>
  </si>
  <si>
    <t>SB060-010-S2-P2 (MSMF022L1T1)</t>
  </si>
  <si>
    <t>SB060-010-S2-P2 (MSMF022L1S1)</t>
  </si>
  <si>
    <t>EX-19EB</t>
  </si>
  <si>
    <t>MFECA0080MJD</t>
  </si>
  <si>
    <t>MFMCA0080NJD</t>
  </si>
  <si>
    <t>MFMCB0080PJT</t>
  </si>
  <si>
    <t>CPS020.40.R28/B2T-260L / 13LK</t>
  </si>
  <si>
    <t>CPS030.35.R38/B2T-570L / 19LK</t>
  </si>
  <si>
    <t>CPS020.40.R28/B1T-260L / 13LK</t>
  </si>
  <si>
    <t>CPS033.47.R35/ET-528L / 16LK</t>
  </si>
  <si>
    <t>CPS033.67.R35/ET-594L / 18LK</t>
  </si>
  <si>
    <t>CPS015.15.R18/B1T-420L / 28LK</t>
  </si>
  <si>
    <t>CPS020.20.R28/B1T-600L / 30LK</t>
  </si>
  <si>
    <t>CHTRH15B-1-203L R/D</t>
  </si>
  <si>
    <t>CHTRS15BS-4-1380L R/D</t>
  </si>
  <si>
    <t>CHTRS15BS-2-765L R/D</t>
  </si>
  <si>
    <t>CHTRS15BS-2-865L R/D</t>
  </si>
  <si>
    <t>M15CUU2-185L-B2 G12.5/12.5 R/D</t>
  </si>
  <si>
    <t>CHTRH15B-2-692L R/D</t>
  </si>
  <si>
    <t>CHTRH15B-1-840L R/D</t>
  </si>
  <si>
    <t>MCM7M-1-42 R/D</t>
  </si>
  <si>
    <t>MSMF022L1T1</t>
  </si>
  <si>
    <t>S9I40GDH</t>
  </si>
  <si>
    <t>S9KB25BH</t>
  </si>
  <si>
    <t>NMC-X4-TB</t>
  </si>
  <si>
    <t>A-MR-20-180</t>
  </si>
  <si>
    <t>C-TBCR-S5M150</t>
  </si>
  <si>
    <t>C-TBF15</t>
  </si>
  <si>
    <t>C-TBK15</t>
  </si>
  <si>
    <t>SP25B16-N-12</t>
  </si>
  <si>
    <t>SWISS</t>
  </si>
  <si>
    <t xml:space="preserve">SENSOR </t>
  </si>
  <si>
    <t>Concenter</t>
  </si>
  <si>
    <t>MMS 보조 접점</t>
  </si>
  <si>
    <t>USB 현미경</t>
  </si>
  <si>
    <t>경첩</t>
  </si>
  <si>
    <t>핸들푸쉬</t>
  </si>
  <si>
    <t>HDMI 케이블</t>
  </si>
  <si>
    <t>STOP BUTTON</t>
  </si>
  <si>
    <t>프린터 케이블</t>
  </si>
  <si>
    <t>BLANKING PLATE</t>
  </si>
  <si>
    <t>SOLENOILD VALVE</t>
  </si>
  <si>
    <t>잔압배기 V/V</t>
  </si>
  <si>
    <t>브라켓 스페이서</t>
  </si>
  <si>
    <t>VACCUM PAD</t>
  </si>
  <si>
    <t>GEAR BOX</t>
  </si>
  <si>
    <t>SERVO MOTOR ENCODER CABLE</t>
  </si>
  <si>
    <t>SERVO MOTOR POWER CABLE</t>
  </si>
  <si>
    <t>SERVO MOTOR BRAKE CABLE</t>
  </si>
  <si>
    <t>ROBO CHAIN_END BKT 포함</t>
  </si>
  <si>
    <t>SERVO MOTOR DRIVER</t>
  </si>
  <si>
    <t>BEARING SHAFT SCREWS</t>
  </si>
  <si>
    <t>BLOCK CLAMP BELT</t>
  </si>
  <si>
    <t>BELT CLAMP</t>
  </si>
  <si>
    <t>SUPPORT UNITS</t>
  </si>
  <si>
    <t>CATEGORY</t>
    <phoneticPr fontId="2" type="noConversion"/>
  </si>
  <si>
    <t>HS CODE</t>
    <phoneticPr fontId="2" type="noConversion"/>
  </si>
  <si>
    <t>85364199</t>
  </si>
  <si>
    <t>Rơ le bán dẫn, mã hàng: SRS1-C1202-2, điện áp: 24V, dòng điện: 2A, hsx: Autonics, hàng mới 100%</t>
  </si>
  <si>
    <t>39269099</t>
  </si>
  <si>
    <t>Vỏ bảo vệ đầu nối, mã hàng: PS-DS1001-25P, chất liệu chủ yếu: nhựa, hsx: Connfly, hàng mới 100%</t>
  </si>
  <si>
    <t>85362011</t>
  </si>
  <si>
    <t>Cầu dao điện, mã hàng: DCP32DN 3A, loại hộp đúc, dòng điện 3A, hsx: Daco, hàng mới 100%</t>
  </si>
  <si>
    <t>Cầu dao điện, mã hàng: DCP32DN 15A, loại hộp đúc, dòng điện: 3A, hsx: Daco, hàng mới 100%</t>
  </si>
  <si>
    <t>84145949</t>
  </si>
  <si>
    <t>COOLING FAN-GC#&amp;Quạt tản nhiệt dùng cho tủ điện, mã hàng: AFB1224M, không có lưới, điện áp 24V, kích thước: 120x120x25.4mm, hàng mới 100%</t>
  </si>
  <si>
    <t>Quạt tản nhiệt dùng cho tủ điện, mã hàng: AFB1224SHE-R00, không có lưới, điện áp 24V, 0.75A, kích thước: 120x120x38mm, hàng mới 100%</t>
  </si>
  <si>
    <t>85369012</t>
  </si>
  <si>
    <t>Đầu nối, mã hàng:D-SUB 25 Pin / Female, loại 25 chân, dùng cho dòng điện dưới 16A, hàng mới 100%</t>
  </si>
  <si>
    <t>84213990</t>
  </si>
  <si>
    <t>Quạt lọc khí, mã hàng: T-DFF120, hsx: T-TECHNOLOGY, hàng mới 100%</t>
  </si>
  <si>
    <t>73269099</t>
  </si>
  <si>
    <t>Vỏ che ngoài của quạt tản nhiệt, mã hàng: MG-120, kích thước: 120*120(mm), chất liệu: thép, hsx: WOONYOUNG, hàng mới 100%</t>
  </si>
  <si>
    <t>85363010</t>
  </si>
  <si>
    <t>Thiết bị chống sét, mã hàng: BK10S-T2-2P, 2 cực, điện áp: 230/440V AC, hsx: LS, hàng mới 100%</t>
  </si>
  <si>
    <t>Thiết bị chống sét, mã hàng: SD10-T2-2P(20KA), 2 cực, điện áp: 230/440V AC, hsx: LS, hàng mới 100%</t>
  </si>
  <si>
    <t>Rơ le, mã hàng: G7SA-2A2B, điện áp: 24v, hsx: OMRON, hàng mới 100%</t>
  </si>
  <si>
    <t>85366992</t>
  </si>
  <si>
    <t>Đế cắm rơ le, mã hàng: P7SA-10F-ND, điện áp: 24VDC, dòng điện 6A, hsx: OMRON, hàng mới 100%</t>
  </si>
  <si>
    <t>85371099</t>
  </si>
  <si>
    <t>Bộ điều khiển an toàn, mã hàng: G9SP-N10S, điện áp: 24VDC, hsx:OMRON, hàng mới 100%</t>
  </si>
  <si>
    <t>Đế cắm rơ le, mã hàng: PYF08A, điện áp: 24VDC, dòng điện 6A, hsx: OMRON, hàng mới 100%</t>
  </si>
  <si>
    <t>85365099</t>
  </si>
  <si>
    <t>Công tắc tơ 3 pha, mã hàng: LC1D126M7, điện áp 220V, dòng diện 18A, hsx: Schneider, hàng mới 100%</t>
  </si>
  <si>
    <t>Công tắc tơ 3 pha, mã hàng: LC1D186BD, điện áp 220V, dòng diện 18A, hsx: Schneider, hàng mới 100%</t>
  </si>
  <si>
    <t>Cầu dao từ nhiệt bảo vệ motor, mã hàng: GV2ME08, loại hộp đúc, dòng điện: 2.5-4A hsx: Schneider, hàng mới 100%</t>
  </si>
  <si>
    <t>Cầu dao từ nhiệt bảo vệ motor, mã hàng: GV2ME10, loại hộp đúc, dòng điện: 4-6.3A hsx: Schneider, hàng mới 100%</t>
  </si>
  <si>
    <t>85389019</t>
  </si>
  <si>
    <t>Tiếp điểm phụ cho CB từ nhiệt, mã hàng: GVAD1001, hsx:  Schneider, hàng mới 100%</t>
  </si>
  <si>
    <t>Cầu dao từ nhiệt bảo vệ motor, mã hàng: GV2ME07, loại hộp đúc, dòng điện: 1.6-2.5A, cs: 0.75kw, hsx: Schneider, hàng mới 100%</t>
  </si>
  <si>
    <t>74198090</t>
  </si>
  <si>
    <t>Thanh cái tiếp địa đồng mạ thiếc, mã hàng: WSIG7-M425, kt:106*25*5(mm), hàng mới 100%</t>
  </si>
  <si>
    <t>Thanh cái tiếp địa đồng mạ thiếc, mã hàng: WSIG7-M405, kt:106*5*5(mm), hàng mới 100%</t>
  </si>
  <si>
    <t>Thanh cái tiếp địa đồng mạ thiếc, mã hàng: WSIG7-M415, kt:106*15*15(mm), hàng mới 100%</t>
  </si>
  <si>
    <t>90314990</t>
  </si>
  <si>
    <t>Cảm biến quang, mã hàng: BS5-Y2M, khoảng cách phát hiện vật: 5mm, điện áp: 12-24VDC, hsx: AUTONICS, hàng mới 100%</t>
  </si>
  <si>
    <t>85444294</t>
  </si>
  <si>
    <t>Dây cáp điện nối cảm biến,mã hàng: CT-02 5M, có đầu nối, bọc cách điện bằng nhựa, đường kính lõi 0.08mm, hsx: autonics,hàng mới 100%</t>
  </si>
  <si>
    <t>85365096</t>
  </si>
  <si>
    <t>Công tắc cửa không tiếp điểm, mã hàng: D40A_1C2, điện áp: 24VDC, dòng điện dưới 16A, hsx: Omron, hàng mới 100%</t>
  </si>
  <si>
    <t>84716030</t>
  </si>
  <si>
    <t>Bàn phím cảm ứng không dây, mã hàng:K400+, dùng cho máy kiểm tra sản phẩm, hsx:  Logitech. Hàng mới 100%</t>
  </si>
  <si>
    <t>76169990</t>
  </si>
  <si>
    <t>Đầu gắp không tiếp xúc Bernoulli, mã hàng:  OGGB-60-G18-2, chất liệu chủ yếu nhôm, hàng mới 100%</t>
  </si>
  <si>
    <t>85444299</t>
  </si>
  <si>
    <t>Cáp truyền tín hiệu, mã hàng: NM-TNT121 (3M), đã gắn đầu nối, bọc cách điện bằng plastic, điện áp dưới 1000V, không dùng cho viễn thông, hàng mới 100%</t>
  </si>
  <si>
    <t>Dây cáp điện có đầu nối NMC-UB250, bọc cách điện bằng plastic, mỗi lõi đường kính không quá 5mm, điện áp không quá 1000V, hàng mới 100%</t>
  </si>
  <si>
    <t>85366999</t>
  </si>
  <si>
    <t>Ổ cắm điện 6 lỗ, mã hàng: DYM-AL6 / 2.5M, AC 250V, 16A, hàng mới 100%</t>
  </si>
  <si>
    <t>Chặn cầu đấu, mã hàng: JTSN-2, chất liệu: thép, hsx: JEONO, hàng mới 100%</t>
  </si>
  <si>
    <t>85444922</t>
  </si>
  <si>
    <t>Dây cáp 4SQ / 3C / 4M, chưa có đầu nối bọc cách điện bằng nhựa, điện áp 60V, dài 4m, dùng cho máy kiểm tra tính năng điện thoại. Mới 100%</t>
  </si>
  <si>
    <t>Đầu nối, mã hàng: D-SUB 15PIN, loại 15 chân, dùng cho dòng điện dưới 16A, hàng mới 100%</t>
  </si>
  <si>
    <t>85044090</t>
  </si>
  <si>
    <t>Bộ chuyển đổi nguồn điện ADAPTER 5V / 1A, hàng mới 100%</t>
  </si>
  <si>
    <t>84818099</t>
  </si>
  <si>
    <t>Van tiết lưu, mã hàng: AS1201F-M5-04A, hsx: SMC, hàng mới 100%</t>
  </si>
  <si>
    <t>84123100</t>
  </si>
  <si>
    <t>Xy lanh khí nén, mã hàng: MXQ6-20AS-M9BL, hsx: SMC, hàng mới 100%</t>
  </si>
  <si>
    <t>Xy lanh khí nén, mã hàng: MXQ6L-20-M9B, hsx: SMC, hàng mới 100%</t>
  </si>
  <si>
    <t>Xy lanh khí nén, mã hàng: MXQ8-30AS-M9B, hsx: SMC, hàng mới 100%</t>
  </si>
  <si>
    <t>Xy lanh khí nén, mã hàng: MHF2-8D1-M9BL, hsx: SMC, hàng mới 100%</t>
  </si>
  <si>
    <t>Van tiết lưu, mã hàng: AS1201F-M3-04A-X790, hsx: SMC, hàng mới 100%</t>
  </si>
  <si>
    <t>Xy lanh khí nén, mã hàng: JMHZ2-12D(30_0), hsx: SMC, hàng mới 100%</t>
  </si>
  <si>
    <t>74122091</t>
  </si>
  <si>
    <t>Khớp nối nhanh chữ L, mã hàng: KQ2L10-02NS, ren ngoài, chất liệu: đồng thau, hsx: SMC, hàng mới 100%</t>
  </si>
  <si>
    <t>Khớp nối nhanh chữ L, mã hàng: M-3ALU-3, ren ngoài, chất liệu: đồng thau, hsx: SMC, hàng mới 100%</t>
  </si>
  <si>
    <t>Xy lanh khí nén, mã hàng: MGPM12-30Z-M9BL, hsx: SMC, hàng mới 100%</t>
  </si>
  <si>
    <t>Giảm âm, mã hàng: AN30-03, chất liệu bằng nhựa, đường kính 30 mm, hsx: SMC, hàng mới 100%</t>
  </si>
  <si>
    <t>Van tiết lưu, mã hàng: AS1201F-M5-06A, hsx: SMC, hàng mới 100%</t>
  </si>
  <si>
    <t>Khớp nối nhanh, mã hàng: KQ2S10-01NS, ren ngoài, chất liệu: đồng thau, hsx: SMC, hàng mới 100%</t>
  </si>
  <si>
    <t>Xy lanh khí nén, mã hàng: MY1B16-350L-M9B, hsx: SMC, hàng mới 100%</t>
  </si>
  <si>
    <t>Xy lanh khí nén, mã hàng: MXQ16-30A-M9B, hsx: SMC, hàng mới 100%</t>
  </si>
  <si>
    <t>Xy lanh khí nén, mã hàng: CDJP2B6-15D-M9B, hsx: SMC, hàng mới 100%</t>
  </si>
  <si>
    <t>84811019</t>
  </si>
  <si>
    <t>Van 3 cổng giảm áp, mã hàng: VHS30-02-D, bằng thép, đường kính cửa ra vào 3/8 (mm), hsx: SMC, hàng mới 100%</t>
  </si>
  <si>
    <t>90322000</t>
  </si>
  <si>
    <t>Bộ điều áp khí nén, mã hàng: AW30-02BG-D, hsx: SMC, hàng mới 100%</t>
  </si>
  <si>
    <t>Khớp nối nhanh, mã hàng: KQ2ZT06-02NS, ren ngoài, chất liệu: đồng thau, hsx: SMC, hàng mới 100%</t>
  </si>
  <si>
    <t>39174000</t>
  </si>
  <si>
    <t>Đầu nối nhanh khí nén, mã hàng: KQ2P-06, chất liệu: nhựa, hsx: SMC, hàng mới 100%</t>
  </si>
  <si>
    <t>Giảm âm, mã hàng: AN10-01, chất liệu: thép, hsx: SMC, hàng mới 100%</t>
  </si>
  <si>
    <t>Đầu bịt , mã hàng: KPT18, chất liệu: thép, hsx: SMC, hàng mới 100%</t>
  </si>
  <si>
    <t>Đế van, mã hàng: SS5Y3-20-08, dùng cho van điện từ, chất liệu: nhôm,hsx: SMC, hàng mới 100%</t>
  </si>
  <si>
    <t>Đế van, mã hàng: SS5Y7-20-02, dùng cho van điện từ, chất liệu: nhôm,hsx: SMC, hàng mới 100%</t>
  </si>
  <si>
    <t>Giảm âm, mã hàng: AN15-02, chất liệu: nhựa, hsx: SMC, hàng mới 100%</t>
  </si>
  <si>
    <t>Đầu bịt , mã hàng: KPT14, chất liệu: thép, hsx: SMC, hàng mới 100%</t>
  </si>
  <si>
    <t>Van điện từ, mã hàng: SY3120-5LZ-C4, hsx: SMC, hàng mới 100%</t>
  </si>
  <si>
    <t>Van điện từ, mã hàng: SY3120-5LZ-C6, hsx: SMC, hàng mới 100%</t>
  </si>
  <si>
    <t>Van điện từ, mã hàng: SY7120-5LZ-C10, hsx: SMC, hàng mới 100%</t>
  </si>
  <si>
    <t>Đế van, mã hàng: SS5Y3-20-02, dùng cho van điện từ, chất liệu: nhôm, kích thước: 40*49*20 (mm), hsx: SMC, hàng mới 100%</t>
  </si>
  <si>
    <t>Đế van, mã hàng: SS5Y3-20-04, dùng cho van điện từ, chất liệu: nhôm, kích thước: 61*49*20 (mm), hsx: SMC, hàng mới 100%</t>
  </si>
  <si>
    <t>Khớp nối chữ Y, mã hàng: KQ2U04-00A, chất liệu: nhựa, hsx: SMC, hàng mới 100%</t>
  </si>
  <si>
    <t>Bịt đế van, mã hàng: SY3000-26-09A, bằng nhôm, hsx: SMC, hàng mới 100%</t>
  </si>
  <si>
    <t>Khớp nối nhanh chữ L, mã hàng: KQ2L06-M5N, ren ngoài, chất liệu: đồng thau, hsx: SMC, hàng mới 100%</t>
  </si>
  <si>
    <t>Gía đỡ Bracket, mã hàng: Y300T-D, chất liệu: thép, kích thước: 85*20*67.5 (mm), hsx: SMC, hàng mới 100%</t>
  </si>
  <si>
    <t>Giảm âm, mã hàng: ANA1-02, chất liệu: thép, hsx: SMC, hàng mới 100%</t>
  </si>
  <si>
    <t>Khớp nối nhanh chữ L, mã hàng: KQ2L06-01NS, ren ngoài, chất liệu: đồng thau, hsx: SMC, hàng mới 100%</t>
  </si>
  <si>
    <t>Đầu nối nhanh khí nén, mã hàng: KQ2P-04, chất liệu: nhựa, dùng cho ống có đường kính 4mm, hàng mới 100%</t>
  </si>
  <si>
    <t>SOLENOID VALVE#&amp;Van điện từ, mã hàng: SY3220-5LZ-C4, hsx: SMC, hàng mới 100%</t>
  </si>
  <si>
    <t>CYLINDER#&amp;Xy lanh khí nén</t>
  </si>
  <si>
    <t>SILENCER#&amp;Giảm âm, mã hàng: ANA1-C08, chất liệu: thép, hsx: SMC, hàng mới 100%</t>
  </si>
  <si>
    <t>PLASTIC FITTING-GC#&amp;Khớp nối một chạm, mã hàng: ZH10DSA-06-06-08S, chất liệu: nhựa, hsx: SMC, hàng mới 100%</t>
  </si>
  <si>
    <t>Then cài, mã hàng: KEY 4*4*10 2R, chất liệu: thép, hsx: MISUMI, hàng mới 100%</t>
  </si>
  <si>
    <t>Then cài, mã hàng: KEY 4*4*15 2R, chất liệu: thép, hsx: MISUMI, hàng mới 100%</t>
  </si>
  <si>
    <t>83024290</t>
  </si>
  <si>
    <t>HANDLE#&amp;Tay nắm cửa chìm, mã hàng: BY183-3-CV, chất liệu: hợp kim kẽm, kích thước: 92*43 (mm), hsx: Buyoung, hàng mới 100%</t>
  </si>
  <si>
    <t>83021000</t>
  </si>
  <si>
    <t>HINGE#&amp;Bản lề, mã hàng:BYH6060-30_CV, chất liệu: bằng hợp kim kẽm, hsx: BUYOUNG, hàng mới 100%</t>
  </si>
  <si>
    <t>85051100</t>
  </si>
  <si>
    <t>Nam châm hít cửa, mã hàng: BY3-56-3, kích thước: 50*16.5 (mm), chất liệu nam châm: Neodymium, vỏ nhựa, hsx: BUYOUNG, hàng mới 100%</t>
  </si>
  <si>
    <t>83014020</t>
  </si>
  <si>
    <t>Khóa cửa cam lock, mã hàng: BYR-5ST, chất liệu: thép không gỉ, hsx: BUYOUNG, hàng mới 100%</t>
  </si>
  <si>
    <t>85311090</t>
  </si>
  <si>
    <t>Chuông báo, mã hàng: KSP-42S, điện áp: 12/24V DC, kích thước: 80*80*73 (mm), hsx: Kacon, hàng mới 100%</t>
  </si>
  <si>
    <t>94054990</t>
  </si>
  <si>
    <t>Đèn tháp, mã hàng: STL025-D51-3-N (DC24V), loại 3 tầng, hsx: Hanyoung, hàng mới 100%</t>
  </si>
  <si>
    <t>39231090</t>
  </si>
  <si>
    <t>PLASTIC BOX#&amp;Hộp nhựa, mã hàng: EN-AGS 111107, kích thước: 110*110*75 mm, hsx: HWASIN BOX, hàng mới 100%</t>
  </si>
  <si>
    <t>Nút nhấn, mã hàng: KDX-QMD21G, dòng điện dưới 16A, hsx: KG Auto, hàng mới 100%</t>
  </si>
  <si>
    <t>Nút nhấn, mã hàng: KDX-QMD21BK, dòng điện dưới 16A, hsx: KG Auto, hàng mới 100%</t>
  </si>
  <si>
    <t>Nút nhấn, mã hàng: KDX-QMD21Y, dòng điện dưới 16A, hsx: KG Auto, hàng mơi s100%</t>
  </si>
  <si>
    <t>Công tắc nút nhấn, mã hàng: KGK-H2M1A, điện áp 250VAC, dòng điện 5A, hsx: KG AUTO, hàng mới 100%</t>
  </si>
  <si>
    <t>83022090</t>
  </si>
  <si>
    <t>Bánh xe đẩy có giá đỡ bằng kim loại cơ bản (nhôm), mã hàng: QDC600F, đường kính bao gồm cả lốp 70mm, hsx:QINTOP, hàng mới 100%</t>
  </si>
  <si>
    <t>HANDLE#&amp;Tay nắm cửa, mã hàng: BYC-103_CV, chất liệu: hợp kim kẽm mạ crom, hsx: BUYOUNG, hàng mới 100%</t>
  </si>
  <si>
    <t>Xy lanh khí nén, mã hàng: MXQ6-20-M9B, hsx: SMC, hàng mới 100%</t>
  </si>
  <si>
    <t>Xy lanh khí nén, mã hàng: MXQ12L-20AS-M9B, hsx: SMC, hàng mới 100%</t>
  </si>
  <si>
    <t>Xy lanh khí nén, mã hàng: MXQ12-20AS-M9B, hsx: SMC, hàng mới 100%</t>
  </si>
  <si>
    <t>Then cài, mã hàng: KEY 3*3*10 2R, chất liệu: thép, hsx: MISUMI, hàng mới 100%</t>
  </si>
  <si>
    <t>Nút nhấn dừng khẩn cấp, mã hàng: KDE-Q3R2R, dòng điện dưới 16A, hsx: KG Auto, hàng mơi s100%</t>
  </si>
  <si>
    <t>Then cài, mã hàng: KEY 4*4*25 2R, chất liệu: thép, hsx: MISUMI, hàng mới 100%</t>
  </si>
  <si>
    <t>85176299</t>
  </si>
  <si>
    <t>Cổng kết nối tín hiệu, 16 đầu vào, 24 VDC /0.3A, mã hàng: GT-12DF, hàng mới 100%</t>
  </si>
  <si>
    <t>Cổng kết nối tín hiệu, 16 đầu ra, 24 VDC / 0.3A, mã hàng: GT-225F, hàng mới 100%</t>
  </si>
  <si>
    <t>Bộ chia mạng  5 cổng, để kết nối thiết bị trong cùng mạng Lan, mã hàng: GL-9086, hàng mới 100%</t>
  </si>
  <si>
    <t>85369094</t>
  </si>
  <si>
    <t>Cầu đấu điện, mã hàng: XTB-COM30T, điện áp: 24VDC, dòng điện: 10A, hsx: Samwon, hàng mới 100%</t>
  </si>
  <si>
    <t>Rơ le, mã hàng: S4T-16P-202D, điện áp: 24v, hsx: SAMWON, hàng mới 100%</t>
  </si>
  <si>
    <t>Đầu nối kiểu rắc cắm SIO-PAB-E/R điện áp 24v, dòng điện 6A, dùng để gắn dây cáp cho máy kiểm tra tính năng điện thoại, hàng mới 100%</t>
  </si>
  <si>
    <t>Cảm biến quang, mã hàng: EX-13EB, khoảng cách: 500mm, điện áp: 12-24VDC, hsx: Panasonic, hàng mới 100%</t>
  </si>
  <si>
    <t>Dây cáp điện có đầu nối, mã hàng: MFMCA0040NJD, bọc cách điện bằng plastic, mỗi lõi đường kính không quá 5mm, điện áp không quá 1000V, hàng mới 100%</t>
  </si>
  <si>
    <t>Dây cáp điện có đầu nối, mã hàng: MFECA0040MJD, bọc cách điện bằng plastic, mỗi lõi đường kính không quá 5mm, điện áp không quá 1000V, hàng mới 100%</t>
  </si>
  <si>
    <t>Dây cáp điện có đầu nối, mã hàng: MFMCB0040PJT, bọc cách điện bằng plastic, mỗi lõi đường kính không quá 5mm, điện áp không quá 1000V, hàng mới 100%</t>
  </si>
  <si>
    <t>Dây cáp điện, mã hàng: MFMCA0050NJD, có đầu nối, bọc cách điện bằng nhựa, 4 lõi, đường kính lõi 0.5mm, điện áp 300V, hàng mới 100%</t>
  </si>
  <si>
    <t>Dây cáp điện, mã hàng: MFECA0050MJD, có đầu nối, bọc cách điện bằng nhựa, 4 lõi, đường kính lõi 0.2mm, điện áp 300V, hàng mới 100%</t>
  </si>
  <si>
    <t>Dây cáp điện nối cảm biến, mã hàng: CN-14A-C5, có đầu nối, bọc cách điện bằng nhựa, tiết diện dây: 0.2mm2, hsx: panasonic,hàng mới 100%</t>
  </si>
  <si>
    <t>Dây cáp điện có đầu nối (cáp kết nối), mã hàng: SEN7-SSA-0.4M (BLACK), bọc cách điện bằng plastic, mỗi lõi đường kính không quá 5mm, điện áp không quá 1000V, hsx: KEYENCE, hàng mới 100%</t>
  </si>
  <si>
    <t>Dây cáp điện có đầu nối (cáp kết nối), mã hàng: SEN7-SSA-3.5M (YELLOW), bọc cách điện bằng plastic, mỗi lõi đường kính không quá 5mm, điện áp không quá 1000V, hsx: KEYENCE, hàng mới 100%</t>
  </si>
  <si>
    <t>Dây cáp điện có đầu nối (cáp kết nối), mã hàng: SEN7-SSA-2.5M (RED), bọc cách điện bằng plastic, mỗi lõi đường kính không quá 5mm, điện áp không quá 1000V, hsx: KEYENCE, hàng mới 100%</t>
  </si>
  <si>
    <t>Dây cáp điện có đầu nối (cáp kết nối), mã hàng: SEN7-SSA-0.15M (BLACK), bọc cách điện bằng plastic, mỗi lõi đường kính không quá 5mm, điện áp không quá 1000V, hsx: KEYENCE, hàng mới 100%</t>
  </si>
  <si>
    <t>39259000</t>
  </si>
  <si>
    <t>Xích cuốn cáp điện, mã hàng: NSB020CR.20.R28/FT-420L / 21LK, chất liệu: nhựa, hsx: CPS System, hàng mới 100%</t>
  </si>
  <si>
    <t>Máng nhựa luồn dây điện, mã hàng: CPS020.30.R28/B1T-380L / 19LK, chất liệu: nhựa, hsx: Controlwell, hàng mới 100%</t>
  </si>
  <si>
    <t>Xích cuốn cáp điện, mã hàng: NSB022CR.77.R35/FT-638L / 29LK, chất liệu: nhựa, hsx: CPS System, hàng mới 100%</t>
  </si>
  <si>
    <t>Xích cuốn cáp điện, mã hàng: NSB022CR.67.R35/FT-418L / 19LK, chất liệu: nhựa, hsx: CPS System, hàng mới 100%</t>
  </si>
  <si>
    <t>Xích cuốn cáp điện, mã hàng: NSB020CR.40.R28/FT-220L / 11LK, chất liệu: nhựa, hsx: CPS System, hàng mới 100%</t>
  </si>
  <si>
    <t>84834090</t>
  </si>
  <si>
    <t>Trục vít me, mã hàng: HIR1510RC7N-613 R/D, chất liệu thép, hàng mới 100%</t>
  </si>
  <si>
    <t>Trục vít me, mã hàng: HIR1210RC7N-171 R/D, chất liệu thép, hàng mới 100%</t>
  </si>
  <si>
    <t>84714190</t>
  </si>
  <si>
    <t>Bộ xử lý dữ liệu của máy kiểm tra sản phẩm, mã hàng: YOI-320B-TH hsx: YOI SYSTEM, hàng mới 100%</t>
  </si>
  <si>
    <t>Khớp nối , mã hàng: KFV-10 , chất liệu: đồng thau, hsx: SMC, hàng mới 100%</t>
  </si>
  <si>
    <t>85362012</t>
  </si>
  <si>
    <t>Cầu dao điện, mã hàng: EW50AAG-2P030C, loại hộp đúc, dòng điện 30A, hsx: Fuji, hàng mới 100%</t>
  </si>
  <si>
    <t>Nắp che đầu cực, mã hàng: BW9BTAA-S2, chất liệu: nhựa, kích thước: 55*49*24 (mm), hàng mới 100%</t>
  </si>
  <si>
    <t>84835000</t>
  </si>
  <si>
    <t>Puly răng, mã hàng: C-HTPA14S5M100-A-N10, chất liệu: hợp kim nhôm, hsx: Misumi, hàng mới 100%</t>
  </si>
  <si>
    <t>Puly răng, mã hàng: E-HTPA14S5M100-A-N8, chất liệu: hợp kim nhôm, hsx: Misumi, hàng mới 100%</t>
  </si>
  <si>
    <t>40101900</t>
  </si>
  <si>
    <t>Dây đai răng, mã hàng: C-HTBN300S5M-150, bằng cao su lưu hóa, hsx: Misumi, hàng mới 100%</t>
  </si>
  <si>
    <t>84833090</t>
  </si>
  <si>
    <t>Gối đỡ trục vít me, mã hàng: AK10P5_YJ, chất liệu: thép, hsx: Misumi, hàng mới 100%</t>
  </si>
  <si>
    <t>Gối đỡ trục vít me, mã hàng: AF10_YJ, chất liệu: thép, hsx: Misumi, hàng mới 100%</t>
  </si>
  <si>
    <t>84836000</t>
  </si>
  <si>
    <t>Khớp nối trục, mã hàng: C-SCPW34-8-11, đường kính ngoài: 34mm, lỗ trục: 8-11 (mm), hàng mới 100%</t>
  </si>
  <si>
    <t>85437090</t>
  </si>
  <si>
    <t>Bộ lọc nhiễu, mã hàng: EAC-06-472-D, điện áp: 250V/6A, hàng mới 100%</t>
  </si>
  <si>
    <t>Bộ lọc nhiễu, mã hàng: NBH-06-432-D, điện áp: 250V/6A, hàng mới 100%</t>
  </si>
  <si>
    <t>Bộ lọc nhiễu, mã hàng: NBH-30-432-D, điện áp: 250V/30A, hàng mới 100%</t>
  </si>
  <si>
    <t>Bộ chuyển đổi nguồn điện, mã hàng: DRL-24V240W1EN, nguồn vào: 1pha/90VAC-264VAC, nguồn ra: 24VDC, hsx: Delta, hàng mới 100%</t>
  </si>
  <si>
    <t>Bộ chuyển đổi nguồn điện, mã hàng: DRL-24V75W1AZ, nguồn vào: 1pha/85VAC-264VAC, nguồn ra: 24VDC/75W, hsx: Delta, hàng mới 100%</t>
  </si>
  <si>
    <t>Bộ điều áp khí nén, mã hàng: CR1000-M5BG(AR10), hoạt động tự động, hàng mới 100%</t>
  </si>
  <si>
    <t>84821000</t>
  </si>
  <si>
    <t>Vòng bi, mã hàng: SS6000ZZS chất liệu: thép không gỉ, đường kính: 26mm, hsx: Misumi, hàng mới 100%</t>
  </si>
  <si>
    <t>Thanh trượt dẫn hướng</t>
  </si>
  <si>
    <t>BEARING#&amp;Vòng bi, mã hàng: 6001ZZS, chất liệu: thép không gỉ, đường kính: 24 mm, hsx: Misumi, hàng mới 100%</t>
  </si>
  <si>
    <t>Vòng bi</t>
  </si>
  <si>
    <t>Vòng bi, mã hàng: S6901ZZS, chất liệu: thép không gỉ, đường kính: 24 mm, hsx: Misumi, hàng mới 100%</t>
  </si>
  <si>
    <t>85015119</t>
  </si>
  <si>
    <t>Động cơ AC servo, mã hàng: MSMF042L1T1, công suất: 400W, 200V, 3 pha, hsx: Panasonic, hàng mới 100%</t>
  </si>
  <si>
    <t>Bộ điều khiển động cơ, mã hàng: MBDLN25BE, hsx: Panasonic, hàng mới 100%</t>
  </si>
  <si>
    <t>Động cơ AC servo không có phanh, mã hàng: MSMF022L1S1, công suất: 0.2kw, 200V, 3 pha, hsx: Panasonic, hàng mới 100%</t>
  </si>
  <si>
    <t>Bộ điều khiển động cơ, mã hàng: MADLN15BE (200W), hsx: Panasonic, hàng mới 100%</t>
  </si>
  <si>
    <t>Cảm biến quang, mã hàng: PM-Y65, hsx: Panasonic hàng mới 100%</t>
  </si>
  <si>
    <t>Cảm biến quang, mã hàng: PM-F65, khoảng cách phát hiện: 6mm, điện áp: 24V, hsx: Panasonic, hàng mới 100%</t>
  </si>
  <si>
    <t>85011099</t>
  </si>
  <si>
    <t>Động cơ cảm ứng xoay chiều, mã hàng: S6I06GD, công suất: 6W, điện áp 1 pha/200VAC, hsx: SPG, hàng mới 100%</t>
  </si>
  <si>
    <t>Hộp giảm tốc , mã hàng: S6KA15B, hsx: SPG, hàng mới 100%</t>
  </si>
  <si>
    <t>85014019</t>
  </si>
  <si>
    <t>Động cơ điều khiển tốc độ, mã hàng: S7I15GD, điện áp: 1 pha/200VAC, công suất 15W, hsx: SPG, hàng mới 100%</t>
  </si>
  <si>
    <t>Hộp giảm tốc, mã hàng: S7KA15B hsx: SPG, hàng mới 100%</t>
  </si>
  <si>
    <t>Bảng mạch điều khiển chuyển động, mã hàng: MMC_BDP008PCB, hsx: RS Automation, hàng mới 100%</t>
  </si>
  <si>
    <t>Bộ tinh chỉnh cơ khí bằng nhôm, mã hàng: XFHT4060, hàng mới 100%</t>
  </si>
  <si>
    <t>Dây đai răng, mã hàng: C-HTBN200S5M-100, bằng cao su lưu hóa, hsx: Misumi, hàng mới 100%</t>
  </si>
  <si>
    <t>40169390</t>
  </si>
  <si>
    <t>Gioăng cao su O-RING(NBR), mã hàng: NGB60, chất liệu: cao su lưu hóa không xốp (không phải là cao su cứng). Hàng mới 100%</t>
  </si>
  <si>
    <t>Bộ tinh chỉnh cơ khí bằng nhôm, mã hàng: E-XPG80-CR, hàng mới 100%</t>
  </si>
  <si>
    <t>Puly răng, mã hàng: E-HTPA26S5M150-A-H23, chất liệu: hợp kim nhôm, hsx: Misumi, hàng mới 100%</t>
  </si>
  <si>
    <t>Puly răng, mã hàng: E-HTPA26S5M150-A-H28, chất liệu: hợp kim nhôm, hsx: Misumi, hàng mới 100%</t>
  </si>
  <si>
    <t>Khóa trục, mã hàng: E-MLM14, bằng thép, hsx: Misumi, hàng mới 100%</t>
  </si>
  <si>
    <t>Khóa trục, mã hàng: E-MLM10, chất liệu: thép, hsx: SUNGIL, hàng mới 100%</t>
  </si>
  <si>
    <t>Bánh răng, mã hàng: SP25B16-N-10K, chất liệu: thép, hsx: Misumi, hàng mới 100%</t>
  </si>
  <si>
    <t>73151191</t>
  </si>
  <si>
    <t>Xích con lăn, loại truyền, mã hàng: C-CHE25-240, độ dài mắt xích: 6.35mm, chất liệu: thép, hsx: Misumi, hàng mới 100%</t>
  </si>
  <si>
    <t>Gối đỡ trục vít me, mã hàng: C-TEF12, chất liệu: thép, hsx: Misumi, hàng mới 100%</t>
  </si>
  <si>
    <t>Gối đỡ trục vít me, mã hàng: C-TEK12, chất liệu: thép, hsx: Misumi, hàng mới 100%</t>
  </si>
  <si>
    <t>Khớp nối trục, mã hàng: GSACL20-5-8, đường kính ngoài: 20mm, lỗ trục: 5-8 (mm), hàng mới 100%</t>
  </si>
  <si>
    <t>Puly răng, mã hàng: E-HTPA14S5M100-A-N10, chất liệu: hợp kim nhôm, hsx: Misumi, hàng mới 100%</t>
  </si>
  <si>
    <t>PLASTIC BOX#&amp;Hộp nhựa, mã hàng: EN-AGS-1111-07, kích thước: 110*110*75 mm, hsx: HWASIN BOX, hàng mới 100%</t>
  </si>
  <si>
    <t>Xy lanh khí nén, mã hàng: MXQ16-30A_M9B, hsx: SMC, hàng mới 100%</t>
  </si>
  <si>
    <t>Chân tăng chỉnh chiều cao máy</t>
  </si>
  <si>
    <t>Công tắc cửa không tiếp điểm, mã hàng: D40A-1C2, điện áp: 24VDC, dòng điện dưới 16A, hsx: Omron, hàng mới 100%</t>
  </si>
  <si>
    <t>Cảm biến quang điện dạng nút ấn, mã hàng: BS5-P1MD, khoảng cách phát hiện vật: 5mm, điện áp: 12-24VDC, hsx: autonic, hàng mới 100%</t>
  </si>
  <si>
    <t>APTOMAT#&amp;Cầu dao điện, mã hàng: KCP-32ANM-3A, loại hộp đúc, hsx: KAKON, hàng mới 100%</t>
  </si>
  <si>
    <t>Công tắc tơ 3 pha, mã hàng: LC1D186M7, điện áp 220V, dòng diện 18A, hsx: Schneider, hàng mới 100%</t>
  </si>
  <si>
    <t>85044030</t>
  </si>
  <si>
    <t>SWITCHING POWER SUPPLY#&amp;Bộ nguồn tổ ong, mã hàng: RSP-150-24, để chuyển mạch từ xoay chiều sang một chiều,  điện áp: 24V/150W, hsx: Meanwell, hàng mới 100%</t>
  </si>
  <si>
    <t>Bộ điều khiển an toàn, mã hàng: G9SP-N20S, điện áp: 24VDC, hsx:OMRON, hàng mới 100%</t>
  </si>
  <si>
    <t>Van 3 cổng giảm áp, mã hàng: VHS30-03-D, bằng thép, đường kính cửa ra vào 3/8 (mm), hsx: SMC, hàng mới 100%</t>
  </si>
  <si>
    <t>REGULATOR#&amp;Bộ điều áp khí nén, mã hàng: AW30-03G-D, hsx: SMC, hàng mới 100%</t>
  </si>
  <si>
    <t>Bộ điều áp khí nén, mã hàng: AR20-02BG-D, hsx: SMC, hàng mới 100%</t>
  </si>
  <si>
    <t>SILENCER#&amp;Giảm âm, mã hàng: AN101-01, chất liệu: thép, hsx: SMC, hàng mới 100%</t>
  </si>
  <si>
    <t>Khớp nối nhanh chữ L, mã hàng: KQ2L10-03NS, ren ngoài, chất liệu: đồng thau, hsx: SMC, hàng mới 100%</t>
  </si>
  <si>
    <t>Khớp nối nhanh chữ L, mã hàng: KQ2L06-03NS, ren ngoài, chất liệu: đồng thau, hsx: SMC, hàng mới 100%</t>
  </si>
  <si>
    <t>BRASS FITTING#&amp;Khớp nối nhanh chữ L, mã hàng: KQ2L04-02NS, ren ngoài, chất liệu: đồng thau, hsx: SMC, hàng mới 100%</t>
  </si>
  <si>
    <t>CYLINDER#&amp;Xy lanh khí nén, mã hàng: MHF2-8D2, hsx: SMC, hàng mới 100%</t>
  </si>
  <si>
    <t>90318090</t>
  </si>
  <si>
    <t>CYLINDER SENSOR#&amp;Cảm biến hành trình xy lanh, mã hàng: D-M9B, hsx: SMC, hàng mới 100%</t>
  </si>
  <si>
    <t>Nút nhấn, mã hàng: KDX-QMD22Y, 24DVC,220VAC, hsx: KG AUTO, hàng mới 100%</t>
  </si>
  <si>
    <t>Cảm biến quang, mã hàng: EX-14A, khoảng cách cảm biến: 2-25mm, điện áp: 12-24VDC, hsx: Panasonic hàng mới 100%</t>
  </si>
  <si>
    <t>CABLE#&amp;Dây cáp diện MFMCA0050RJD 5M, có đầu nối, bọc cách điện bằng nhựa, 4 lõi, đường kính lõi 0.5mm, điện áp 300V, hàng mới 100%</t>
  </si>
  <si>
    <t>CABLE#&amp;Dây cáp diện MFECA0050TJD 5M, có đầu nối, bọc cách điện bằng nhựa, 4 lõi, đường kính lõi 0.2mm, điện áp 300V, hàng mới 100%</t>
  </si>
  <si>
    <t>Dây cáp diện, mã hàng: MFMCB0050PJT, có đầu nối, bọc cách điện bằng nhựa, 2 lõi, đường kính lõi 0.2mm, điện áp 300V, hàng mới 100%</t>
  </si>
  <si>
    <t>GEAR HEAD#&amp;Hộp giảm tốc, mã hàng: S7KA20B, hsx: SPG, hàng mới 100%</t>
  </si>
  <si>
    <t>Hộp giảm tốc, mã hàng: S7KA30B, hsx: SPG, hàng mới 100%</t>
  </si>
  <si>
    <t>GEAR HEAD#&amp;Hộp giảm tốc , mã hàng: PGX62-H-10, hsx: ATG, hàng mới 100%</t>
  </si>
  <si>
    <t>85299099</t>
  </si>
  <si>
    <t>Bộ lọc nguồn chống nhiễu cho nguồn điện và cáp điều khiển, mã hàng: 10472(10A), hsx: MURR ELELTRONIK, hàng mới 100$</t>
  </si>
  <si>
    <t>Bộ lọc nhiễu, mã hàng: KF-10, hsx: CNS SYSTEMS, hàng mới 100%</t>
  </si>
  <si>
    <t>LEVELLING  FOOT#&amp;Chân tăng chỉnh chiều cao máy, mã hàng:A-MR20-180-78, chất liệu: thép, hsx: Misumi, hàng mới 100%</t>
  </si>
  <si>
    <t>PULLY#&amp;Puly răng, mã hàng: C-AHTF24S5M100, chất liệu: hợp kim nhôm, hsx: Misumi, hàng mới 100%</t>
  </si>
  <si>
    <t>73181510</t>
  </si>
  <si>
    <t>Bu lông, mã hàng: C-BMSB10-15, chất liệu: thép, đường kính ngoài của thân không quá 16mm, hsx: MISUMI, hàng mới 100%</t>
  </si>
  <si>
    <t>Tấm giữ đai, mã hàng: C-TBCR-S5M100, chất liệu: nhôm, kích thước: 35*26 (mm),hsx: Misumi, hàng mới 100%</t>
  </si>
  <si>
    <t>POWERLOCK#&amp;Khóa trục, mã hàng: E-MCK14, bằng thép, hsx: Misumi, hàng mới 100%</t>
  </si>
  <si>
    <t>ALUMINIUM JIG#&amp;Đồ gá cảm biến, mã hàng: FSSARL080-03A, chất liệu: nhôm, hsx: Misumi, hàng mới 100%</t>
  </si>
  <si>
    <t>Puly</t>
  </si>
  <si>
    <t>SPROCKET#&amp;Bánh răng, mã hàng: C-SPA25B16-N-10K, chất liệu: thép, hsx: Misumi, hàng mới 100%</t>
  </si>
  <si>
    <t>SLIDE RAIL#&amp;Ray trượt, mã hàng: C-SSRXN36Y16</t>
  </si>
  <si>
    <t>73182100</t>
  </si>
  <si>
    <t>RETAINING RING#&amp;Vòng hãm trục, mã hàng: STWN10, chất liệu: thép, không ren, hsx: Misumi, hàng mới 100%</t>
  </si>
  <si>
    <t>73181990</t>
  </si>
  <si>
    <t>Chốt định vị (kiểu núm pittong), mã hàng: SXYK16, bằng thép, đã ren, đường kính ngoài của thân: 21.9mm, hsx: Misumi, hàng mới 100%</t>
  </si>
  <si>
    <t>Tấm giữ đai, mã hàng: TBCR-S5M150, chất liệu: nhôm, kích thước: 35*32 (mm),hsx: Misumi, hàng mới 100%</t>
  </si>
  <si>
    <t>KEYBOARD#&amp;Bàn phím cảm ứng không dây, mã hàng:K400+, dùng cho máy kiểm tra sản phẩm, hsx:  Logitech. Hàng mới 100%</t>
  </si>
  <si>
    <t>Giảm âm, mã hàng: AN101-01, chất liệu: thép, hsx: SMC, hàng mới 100%</t>
  </si>
  <si>
    <t>BRASS FITTING#&amp;Khớp nối nhanh chữ L, ren ngoài, chất liệu: đồng thau, hsx: SMC, hàng mới 100%</t>
  </si>
  <si>
    <t>Van điện từ, mã hàng: SY3220-5LZ-C4, hsx: SMC, hàng mới 100%</t>
  </si>
  <si>
    <t>Xy lanh</t>
  </si>
  <si>
    <t>CYLINDER SENSOR#&amp;Cảm biến hành trình xy lanh, mã hàng: D-M9BL, hsx: SMC, hàng mới 100%</t>
  </si>
  <si>
    <t>TIMING BELT#&amp;Dây đai răng,</t>
  </si>
  <si>
    <t>Vỏ che ngoài của quạt tản nhiệt, mã hàng: KFC-120, chất liệu: thép, hsx: WOONYOUNG, hàng mới 100%</t>
  </si>
  <si>
    <t>Cầu dao điện, mã hàng: DCP32DN 2A, loại hộp đúc, hsx: Daco, hàng mới 100%</t>
  </si>
  <si>
    <t>Cầu dao điện, mã hàng: KCP-32ANM 15A, loại hộp đúc, dòng điện 15A, hsx: KAKON, hàng mới 100%</t>
  </si>
  <si>
    <t>Cầu dao điện, mã hàng: KCP-32ANM 3A, loại hộp đúc, dòng điện 3A, hsx: KAKON, hàng mới 100%</t>
  </si>
  <si>
    <t>Cầu dao điện, mã hàng: KCP-32ANM 5A, loại hộp đúc, hsx: KAKON, hàng mới 100%</t>
  </si>
  <si>
    <t>84812090</t>
  </si>
  <si>
    <t>Van điều áp, mã hàng: ITV1050-RC1CS, dùng để điều chỉnh áp suất khí nén, điện áp: 24VDC, cổng Ren Rc 1/8, hàng mới 100%</t>
  </si>
  <si>
    <t>73181610</t>
  </si>
  <si>
    <t>Đai ốc, bằng thép, đã ren, cho bu lông có đường kính ngoài của thân dưới 16mm, hàng mới 100%</t>
  </si>
  <si>
    <t>Vòng hãm trục, mã hàng: S-06, chất liệu: thép, không ren, hsx: Misumi, hàng mới 100%</t>
  </si>
  <si>
    <t>Van tiết lưu, mã hàng: AS2201F-01-06SA, hsx: SMC, hàng mới 100%</t>
  </si>
  <si>
    <t>Xy lanh khí nén, mã hàng: MY1B25G-300LZ-M9N, hsx: SMC, hàng mới 100%</t>
  </si>
  <si>
    <t>Xy lanh khí nén, mã hàng: CDQSB12-10D-M9NV, hsx: SMC, hàng mới 100%</t>
  </si>
  <si>
    <t>Van tiết lưu, mã hàng: AS2201F-02-08SA, hsx: SMC, hàng mới 100%</t>
  </si>
  <si>
    <t>Xy lanh khí nén, mã hàng: MDBB50-75Z-M9N, hsx: SMC, hàng mới 100%</t>
  </si>
  <si>
    <t>HANDLE#&amp;Tay nắm cửa chìm, mã hàng: BY183-3_CV, chất liệu: hợp kim kẽm, kích thước: 92*43 (mm), hsx: Buyoung, hàng mới 100%</t>
  </si>
  <si>
    <t>Gía đỡ Bracket, mã hàng: Y300-D, chất liệu: thép, kích thước: 82*71.5 (mm), hsx: SMC, hàng mới 100%</t>
  </si>
  <si>
    <t>Giảm âm, mã hàng: ANA1-01, chất liệu: thép, hsx: SMC, hàng mới 100%</t>
  </si>
  <si>
    <t>Đế van, mã hàng: SS5Y5-20-07, dùng cho van điện từ, chất liệu: nhôm, hsx: SMC, hàng mới 100%</t>
  </si>
  <si>
    <t>Van điện từ, mã hàng: SY5220-5LZ-C4, hsx: SMC, hàng mới 100%</t>
  </si>
  <si>
    <t>Đế van, mã hàng: SS5Y5-20-02, dùng cho van điện từ, chất liệu: nhôm, hsx: SMC, hàng mới 100%</t>
  </si>
  <si>
    <t>Van điện từ, mã hàng: SY5000-26-20A, hsx: SMC, hàng mới 100%</t>
  </si>
  <si>
    <t>Van điện từ, mã hàng:SY5220-5LZ-C6, hsx: SMC, hàng mới 100%</t>
  </si>
  <si>
    <t>Van điện từ, mã hàng: SY5240-5LZ-02, hsx: SMC, hàng mới 100%</t>
  </si>
  <si>
    <t>Xy lanh khí nén, mã hàng: MHF2-8D2-M9N, hsx: SMC, hàng mới 100%</t>
  </si>
  <si>
    <t>Xy lanh khí nén, mã hàng: MSQB10R-M9N, hsx: SMC, hàng mới 100%</t>
  </si>
  <si>
    <t>Xy lanh khí nén, mã hàng: MXQ16-50B-M9N, hsx: SMC, hàng mới 100%</t>
  </si>
  <si>
    <t>HINGE-GC#&amp;Bản lề, mã hàng:BYH6060-30_CV, chất liệu: bằng hợp kim kẽm, hsx: BUYOUNG, hàng mới 100%</t>
  </si>
  <si>
    <t>Đầu nối, mã hàng: D-SUB_(15 PIN), loại 15 chân, dùng cho dòng điện dưới 16A, hàng mới 100%</t>
  </si>
  <si>
    <t>Xy lanh khí nén, mã hàng: MXQ16L-50B-M9N, hsx: SMC, hàng mới 100%</t>
  </si>
  <si>
    <t>Van tay phi 10 Tpc SHF10-10, chất liệu chủ yếu nhựa, đường kính trong 10mm, dùng trong truyền động khí nén, hàng mới 100%</t>
  </si>
  <si>
    <t>Khớp nối một chạm, mã hàng: SQL10-02S-X2-R, chất liệu: đồng thau, hsx: SMC, hàng mới 100%</t>
  </si>
  <si>
    <t>Khớp nối một chạm, mã hàng: SQM08-02S-6-R, chất liệu: đồng thau, hsx: SMC, hàng mới 100%</t>
  </si>
  <si>
    <t>Khớp nối một chạm, mã hàng: SQL08-02S-X2-R, chất liệu: đồng thau, hsx: SMC, hàng mới 100%</t>
  </si>
  <si>
    <t>Khớp nối một chạm, mã hàng: SQL08-01S-X2-R, chất liệu:đồng thau, hsx: SMC, hàng mới 100%</t>
  </si>
  <si>
    <t>Dây cáp điện có đầu nối, mã hàng: 2.5SQ / 3C / 3M, bọc cách điện bằng plastic, mỗi lõi đường kính không quá 5mm, điện áp không quá 1000V, hàng mới 100%</t>
  </si>
  <si>
    <t>Ổ cắm điện 4 lỗ, mã hàng: DYM-AL4(SC) 2.5M, AC 250V, 16A, hàng mới 100%</t>
  </si>
  <si>
    <t>Đế cắm rơ le, mã hàng: KMY4C-P  , điện áp: 250V/5A, hsx: KACON, hàng mới 100%</t>
  </si>
  <si>
    <t>Xích cuốn cáp điện, mã hàng: NSB022CRG.47.R35/FT-594L (DVS:2) / 27LK, chất liệu: nhựa, hsx: CPS System, hàng mới 100%</t>
  </si>
  <si>
    <t>Bộ lọc nguồn chống nhiễu cho nguồn điện và cáp điều khiển, mã hàng: 10472(10A), hsx: MURR ELELTRONIK, hàng mới 100%</t>
  </si>
  <si>
    <t>Cầu dao điện, mã hàng: EW50AAG-2P015B, loại hộp đúc, dòng điện 30A, hsx: Fuji, hàng mới 100%</t>
  </si>
  <si>
    <t>Bộ lọc nhiễu, mã hàng: EAC-16-472-D, hsx: CNS SYSTEMS, hàng mới 100%</t>
  </si>
  <si>
    <t>Bộ chuyển đổi nguồn điện, mã hàng: DRL-24V120W1EN, nguồn vào: 1pha/90VAC-264VAC, nguồn ra: 24VDC, hsx: Delta, hàng mới 100%</t>
  </si>
  <si>
    <t>Chân tăng chỉnh chiều cao máy, mã hàng: A-MR-20-180, chất liệu: thép, hsx: Misumi, hàng mới 100%</t>
  </si>
  <si>
    <t>84828000</t>
  </si>
  <si>
    <t>Bạc trượt, mã hàng: E-LBHM12LUU, đường kính trong: 12mm, hsx: MISUMI, hàng mới 100%</t>
  </si>
  <si>
    <t>84831090</t>
  </si>
  <si>
    <t>SHAFT-GC#&amp;Trục truyền chuyển động (trục dẫn hướng một đầu có ren, bằng thép, mã hàng: SSFAD12-217-F35-B35-P12-N5, hàng mới 100%</t>
  </si>
  <si>
    <t>Đồ gá cảm biến, mã hàng: FSSARL080-03A, chất liệu: nhôm, hsx: Misumi, hàng mới 100%</t>
  </si>
  <si>
    <t>Bu lông, mã hàng: MSSFS4-8, chất liệu: thép, đường kính ngoài của thân không quá 16mm, hsx: MISUMI, hàng mới 100%</t>
  </si>
  <si>
    <t>Đầu bịt , mã hàng: MSWTMK2, chất liệu: thép, hsx: SMC, hàng mới 100%</t>
  </si>
  <si>
    <t>Vòng hãm trục, mã hàng: STWS12, chất liệu: thép, không ren, hsx: Misumi, hàng mới 100%</t>
  </si>
  <si>
    <t>Cảm biến quang, mã hàng: BS5-T1M, hsx: AUTONICS, khoảng cách phát hiện vật: 5mm, điện áp: 12-24VDC, hàng mới 100%</t>
  </si>
  <si>
    <t>Thanh cái tiếp địa đồng mạ thiếc, mã hàng: WSIG7-M415, kt:106*25*5(mm), hàng mới 100%</t>
  </si>
  <si>
    <t>85369019</t>
  </si>
  <si>
    <t>Đầu nối dây điện 2 dây dạng thẳng 4.0mm2 32A, mã hàng: CONNECTOR BOX 221-2411, hsx: WAGO, hàng mới 100%</t>
  </si>
  <si>
    <t>Cầu dao từ nhiệt bảo vệ motor, mã hàng: GV2P07, loại hộp đúc, dòng điện: 1.6-2.5A, hsx: Schneider, hàng mới 100%</t>
  </si>
  <si>
    <t>Thanh cái tiếp địa đồng mạ thiếc, mã hàng: WSIG7-M405, kt:90*15*5(mm), hàng mới 100%</t>
  </si>
  <si>
    <t>90121000</t>
  </si>
  <si>
    <t>DIGITAL MICROSCOPE#&amp;Kính hiển vi kĩ thuật số cầm tay, mã hàng: AM4113ZT, độ phân giải: 1280x1024 pixel, hiệu: Dino-Lite, hàng mới 100%</t>
  </si>
  <si>
    <t>HANDLE#&amp;Tay nắm cửa chìm, mã hàng: BY183-3-BK, chất liệu: hợp kim kẽm, kích thước: 92*43 (mm), hsx: Buyoung, hàng mới 100%</t>
  </si>
  <si>
    <t>Bản lề, mã hàng: BYH-4040 BK, chất liệu: bằng thép, hsx: BUYOUNG, hàng mới 100%</t>
  </si>
  <si>
    <t>Bản lề, mã hàng: BYH6060-30 BK, chất liệu: bằng thép, hsx: BUYOUNG, hàng mới 100%</t>
  </si>
  <si>
    <t>HANDLE#&amp;Tay nắm cửa chìm, mã hàng: HR-2-10BK, chất liệu: hợp kim kẽm, kích thước: 92*43 (mm), hsx: Buyoung, hàng mới 100%</t>
  </si>
  <si>
    <t>Cầu dao điện, mã hàng: EW32AAG 2P 15A / 100mA, loại hộp đúc, dòng định mức 15A, hsx: FUJI, hàng mới 100%</t>
  </si>
  <si>
    <t>Cáp truyền tín hiệu, mã hàng: NX342 5M, đã gắn đầu nối, bọc cách điện bằng plastic, điện áp dưới 1000V, không dùng cho viễn thông, hàng mới 100%</t>
  </si>
  <si>
    <t>Dây cáp điện có đầu nối, mã hàng: 2.5SQx3C / 3M, bọc cách điện bằng plastic, mỗi lõi đường kính không quá 5mm, điện áp không quá 1000V, hàng mới 100%</t>
  </si>
  <si>
    <t>Nút nhấn, mã hàng: KDX-QMD21W, 250VAC/3A, hsx: KG AUTO, hàng mới 100%</t>
  </si>
  <si>
    <t>Đế cắm rơ le, mã hàng: KMY4C , điện áp: 250V, hsx: KACON, hàng mới 100%</t>
  </si>
  <si>
    <t>Cáp truyền tín hiệu, mã hàng: NMC-UB250 5M, đã gắn đầu nối, bọc cách điện bằng plastic, điện áp dưới 1000V, không dùng cho viễn thông, hàng mới 100%</t>
  </si>
  <si>
    <t>Bộ lọc khí nén và điều chỉnh áp suất, mã hàng: AC30A-03G-V-D, hsx: SMC, hàng mới 100%</t>
  </si>
  <si>
    <t>Giảm âm, mã hàng: AN20-02, chất liệu chủ yếu: nhựa, hsx: SMC, hàng mới 100%</t>
  </si>
  <si>
    <t>Khớp nối nhựa, mã hàng: KQ2H04-06A, hsx: SMC, hàng mới 100%</t>
  </si>
  <si>
    <t>Khớp nối nhựa, mã hàng: KQ2H06-08A, hsx: SMC, hàng mới 100%</t>
  </si>
  <si>
    <t>Khớp nối nhanh chữ L, mã hàng: KQ2L04-M5N, ren ngoài, chất liệu: đồng thau, hsx: SMC, hàng mới 100%</t>
  </si>
  <si>
    <t>Khớp nối nhanh chữ L, mã hàng: KQ2L06-02NS, ren ngoài, chất liệu: đồng thau, hsx: SMC, hàng mới 100%</t>
  </si>
  <si>
    <t>Khớp nối, mã hàng: KQ2L06-08A, chất liệu chủ yếu: nhựa, hsx: SMC, hàng mới 100%</t>
  </si>
  <si>
    <t>Khớp nối nhanh chữ L, mã hàng: KQ2L08-02NS, ren ngoài, chất liệu: đồng thau, hsx: SMC, hàng mới 100%</t>
  </si>
  <si>
    <t>Khớp nối nhanh chữ L, mã hàng: KQ2L08-03NS, ren ngoài, chất liệu: đồng thau, hsx: SMC, hàng mới 100%</t>
  </si>
  <si>
    <t>Khớp nối chữ Y, mã hàng: KQ2U06-00A, chất liệu: nhựa, hsx: SMC, hàng mới 100%</t>
  </si>
  <si>
    <t>Khớp nối nhựa, mã hàng: KQ2U08-00A, hsx: SMC, hàng mới 100%</t>
  </si>
  <si>
    <t>Khớp nối kép chữ Y, mã hàng: KQ2UD04-06A, chất liệu: nhựa, hsx: SMC, hàng mới 100%</t>
  </si>
  <si>
    <t>Khớp nối nhựa, mã hàng: KQ2UD06-08A, hsx: SMC, hàng mới 100%</t>
  </si>
  <si>
    <t>73072910</t>
  </si>
  <si>
    <t>Đầu nối, mã hàng: KQ2ZT06-03NS, bằng thép, hsx: SMC, hàng mới 100%</t>
  </si>
  <si>
    <t>Đế van, mã hàng: SS5Y3-20-06, dùng cho van điện từ, chất liệu: nhôm, kích thước: 82*49*20 (mm),hsx: SMC, hàng mới 100%</t>
  </si>
  <si>
    <t>Bịt đế van, mã hàng: SY3000-26-9A, bằng thép, hsx: SMC, hàng mới 100%</t>
  </si>
  <si>
    <t>Van điện từ, mã hàng: SY3320-5LZ-C4, hsx: SMC, hàng mới 100%</t>
  </si>
  <si>
    <t>Van điện từ, mã hàng: VQ21A1-5G-C6, hàng mới 100%</t>
  </si>
  <si>
    <t>Xy lanh khí nén, mã hàng: MHF2-8D1-M9N, hsx: SMC, hàng mới 100%</t>
  </si>
  <si>
    <t>Van tiết lưu, mã hàng: AS2201F-01-04SA, hsx: SMC, hàng mới 100%</t>
  </si>
  <si>
    <t>VACUUM PAD#&amp;Đầu hút chân không, mã hàng: ZP3-T10BNJ10-B5, bằng thép. Hàng mới 100%</t>
  </si>
  <si>
    <t>Xy lanh khí nén, mã hàng: CQ2B12-10D, hsx: SMC, hàng mới 100%</t>
  </si>
  <si>
    <t>Xy lanh khí nén, mã hàng: MY1M16-300L-M9N, hsx: SMC, hàng mới 100%</t>
  </si>
  <si>
    <t>Hộp giảm tốc , mã hàng: SB060-010-S2-P2 (MSMF022L1T1), hsx: Panasonic, hàng mới 100%</t>
  </si>
  <si>
    <t>GEAR HEAD#&amp;Hộp giảm tốc , mã hàng: SB060-010-S2-P2 (MSMF022L1S1), hsx: Panasonic, hàng mới 100%</t>
  </si>
  <si>
    <t>Cảm biến quang, mã hàng: EX-19EB, khoảng cách phát hiện: 1mm, điện áp: 12-24VDC, hsx: Panasonic, hàng mới 100%</t>
  </si>
  <si>
    <t>Dây cáp diện MFECA0080MJD, có đầu nối, bọc cách điện bằng nhựa, 4 lõi, đường kính lõi 0.2mm, điện áp 300V, hàng mới 100%</t>
  </si>
  <si>
    <t>Dây cáp diện MFMCA0080NJD, có đầu nối, bọc cách điện bằng nhựa, 4 lõi, đường kính lõi 0.5mm, điện áp 300V, hàng mới 100%</t>
  </si>
  <si>
    <t>Dây cáp diện MFMCB0080PJT, có đầu nối, bọc cách điện bằng nhựa, 4 lõi, đường kính lõi 0.2mm, điện áp 300V, hàng mới 100%</t>
  </si>
  <si>
    <t>máng nhựa luồn dây điện</t>
  </si>
  <si>
    <t>Máng nhựa luồn dây điện, mã hàng: CPS020.40.R28/B1T-260L / 13LK, chất liệu: nhựa, hsx: Controlwell, hàng mới 100%</t>
  </si>
  <si>
    <t>Máng nhựa luồn dây điện, mã hàng: CPS033.47.R35/ET-528L / 16LK, chất liệu: nhựa, hsx: Controlwell, hàng mới 100%</t>
  </si>
  <si>
    <t>Máng nhựa luồn dây điện, mã hàng: CPS033.67.R35/ET-594L / 18LK, chất liệu: nhựa, hsx: Controlwell, hàng mới 100%</t>
  </si>
  <si>
    <t>Máng nhựa luồn dây điện, mã hàng: CPS015.15.R18/B1T-420L / 28LK, chất liệu: nhựa, hsx: Controlwell, hàng mới 100%</t>
  </si>
  <si>
    <t>Máng nhựa luồn dây điện, mã hàng: CPS020.20.R28/B1T-600L / 30LK, chất liệu: nhựa, hsx: Controlwell, hàng mới 100%</t>
  </si>
  <si>
    <t>Thanh trượt dẫn hướng, mã hàng: M15CUU2-185L-B2 G12.5/12.5 R/D, chất liệu: thép, hsx: CPC, hàng mới 100%</t>
  </si>
  <si>
    <t>Động cơ AC servo có phanh, mã hàng: MSMF022L1T1, công suất: 0.1kw, 200V, 3 pha, hsx: Panasonic, hàng mới 100%</t>
  </si>
  <si>
    <t>Động cơ điều khiển tốc độ, mã hàng: S9I40GDH, điện áp: 1 pha/200VAC, công suất 40W, hsx: SPG, hàng mới 100%</t>
  </si>
  <si>
    <t>Hộp giảm tốc , mã hàng: S9KB25BH, hsx: ATG, hàng mới 100%</t>
  </si>
  <si>
    <t>Dây cáp điện có đầu nối, mã hàng: NMC-X4-TB, bọc cách điện bằng plastic, mỗi lõi đường kính không quá 5mm, điện áp không quá 1000V, hàng mới 100%</t>
  </si>
  <si>
    <t>Tấm giữ đai, mã hàng: C-TBCR-S5M150, chất liệu: nhôm, kích thước: 35*15 (mm),hsx: Misumi, hàng mới 100%</t>
  </si>
  <si>
    <t>Gối đỡ trục vít me, mã hàng: C-TBF15, chất liệu: thép, hsx: Misumi, hàng mới 100%</t>
  </si>
  <si>
    <t>Gối đỡ trục vít me, mã hàng: C-TBK15, chất liệu: thép, hsx: Misumi, hàng mới 100%</t>
  </si>
  <si>
    <t>Bánh răng, mã hàng: SP25B16-N-12, chất liệu: thép, hsx: Misumi, hàng mới 100%</t>
  </si>
  <si>
    <t>1,100*1,100*1,680(H)</t>
    <phoneticPr fontId="2" type="noConversion"/>
  </si>
  <si>
    <t>1,450*1,100*1,350(H)</t>
    <phoneticPr fontId="2" type="noConversion"/>
  </si>
  <si>
    <t>D40A-1C2</t>
    <phoneticPr fontId="2" type="noConversion"/>
  </si>
  <si>
    <r>
      <t xml:space="preserve"> Fold </t>
    </r>
    <r>
      <rPr>
        <sz val="8"/>
        <color rgb="FF0070C0"/>
        <rFont val="돋움"/>
        <family val="3"/>
        <charset val="129"/>
      </rPr>
      <t>부착기</t>
    </r>
    <r>
      <rPr>
        <sz val="8"/>
        <color rgb="FF0070C0"/>
        <rFont val="Arial"/>
        <family val="2"/>
      </rPr>
      <t>(CTC) 2</t>
    </r>
    <r>
      <rPr>
        <sz val="8"/>
        <color rgb="FF0070C0"/>
        <rFont val="돋움"/>
        <family val="3"/>
        <charset val="129"/>
      </rPr>
      <t>대</t>
    </r>
    <phoneticPr fontId="2" type="noConversion"/>
  </si>
  <si>
    <r>
      <t>Wingplate Press Loader 5</t>
    </r>
    <r>
      <rPr>
        <sz val="8"/>
        <color rgb="FF0070C0"/>
        <rFont val="돋움"/>
        <family val="3"/>
        <charset val="129"/>
      </rPr>
      <t>인치</t>
    </r>
    <r>
      <rPr>
        <sz val="8"/>
        <color rgb="FF0070C0"/>
        <rFont val="Arial"/>
        <family val="2"/>
      </rPr>
      <t xml:space="preserve"> 1</t>
    </r>
    <r>
      <rPr>
        <sz val="8"/>
        <color rgb="FF0070C0"/>
        <rFont val="돋움"/>
        <family val="3"/>
        <charset val="129"/>
      </rPr>
      <t>대</t>
    </r>
    <phoneticPr fontId="2" type="noConversion"/>
  </si>
  <si>
    <r>
      <t>Wingplate Press Loader 10</t>
    </r>
    <r>
      <rPr>
        <sz val="8"/>
        <color rgb="FF0070C0"/>
        <rFont val="돋움"/>
        <family val="3"/>
        <charset val="129"/>
      </rPr>
      <t>인치</t>
    </r>
    <r>
      <rPr>
        <sz val="8"/>
        <color rgb="FF0070C0"/>
        <rFont val="Arial"/>
        <family val="2"/>
      </rPr>
      <t xml:space="preserve"> 1</t>
    </r>
    <r>
      <rPr>
        <sz val="8"/>
        <color rgb="FF0070C0"/>
        <rFont val="돋움"/>
        <family val="3"/>
        <charset val="129"/>
      </rPr>
      <t>대</t>
    </r>
    <phoneticPr fontId="2" type="noConversion"/>
  </si>
  <si>
    <r>
      <t xml:space="preserve">Fold </t>
    </r>
    <r>
      <rPr>
        <sz val="8"/>
        <color rgb="FF0070C0"/>
        <rFont val="돋움"/>
        <family val="3"/>
        <charset val="129"/>
      </rPr>
      <t>부착기</t>
    </r>
    <r>
      <rPr>
        <sz val="8"/>
        <color rgb="FF0070C0"/>
        <rFont val="Arial"/>
        <family val="2"/>
      </rPr>
      <t>(CFRP) 1</t>
    </r>
    <r>
      <rPr>
        <sz val="8"/>
        <color rgb="FF0070C0"/>
        <rFont val="돋움"/>
        <family val="3"/>
        <charset val="129"/>
      </rPr>
      <t>대</t>
    </r>
  </si>
  <si>
    <r>
      <t xml:space="preserve">Fold </t>
    </r>
    <r>
      <rPr>
        <sz val="8"/>
        <color rgb="FF0070C0"/>
        <rFont val="돋움"/>
        <family val="3"/>
        <charset val="129"/>
      </rPr>
      <t>부착기</t>
    </r>
    <r>
      <rPr>
        <sz val="8"/>
        <color rgb="FF0070C0"/>
        <rFont val="Arial"/>
        <family val="2"/>
      </rPr>
      <t>(CFRP) 1</t>
    </r>
    <r>
      <rPr>
        <sz val="8"/>
        <color rgb="FF0070C0"/>
        <rFont val="돋움"/>
        <family val="3"/>
        <charset val="129"/>
      </rPr>
      <t>대</t>
    </r>
    <phoneticPr fontId="2" type="noConversion"/>
  </si>
  <si>
    <r>
      <t xml:space="preserve">Display </t>
    </r>
    <r>
      <rPr>
        <sz val="8"/>
        <color rgb="FF0070C0"/>
        <rFont val="돋움"/>
        <family val="3"/>
        <charset val="129"/>
      </rPr>
      <t>압착기</t>
    </r>
    <r>
      <rPr>
        <sz val="8"/>
        <color rgb="FF0070C0"/>
        <rFont val="Arial"/>
        <family val="2"/>
      </rPr>
      <t>(Tape) 1</t>
    </r>
    <r>
      <rPr>
        <sz val="8"/>
        <color rgb="FF0070C0"/>
        <rFont val="돋움"/>
        <family val="3"/>
        <charset val="129"/>
      </rPr>
      <t>대</t>
    </r>
    <phoneticPr fontId="2" type="noConversion"/>
  </si>
  <si>
    <r>
      <t xml:space="preserve">UB </t>
    </r>
    <r>
      <rPr>
        <sz val="8"/>
        <color rgb="FF0070C0"/>
        <rFont val="돋움"/>
        <family val="3"/>
        <charset val="129"/>
      </rPr>
      <t>투입기</t>
    </r>
    <r>
      <rPr>
        <sz val="8"/>
        <color rgb="FF0070C0"/>
        <rFont val="Arial"/>
        <family val="2"/>
      </rPr>
      <t xml:space="preserve"> 2</t>
    </r>
    <r>
      <rPr>
        <sz val="8"/>
        <color rgb="FF0070C0"/>
        <rFont val="돋움"/>
        <family val="3"/>
        <charset val="129"/>
      </rPr>
      <t>대</t>
    </r>
  </si>
  <si>
    <r>
      <t xml:space="preserve">UB </t>
    </r>
    <r>
      <rPr>
        <sz val="8"/>
        <color rgb="FF0070C0"/>
        <rFont val="돋움"/>
        <family val="3"/>
        <charset val="129"/>
      </rPr>
      <t>투입기</t>
    </r>
    <r>
      <rPr>
        <sz val="8"/>
        <color rgb="FF0070C0"/>
        <rFont val="Arial"/>
        <family val="2"/>
      </rPr>
      <t xml:space="preserve"> 2</t>
    </r>
    <r>
      <rPr>
        <sz val="8"/>
        <color rgb="FF0070C0"/>
        <rFont val="돋움"/>
        <family val="3"/>
        <charset val="129"/>
      </rPr>
      <t>대</t>
    </r>
    <phoneticPr fontId="2" type="noConversion"/>
  </si>
  <si>
    <r>
      <rPr>
        <sz val="14"/>
        <rFont val="맑은 고딕"/>
        <family val="2"/>
        <charset val="129"/>
      </rPr>
      <t xml:space="preserve">베트남 세관 </t>
    </r>
    <r>
      <rPr>
        <sz val="14"/>
        <rFont val="Arial"/>
        <family val="2"/>
      </rPr>
      <t>HS CODE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</si>
</sst>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&quot;US$&quot;#,##0.00_);\(&quot;US$&quot;#,##0.00\)"/>
    <numFmt numFmtId="179" formatCode="&quot;US$&quot;#,###.00"/>
    <numFmt numFmtId="180" formatCode="&quot;@U$&quot;##.00"/>
    <numFmt numFmtId="181" formatCode="#\ #\ #"/>
    <numFmt numFmtId="182" formatCode="&quot;US$&quot;#,##0.00_);[Red]\(&quot;US$&quot;#,##0.00\)"/>
    <numFmt numFmtId="183" formatCode="###,###\ &quot;PCS&quot;"/>
    <numFmt numFmtId="184" formatCode="\$#,##0.000_);[Red]\(\$#,##0.000\)"/>
    <numFmt numFmtId="185" formatCode="\$#,##0.00"/>
    <numFmt numFmtId="186" formatCode="dd&quot;-&quot;mmm&quot;-&quot;yy"/>
    <numFmt numFmtId="187" formatCode="mm&quot;월&quot;\ dd&quot;일&quot;"/>
    <numFmt numFmtId="188" formatCode="###,###.00\ &quot;kg&quot;"/>
    <numFmt numFmtId="189" formatCode="[$-409]d&quot;-&quot;mmm&quot;-&quot;yy;@"/>
    <numFmt numFmtId="190" formatCode="_ * #,##0_ ;_ * \-#,##0_ ;_ * &quot;-&quot;_ ;_ @_ "/>
    <numFmt numFmtId="191" formatCode="_-[$€-2]* #,##0.00_-;\-[$€-2]* #,##0.00_-;_-[$€-2]* &quot;-&quot;??_-"/>
    <numFmt numFmtId="192" formatCode="_-[$$-409]* #,##0_ ;_-[$$-409]* \-#,##0\ ;_-[$$-409]* &quot;-&quot;??_ ;_-@_ "/>
    <numFmt numFmtId="193" formatCode="\(\-\-0.0\)"/>
    <numFmt numFmtId="194" formatCode="#,##0.0_);\(#,##0.0\)"/>
    <numFmt numFmtId="195" formatCode="_(* #,##0.0000_);_(* \(#,##0.0000\);_(* &quot;-&quot;??_);_(@_)"/>
    <numFmt numFmtId="196" formatCode="0.0%;[Red]\(0.0%\)"/>
    <numFmt numFmtId="197" formatCode="\(0.0\)"/>
    <numFmt numFmtId="198" formatCode="0.0%;\(0.0%\)"/>
    <numFmt numFmtId="199" formatCode="_(* #,##0_);_(* \(#,##0\);_(* &quot;-&quot;??_);_(@_)"/>
    <numFmt numFmtId="200" formatCode="_-* #,##0\ _D_M_-;\-* #,##0\ _D_M_-;_-* &quot;-&quot;\ _D_M_-;_-@_-"/>
    <numFmt numFmtId="201" formatCode="_-* #,##0.00\ _D_M_-;\-* #,##0.00\ _D_M_-;_-* &quot;-&quot;??\ _D_M_-;_-@_-"/>
    <numFmt numFmtId="202" formatCode="#,##0.00;&quot;-&quot;#,##0.00"/>
    <numFmt numFmtId="203" formatCode="&quot;US$&quot;#,##0_);[Red]\(&quot;US$&quot;#,##0\)"/>
    <numFmt numFmtId="204" formatCode="mmm\-yyyy"/>
    <numFmt numFmtId="205" formatCode="#,##0.0;\-#,##0.0"/>
    <numFmt numFmtId="206" formatCode="yyyy&quot;년&quot;\ m&quot;월&quot;"/>
    <numFmt numFmtId="207" formatCode="#,##0.0;[Red]\-#,##0.0"/>
    <numFmt numFmtId="208" formatCode="yyyy\-mm\-dd\ hh:mm:ss\.ss"/>
    <numFmt numFmtId="209" formatCode="&quot;$&quot;#,##0;[Red]\-&quot;$&quot;#,##0"/>
    <numFmt numFmtId="210" formatCode="_-&quot;J$&quot;* #,##0_-;\-&quot;J$&quot;* #,##0_-;_-&quot;J$&quot;* &quot;-&quot;_-;_-@_-"/>
    <numFmt numFmtId="211" formatCode="&quot;₩&quot;#,##0.00;&quot;₩&quot;&quot;₩&quot;&quot;₩&quot;&quot;₩&quot;&quot;₩&quot;&quot;₩&quot;&quot;₩&quot;&quot;₩&quot;&quot;₩&quot;&quot;₩&quot;&quot;₩&quot;\-#,##0.00"/>
    <numFmt numFmtId="212" formatCode="d\ &quot;´&quot;&quot;´&quot;&quot;´&quot;\ \b\b"/>
    <numFmt numFmtId="213" formatCode="&quot;Ç&quot;\ &quot;´&quot;&quot;´&quot;&quot;´&quot;&quot;´&quot;\ &quot;¤.È.&quot;\ &quot;¤&quot;&quot;¤&quot;&quot;¤&quot;&quot;¤&quot;"/>
    <numFmt numFmtId="214" formatCode="yyyy&quot;/&quot;m&quot;/&quot;d"/>
    <numFmt numFmtId="215" formatCode="#,##0\ &quot;F&quot;;[Red]\-#,##0\ &quot;F&quot;"/>
    <numFmt numFmtId="216" formatCode="\(\-0.0\)"/>
    <numFmt numFmtId="217" formatCode="_ &quot;₩&quot;* #,##0.00_ ;_ &quot;₩&quot;* \-#,##0.00_ ;_ &quot;₩&quot;* &quot;-&quot;??_ ;_ @_ "/>
    <numFmt numFmtId="218" formatCode="00000000"/>
    <numFmt numFmtId="219" formatCode="&quot;₩&quot;#,##0.00;[Red]&quot;₩&quot;\-#,##0.00"/>
    <numFmt numFmtId="220" formatCode="&quot;₩&quot;#,##0;[Red]&quot;₩&quot;\-#,##0"/>
    <numFmt numFmtId="221" formatCode="_-* #\!\,##0\!.00&quot;₩&quot;\!\ _F_-;&quot;₩&quot;\!\-* #\!\,##0\!.00&quot;₩&quot;\!\ _F_-;_-* &quot;-&quot;??&quot;₩&quot;\!\ _F_-;_-@_-"/>
    <numFmt numFmtId="222" formatCode="_-* #\!\,##0&quot;₩&quot;\!\ _F_-;&quot;₩&quot;\!\-* #\!\,##0&quot;₩&quot;\!\ _F_-;_-* &quot;-&quot;&quot;₩&quot;\!\ _F_-;_-@_-"/>
    <numFmt numFmtId="223" formatCode="d\!/m\!/yy"/>
    <numFmt numFmtId="224" formatCode="_-* #\!\,##0\!.00&quot;₩&quot;\!\ &quot;F&quot;_-;&quot;₩&quot;\!\-* #\!\,##0\!.00&quot;₩&quot;\!\ &quot;F&quot;_-;_-* &quot;-&quot;??&quot;₩&quot;\!\ &quot;F&quot;_-;_-@_-"/>
    <numFmt numFmtId="225" formatCode="###,###\ &quot;EA&quot;"/>
    <numFmt numFmtId="226" formatCode="General&quot;EA&quot;"/>
    <numFmt numFmtId="227" formatCode="###,###.0000\ &quot;kg&quot;"/>
    <numFmt numFmtId="228" formatCode="###,###\ &quot;P/T&quot;"/>
  </numFmts>
  <fonts count="12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뼻뮝"/>
      <family val="1"/>
    </font>
    <font>
      <sz val="12"/>
      <name val="바탕체"/>
      <family val="1"/>
      <charset val="129"/>
    </font>
    <font>
      <b/>
      <sz val="14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1"/>
      <color indexed="8"/>
      <name val="Arial"/>
      <family val="2"/>
    </font>
    <font>
      <sz val="10"/>
      <color indexed="8"/>
      <name val="Times New Roman"/>
      <family val="1"/>
    </font>
    <font>
      <b/>
      <sz val="22"/>
      <name val="Arial"/>
      <family val="2"/>
    </font>
    <font>
      <b/>
      <sz val="13"/>
      <name val="Arial"/>
      <family val="2"/>
    </font>
    <font>
      <sz val="12"/>
      <name val="宋体"/>
      <family val="3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20"/>
      <name val="宋体"/>
      <charset val="129"/>
    </font>
    <font>
      <sz val="10"/>
      <name val="Helv"/>
      <family val="2"/>
    </font>
    <font>
      <i/>
      <sz val="11"/>
      <color indexed="23"/>
      <name val="宋体"/>
      <charset val="129"/>
    </font>
    <font>
      <b/>
      <sz val="11"/>
      <color indexed="8"/>
      <name val="宋体"/>
      <charset val="129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sz val="11"/>
      <color indexed="17"/>
      <name val="宋体"/>
      <charset val="129"/>
    </font>
    <font>
      <sz val="10"/>
      <name val="돋움"/>
      <family val="3"/>
      <charset val="129"/>
    </font>
    <font>
      <sz val="10"/>
      <name val="MS Sans Serif"/>
      <family val="2"/>
    </font>
    <font>
      <sz val="11"/>
      <name val="¾©"/>
      <family val="1"/>
      <charset val="129"/>
    </font>
    <font>
      <b/>
      <sz val="10"/>
      <name val="MS Sans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순명조체"/>
      <family val="1"/>
      <charset val="129"/>
    </font>
    <font>
      <sz val="10"/>
      <color indexed="16"/>
      <name val="MS Serif"/>
      <family val="1"/>
    </font>
    <font>
      <b/>
      <sz val="12"/>
      <name val="Helv"/>
      <family val="2"/>
    </font>
    <font>
      <sz val="10"/>
      <name val="Geneva"/>
      <family val="2"/>
    </font>
    <font>
      <sz val="12"/>
      <name val="Helv"/>
      <family val="2"/>
    </font>
    <font>
      <sz val="11"/>
      <name val="–¾’©"/>
      <family val="3"/>
      <charset val="128"/>
    </font>
    <font>
      <sz val="12"/>
      <color indexed="9"/>
      <name val="Helv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1"/>
      <name val="굴림체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"/>
      <color indexed="8"/>
      <name val="Courier"/>
      <family val="3"/>
    </font>
    <font>
      <u/>
      <sz val="10"/>
      <color indexed="14"/>
      <name val="돋움체"/>
      <family val="3"/>
      <charset val="129"/>
    </font>
    <font>
      <sz val="14"/>
      <name val="뼻뮝"/>
      <family val="1"/>
    </font>
    <font>
      <sz val="12"/>
      <name val="┭병릇"/>
      <family val="1"/>
      <charset val="129"/>
    </font>
    <font>
      <sz val="12"/>
      <name val="돋움체"/>
      <family val="3"/>
      <charset val="129"/>
    </font>
    <font>
      <sz val="11"/>
      <name val="・団"/>
      <family val="1"/>
    </font>
    <font>
      <sz val="11"/>
      <name val="ＭＳ Ｐゴシック"/>
      <family val="2"/>
      <charset val="129"/>
    </font>
    <font>
      <sz val="11"/>
      <name val="ＭＳ ゴシック"/>
      <family val="3"/>
      <charset val="129"/>
    </font>
    <font>
      <sz val="12"/>
      <name val="옢?릇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宋体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rgb="FFFF0000"/>
      <name val="굴림"/>
      <family val="3"/>
      <charset val="129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굴림"/>
      <family val="3"/>
      <charset val="129"/>
    </font>
    <font>
      <sz val="11"/>
      <color theme="1"/>
      <name val="Arial"/>
      <family val="2"/>
    </font>
    <font>
      <sz val="9"/>
      <name val="Times New Roman"/>
      <family val="1"/>
    </font>
    <font>
      <b/>
      <sz val="24"/>
      <color rgb="FFFFC000"/>
      <name val="Arial"/>
      <family val="2"/>
    </font>
    <font>
      <b/>
      <sz val="12"/>
      <color rgb="FFFFC000"/>
      <name val="Arial"/>
      <family val="2"/>
    </font>
    <font>
      <sz val="12"/>
      <color rgb="FFFFC000"/>
      <name val="Arial"/>
      <family val="2"/>
    </font>
    <font>
      <sz val="8"/>
      <color rgb="FFFFC000"/>
      <name val="Arial"/>
      <family val="2"/>
    </font>
    <font>
      <b/>
      <sz val="14"/>
      <color rgb="FFFFC000"/>
      <name val="Arial"/>
      <family val="2"/>
    </font>
    <font>
      <sz val="11"/>
      <color rgb="FFFFC000"/>
      <name val="돋움"/>
      <family val="3"/>
      <charset val="129"/>
    </font>
    <font>
      <b/>
      <sz val="10"/>
      <color rgb="FFFFC000"/>
      <name val="Arial"/>
      <family val="2"/>
    </font>
    <font>
      <sz val="11"/>
      <color rgb="FFFFC000"/>
      <name val="Arial"/>
      <family val="2"/>
    </font>
    <font>
      <b/>
      <sz val="8"/>
      <color theme="3" tint="-0.249977111117893"/>
      <name val="Arial"/>
      <family val="2"/>
    </font>
    <font>
      <sz val="9"/>
      <color rgb="FFFF0000"/>
      <name val="Arial"/>
      <family val="2"/>
    </font>
    <font>
      <sz val="8"/>
      <color rgb="FF0070C0"/>
      <name val="Arial"/>
      <family val="2"/>
    </font>
    <font>
      <sz val="11"/>
      <color indexed="8"/>
      <name val="Calibri"/>
      <family val="2"/>
    </font>
    <font>
      <b/>
      <sz val="8"/>
      <color rgb="FFFF0000"/>
      <name val="Arial"/>
      <family val="2"/>
    </font>
    <font>
      <sz val="8"/>
      <color rgb="FF0070C0"/>
      <name val="돋움"/>
      <family val="3"/>
      <charset val="129"/>
    </font>
    <font>
      <sz val="14"/>
      <name val="Arial"/>
      <family val="2"/>
      <charset val="129"/>
    </font>
    <font>
      <sz val="14"/>
      <name val="맑은 고딕"/>
      <family val="2"/>
      <charset val="129"/>
    </font>
    <font>
      <sz val="14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/>
      <top style="thin">
        <color indexed="0"/>
      </top>
      <bottom style="double">
        <color indexed="64"/>
      </bottom>
      <diagonal/>
    </border>
    <border>
      <left/>
      <right style="thin">
        <color indexed="64"/>
      </right>
      <top style="thin">
        <color indexed="0"/>
      </top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5808">
    <xf numFmtId="0" fontId="0" fillId="0" borderId="0"/>
    <xf numFmtId="0" fontId="8" fillId="0" borderId="0"/>
    <xf numFmtId="0" fontId="8" fillId="0" borderId="0" applyNumberFormat="0" applyFill="0" applyBorder="0" applyAlignment="0" applyProtection="0"/>
    <xf numFmtId="0" fontId="29" fillId="0" borderId="0"/>
    <xf numFmtId="0" fontId="29" fillId="0" borderId="0"/>
    <xf numFmtId="0" fontId="8" fillId="0" borderId="0"/>
    <xf numFmtId="40" fontId="51" fillId="0" borderId="0" applyFont="0" applyFill="0" applyBorder="0" applyAlignment="0" applyProtection="0"/>
    <xf numFmtId="0" fontId="42" fillId="0" borderId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8" fillId="0" borderId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52" fillId="0" borderId="0"/>
    <xf numFmtId="0" fontId="1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1" fillId="0" borderId="0"/>
    <xf numFmtId="0" fontId="55" fillId="0" borderId="0">
      <alignment horizontal="center" wrapText="1"/>
      <protection locked="0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193" fontId="1" fillId="0" borderId="0" applyFill="0" applyBorder="0" applyAlignment="0"/>
    <xf numFmtId="194" fontId="42" fillId="0" borderId="0" applyFill="0" applyBorder="0" applyAlignment="0"/>
    <xf numFmtId="195" fontId="42" fillId="0" borderId="0" applyFill="0" applyBorder="0" applyAlignment="0"/>
    <xf numFmtId="196" fontId="42" fillId="0" borderId="0" applyFill="0" applyBorder="0" applyAlignment="0"/>
    <xf numFmtId="197" fontId="1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0" fontId="56" fillId="0" borderId="0"/>
    <xf numFmtId="0" fontId="10" fillId="0" borderId="3">
      <alignment horizontal="center"/>
    </xf>
    <xf numFmtId="41" fontId="1" fillId="0" borderId="0" applyFont="0" applyFill="0" applyBorder="0" applyAlignment="0" applyProtection="0"/>
    <xf numFmtId="177" fontId="42" fillId="0" borderId="0" applyFont="0" applyFill="0" applyBorder="0" applyAlignment="0" applyProtection="0"/>
    <xf numFmtId="199" fontId="1" fillId="0" borderId="0"/>
    <xf numFmtId="0" fontId="57" fillId="0" borderId="0" applyNumberFormat="0" applyAlignment="0">
      <alignment horizontal="left"/>
    </xf>
    <xf numFmtId="0" fontId="58" fillId="0" borderId="0" applyNumberFormat="0" applyAlignment="0"/>
    <xf numFmtId="43" fontId="8" fillId="0" borderId="0" applyFont="0" applyFill="0" applyBorder="0" applyAlignment="0" applyProtection="0"/>
    <xf numFmtId="194" fontId="42" fillId="0" borderId="0" applyFont="0" applyFill="0" applyBorder="0" applyAlignment="0" applyProtection="0"/>
    <xf numFmtId="0" fontId="8" fillId="0" borderId="0"/>
    <xf numFmtId="14" fontId="59" fillId="0" borderId="0" applyFill="0" applyBorder="0" applyAlignment="0"/>
    <xf numFmtId="200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2" fontId="60" fillId="0" borderId="0"/>
    <xf numFmtId="0" fontId="6" fillId="0" borderId="0" applyNumberFormat="0" applyFont="0" applyFill="0" applyBorder="0" applyProtection="0"/>
    <xf numFmtId="177" fontId="42" fillId="0" borderId="0" applyFill="0" applyBorder="0" applyAlignment="0"/>
    <xf numFmtId="194" fontId="42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0" fontId="61" fillId="0" borderId="0" applyNumberFormat="0" applyAlignment="0">
      <alignment horizontal="left"/>
    </xf>
    <xf numFmtId="191" fontId="1" fillId="0" borderId="0" applyFont="0" applyFill="0" applyBorder="0" applyAlignment="0" applyProtection="0"/>
    <xf numFmtId="38" fontId="3" fillId="22" borderId="0" applyNumberFormat="0" applyBorder="0" applyAlignment="0" applyProtection="0"/>
    <xf numFmtId="0" fontId="62" fillId="0" borderId="0">
      <alignment horizontal="left"/>
    </xf>
    <xf numFmtId="0" fontId="4" fillId="0" borderId="4" applyNumberFormat="0" applyAlignment="0" applyProtection="0">
      <alignment horizontal="left" vertical="center"/>
    </xf>
    <xf numFmtId="0" fontId="4" fillId="0" borderId="5">
      <alignment horizontal="left" vertical="center"/>
    </xf>
    <xf numFmtId="203" fontId="63" fillId="0" borderId="0" applyFont="0" applyFill="0" applyBorder="0" applyAlignment="0" applyProtection="0"/>
    <xf numFmtId="204" fontId="63" fillId="0" borderId="0" applyFont="0" applyFill="0" applyBorder="0" applyAlignment="0" applyProtection="0"/>
    <xf numFmtId="10" fontId="3" fillId="23" borderId="9" applyNumberFormat="0" applyBorder="0" applyAlignment="0" applyProtection="0"/>
    <xf numFmtId="194" fontId="64" fillId="24" borderId="0"/>
    <xf numFmtId="0" fontId="65" fillId="0" borderId="0"/>
    <xf numFmtId="0" fontId="29" fillId="0" borderId="0" applyFont="0" applyFill="0" applyBorder="0" applyAlignment="0" applyProtection="0"/>
    <xf numFmtId="177" fontId="42" fillId="0" borderId="0" applyFill="0" applyBorder="0" applyAlignment="0"/>
    <xf numFmtId="194" fontId="42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194" fontId="66" fillId="25" borderId="0"/>
    <xf numFmtId="0" fontId="6" fillId="0" borderId="0" applyNumberFormat="0" applyFont="0" applyFill="0" applyBorder="0" applyProtection="0">
      <alignment vertical="center"/>
    </xf>
    <xf numFmtId="205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67" fillId="0" borderId="11"/>
    <xf numFmtId="207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51" fillId="0" borderId="0" applyFont="0" applyFill="0" applyBorder="0" applyAlignment="0" applyProtection="0"/>
    <xf numFmtId="210" fontId="63" fillId="0" borderId="0" applyFont="0" applyFill="0" applyBorder="0" applyAlignment="0" applyProtection="0"/>
    <xf numFmtId="211" fontId="29" fillId="0" borderId="0"/>
    <xf numFmtId="0" fontId="1" fillId="0" borderId="0"/>
    <xf numFmtId="0" fontId="84" fillId="0" borderId="0"/>
    <xf numFmtId="212" fontId="63" fillId="0" borderId="0" applyFont="0" applyFill="0" applyBorder="0" applyAlignment="0" applyProtection="0"/>
    <xf numFmtId="213" fontId="63" fillId="0" borderId="0" applyFont="0" applyFill="0" applyBorder="0" applyAlignment="0" applyProtection="0"/>
    <xf numFmtId="14" fontId="55" fillId="0" borderId="0">
      <alignment horizontal="center" wrapText="1"/>
      <protection locked="0"/>
    </xf>
    <xf numFmtId="197" fontId="1" fillId="0" borderId="0" applyFont="0" applyFill="0" applyBorder="0" applyAlignment="0" applyProtection="0"/>
    <xf numFmtId="214" fontId="1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51" fillId="0" borderId="14" applyNumberFormat="0" applyBorder="0"/>
    <xf numFmtId="177" fontId="42" fillId="0" borderId="0" applyFill="0" applyBorder="0" applyAlignment="0"/>
    <xf numFmtId="194" fontId="42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215" fontId="8" fillId="0" borderId="0"/>
    <xf numFmtId="0" fontId="51" fillId="0" borderId="0" applyNumberFormat="0" applyFont="0" applyFill="0" applyBorder="0" applyAlignment="0" applyProtection="0">
      <alignment horizontal="left"/>
    </xf>
    <xf numFmtId="0" fontId="8" fillId="0" borderId="0" applyNumberFormat="0" applyFill="0" applyBorder="0" applyAlignment="0" applyProtection="0">
      <alignment horizontal="left"/>
    </xf>
    <xf numFmtId="0" fontId="3" fillId="0" borderId="0"/>
    <xf numFmtId="0" fontId="8" fillId="0" borderId="0"/>
    <xf numFmtId="0" fontId="67" fillId="0" borderId="0"/>
    <xf numFmtId="40" fontId="68" fillId="0" borderId="0" applyBorder="0">
      <alignment horizontal="right"/>
    </xf>
    <xf numFmtId="49" fontId="59" fillId="0" borderId="0" applyFill="0" applyBorder="0" applyAlignment="0"/>
    <xf numFmtId="216" fontId="1" fillId="0" borderId="0" applyFill="0" applyBorder="0" applyAlignment="0"/>
    <xf numFmtId="193" fontId="1" fillId="0" borderId="0" applyFill="0" applyBorder="0" applyAlignment="0"/>
    <xf numFmtId="0" fontId="6" fillId="0" borderId="0" applyNumberFormat="0" applyFont="0" applyFill="0" applyBorder="0" applyProtection="0">
      <alignment vertical="top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69" fillId="0" borderId="0" applyNumberFormat="0" applyFont="0" applyFill="0" applyBorder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87" fillId="53" borderId="33" applyNumberFormat="0" applyAlignment="0" applyProtection="0">
      <alignment vertical="center"/>
    </xf>
    <xf numFmtId="0" fontId="87" fillId="53" borderId="33" applyNumberFormat="0" applyAlignment="0" applyProtection="0">
      <alignment vertical="center"/>
    </xf>
    <xf numFmtId="0" fontId="87" fillId="53" borderId="33" applyNumberFormat="0" applyAlignment="0" applyProtection="0">
      <alignment vertical="center"/>
    </xf>
    <xf numFmtId="0" fontId="87" fillId="53" borderId="33" applyNumberFormat="0" applyAlignment="0" applyProtection="0">
      <alignment vertical="center"/>
    </xf>
    <xf numFmtId="0" fontId="87" fillId="53" borderId="33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40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" fillId="0" borderId="0">
      <protection locked="0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0" fontId="73" fillId="0" borderId="0" applyNumberForma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1" fillId="58" borderId="39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8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88" fillId="54" borderId="34" applyNumberFormat="0" applyAlignment="0" applyProtection="0">
      <alignment vertical="center"/>
    </xf>
    <xf numFmtId="0" fontId="88" fillId="54" borderId="34" applyNumberFormat="0" applyAlignment="0" applyProtection="0">
      <alignment vertical="center"/>
    </xf>
    <xf numFmtId="0" fontId="88" fillId="54" borderId="34" applyNumberFormat="0" applyAlignment="0" applyProtection="0">
      <alignment vertical="center"/>
    </xf>
    <xf numFmtId="0" fontId="88" fillId="54" borderId="34" applyNumberFormat="0" applyAlignment="0" applyProtection="0">
      <alignment vertical="center"/>
    </xf>
    <xf numFmtId="0" fontId="88" fillId="54" borderId="34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29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90" fontId="83" fillId="0" borderId="0" applyFont="0" applyFill="0" applyBorder="0" applyAlignment="0" applyProtection="0"/>
    <xf numFmtId="190" fontId="3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9" fillId="0" borderId="0" applyNumberFormat="0" applyFont="0" applyFill="0" applyBorder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5" fillId="0" borderId="38" applyNumberFormat="0" applyFill="0" applyAlignment="0" applyProtection="0">
      <alignment vertical="center"/>
    </xf>
    <xf numFmtId="0" fontId="95" fillId="0" borderId="38" applyNumberFormat="0" applyFill="0" applyAlignment="0" applyProtection="0">
      <alignment vertical="center"/>
    </xf>
    <xf numFmtId="0" fontId="95" fillId="0" borderId="38" applyNumberFormat="0" applyFill="0" applyAlignment="0" applyProtection="0">
      <alignment vertical="center"/>
    </xf>
    <xf numFmtId="0" fontId="95" fillId="0" borderId="38" applyNumberFormat="0" applyFill="0" applyAlignment="0" applyProtection="0">
      <alignment vertical="center"/>
    </xf>
    <xf numFmtId="0" fontId="95" fillId="0" borderId="38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9" fillId="0" borderId="0" applyNumberFormat="0" applyFont="0" applyFill="0" applyBorder="0" applyProtection="0">
      <alignment vertical="top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94" fillId="56" borderId="33" applyNumberFormat="0" applyAlignment="0" applyProtection="0">
      <alignment vertical="center"/>
    </xf>
    <xf numFmtId="0" fontId="94" fillId="56" borderId="33" applyNumberFormat="0" applyAlignment="0" applyProtection="0">
      <alignment vertical="center"/>
    </xf>
    <xf numFmtId="0" fontId="94" fillId="56" borderId="33" applyNumberFormat="0" applyAlignment="0" applyProtection="0">
      <alignment vertical="center"/>
    </xf>
    <xf numFmtId="0" fontId="94" fillId="56" borderId="33" applyNumberFormat="0" applyAlignment="0" applyProtection="0">
      <alignment vertical="center"/>
    </xf>
    <xf numFmtId="0" fontId="94" fillId="56" borderId="33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4" fontId="72" fillId="0" borderId="0">
      <protection locked="0"/>
    </xf>
    <xf numFmtId="0" fontId="1" fillId="0" borderId="0">
      <protection locked="0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91" fillId="0" borderId="35" applyNumberFormat="0" applyFill="0" applyAlignment="0" applyProtection="0">
      <alignment vertical="center"/>
    </xf>
    <xf numFmtId="0" fontId="91" fillId="0" borderId="35" applyNumberFormat="0" applyFill="0" applyAlignment="0" applyProtection="0">
      <alignment vertical="center"/>
    </xf>
    <xf numFmtId="0" fontId="91" fillId="0" borderId="35" applyNumberFormat="0" applyFill="0" applyAlignment="0" applyProtection="0">
      <alignment vertical="center"/>
    </xf>
    <xf numFmtId="0" fontId="91" fillId="0" borderId="35" applyNumberFormat="0" applyFill="0" applyAlignment="0" applyProtection="0">
      <alignment vertical="center"/>
    </xf>
    <xf numFmtId="0" fontId="91" fillId="0" borderId="3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2" fillId="0" borderId="36" applyNumberFormat="0" applyFill="0" applyAlignment="0" applyProtection="0">
      <alignment vertical="center"/>
    </xf>
    <xf numFmtId="0" fontId="92" fillId="0" borderId="36" applyNumberFormat="0" applyFill="0" applyAlignment="0" applyProtection="0">
      <alignment vertical="center"/>
    </xf>
    <xf numFmtId="0" fontId="92" fillId="0" borderId="36" applyNumberFormat="0" applyFill="0" applyAlignment="0" applyProtection="0">
      <alignment vertical="center"/>
    </xf>
    <xf numFmtId="0" fontId="92" fillId="0" borderId="36" applyNumberFormat="0" applyFill="0" applyAlignment="0" applyProtection="0">
      <alignment vertical="center"/>
    </xf>
    <xf numFmtId="0" fontId="92" fillId="0" borderId="3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3" fillId="0" borderId="37" applyNumberFormat="0" applyFill="0" applyAlignment="0" applyProtection="0">
      <alignment vertical="center"/>
    </xf>
    <xf numFmtId="0" fontId="93" fillId="0" borderId="37" applyNumberFormat="0" applyFill="0" applyAlignment="0" applyProtection="0">
      <alignment vertical="center"/>
    </xf>
    <xf numFmtId="0" fontId="93" fillId="0" borderId="37" applyNumberFormat="0" applyFill="0" applyAlignment="0" applyProtection="0">
      <alignment vertical="center"/>
    </xf>
    <xf numFmtId="0" fontId="93" fillId="0" borderId="37" applyNumberFormat="0" applyFill="0" applyAlignment="0" applyProtection="0">
      <alignment vertical="center"/>
    </xf>
    <xf numFmtId="0" fontId="93" fillId="0" borderId="3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9" fillId="0" borderId="0"/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97" fillId="53" borderId="40" applyNumberFormat="0" applyAlignment="0" applyProtection="0">
      <alignment vertical="center"/>
    </xf>
    <xf numFmtId="0" fontId="97" fillId="53" borderId="40" applyNumberFormat="0" applyAlignment="0" applyProtection="0">
      <alignment vertical="center"/>
    </xf>
    <xf numFmtId="0" fontId="97" fillId="53" borderId="40" applyNumberFormat="0" applyAlignment="0" applyProtection="0">
      <alignment vertical="center"/>
    </xf>
    <xf numFmtId="0" fontId="97" fillId="53" borderId="40" applyNumberFormat="0" applyAlignment="0" applyProtection="0">
      <alignment vertical="center"/>
    </xf>
    <xf numFmtId="0" fontId="97" fillId="53" borderId="40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" fillId="0" borderId="0">
      <protection locked="0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38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38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/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/>
    <xf numFmtId="192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38" fillId="0" borderId="0"/>
    <xf numFmtId="0" fontId="83" fillId="0" borderId="0"/>
    <xf numFmtId="0" fontId="38" fillId="0" borderId="0"/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" fillId="0" borderId="0"/>
    <xf numFmtId="0" fontId="84" fillId="0" borderId="0"/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" fillId="0" borderId="0"/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0" fillId="0" borderId="0"/>
    <xf numFmtId="0" fontId="101" fillId="0" borderId="0" applyNumberFormat="0" applyFill="0" applyBorder="0" applyAlignment="0" applyProtection="0">
      <alignment vertical="center"/>
    </xf>
    <xf numFmtId="0" fontId="72" fillId="0" borderId="16">
      <protection locked="0"/>
    </xf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0" fontId="1" fillId="0" borderId="0">
      <alignment vertical="center"/>
    </xf>
    <xf numFmtId="0" fontId="42" fillId="0" borderId="0"/>
    <xf numFmtId="223" fontId="78" fillId="0" borderId="0" applyFont="0" applyFill="0" applyBorder="0" applyAlignment="0" applyProtection="0"/>
    <xf numFmtId="224" fontId="78" fillId="0" borderId="0" applyFont="0" applyFill="0" applyBorder="0" applyAlignment="0" applyProtection="0"/>
    <xf numFmtId="0" fontId="79" fillId="0" borderId="0"/>
    <xf numFmtId="219" fontId="77" fillId="0" borderId="0" applyFont="0" applyFill="0" applyBorder="0" applyAlignment="0" applyProtection="0"/>
    <xf numFmtId="220" fontId="77" fillId="0" borderId="0" applyFont="0" applyFill="0" applyBorder="0" applyAlignment="0" applyProtection="0"/>
    <xf numFmtId="221" fontId="78" fillId="0" borderId="0" applyFont="0" applyFill="0" applyBorder="0" applyAlignment="0" applyProtection="0"/>
    <xf numFmtId="222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1" fillId="0" borderId="0">
      <alignment vertical="center"/>
    </xf>
    <xf numFmtId="22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3" fontId="1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26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0" fontId="4" fillId="0" borderId="0" xfId="0" applyNumberFormat="1" applyFont="1" applyAlignment="1">
      <alignment vertical="center"/>
    </xf>
    <xf numFmtId="183" fontId="5" fillId="0" borderId="0" xfId="0" applyNumberFormat="1" applyFont="1" applyAlignment="1">
      <alignment horizontal="center" vertical="center"/>
    </xf>
    <xf numFmtId="26" fontId="5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186" fontId="4" fillId="0" borderId="0" xfId="0" applyNumberFormat="1" applyFont="1" applyAlignment="1">
      <alignment vertical="center"/>
    </xf>
    <xf numFmtId="0" fontId="102" fillId="0" borderId="0" xfId="0" applyFont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26" fontId="5" fillId="0" borderId="17" xfId="337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82" fontId="4" fillId="0" borderId="17" xfId="337" applyNumberFormat="1" applyFont="1" applyBorder="1" applyAlignment="1">
      <alignment horizontal="center" vertical="center"/>
    </xf>
    <xf numFmtId="179" fontId="4" fillId="0" borderId="17" xfId="337" applyNumberFormat="1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6" fillId="0" borderId="11" xfId="0" applyFont="1" applyBorder="1"/>
    <xf numFmtId="0" fontId="5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86" fontId="5" fillId="0" borderId="17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18" xfId="0" applyFont="1" applyBorder="1" applyAlignment="1">
      <alignment vertical="center"/>
    </xf>
    <xf numFmtId="0" fontId="103" fillId="0" borderId="0" xfId="0" applyFont="1" applyAlignment="1">
      <alignment horizontal="left"/>
    </xf>
    <xf numFmtId="0" fontId="5" fillId="0" borderId="18" xfId="0" applyFont="1" applyBorder="1" applyAlignment="1">
      <alignment horizontal="left" vertical="center"/>
    </xf>
    <xf numFmtId="0" fontId="104" fillId="0" borderId="0" xfId="0" applyFont="1" applyAlignment="1">
      <alignment vertical="center"/>
    </xf>
    <xf numFmtId="0" fontId="105" fillId="0" borderId="17" xfId="0" applyFont="1" applyBorder="1" applyAlignment="1">
      <alignment vertical="center"/>
    </xf>
    <xf numFmtId="186" fontId="5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17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183" fontId="5" fillId="0" borderId="0" xfId="0" applyNumberFormat="1" applyFont="1" applyAlignment="1">
      <alignment vertical="center"/>
    </xf>
    <xf numFmtId="0" fontId="6" fillId="0" borderId="18" xfId="0" applyFont="1" applyBorder="1"/>
    <xf numFmtId="0" fontId="6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34" fillId="0" borderId="18" xfId="0" applyFont="1" applyBorder="1" applyAlignment="1">
      <alignment horizontal="left"/>
    </xf>
    <xf numFmtId="0" fontId="3" fillId="0" borderId="18" xfId="0" applyFont="1" applyBorder="1" applyAlignment="1">
      <alignment vertical="center"/>
    </xf>
    <xf numFmtId="0" fontId="35" fillId="0" borderId="18" xfId="0" applyFont="1" applyBorder="1"/>
    <xf numFmtId="0" fontId="34" fillId="0" borderId="18" xfId="0" applyFont="1" applyBorder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8" fillId="0" borderId="0" xfId="382" applyFont="1" applyAlignment="1">
      <alignment vertical="center"/>
    </xf>
    <xf numFmtId="0" fontId="4" fillId="0" borderId="24" xfId="0" applyFont="1" applyBorder="1" applyAlignment="1">
      <alignment horizontal="center" vertical="center"/>
    </xf>
    <xf numFmtId="187" fontId="6" fillId="0" borderId="0" xfId="0" applyNumberFormat="1" applyFont="1" applyAlignment="1">
      <alignment horizontal="right" vertical="center"/>
    </xf>
    <xf numFmtId="0" fontId="5" fillId="0" borderId="0" xfId="0" applyFont="1"/>
    <xf numFmtId="178" fontId="4" fillId="0" borderId="25" xfId="0" applyNumberFormat="1" applyFont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30" fillId="0" borderId="18" xfId="0" applyFont="1" applyBorder="1" applyAlignment="1">
      <alignment horizontal="left" vertical="center" indent="1"/>
    </xf>
    <xf numFmtId="0" fontId="5" fillId="0" borderId="26" xfId="0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31" fillId="0" borderId="44" xfId="0" applyFont="1" applyBorder="1" applyAlignment="1">
      <alignment vertical="center"/>
    </xf>
    <xf numFmtId="0" fontId="31" fillId="0" borderId="45" xfId="0" applyFont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3" fillId="0" borderId="45" xfId="0" applyFont="1" applyBorder="1" applyAlignment="1">
      <alignment vertical="center"/>
    </xf>
    <xf numFmtId="0" fontId="106" fillId="59" borderId="0" xfId="0" applyFont="1" applyFill="1" applyAlignment="1">
      <alignment vertical="center"/>
    </xf>
    <xf numFmtId="0" fontId="8" fillId="0" borderId="27" xfId="0" applyFont="1" applyBorder="1" applyAlignment="1">
      <alignment horizontal="center" vertical="center"/>
    </xf>
    <xf numFmtId="182" fontId="5" fillId="0" borderId="28" xfId="337" quotePrefix="1" applyNumberFormat="1" applyFont="1" applyFill="1" applyBorder="1" applyAlignment="1">
      <alignment horizontal="center" vertical="center"/>
    </xf>
    <xf numFmtId="0" fontId="117" fillId="0" borderId="27" xfId="0" applyFont="1" applyBorder="1" applyAlignment="1">
      <alignment horizontal="center" vertical="center"/>
    </xf>
    <xf numFmtId="182" fontId="5" fillId="0" borderId="52" xfId="337" quotePrefix="1" applyNumberFormat="1" applyFont="1" applyFill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3" fillId="0" borderId="53" xfId="0" applyFont="1" applyBorder="1" applyAlignment="1">
      <alignment horizontal="left" vertical="center"/>
    </xf>
    <xf numFmtId="0" fontId="3" fillId="0" borderId="55" xfId="0" applyFont="1" applyBorder="1" applyAlignment="1">
      <alignment vertical="center"/>
    </xf>
    <xf numFmtId="188" fontId="5" fillId="0" borderId="56" xfId="0" applyNumberFormat="1" applyFont="1" applyBorder="1" applyAlignment="1">
      <alignment horizontal="center" vertical="center"/>
    </xf>
    <xf numFmtId="188" fontId="5" fillId="0" borderId="56" xfId="0" quotePrefix="1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9" fillId="0" borderId="0" xfId="0" applyFont="1" applyAlignment="1">
      <alignment horizontal="left" vertical="center"/>
    </xf>
    <xf numFmtId="0" fontId="110" fillId="0" borderId="0" xfId="0" applyFont="1" applyAlignment="1">
      <alignment vertical="center"/>
    </xf>
    <xf numFmtId="186" fontId="110" fillId="0" borderId="0" xfId="0" applyNumberFormat="1" applyFont="1" applyAlignment="1">
      <alignment horizontal="left" vertical="center"/>
    </xf>
    <xf numFmtId="0" fontId="111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4" fillId="0" borderId="17" xfId="0" applyFont="1" applyBorder="1" applyAlignment="1">
      <alignment horizontal="left" vertical="center"/>
    </xf>
    <xf numFmtId="186" fontId="110" fillId="0" borderId="0" xfId="0" applyNumberFormat="1" applyFont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/>
    </xf>
    <xf numFmtId="0" fontId="117" fillId="0" borderId="51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182" fontId="5" fillId="0" borderId="56" xfId="337" quotePrefix="1" applyNumberFormat="1" applyFont="1" applyFill="1" applyBorder="1" applyAlignment="1">
      <alignment horizontal="center" vertical="center"/>
    </xf>
    <xf numFmtId="182" fontId="111" fillId="0" borderId="18" xfId="337" quotePrefix="1" applyNumberFormat="1" applyFont="1" applyFill="1" applyBorder="1" applyAlignment="1">
      <alignment horizontal="center" vertical="center"/>
    </xf>
    <xf numFmtId="182" fontId="112" fillId="0" borderId="0" xfId="337" quotePrefix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26" fontId="5" fillId="0" borderId="11" xfId="0" applyNumberFormat="1" applyFont="1" applyBorder="1" applyAlignment="1">
      <alignment horizontal="center" vertical="center"/>
    </xf>
    <xf numFmtId="182" fontId="5" fillId="0" borderId="17" xfId="337" applyNumberFormat="1" applyFont="1" applyFill="1" applyBorder="1" applyAlignment="1">
      <alignment horizontal="center" vertical="center"/>
    </xf>
    <xf numFmtId="182" fontId="110" fillId="0" borderId="0" xfId="337" applyNumberFormat="1" applyFont="1" applyFill="1" applyBorder="1" applyAlignment="1">
      <alignment horizontal="center" vertical="center"/>
    </xf>
    <xf numFmtId="182" fontId="4" fillId="0" borderId="17" xfId="337" applyNumberFormat="1" applyFont="1" applyFill="1" applyBorder="1" applyAlignment="1">
      <alignment horizontal="center" vertical="center"/>
    </xf>
    <xf numFmtId="182" fontId="109" fillId="0" borderId="0" xfId="337" applyNumberFormat="1" applyFont="1" applyFill="1" applyBorder="1" applyAlignment="1">
      <alignment horizontal="center" vertical="center"/>
    </xf>
    <xf numFmtId="179" fontId="4" fillId="0" borderId="17" xfId="337" applyNumberFormat="1" applyFont="1" applyFill="1" applyBorder="1" applyAlignment="1">
      <alignment vertical="center"/>
    </xf>
    <xf numFmtId="179" fontId="109" fillId="0" borderId="0" xfId="337" applyNumberFormat="1" applyFont="1" applyFill="1" applyBorder="1" applyAlignment="1">
      <alignment vertical="center"/>
    </xf>
    <xf numFmtId="0" fontId="0" fillId="0" borderId="17" xfId="0" applyBorder="1"/>
    <xf numFmtId="0" fontId="113" fillId="0" borderId="0" xfId="0" applyFont="1"/>
    <xf numFmtId="0" fontId="109" fillId="0" borderId="0" xfId="0" applyFont="1" applyAlignment="1">
      <alignment vertical="center"/>
    </xf>
    <xf numFmtId="0" fontId="114" fillId="0" borderId="0" xfId="0" applyFont="1" applyAlignment="1">
      <alignment vertical="center"/>
    </xf>
    <xf numFmtId="0" fontId="115" fillId="0" borderId="0" xfId="0" applyFont="1" applyAlignment="1">
      <alignment vertical="center"/>
    </xf>
    <xf numFmtId="0" fontId="0" fillId="0" borderId="0" xfId="0" applyAlignment="1">
      <alignment vertical="center"/>
    </xf>
    <xf numFmtId="182" fontId="118" fillId="0" borderId="18" xfId="337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9" fillId="0" borderId="0" xfId="0" applyFont="1" applyAlignment="1">
      <alignment horizontal="center" vertical="center"/>
    </xf>
    <xf numFmtId="0" fontId="109" fillId="0" borderId="1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right" vertical="center"/>
    </xf>
    <xf numFmtId="0" fontId="5" fillId="0" borderId="45" xfId="0" applyFont="1" applyBorder="1" applyAlignment="1">
      <alignment vertical="center"/>
    </xf>
    <xf numFmtId="0" fontId="5" fillId="0" borderId="43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49" xfId="0" applyFont="1" applyBorder="1" applyAlignment="1">
      <alignment horizontal="center" vertical="center"/>
    </xf>
    <xf numFmtId="185" fontId="5" fillId="0" borderId="52" xfId="0" quotePrefix="1" applyNumberFormat="1" applyFont="1" applyBorder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116" fillId="0" borderId="9" xfId="0" quotePrefix="1" applyFont="1" applyBorder="1" applyAlignment="1">
      <alignment horizontal="center" vertical="center"/>
    </xf>
    <xf numFmtId="185" fontId="5" fillId="0" borderId="28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0" borderId="59" xfId="0" applyNumberFormat="1" applyBorder="1" applyAlignment="1">
      <alignment horizontal="center"/>
    </xf>
    <xf numFmtId="49" fontId="0" fillId="0" borderId="60" xfId="0" applyNumberFormat="1" applyBorder="1" applyAlignment="1">
      <alignment horizontal="center"/>
    </xf>
    <xf numFmtId="0" fontId="3" fillId="0" borderId="0" xfId="0" quotePrefix="1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61" borderId="9" xfId="0" applyFont="1" applyFill="1" applyBorder="1" applyAlignment="1">
      <alignment vertical="center"/>
    </xf>
    <xf numFmtId="0" fontId="120" fillId="61" borderId="9" xfId="0" applyFont="1" applyFill="1" applyBorder="1" applyAlignment="1">
      <alignment horizontal="center" vertical="center"/>
    </xf>
    <xf numFmtId="227" fontId="5" fillId="0" borderId="46" xfId="0" applyNumberFormat="1" applyFont="1" applyBorder="1" applyAlignment="1">
      <alignment horizontal="center" vertical="center"/>
    </xf>
    <xf numFmtId="227" fontId="5" fillId="0" borderId="46" xfId="0" quotePrefix="1" applyNumberFormat="1" applyFont="1" applyBorder="1" applyAlignment="1">
      <alignment horizontal="center" vertical="center"/>
    </xf>
    <xf numFmtId="228" fontId="5" fillId="0" borderId="46" xfId="337" quotePrefix="1" applyNumberFormat="1" applyFont="1" applyBorder="1" applyAlignment="1">
      <alignment horizontal="center" vertical="center"/>
    </xf>
    <xf numFmtId="228" fontId="5" fillId="0" borderId="56" xfId="337" quotePrefix="1" applyNumberFormat="1" applyFont="1" applyBorder="1" applyAlignment="1">
      <alignment horizontal="center" vertical="center"/>
    </xf>
    <xf numFmtId="0" fontId="3" fillId="0" borderId="61" xfId="0" quotePrefix="1" applyFont="1" applyBorder="1" applyAlignment="1">
      <alignment horizontal="center" vertical="center"/>
    </xf>
    <xf numFmtId="0" fontId="116" fillId="0" borderId="58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1" fillId="0" borderId="62" xfId="0" quotePrefix="1" applyFont="1" applyBorder="1" applyAlignment="1">
      <alignment horizontal="center"/>
    </xf>
    <xf numFmtId="0" fontId="31" fillId="0" borderId="63" xfId="0" quotePrefix="1" applyFont="1" applyBorder="1" applyAlignment="1">
      <alignment horizontal="center"/>
    </xf>
    <xf numFmtId="49" fontId="0" fillId="59" borderId="65" xfId="0" applyNumberFormat="1" applyFill="1" applyBorder="1" applyAlignment="1">
      <alignment horizontal="left"/>
    </xf>
    <xf numFmtId="49" fontId="0" fillId="59" borderId="66" xfId="0" applyNumberFormat="1" applyFill="1" applyBorder="1" applyAlignment="1">
      <alignment horizontal="left"/>
    </xf>
    <xf numFmtId="49" fontId="0" fillId="0" borderId="66" xfId="0" applyNumberFormat="1" applyBorder="1" applyAlignment="1">
      <alignment horizontal="left"/>
    </xf>
    <xf numFmtId="49" fontId="0" fillId="0" borderId="65" xfId="0" applyNumberFormat="1" applyBorder="1" applyAlignment="1">
      <alignment horizontal="left"/>
    </xf>
    <xf numFmtId="49" fontId="119" fillId="0" borderId="66" xfId="0" applyNumberFormat="1" applyFont="1" applyBorder="1" applyAlignment="1">
      <alignment horizontal="left"/>
    </xf>
    <xf numFmtId="0" fontId="31" fillId="0" borderId="64" xfId="0" quotePrefix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07" fillId="0" borderId="67" xfId="0" quotePrefix="1" applyFont="1" applyBorder="1"/>
    <xf numFmtId="0" fontId="5" fillId="0" borderId="5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5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vertical="center"/>
    </xf>
    <xf numFmtId="185" fontId="5" fillId="0" borderId="56" xfId="0" quotePrefix="1" applyNumberFormat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42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107" fillId="0" borderId="42" xfId="0" applyFont="1" applyBorder="1"/>
    <xf numFmtId="184" fontId="5" fillId="0" borderId="0" xfId="0" applyNumberFormat="1" applyFont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5" fillId="0" borderId="68" xfId="0" applyFont="1" applyBorder="1" applyAlignment="1">
      <alignment horizontal="left" vertical="center"/>
    </xf>
    <xf numFmtId="0" fontId="117" fillId="0" borderId="69" xfId="0" applyFont="1" applyBorder="1" applyAlignment="1">
      <alignment horizontal="center" vertical="center"/>
    </xf>
    <xf numFmtId="185" fontId="5" fillId="0" borderId="70" xfId="0" quotePrefix="1" applyNumberFormat="1" applyFont="1" applyBorder="1" applyAlignment="1">
      <alignment horizontal="center" vertical="center"/>
    </xf>
    <xf numFmtId="182" fontId="5" fillId="0" borderId="70" xfId="337" quotePrefix="1" applyNumberFormat="1" applyFont="1" applyFill="1" applyBorder="1" applyAlignment="1">
      <alignment horizontal="center" vertical="center"/>
    </xf>
    <xf numFmtId="182" fontId="118" fillId="0" borderId="53" xfId="337" quotePrefix="1" applyNumberFormat="1" applyFont="1" applyFill="1" applyBorder="1" applyAlignment="1">
      <alignment horizontal="center" vertical="center"/>
    </xf>
    <xf numFmtId="0" fontId="3" fillId="0" borderId="71" xfId="0" quotePrefix="1" applyFont="1" applyBorder="1" applyAlignment="1">
      <alignment horizontal="center" vertical="center"/>
    </xf>
    <xf numFmtId="0" fontId="116" fillId="0" borderId="72" xfId="0" quotePrefix="1" applyFont="1" applyBorder="1" applyAlignment="1">
      <alignment horizontal="center" vertical="center"/>
    </xf>
    <xf numFmtId="0" fontId="31" fillId="0" borderId="73" xfId="0" quotePrefix="1" applyFont="1" applyBorder="1" applyAlignment="1">
      <alignment horizontal="center"/>
    </xf>
    <xf numFmtId="49" fontId="0" fillId="0" borderId="74" xfId="0" applyNumberFormat="1" applyBorder="1" applyAlignment="1">
      <alignment horizontal="center"/>
    </xf>
    <xf numFmtId="49" fontId="0" fillId="0" borderId="75" xfId="0" applyNumberFormat="1" applyBorder="1" applyAlignment="1">
      <alignment horizontal="left"/>
    </xf>
    <xf numFmtId="0" fontId="3" fillId="0" borderId="54" xfId="0" applyFont="1" applyBorder="1" applyAlignment="1">
      <alignment vertical="center"/>
    </xf>
    <xf numFmtId="0" fontId="31" fillId="0" borderId="76" xfId="0" quotePrefix="1" applyFont="1" applyBorder="1" applyAlignment="1">
      <alignment horizontal="center"/>
    </xf>
    <xf numFmtId="0" fontId="0" fillId="0" borderId="72" xfId="0" applyBorder="1" applyAlignment="1">
      <alignment horizontal="center"/>
    </xf>
    <xf numFmtId="0" fontId="107" fillId="0" borderId="77" xfId="0" quotePrefix="1" applyFont="1" applyBorder="1"/>
    <xf numFmtId="182" fontId="118" fillId="0" borderId="21" xfId="337" quotePrefix="1" applyNumberFormat="1" applyFont="1" applyFill="1" applyBorder="1" applyAlignment="1">
      <alignment horizontal="center" vertical="center"/>
    </xf>
    <xf numFmtId="182" fontId="118" fillId="0" borderId="56" xfId="337" quotePrefix="1" applyNumberFormat="1" applyFont="1" applyFill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5" fillId="0" borderId="79" xfId="0" applyFont="1" applyBorder="1" applyAlignment="1">
      <alignment horizontal="left" vertical="center"/>
    </xf>
    <xf numFmtId="0" fontId="117" fillId="0" borderId="81" xfId="0" applyFont="1" applyBorder="1" applyAlignment="1">
      <alignment horizontal="center" vertical="center"/>
    </xf>
    <xf numFmtId="225" fontId="5" fillId="0" borderId="26" xfId="0" applyNumberFormat="1" applyFont="1" applyBorder="1" applyAlignment="1">
      <alignment horizontal="center" vertical="center"/>
    </xf>
    <xf numFmtId="225" fontId="5" fillId="0" borderId="2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82" fontId="30" fillId="0" borderId="17" xfId="337" quotePrefix="1" applyNumberFormat="1" applyFont="1" applyFill="1" applyBorder="1" applyAlignment="1">
      <alignment horizontal="center" vertical="center"/>
    </xf>
    <xf numFmtId="182" fontId="30" fillId="0" borderId="20" xfId="337" quotePrefix="1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183" fontId="5" fillId="0" borderId="0" xfId="0" applyNumberFormat="1" applyFont="1" applyAlignment="1">
      <alignment horizontal="center" vertical="center"/>
    </xf>
    <xf numFmtId="225" fontId="5" fillId="0" borderId="53" xfId="0" applyNumberFormat="1" applyFont="1" applyBorder="1" applyAlignment="1">
      <alignment horizontal="center" vertical="center"/>
    </xf>
    <xf numFmtId="225" fontId="5" fillId="0" borderId="55" xfId="0" applyNumberFormat="1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225" fontId="30" fillId="0" borderId="0" xfId="0" applyNumberFormat="1" applyFont="1" applyAlignment="1">
      <alignment horizontal="center" vertical="center"/>
    </xf>
    <xf numFmtId="225" fontId="30" fillId="0" borderId="11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225" fontId="5" fillId="0" borderId="43" xfId="0" applyNumberFormat="1" applyFont="1" applyBorder="1" applyAlignment="1">
      <alignment horizontal="center" vertical="center"/>
    </xf>
    <xf numFmtId="225" fontId="5" fillId="0" borderId="45" xfId="0" applyNumberFormat="1" applyFont="1" applyBorder="1" applyAlignment="1">
      <alignment horizontal="center" vertical="center"/>
    </xf>
    <xf numFmtId="189" fontId="5" fillId="0" borderId="18" xfId="0" applyNumberFormat="1" applyFont="1" applyBorder="1" applyAlignment="1">
      <alignment horizontal="center" vertical="center"/>
    </xf>
    <xf numFmtId="189" fontId="5" fillId="0" borderId="17" xfId="0" applyNumberFormat="1" applyFont="1" applyBorder="1" applyAlignment="1">
      <alignment horizontal="center" vertical="center"/>
    </xf>
    <xf numFmtId="189" fontId="5" fillId="0" borderId="19" xfId="0" applyNumberFormat="1" applyFont="1" applyBorder="1" applyAlignment="1">
      <alignment horizontal="center" vertical="center"/>
    </xf>
    <xf numFmtId="189" fontId="5" fillId="0" borderId="2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60" borderId="3" xfId="0" applyFont="1" applyFill="1" applyBorder="1" applyAlignment="1">
      <alignment horizontal="center" vertical="center"/>
    </xf>
    <xf numFmtId="0" fontId="7" fillId="60" borderId="58" xfId="0" applyFont="1" applyFill="1" applyBorder="1" applyAlignment="1">
      <alignment horizontal="center" vertical="center"/>
    </xf>
    <xf numFmtId="0" fontId="7" fillId="60" borderId="9" xfId="0" applyFont="1" applyFill="1" applyBorder="1" applyAlignment="1">
      <alignment horizontal="center" vertical="center"/>
    </xf>
    <xf numFmtId="225" fontId="5" fillId="0" borderId="68" xfId="0" applyNumberFormat="1" applyFont="1" applyBorder="1" applyAlignment="1">
      <alignment horizontal="center" vertical="center"/>
    </xf>
    <xf numFmtId="225" fontId="5" fillId="0" borderId="69" xfId="0" applyNumberFormat="1" applyFont="1" applyBorder="1" applyAlignment="1">
      <alignment horizontal="center" vertical="center"/>
    </xf>
    <xf numFmtId="225" fontId="5" fillId="0" borderId="49" xfId="0" applyNumberFormat="1" applyFont="1" applyBorder="1" applyAlignment="1">
      <alignment horizontal="center" vertical="center"/>
    </xf>
    <xf numFmtId="225" fontId="5" fillId="0" borderId="51" xfId="0" applyNumberFormat="1" applyFont="1" applyBorder="1" applyAlignment="1">
      <alignment horizontal="center" vertical="center"/>
    </xf>
    <xf numFmtId="225" fontId="5" fillId="0" borderId="79" xfId="0" applyNumberFormat="1" applyFont="1" applyBorder="1" applyAlignment="1">
      <alignment horizontal="center" vertical="center"/>
    </xf>
    <xf numFmtId="225" fontId="5" fillId="0" borderId="81" xfId="0" applyNumberFormat="1" applyFont="1" applyBorder="1" applyAlignment="1">
      <alignment horizontal="center" vertical="center"/>
    </xf>
    <xf numFmtId="0" fontId="10" fillId="60" borderId="3" xfId="0" applyFont="1" applyFill="1" applyBorder="1" applyAlignment="1">
      <alignment horizontal="center" vertical="center"/>
    </xf>
    <xf numFmtId="0" fontId="10" fillId="60" borderId="58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228" fontId="5" fillId="0" borderId="57" xfId="337" quotePrefix="1" applyNumberFormat="1" applyFont="1" applyBorder="1" applyAlignment="1">
      <alignment horizontal="center" vertical="center"/>
    </xf>
    <xf numFmtId="228" fontId="5" fillId="0" borderId="21" xfId="337" quotePrefix="1" applyNumberFormat="1" applyFont="1" applyBorder="1" applyAlignment="1">
      <alignment horizontal="center" vertical="center"/>
    </xf>
    <xf numFmtId="228" fontId="5" fillId="0" borderId="82" xfId="337" quotePrefix="1" applyNumberFormat="1" applyFont="1" applyBorder="1" applyAlignment="1">
      <alignment horizontal="center" vertical="center"/>
    </xf>
    <xf numFmtId="188" fontId="5" fillId="0" borderId="57" xfId="0" quotePrefix="1" applyNumberFormat="1" applyFont="1" applyBorder="1" applyAlignment="1">
      <alignment horizontal="center" vertical="center"/>
    </xf>
    <xf numFmtId="188" fontId="5" fillId="0" borderId="21" xfId="0" quotePrefix="1" applyNumberFormat="1" applyFont="1" applyBorder="1" applyAlignment="1">
      <alignment horizontal="center" vertical="center"/>
    </xf>
    <xf numFmtId="188" fontId="5" fillId="0" borderId="82" xfId="0" quotePrefix="1" applyNumberFormat="1" applyFont="1" applyBorder="1" applyAlignment="1">
      <alignment horizontal="center" vertical="center"/>
    </xf>
    <xf numFmtId="188" fontId="5" fillId="0" borderId="57" xfId="0" applyNumberFormat="1" applyFont="1" applyBorder="1" applyAlignment="1">
      <alignment horizontal="center" vertical="center"/>
    </xf>
    <xf numFmtId="188" fontId="5" fillId="0" borderId="21" xfId="0" applyNumberFormat="1" applyFont="1" applyBorder="1" applyAlignment="1">
      <alignment horizontal="center" vertical="center"/>
    </xf>
    <xf numFmtId="188" fontId="5" fillId="0" borderId="82" xfId="0" applyNumberFormat="1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228" fontId="37" fillId="0" borderId="17" xfId="0" applyNumberFormat="1" applyFont="1" applyBorder="1" applyAlignment="1">
      <alignment horizontal="center" vertical="center"/>
    </xf>
    <xf numFmtId="228" fontId="37" fillId="0" borderId="20" xfId="0" applyNumberFormat="1" applyFont="1" applyBorder="1" applyAlignment="1">
      <alignment horizontal="center" vertical="center"/>
    </xf>
    <xf numFmtId="188" fontId="37" fillId="0" borderId="0" xfId="0" applyNumberFormat="1" applyFont="1" applyAlignment="1">
      <alignment horizontal="center" vertical="center"/>
    </xf>
    <xf numFmtId="188" fontId="37" fillId="0" borderId="11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left" vertical="center" indent="1"/>
    </xf>
    <xf numFmtId="0" fontId="122" fillId="0" borderId="0" xfId="0" applyFont="1" applyAlignment="1">
      <alignment horizontal="left" vertical="center"/>
    </xf>
  </cellXfs>
  <cellStyles count="15808">
    <cellStyle name="          _x000d__x000a_mouse.drv=lmouse.drv" xfId="1" xr:uid="{00000000-0005-0000-0000-000000000000}"/>
    <cellStyle name="_x0002_._x0011__x0002_._x001b__x0002_ _x0015_%_x0018__x0001_" xfId="2" xr:uid="{00000000-0005-0000-0000-000001000000}"/>
    <cellStyle name="??&amp;O?&amp;H?_x0008__x000f__x0007_?_x0007__x0001__x0001_" xfId="3" xr:uid="{00000000-0005-0000-0000-000002000000}"/>
    <cellStyle name="??&amp;O?&amp;H?_x0008_??_x0007__x0001__x0001_" xfId="4" xr:uid="{00000000-0005-0000-0000-000003000000}"/>
    <cellStyle name="?”´?_REV3 " xfId="5" xr:uid="{00000000-0005-0000-0000-000004000000}"/>
    <cellStyle name="_10W 주간 업무보고" xfId="6" xr:uid="{00000000-0005-0000-0000-000005000000}"/>
    <cellStyle name="_11월 모델별 단가 확인용" xfId="7" xr:uid="{00000000-0005-0000-0000-000006000000}"/>
    <cellStyle name="_12W 주간 업무보고(다산TPS)" xfId="8" xr:uid="{00000000-0005-0000-0000-000007000000}"/>
    <cellStyle name="_26W 주간 업무보고" xfId="9" xr:uid="{00000000-0005-0000-0000-000008000000}"/>
    <cellStyle name="_HUMAX 품질 회의자료(42주차)" xfId="10" xr:uid="{00000000-0005-0000-0000-000009000000}"/>
    <cellStyle name="_IQC 12w 주간 업무 보고" xfId="11" xr:uid="{00000000-0005-0000-0000-00000A000000}"/>
    <cellStyle name="_PERSONAL" xfId="12" xr:uid="{00000000-0005-0000-0000-00000B000000}"/>
    <cellStyle name="_Y200PROJECT진척율점검표(rev4_00.3.30)" xfId="13" xr:uid="{00000000-0005-0000-0000-00000C000000}"/>
    <cellStyle name="_Y200PROJECT진척율점검표(rev5_00.8.22)" xfId="14" xr:uid="{00000000-0005-0000-0000-00000D000000}"/>
    <cellStyle name="_인터 도급 (3)" xfId="15" xr:uid="{00000000-0005-0000-0000-00000E000000}"/>
    <cellStyle name="_점검회의(6월1주차)" xfId="16" xr:uid="{00000000-0005-0000-0000-00000F000000}"/>
    <cellStyle name="_주간보고양식(SMT-10W)" xfId="17" xr:uid="{00000000-0005-0000-0000-000010000000}"/>
    <cellStyle name="_주간보고양식(SMT-12W)" xfId="18" xr:uid="{00000000-0005-0000-0000-000011000000}"/>
    <cellStyle name="_품질회의10주차" xfId="19" xr:uid="{00000000-0005-0000-0000-000012000000}"/>
    <cellStyle name="W_i´¿" xfId="20" xr:uid="{00000000-0005-0000-0000-000013000000}"/>
    <cellStyle name="0,0_x000d__x000a_NA_x000d__x000a_" xfId="21" xr:uid="{00000000-0005-0000-0000-000014000000}"/>
    <cellStyle name="20% - 강조색1 10" xfId="22" xr:uid="{00000000-0005-0000-0000-000015000000}"/>
    <cellStyle name="20% - 강조색1 11" xfId="23" xr:uid="{00000000-0005-0000-0000-000016000000}"/>
    <cellStyle name="20% - 강조색1 12" xfId="24" xr:uid="{00000000-0005-0000-0000-000017000000}"/>
    <cellStyle name="20% - 강조색1 13" xfId="25" xr:uid="{00000000-0005-0000-0000-000018000000}"/>
    <cellStyle name="20% - 강조색1 14" xfId="26" xr:uid="{00000000-0005-0000-0000-000019000000}"/>
    <cellStyle name="20% - 강조색1 15" xfId="27" xr:uid="{00000000-0005-0000-0000-00001A000000}"/>
    <cellStyle name="20% - 강조색1 16" xfId="28" xr:uid="{00000000-0005-0000-0000-00001B000000}"/>
    <cellStyle name="20% - 강조색1 2" xfId="29" xr:uid="{00000000-0005-0000-0000-00001C000000}"/>
    <cellStyle name="20% - 강조색1 3" xfId="30" xr:uid="{00000000-0005-0000-0000-00001D000000}"/>
    <cellStyle name="20% - 강조색1 4" xfId="31" xr:uid="{00000000-0005-0000-0000-00001E000000}"/>
    <cellStyle name="20% - 강조색1 5" xfId="32" xr:uid="{00000000-0005-0000-0000-00001F000000}"/>
    <cellStyle name="20% - 강조색1 6" xfId="33" xr:uid="{00000000-0005-0000-0000-000020000000}"/>
    <cellStyle name="20% - 강조색1 7" xfId="34" xr:uid="{00000000-0005-0000-0000-000021000000}"/>
    <cellStyle name="20% - 강조색1 8" xfId="35" xr:uid="{00000000-0005-0000-0000-000022000000}"/>
    <cellStyle name="20% - 강조색1 9" xfId="36" xr:uid="{00000000-0005-0000-0000-000023000000}"/>
    <cellStyle name="20% - 강조색2 10" xfId="37" xr:uid="{00000000-0005-0000-0000-000024000000}"/>
    <cellStyle name="20% - 강조색2 11" xfId="38" xr:uid="{00000000-0005-0000-0000-000025000000}"/>
    <cellStyle name="20% - 강조색2 12" xfId="39" xr:uid="{00000000-0005-0000-0000-000026000000}"/>
    <cellStyle name="20% - 강조색2 13" xfId="40" xr:uid="{00000000-0005-0000-0000-000027000000}"/>
    <cellStyle name="20% - 강조색2 14" xfId="41" xr:uid="{00000000-0005-0000-0000-000028000000}"/>
    <cellStyle name="20% - 강조색2 15" xfId="42" xr:uid="{00000000-0005-0000-0000-000029000000}"/>
    <cellStyle name="20% - 강조색2 16" xfId="43" xr:uid="{00000000-0005-0000-0000-00002A000000}"/>
    <cellStyle name="20% - 강조색2 2" xfId="44" xr:uid="{00000000-0005-0000-0000-00002B000000}"/>
    <cellStyle name="20% - 강조색2 3" xfId="45" xr:uid="{00000000-0005-0000-0000-00002C000000}"/>
    <cellStyle name="20% - 강조색2 4" xfId="46" xr:uid="{00000000-0005-0000-0000-00002D000000}"/>
    <cellStyle name="20% - 강조색2 5" xfId="47" xr:uid="{00000000-0005-0000-0000-00002E000000}"/>
    <cellStyle name="20% - 강조색2 6" xfId="48" xr:uid="{00000000-0005-0000-0000-00002F000000}"/>
    <cellStyle name="20% - 강조색2 7" xfId="49" xr:uid="{00000000-0005-0000-0000-000030000000}"/>
    <cellStyle name="20% - 강조색2 8" xfId="50" xr:uid="{00000000-0005-0000-0000-000031000000}"/>
    <cellStyle name="20% - 강조색2 9" xfId="51" xr:uid="{00000000-0005-0000-0000-000032000000}"/>
    <cellStyle name="20% - 강조색3 10" xfId="52" xr:uid="{00000000-0005-0000-0000-000033000000}"/>
    <cellStyle name="20% - 강조색3 11" xfId="53" xr:uid="{00000000-0005-0000-0000-000034000000}"/>
    <cellStyle name="20% - 강조색3 12" xfId="54" xr:uid="{00000000-0005-0000-0000-000035000000}"/>
    <cellStyle name="20% - 강조색3 13" xfId="55" xr:uid="{00000000-0005-0000-0000-000036000000}"/>
    <cellStyle name="20% - 강조색3 14" xfId="56" xr:uid="{00000000-0005-0000-0000-000037000000}"/>
    <cellStyle name="20% - 강조색3 15" xfId="57" xr:uid="{00000000-0005-0000-0000-000038000000}"/>
    <cellStyle name="20% - 강조색3 16" xfId="58" xr:uid="{00000000-0005-0000-0000-000039000000}"/>
    <cellStyle name="20% - 강조색3 2" xfId="59" xr:uid="{00000000-0005-0000-0000-00003A000000}"/>
    <cellStyle name="20% - 강조색3 3" xfId="60" xr:uid="{00000000-0005-0000-0000-00003B000000}"/>
    <cellStyle name="20% - 강조색3 4" xfId="61" xr:uid="{00000000-0005-0000-0000-00003C000000}"/>
    <cellStyle name="20% - 강조색3 5" xfId="62" xr:uid="{00000000-0005-0000-0000-00003D000000}"/>
    <cellStyle name="20% - 강조색3 6" xfId="63" xr:uid="{00000000-0005-0000-0000-00003E000000}"/>
    <cellStyle name="20% - 강조색3 7" xfId="64" xr:uid="{00000000-0005-0000-0000-00003F000000}"/>
    <cellStyle name="20% - 강조색3 8" xfId="65" xr:uid="{00000000-0005-0000-0000-000040000000}"/>
    <cellStyle name="20% - 강조색3 9" xfId="66" xr:uid="{00000000-0005-0000-0000-000041000000}"/>
    <cellStyle name="20% - 강조색4 10" xfId="67" xr:uid="{00000000-0005-0000-0000-000042000000}"/>
    <cellStyle name="20% - 강조색4 11" xfId="68" xr:uid="{00000000-0005-0000-0000-000043000000}"/>
    <cellStyle name="20% - 강조색4 12" xfId="69" xr:uid="{00000000-0005-0000-0000-000044000000}"/>
    <cellStyle name="20% - 강조색4 13" xfId="70" xr:uid="{00000000-0005-0000-0000-000045000000}"/>
    <cellStyle name="20% - 강조색4 14" xfId="71" xr:uid="{00000000-0005-0000-0000-000046000000}"/>
    <cellStyle name="20% - 강조색4 15" xfId="72" xr:uid="{00000000-0005-0000-0000-000047000000}"/>
    <cellStyle name="20% - 강조색4 16" xfId="73" xr:uid="{00000000-0005-0000-0000-000048000000}"/>
    <cellStyle name="20% - 강조색4 2" xfId="74" xr:uid="{00000000-0005-0000-0000-000049000000}"/>
    <cellStyle name="20% - 강조색4 3" xfId="75" xr:uid="{00000000-0005-0000-0000-00004A000000}"/>
    <cellStyle name="20% - 강조색4 4" xfId="76" xr:uid="{00000000-0005-0000-0000-00004B000000}"/>
    <cellStyle name="20% - 강조색4 5" xfId="77" xr:uid="{00000000-0005-0000-0000-00004C000000}"/>
    <cellStyle name="20% - 강조색4 6" xfId="78" xr:uid="{00000000-0005-0000-0000-00004D000000}"/>
    <cellStyle name="20% - 강조색4 7" xfId="79" xr:uid="{00000000-0005-0000-0000-00004E000000}"/>
    <cellStyle name="20% - 강조색4 8" xfId="80" xr:uid="{00000000-0005-0000-0000-00004F000000}"/>
    <cellStyle name="20% - 강조색4 9" xfId="81" xr:uid="{00000000-0005-0000-0000-000050000000}"/>
    <cellStyle name="20% - 강조색5 10" xfId="82" xr:uid="{00000000-0005-0000-0000-000051000000}"/>
    <cellStyle name="20% - 강조색5 11" xfId="83" xr:uid="{00000000-0005-0000-0000-000052000000}"/>
    <cellStyle name="20% - 강조색5 12" xfId="84" xr:uid="{00000000-0005-0000-0000-000053000000}"/>
    <cellStyle name="20% - 강조색5 13" xfId="85" xr:uid="{00000000-0005-0000-0000-000054000000}"/>
    <cellStyle name="20% - 강조색5 14" xfId="86" xr:uid="{00000000-0005-0000-0000-000055000000}"/>
    <cellStyle name="20% - 강조색5 15" xfId="87" xr:uid="{00000000-0005-0000-0000-000056000000}"/>
    <cellStyle name="20% - 강조색5 16" xfId="88" xr:uid="{00000000-0005-0000-0000-000057000000}"/>
    <cellStyle name="20% - 강조색5 2" xfId="89" xr:uid="{00000000-0005-0000-0000-000058000000}"/>
    <cellStyle name="20% - 강조색5 3" xfId="90" xr:uid="{00000000-0005-0000-0000-000059000000}"/>
    <cellStyle name="20% - 강조색5 4" xfId="91" xr:uid="{00000000-0005-0000-0000-00005A000000}"/>
    <cellStyle name="20% - 강조색5 5" xfId="92" xr:uid="{00000000-0005-0000-0000-00005B000000}"/>
    <cellStyle name="20% - 강조색5 6" xfId="93" xr:uid="{00000000-0005-0000-0000-00005C000000}"/>
    <cellStyle name="20% - 강조색5 7" xfId="94" xr:uid="{00000000-0005-0000-0000-00005D000000}"/>
    <cellStyle name="20% - 강조색5 8" xfId="95" xr:uid="{00000000-0005-0000-0000-00005E000000}"/>
    <cellStyle name="20% - 강조색5 9" xfId="96" xr:uid="{00000000-0005-0000-0000-00005F000000}"/>
    <cellStyle name="20% - 강조색6 10" xfId="97" xr:uid="{00000000-0005-0000-0000-000060000000}"/>
    <cellStyle name="20% - 강조색6 11" xfId="98" xr:uid="{00000000-0005-0000-0000-000061000000}"/>
    <cellStyle name="20% - 강조색6 12" xfId="99" xr:uid="{00000000-0005-0000-0000-000062000000}"/>
    <cellStyle name="20% - 강조색6 13" xfId="100" xr:uid="{00000000-0005-0000-0000-000063000000}"/>
    <cellStyle name="20% - 강조색6 14" xfId="101" xr:uid="{00000000-0005-0000-0000-000064000000}"/>
    <cellStyle name="20% - 강조색6 15" xfId="102" xr:uid="{00000000-0005-0000-0000-000065000000}"/>
    <cellStyle name="20% - 강조색6 16" xfId="103" xr:uid="{00000000-0005-0000-0000-000066000000}"/>
    <cellStyle name="20% - 강조색6 2" xfId="104" xr:uid="{00000000-0005-0000-0000-000067000000}"/>
    <cellStyle name="20% - 강조색6 3" xfId="105" xr:uid="{00000000-0005-0000-0000-000068000000}"/>
    <cellStyle name="20% - 강조색6 4" xfId="106" xr:uid="{00000000-0005-0000-0000-000069000000}"/>
    <cellStyle name="20% - 강조색6 5" xfId="107" xr:uid="{00000000-0005-0000-0000-00006A000000}"/>
    <cellStyle name="20% - 강조색6 6" xfId="108" xr:uid="{00000000-0005-0000-0000-00006B000000}"/>
    <cellStyle name="20% - 강조색6 7" xfId="109" xr:uid="{00000000-0005-0000-0000-00006C000000}"/>
    <cellStyle name="20% - 강조색6 8" xfId="110" xr:uid="{00000000-0005-0000-0000-00006D000000}"/>
    <cellStyle name="20% - 강조색6 9" xfId="111" xr:uid="{00000000-0005-0000-0000-00006E000000}"/>
    <cellStyle name="40% - 강조색1 10" xfId="112" xr:uid="{00000000-0005-0000-0000-00006F000000}"/>
    <cellStyle name="40% - 강조색1 11" xfId="113" xr:uid="{00000000-0005-0000-0000-000070000000}"/>
    <cellStyle name="40% - 강조색1 12" xfId="114" xr:uid="{00000000-0005-0000-0000-000071000000}"/>
    <cellStyle name="40% - 강조색1 13" xfId="115" xr:uid="{00000000-0005-0000-0000-000072000000}"/>
    <cellStyle name="40% - 강조색1 14" xfId="116" xr:uid="{00000000-0005-0000-0000-000073000000}"/>
    <cellStyle name="40% - 강조색1 15" xfId="117" xr:uid="{00000000-0005-0000-0000-000074000000}"/>
    <cellStyle name="40% - 강조색1 16" xfId="118" xr:uid="{00000000-0005-0000-0000-000075000000}"/>
    <cellStyle name="40% - 강조색1 2" xfId="119" xr:uid="{00000000-0005-0000-0000-000076000000}"/>
    <cellStyle name="40% - 강조색1 3" xfId="120" xr:uid="{00000000-0005-0000-0000-000077000000}"/>
    <cellStyle name="40% - 강조색1 4" xfId="121" xr:uid="{00000000-0005-0000-0000-000078000000}"/>
    <cellStyle name="40% - 강조색1 5" xfId="122" xr:uid="{00000000-0005-0000-0000-000079000000}"/>
    <cellStyle name="40% - 강조색1 6" xfId="123" xr:uid="{00000000-0005-0000-0000-00007A000000}"/>
    <cellStyle name="40% - 강조색1 7" xfId="124" xr:uid="{00000000-0005-0000-0000-00007B000000}"/>
    <cellStyle name="40% - 강조색1 8" xfId="125" xr:uid="{00000000-0005-0000-0000-00007C000000}"/>
    <cellStyle name="40% - 강조색1 9" xfId="126" xr:uid="{00000000-0005-0000-0000-00007D000000}"/>
    <cellStyle name="40% - 강조색2 10" xfId="127" xr:uid="{00000000-0005-0000-0000-00007E000000}"/>
    <cellStyle name="40% - 강조색2 11" xfId="128" xr:uid="{00000000-0005-0000-0000-00007F000000}"/>
    <cellStyle name="40% - 강조색2 12" xfId="129" xr:uid="{00000000-0005-0000-0000-000080000000}"/>
    <cellStyle name="40% - 강조색2 13" xfId="130" xr:uid="{00000000-0005-0000-0000-000081000000}"/>
    <cellStyle name="40% - 강조색2 14" xfId="131" xr:uid="{00000000-0005-0000-0000-000082000000}"/>
    <cellStyle name="40% - 강조색2 15" xfId="132" xr:uid="{00000000-0005-0000-0000-000083000000}"/>
    <cellStyle name="40% - 강조색2 16" xfId="133" xr:uid="{00000000-0005-0000-0000-000084000000}"/>
    <cellStyle name="40% - 강조색2 2" xfId="134" xr:uid="{00000000-0005-0000-0000-000085000000}"/>
    <cellStyle name="40% - 강조색2 3" xfId="135" xr:uid="{00000000-0005-0000-0000-000086000000}"/>
    <cellStyle name="40% - 강조색2 4" xfId="136" xr:uid="{00000000-0005-0000-0000-000087000000}"/>
    <cellStyle name="40% - 강조색2 5" xfId="137" xr:uid="{00000000-0005-0000-0000-000088000000}"/>
    <cellStyle name="40% - 강조색2 6" xfId="138" xr:uid="{00000000-0005-0000-0000-000089000000}"/>
    <cellStyle name="40% - 강조색2 7" xfId="139" xr:uid="{00000000-0005-0000-0000-00008A000000}"/>
    <cellStyle name="40% - 강조색2 8" xfId="140" xr:uid="{00000000-0005-0000-0000-00008B000000}"/>
    <cellStyle name="40% - 강조색2 9" xfId="141" xr:uid="{00000000-0005-0000-0000-00008C000000}"/>
    <cellStyle name="40% - 강조색3 10" xfId="142" xr:uid="{00000000-0005-0000-0000-00008D000000}"/>
    <cellStyle name="40% - 강조색3 11" xfId="143" xr:uid="{00000000-0005-0000-0000-00008E000000}"/>
    <cellStyle name="40% - 강조색3 12" xfId="144" xr:uid="{00000000-0005-0000-0000-00008F000000}"/>
    <cellStyle name="40% - 강조색3 13" xfId="145" xr:uid="{00000000-0005-0000-0000-000090000000}"/>
    <cellStyle name="40% - 강조색3 14" xfId="146" xr:uid="{00000000-0005-0000-0000-000091000000}"/>
    <cellStyle name="40% - 강조색3 15" xfId="147" xr:uid="{00000000-0005-0000-0000-000092000000}"/>
    <cellStyle name="40% - 강조색3 16" xfId="148" xr:uid="{00000000-0005-0000-0000-000093000000}"/>
    <cellStyle name="40% - 강조색3 2" xfId="149" xr:uid="{00000000-0005-0000-0000-000094000000}"/>
    <cellStyle name="40% - 강조색3 3" xfId="150" xr:uid="{00000000-0005-0000-0000-000095000000}"/>
    <cellStyle name="40% - 강조색3 4" xfId="151" xr:uid="{00000000-0005-0000-0000-000096000000}"/>
    <cellStyle name="40% - 강조색3 5" xfId="152" xr:uid="{00000000-0005-0000-0000-000097000000}"/>
    <cellStyle name="40% - 강조색3 6" xfId="153" xr:uid="{00000000-0005-0000-0000-000098000000}"/>
    <cellStyle name="40% - 강조색3 7" xfId="154" xr:uid="{00000000-0005-0000-0000-000099000000}"/>
    <cellStyle name="40% - 강조색3 8" xfId="155" xr:uid="{00000000-0005-0000-0000-00009A000000}"/>
    <cellStyle name="40% - 강조색3 9" xfId="156" xr:uid="{00000000-0005-0000-0000-00009B000000}"/>
    <cellStyle name="40% - 강조색4 10" xfId="157" xr:uid="{00000000-0005-0000-0000-00009C000000}"/>
    <cellStyle name="40% - 강조색4 11" xfId="158" xr:uid="{00000000-0005-0000-0000-00009D000000}"/>
    <cellStyle name="40% - 강조색4 12" xfId="159" xr:uid="{00000000-0005-0000-0000-00009E000000}"/>
    <cellStyle name="40% - 강조색4 13" xfId="160" xr:uid="{00000000-0005-0000-0000-00009F000000}"/>
    <cellStyle name="40% - 강조색4 14" xfId="161" xr:uid="{00000000-0005-0000-0000-0000A0000000}"/>
    <cellStyle name="40% - 강조색4 15" xfId="162" xr:uid="{00000000-0005-0000-0000-0000A1000000}"/>
    <cellStyle name="40% - 강조색4 16" xfId="163" xr:uid="{00000000-0005-0000-0000-0000A2000000}"/>
    <cellStyle name="40% - 강조색4 2" xfId="164" xr:uid="{00000000-0005-0000-0000-0000A3000000}"/>
    <cellStyle name="40% - 강조색4 3" xfId="165" xr:uid="{00000000-0005-0000-0000-0000A4000000}"/>
    <cellStyle name="40% - 강조색4 4" xfId="166" xr:uid="{00000000-0005-0000-0000-0000A5000000}"/>
    <cellStyle name="40% - 강조색4 5" xfId="167" xr:uid="{00000000-0005-0000-0000-0000A6000000}"/>
    <cellStyle name="40% - 강조색4 6" xfId="168" xr:uid="{00000000-0005-0000-0000-0000A7000000}"/>
    <cellStyle name="40% - 강조색4 7" xfId="169" xr:uid="{00000000-0005-0000-0000-0000A8000000}"/>
    <cellStyle name="40% - 강조색4 8" xfId="170" xr:uid="{00000000-0005-0000-0000-0000A9000000}"/>
    <cellStyle name="40% - 강조색4 9" xfId="171" xr:uid="{00000000-0005-0000-0000-0000AA000000}"/>
    <cellStyle name="40% - 강조색5 10" xfId="172" xr:uid="{00000000-0005-0000-0000-0000AB000000}"/>
    <cellStyle name="40% - 강조색5 11" xfId="173" xr:uid="{00000000-0005-0000-0000-0000AC000000}"/>
    <cellStyle name="40% - 강조색5 12" xfId="174" xr:uid="{00000000-0005-0000-0000-0000AD000000}"/>
    <cellStyle name="40% - 강조색5 13" xfId="175" xr:uid="{00000000-0005-0000-0000-0000AE000000}"/>
    <cellStyle name="40% - 강조색5 14" xfId="176" xr:uid="{00000000-0005-0000-0000-0000AF000000}"/>
    <cellStyle name="40% - 강조색5 15" xfId="177" xr:uid="{00000000-0005-0000-0000-0000B0000000}"/>
    <cellStyle name="40% - 강조색5 16" xfId="178" xr:uid="{00000000-0005-0000-0000-0000B1000000}"/>
    <cellStyle name="40% - 강조색5 2" xfId="179" xr:uid="{00000000-0005-0000-0000-0000B2000000}"/>
    <cellStyle name="40% - 강조색5 3" xfId="180" xr:uid="{00000000-0005-0000-0000-0000B3000000}"/>
    <cellStyle name="40% - 강조색5 4" xfId="181" xr:uid="{00000000-0005-0000-0000-0000B4000000}"/>
    <cellStyle name="40% - 강조색5 5" xfId="182" xr:uid="{00000000-0005-0000-0000-0000B5000000}"/>
    <cellStyle name="40% - 강조색5 6" xfId="183" xr:uid="{00000000-0005-0000-0000-0000B6000000}"/>
    <cellStyle name="40% - 강조색5 7" xfId="184" xr:uid="{00000000-0005-0000-0000-0000B7000000}"/>
    <cellStyle name="40% - 강조색5 8" xfId="185" xr:uid="{00000000-0005-0000-0000-0000B8000000}"/>
    <cellStyle name="40% - 강조색5 9" xfId="186" xr:uid="{00000000-0005-0000-0000-0000B9000000}"/>
    <cellStyle name="40% - 강조색6 10" xfId="187" xr:uid="{00000000-0005-0000-0000-0000BA000000}"/>
    <cellStyle name="40% - 강조색6 11" xfId="188" xr:uid="{00000000-0005-0000-0000-0000BB000000}"/>
    <cellStyle name="40% - 강조색6 12" xfId="189" xr:uid="{00000000-0005-0000-0000-0000BC000000}"/>
    <cellStyle name="40% - 강조색6 13" xfId="190" xr:uid="{00000000-0005-0000-0000-0000BD000000}"/>
    <cellStyle name="40% - 강조색6 14" xfId="191" xr:uid="{00000000-0005-0000-0000-0000BE000000}"/>
    <cellStyle name="40% - 강조색6 15" xfId="192" xr:uid="{00000000-0005-0000-0000-0000BF000000}"/>
    <cellStyle name="40% - 강조색6 16" xfId="193" xr:uid="{00000000-0005-0000-0000-0000C0000000}"/>
    <cellStyle name="40% - 강조색6 2" xfId="194" xr:uid="{00000000-0005-0000-0000-0000C1000000}"/>
    <cellStyle name="40% - 강조색6 3" xfId="195" xr:uid="{00000000-0005-0000-0000-0000C2000000}"/>
    <cellStyle name="40% - 강조색6 4" xfId="196" xr:uid="{00000000-0005-0000-0000-0000C3000000}"/>
    <cellStyle name="40% - 강조색6 5" xfId="197" xr:uid="{00000000-0005-0000-0000-0000C4000000}"/>
    <cellStyle name="40% - 강조색6 6" xfId="198" xr:uid="{00000000-0005-0000-0000-0000C5000000}"/>
    <cellStyle name="40% - 강조색6 7" xfId="199" xr:uid="{00000000-0005-0000-0000-0000C6000000}"/>
    <cellStyle name="40% - 강조색6 8" xfId="200" xr:uid="{00000000-0005-0000-0000-0000C7000000}"/>
    <cellStyle name="40% - 강조색6 9" xfId="201" xr:uid="{00000000-0005-0000-0000-0000C8000000}"/>
    <cellStyle name="60% - 강조색1 10" xfId="202" xr:uid="{00000000-0005-0000-0000-0000C9000000}"/>
    <cellStyle name="60% - 강조색1 11" xfId="203" xr:uid="{00000000-0005-0000-0000-0000CA000000}"/>
    <cellStyle name="60% - 강조색1 12" xfId="204" xr:uid="{00000000-0005-0000-0000-0000CB000000}"/>
    <cellStyle name="60% - 강조색1 13" xfId="205" xr:uid="{00000000-0005-0000-0000-0000CC000000}"/>
    <cellStyle name="60% - 강조색1 14" xfId="206" xr:uid="{00000000-0005-0000-0000-0000CD000000}"/>
    <cellStyle name="60% - 강조색1 15" xfId="207" xr:uid="{00000000-0005-0000-0000-0000CE000000}"/>
    <cellStyle name="60% - 강조색1 16" xfId="208" xr:uid="{00000000-0005-0000-0000-0000CF000000}"/>
    <cellStyle name="60% - 강조색1 2" xfId="209" xr:uid="{00000000-0005-0000-0000-0000D0000000}"/>
    <cellStyle name="60% - 강조색1 3" xfId="210" xr:uid="{00000000-0005-0000-0000-0000D1000000}"/>
    <cellStyle name="60% - 강조색1 4" xfId="211" xr:uid="{00000000-0005-0000-0000-0000D2000000}"/>
    <cellStyle name="60% - 강조색1 5" xfId="212" xr:uid="{00000000-0005-0000-0000-0000D3000000}"/>
    <cellStyle name="60% - 강조색1 6" xfId="213" xr:uid="{00000000-0005-0000-0000-0000D4000000}"/>
    <cellStyle name="60% - 강조색1 7" xfId="214" xr:uid="{00000000-0005-0000-0000-0000D5000000}"/>
    <cellStyle name="60% - 강조색1 8" xfId="215" xr:uid="{00000000-0005-0000-0000-0000D6000000}"/>
    <cellStyle name="60% - 강조색1 9" xfId="216" xr:uid="{00000000-0005-0000-0000-0000D7000000}"/>
    <cellStyle name="60% - 강조색2 10" xfId="217" xr:uid="{00000000-0005-0000-0000-0000D8000000}"/>
    <cellStyle name="60% - 강조색2 11" xfId="218" xr:uid="{00000000-0005-0000-0000-0000D9000000}"/>
    <cellStyle name="60% - 강조색2 12" xfId="219" xr:uid="{00000000-0005-0000-0000-0000DA000000}"/>
    <cellStyle name="60% - 강조색2 13" xfId="220" xr:uid="{00000000-0005-0000-0000-0000DB000000}"/>
    <cellStyle name="60% - 강조색2 14" xfId="221" xr:uid="{00000000-0005-0000-0000-0000DC000000}"/>
    <cellStyle name="60% - 강조색2 15" xfId="222" xr:uid="{00000000-0005-0000-0000-0000DD000000}"/>
    <cellStyle name="60% - 강조색2 16" xfId="223" xr:uid="{00000000-0005-0000-0000-0000DE000000}"/>
    <cellStyle name="60% - 강조색2 2" xfId="224" xr:uid="{00000000-0005-0000-0000-0000DF000000}"/>
    <cellStyle name="60% - 강조색2 3" xfId="225" xr:uid="{00000000-0005-0000-0000-0000E0000000}"/>
    <cellStyle name="60% - 강조색2 4" xfId="226" xr:uid="{00000000-0005-0000-0000-0000E1000000}"/>
    <cellStyle name="60% - 강조색2 5" xfId="227" xr:uid="{00000000-0005-0000-0000-0000E2000000}"/>
    <cellStyle name="60% - 강조색2 6" xfId="228" xr:uid="{00000000-0005-0000-0000-0000E3000000}"/>
    <cellStyle name="60% - 강조색2 7" xfId="229" xr:uid="{00000000-0005-0000-0000-0000E4000000}"/>
    <cellStyle name="60% - 강조색2 8" xfId="230" xr:uid="{00000000-0005-0000-0000-0000E5000000}"/>
    <cellStyle name="60% - 강조색2 9" xfId="231" xr:uid="{00000000-0005-0000-0000-0000E6000000}"/>
    <cellStyle name="60% - 강조색3 10" xfId="232" xr:uid="{00000000-0005-0000-0000-0000E7000000}"/>
    <cellStyle name="60% - 강조색3 11" xfId="233" xr:uid="{00000000-0005-0000-0000-0000E8000000}"/>
    <cellStyle name="60% - 강조색3 12" xfId="234" xr:uid="{00000000-0005-0000-0000-0000E9000000}"/>
    <cellStyle name="60% - 강조색3 13" xfId="235" xr:uid="{00000000-0005-0000-0000-0000EA000000}"/>
    <cellStyle name="60% - 강조색3 14" xfId="236" xr:uid="{00000000-0005-0000-0000-0000EB000000}"/>
    <cellStyle name="60% - 강조색3 15" xfId="237" xr:uid="{00000000-0005-0000-0000-0000EC000000}"/>
    <cellStyle name="60% - 강조색3 16" xfId="238" xr:uid="{00000000-0005-0000-0000-0000ED000000}"/>
    <cellStyle name="60% - 강조색3 2" xfId="239" xr:uid="{00000000-0005-0000-0000-0000EE000000}"/>
    <cellStyle name="60% - 강조색3 3" xfId="240" xr:uid="{00000000-0005-0000-0000-0000EF000000}"/>
    <cellStyle name="60% - 강조색3 4" xfId="241" xr:uid="{00000000-0005-0000-0000-0000F0000000}"/>
    <cellStyle name="60% - 강조색3 5" xfId="242" xr:uid="{00000000-0005-0000-0000-0000F1000000}"/>
    <cellStyle name="60% - 강조색3 6" xfId="243" xr:uid="{00000000-0005-0000-0000-0000F2000000}"/>
    <cellStyle name="60% - 강조색3 7" xfId="244" xr:uid="{00000000-0005-0000-0000-0000F3000000}"/>
    <cellStyle name="60% - 강조색3 8" xfId="245" xr:uid="{00000000-0005-0000-0000-0000F4000000}"/>
    <cellStyle name="60% - 강조색3 9" xfId="246" xr:uid="{00000000-0005-0000-0000-0000F5000000}"/>
    <cellStyle name="60% - 강조색4 10" xfId="247" xr:uid="{00000000-0005-0000-0000-0000F6000000}"/>
    <cellStyle name="60% - 강조색4 11" xfId="248" xr:uid="{00000000-0005-0000-0000-0000F7000000}"/>
    <cellStyle name="60% - 강조색4 12" xfId="249" xr:uid="{00000000-0005-0000-0000-0000F8000000}"/>
    <cellStyle name="60% - 강조색4 13" xfId="250" xr:uid="{00000000-0005-0000-0000-0000F9000000}"/>
    <cellStyle name="60% - 강조색4 14" xfId="251" xr:uid="{00000000-0005-0000-0000-0000FA000000}"/>
    <cellStyle name="60% - 강조색4 15" xfId="252" xr:uid="{00000000-0005-0000-0000-0000FB000000}"/>
    <cellStyle name="60% - 강조색4 16" xfId="253" xr:uid="{00000000-0005-0000-0000-0000FC000000}"/>
    <cellStyle name="60% - 강조색4 2" xfId="254" xr:uid="{00000000-0005-0000-0000-0000FD000000}"/>
    <cellStyle name="60% - 강조색4 3" xfId="255" xr:uid="{00000000-0005-0000-0000-0000FE000000}"/>
    <cellStyle name="60% - 강조색4 4" xfId="256" xr:uid="{00000000-0005-0000-0000-0000FF000000}"/>
    <cellStyle name="60% - 강조색4 5" xfId="257" xr:uid="{00000000-0005-0000-0000-000000010000}"/>
    <cellStyle name="60% - 강조색4 6" xfId="258" xr:uid="{00000000-0005-0000-0000-000001010000}"/>
    <cellStyle name="60% - 강조색4 7" xfId="259" xr:uid="{00000000-0005-0000-0000-000002010000}"/>
    <cellStyle name="60% - 강조색4 8" xfId="260" xr:uid="{00000000-0005-0000-0000-000003010000}"/>
    <cellStyle name="60% - 강조색4 9" xfId="261" xr:uid="{00000000-0005-0000-0000-000004010000}"/>
    <cellStyle name="60% - 강조색5 10" xfId="262" xr:uid="{00000000-0005-0000-0000-000005010000}"/>
    <cellStyle name="60% - 강조색5 11" xfId="263" xr:uid="{00000000-0005-0000-0000-000006010000}"/>
    <cellStyle name="60% - 강조색5 12" xfId="264" xr:uid="{00000000-0005-0000-0000-000007010000}"/>
    <cellStyle name="60% - 강조색5 13" xfId="265" xr:uid="{00000000-0005-0000-0000-000008010000}"/>
    <cellStyle name="60% - 강조색5 14" xfId="266" xr:uid="{00000000-0005-0000-0000-000009010000}"/>
    <cellStyle name="60% - 강조색5 15" xfId="267" xr:uid="{00000000-0005-0000-0000-00000A010000}"/>
    <cellStyle name="60% - 강조색5 16" xfId="268" xr:uid="{00000000-0005-0000-0000-00000B010000}"/>
    <cellStyle name="60% - 강조색5 2" xfId="269" xr:uid="{00000000-0005-0000-0000-00000C010000}"/>
    <cellStyle name="60% - 강조색5 3" xfId="270" xr:uid="{00000000-0005-0000-0000-00000D010000}"/>
    <cellStyle name="60% - 강조색5 4" xfId="271" xr:uid="{00000000-0005-0000-0000-00000E010000}"/>
    <cellStyle name="60% - 강조색5 5" xfId="272" xr:uid="{00000000-0005-0000-0000-00000F010000}"/>
    <cellStyle name="60% - 강조색5 6" xfId="273" xr:uid="{00000000-0005-0000-0000-000010010000}"/>
    <cellStyle name="60% - 강조색5 7" xfId="274" xr:uid="{00000000-0005-0000-0000-000011010000}"/>
    <cellStyle name="60% - 강조색5 8" xfId="275" xr:uid="{00000000-0005-0000-0000-000012010000}"/>
    <cellStyle name="60% - 강조색5 9" xfId="276" xr:uid="{00000000-0005-0000-0000-000013010000}"/>
    <cellStyle name="60% - 강조색6 10" xfId="277" xr:uid="{00000000-0005-0000-0000-000014010000}"/>
    <cellStyle name="60% - 강조색6 11" xfId="278" xr:uid="{00000000-0005-0000-0000-000015010000}"/>
    <cellStyle name="60% - 강조색6 12" xfId="279" xr:uid="{00000000-0005-0000-0000-000016010000}"/>
    <cellStyle name="60% - 강조색6 13" xfId="280" xr:uid="{00000000-0005-0000-0000-000017010000}"/>
    <cellStyle name="60% - 강조색6 14" xfId="281" xr:uid="{00000000-0005-0000-0000-000018010000}"/>
    <cellStyle name="60% - 강조색6 15" xfId="282" xr:uid="{00000000-0005-0000-0000-000019010000}"/>
    <cellStyle name="60% - 강조색6 16" xfId="283" xr:uid="{00000000-0005-0000-0000-00001A010000}"/>
    <cellStyle name="60% - 강조색6 2" xfId="284" xr:uid="{00000000-0005-0000-0000-00001B010000}"/>
    <cellStyle name="60% - 강조색6 3" xfId="285" xr:uid="{00000000-0005-0000-0000-00001C010000}"/>
    <cellStyle name="60% - 강조색6 4" xfId="286" xr:uid="{00000000-0005-0000-0000-00001D010000}"/>
    <cellStyle name="60% - 강조색6 5" xfId="287" xr:uid="{00000000-0005-0000-0000-00001E010000}"/>
    <cellStyle name="60% - 강조색6 6" xfId="288" xr:uid="{00000000-0005-0000-0000-00001F010000}"/>
    <cellStyle name="60% - 강조색6 7" xfId="289" xr:uid="{00000000-0005-0000-0000-000020010000}"/>
    <cellStyle name="60% - 강조색6 8" xfId="290" xr:uid="{00000000-0005-0000-0000-000021010000}"/>
    <cellStyle name="60% - 강조색6 9" xfId="291" xr:uid="{00000000-0005-0000-0000-000022010000}"/>
    <cellStyle name="7" xfId="292" xr:uid="{00000000-0005-0000-0000-000023010000}"/>
    <cellStyle name="7 2" xfId="293" xr:uid="{00000000-0005-0000-0000-000024010000}"/>
    <cellStyle name="7_03월 다산 품질현황" xfId="294" xr:uid="{00000000-0005-0000-0000-000025010000}"/>
    <cellStyle name="7_10W 주간 업무보고" xfId="295" xr:uid="{00000000-0005-0000-0000-000026010000}"/>
    <cellStyle name="7_11W 주간 업무보고(다산TPS)" xfId="296" xr:uid="{00000000-0005-0000-0000-000027010000}"/>
    <cellStyle name="7_12W 주간 업무보고(다산TPS)" xfId="297" xr:uid="{00000000-0005-0000-0000-000028010000}"/>
    <cellStyle name="7_2007년 05월 공정품질현황(조립수리내역)" xfId="298" xr:uid="{00000000-0005-0000-0000-000029010000}"/>
    <cellStyle name="7_26W 주간 업무보고" xfId="299" xr:uid="{00000000-0005-0000-0000-00002A010000}"/>
    <cellStyle name="7_40주차 조립(완제품)공정주간 품질현황" xfId="300" xr:uid="{00000000-0005-0000-0000-00002B010000}"/>
    <cellStyle name="7_40주차 조립(완제품)공정주간 품질현황_24주차 SMT공정 주간 품질현황" xfId="301" xr:uid="{00000000-0005-0000-0000-00002C010000}"/>
    <cellStyle name="7_40주차 조립(완제품)공정주간 품질현황_25주차 SMT공정 주간 품질현황" xfId="302" xr:uid="{00000000-0005-0000-0000-00002D010000}"/>
    <cellStyle name="7_40주차 조립(완제품)공정주간 품질현황_26주차 SMT공정 주간 품질현황" xfId="303" xr:uid="{00000000-0005-0000-0000-00002E010000}"/>
    <cellStyle name="7_40주차 조립(완제품)공정주간 품질현황_27주차 SMT공정 주간 품질현황" xfId="304" xr:uid="{00000000-0005-0000-0000-00002F010000}"/>
    <cellStyle name="7_40주차 조립(완제품)공정주간 품질현황_29주차 SMT공정 주간 품질현황" xfId="305" xr:uid="{00000000-0005-0000-0000-000030010000}"/>
    <cellStyle name="7_40주차 조립(완제품)공정주간 품질현황_30주차 SMT공정 주간 품질현황" xfId="306" xr:uid="{00000000-0005-0000-0000-000031010000}"/>
    <cellStyle name="7_40주차 조립(완제품)공정주간 품질현황_31주차 SMT공정 주간 품질현황" xfId="307" xr:uid="{00000000-0005-0000-0000-000032010000}"/>
    <cellStyle name="7_40주차 조립(완제품)공정주간 품질현황_31주차 SMT불량DATA" xfId="308" xr:uid="{00000000-0005-0000-0000-000033010000}"/>
    <cellStyle name="7_40주차 조립(완제품)공정주간 품질현황_34주차 SMT공정 주간 품질현황" xfId="309" xr:uid="{00000000-0005-0000-0000-000034010000}"/>
    <cellStyle name="7_40주차 조립(완제품)공정주간 품질현황_35주차 SMT공정 주간 품질현황" xfId="310" xr:uid="{00000000-0005-0000-0000-000035010000}"/>
    <cellStyle name="7_40주차 조립(완제품)공정주간 품질현황_36주차 SMT공정 주간 품질현황" xfId="311" xr:uid="{00000000-0005-0000-0000-000036010000}"/>
    <cellStyle name="7_40주차 조립(완제품)공정주간 품질현황_37주차 SMT공정 주간 품질현황" xfId="312" xr:uid="{00000000-0005-0000-0000-000037010000}"/>
    <cellStyle name="7_40주차 조립(완제품)공정주간 품질현황_39주차 SMT공정 주간 품질현황" xfId="313" xr:uid="{00000000-0005-0000-0000-000038010000}"/>
    <cellStyle name="7_40주차 조립(완제품)공정주간 품질현황_퓨쳐 38주차 품질현황" xfId="314" xr:uid="{00000000-0005-0000-0000-000039010000}"/>
    <cellStyle name="7_HUMAX 품질 회의자료(42주차)" xfId="315" xr:uid="{00000000-0005-0000-0000-00003A010000}"/>
    <cellStyle name="7_주간보고양식(SMT-10W)" xfId="316" xr:uid="{00000000-0005-0000-0000-00003B010000}"/>
    <cellStyle name="7_주간보고양식(SMT-12W)" xfId="317" xr:uid="{00000000-0005-0000-0000-00003C010000}"/>
    <cellStyle name="7_품질회의10주차" xfId="318" xr:uid="{00000000-0005-0000-0000-00003D010000}"/>
    <cellStyle name="7_한단 MI TEST 여부 검토 Report" xfId="319" xr:uid="{00000000-0005-0000-0000-00003E010000}"/>
    <cellStyle name="AeE­ [0]_´e¿iAaCI¿aA≫ " xfId="320" xr:uid="{00000000-0005-0000-0000-00003F010000}"/>
    <cellStyle name="AeE­_´e¿iAaCI¿aA≫ " xfId="321" xr:uid="{00000000-0005-0000-0000-000040010000}"/>
    <cellStyle name="ALIGNMENT" xfId="322" xr:uid="{00000000-0005-0000-0000-000041010000}"/>
    <cellStyle name="args.style" xfId="323" xr:uid="{00000000-0005-0000-0000-000042010000}"/>
    <cellStyle name="AÞ¸¶ [0]_´e¿iAaCI¿aA≫ " xfId="324" xr:uid="{00000000-0005-0000-0000-000043010000}"/>
    <cellStyle name="AÞ¸¶_´e¿iAaCI¿aA≫ " xfId="325" xr:uid="{00000000-0005-0000-0000-000044010000}"/>
    <cellStyle name="C￥AØ_´e¿iAaCI¿aA≫ " xfId="326" xr:uid="{00000000-0005-0000-0000-000045010000}"/>
    <cellStyle name="Calc Currency (0)" xfId="327" xr:uid="{00000000-0005-0000-0000-000046010000}"/>
    <cellStyle name="Calc Currency (2)" xfId="328" xr:uid="{00000000-0005-0000-0000-000047010000}"/>
    <cellStyle name="Calc Percent (0)" xfId="329" xr:uid="{00000000-0005-0000-0000-000048010000}"/>
    <cellStyle name="Calc Percent (1)" xfId="330" xr:uid="{00000000-0005-0000-0000-000049010000}"/>
    <cellStyle name="Calc Percent (2)" xfId="331" xr:uid="{00000000-0005-0000-0000-00004A010000}"/>
    <cellStyle name="Calc Units (0)" xfId="332" xr:uid="{00000000-0005-0000-0000-00004B010000}"/>
    <cellStyle name="Calc Units (1)" xfId="333" xr:uid="{00000000-0005-0000-0000-00004C010000}"/>
    <cellStyle name="Calc Units (2)" xfId="334" xr:uid="{00000000-0005-0000-0000-00004D010000}"/>
    <cellStyle name="category" xfId="335" xr:uid="{00000000-0005-0000-0000-00004E010000}"/>
    <cellStyle name="Column_Title" xfId="336" xr:uid="{00000000-0005-0000-0000-00004F010000}"/>
    <cellStyle name="Comma [00]" xfId="338" xr:uid="{00000000-0005-0000-0000-000052010000}"/>
    <cellStyle name="comma zerodec" xfId="339" xr:uid="{00000000-0005-0000-0000-000053010000}"/>
    <cellStyle name="Copied" xfId="340" xr:uid="{00000000-0005-0000-0000-000054010000}"/>
    <cellStyle name="COST1" xfId="341" xr:uid="{00000000-0005-0000-0000-000055010000}"/>
    <cellStyle name="Co毸ma_Return on Rev" xfId="342" xr:uid="{00000000-0005-0000-0000-000056010000}"/>
    <cellStyle name="Currency [00]" xfId="343" xr:uid="{00000000-0005-0000-0000-000057010000}"/>
    <cellStyle name="Currency 2" xfId="4831" xr:uid="{00000000-0005-0000-0000-000058010000}"/>
    <cellStyle name="Currency1" xfId="344" xr:uid="{00000000-0005-0000-0000-000059010000}"/>
    <cellStyle name="Date Short" xfId="345" xr:uid="{00000000-0005-0000-0000-00005A010000}"/>
    <cellStyle name="Dezimal [0]_laroux" xfId="346" xr:uid="{00000000-0005-0000-0000-00005B010000}"/>
    <cellStyle name="Dezimal_laroux" xfId="347" xr:uid="{00000000-0005-0000-0000-00005C010000}"/>
    <cellStyle name="Dollar (zero dec)" xfId="348" xr:uid="{00000000-0005-0000-0000-00005D010000}"/>
    <cellStyle name="DOWN" xfId="349" xr:uid="{00000000-0005-0000-0000-00005E010000}"/>
    <cellStyle name="Enter Currency (0)" xfId="350" xr:uid="{00000000-0005-0000-0000-00005F010000}"/>
    <cellStyle name="Enter Currency (2)" xfId="351" xr:uid="{00000000-0005-0000-0000-000060010000}"/>
    <cellStyle name="Enter Units (0)" xfId="352" xr:uid="{00000000-0005-0000-0000-000061010000}"/>
    <cellStyle name="Enter Units (1)" xfId="353" xr:uid="{00000000-0005-0000-0000-000062010000}"/>
    <cellStyle name="Enter Units (2)" xfId="354" xr:uid="{00000000-0005-0000-0000-000063010000}"/>
    <cellStyle name="Entered" xfId="355" xr:uid="{00000000-0005-0000-0000-000064010000}"/>
    <cellStyle name="Euro" xfId="356" xr:uid="{00000000-0005-0000-0000-000065010000}"/>
    <cellStyle name="Grey" xfId="357" xr:uid="{00000000-0005-0000-0000-000066010000}"/>
    <cellStyle name="HEADER" xfId="358" xr:uid="{00000000-0005-0000-0000-000067010000}"/>
    <cellStyle name="Header1" xfId="359" xr:uid="{00000000-0005-0000-0000-000068010000}"/>
    <cellStyle name="Header2" xfId="360" xr:uid="{00000000-0005-0000-0000-000069010000}"/>
    <cellStyle name="í â› [0.00]_AFR" xfId="361" xr:uid="{00000000-0005-0000-0000-00006A010000}"/>
    <cellStyle name="í â›_AFR" xfId="362" xr:uid="{00000000-0005-0000-0000-00006B010000}"/>
    <cellStyle name="Input [yellow]" xfId="363" xr:uid="{00000000-0005-0000-0000-00006C010000}"/>
    <cellStyle name="Input Cells" xfId="364" xr:uid="{00000000-0005-0000-0000-00006D010000}"/>
    <cellStyle name="ïWèÄ_2. FA summary " xfId="365" xr:uid="{00000000-0005-0000-0000-00006E010000}"/>
    <cellStyle name="KAGE" xfId="366" xr:uid="{00000000-0005-0000-0000-00006F010000}"/>
    <cellStyle name="Link Currency (0)" xfId="367" xr:uid="{00000000-0005-0000-0000-000070010000}"/>
    <cellStyle name="Link Currency (2)" xfId="368" xr:uid="{00000000-0005-0000-0000-000071010000}"/>
    <cellStyle name="Link Units (0)" xfId="369" xr:uid="{00000000-0005-0000-0000-000072010000}"/>
    <cellStyle name="Link Units (1)" xfId="370" xr:uid="{00000000-0005-0000-0000-000073010000}"/>
    <cellStyle name="Link Units (2)" xfId="371" xr:uid="{00000000-0005-0000-0000-000074010000}"/>
    <cellStyle name="Linked Cells" xfId="372" xr:uid="{00000000-0005-0000-0000-000075010000}"/>
    <cellStyle name="MIDDLE" xfId="373" xr:uid="{00000000-0005-0000-0000-000076010000}"/>
    <cellStyle name="Milliers [0]_!!!GO" xfId="374" xr:uid="{00000000-0005-0000-0000-000077010000}"/>
    <cellStyle name="Milliers_!!!GO" xfId="375" xr:uid="{00000000-0005-0000-0000-000078010000}"/>
    <cellStyle name="Model" xfId="376" xr:uid="{00000000-0005-0000-0000-000079010000}"/>
    <cellStyle name="Mon?aire [0]_!!!GO" xfId="377" xr:uid="{00000000-0005-0000-0000-00007A010000}"/>
    <cellStyle name="Mon?aire_!!!GO" xfId="378" xr:uid="{00000000-0005-0000-0000-00007B010000}"/>
    <cellStyle name="Monétaire [0]_AR1194" xfId="379" xr:uid="{00000000-0005-0000-0000-00007C010000}"/>
    <cellStyle name="Monétaire_AR1194" xfId="380" xr:uid="{00000000-0005-0000-0000-00007D010000}"/>
    <cellStyle name="Normal - Style1" xfId="381" xr:uid="{00000000-0005-0000-0000-00007F010000}"/>
    <cellStyle name="Normal 2" xfId="382" xr:uid="{00000000-0005-0000-0000-000080010000}"/>
    <cellStyle name="Normal 3" xfId="383" xr:uid="{00000000-0005-0000-0000-000081010000}"/>
    <cellStyle name="Normal 4" xfId="4830" xr:uid="{00000000-0005-0000-0000-000082010000}"/>
    <cellStyle name="Œ…‹æØ‚è [0.00]_report3" xfId="384" xr:uid="{00000000-0005-0000-0000-000083010000}"/>
    <cellStyle name="Œ…‹æØ‚è_report3" xfId="385" xr:uid="{00000000-0005-0000-0000-000084010000}"/>
    <cellStyle name="per.style" xfId="386" xr:uid="{00000000-0005-0000-0000-000085010000}"/>
    <cellStyle name="Percent [0]" xfId="387" xr:uid="{00000000-0005-0000-0000-000087010000}"/>
    <cellStyle name="Percent [00]" xfId="388" xr:uid="{00000000-0005-0000-0000-000088010000}"/>
    <cellStyle name="Percent [2]" xfId="389" xr:uid="{00000000-0005-0000-0000-000089010000}"/>
    <cellStyle name="PERCENTAGE" xfId="390" xr:uid="{00000000-0005-0000-0000-00008A010000}"/>
    <cellStyle name="PrePop Currency (0)" xfId="391" xr:uid="{00000000-0005-0000-0000-00008B010000}"/>
    <cellStyle name="PrePop Currency (2)" xfId="392" xr:uid="{00000000-0005-0000-0000-00008C010000}"/>
    <cellStyle name="PrePop Units (0)" xfId="393" xr:uid="{00000000-0005-0000-0000-00008D010000}"/>
    <cellStyle name="PrePop Units (1)" xfId="394" xr:uid="{00000000-0005-0000-0000-00008E010000}"/>
    <cellStyle name="PrePop Units (2)" xfId="395" xr:uid="{00000000-0005-0000-0000-00008F010000}"/>
    <cellStyle name="pricing" xfId="396" xr:uid="{00000000-0005-0000-0000-000090010000}"/>
    <cellStyle name="PSChar" xfId="397" xr:uid="{00000000-0005-0000-0000-000091010000}"/>
    <cellStyle name="RevList" xfId="398" xr:uid="{00000000-0005-0000-0000-000092010000}"/>
    <cellStyle name="smaller" xfId="399" xr:uid="{00000000-0005-0000-0000-000093010000}"/>
    <cellStyle name="Standard_laroux" xfId="400" xr:uid="{00000000-0005-0000-0000-000094010000}"/>
    <cellStyle name="subhead" xfId="401" xr:uid="{00000000-0005-0000-0000-000095010000}"/>
    <cellStyle name="Subtotal" xfId="402" xr:uid="{00000000-0005-0000-0000-000096010000}"/>
    <cellStyle name="Text Indent A" xfId="403" xr:uid="{00000000-0005-0000-0000-000097010000}"/>
    <cellStyle name="Text Indent B" xfId="404" xr:uid="{00000000-0005-0000-0000-000098010000}"/>
    <cellStyle name="Text Indent C" xfId="405" xr:uid="{00000000-0005-0000-0000-000099010000}"/>
    <cellStyle name="UP" xfId="406" xr:uid="{00000000-0005-0000-0000-00009A010000}"/>
    <cellStyle name="W?rung [0]_laroux" xfId="407" xr:uid="{00000000-0005-0000-0000-00009B010000}"/>
    <cellStyle name="W?rung_laroux" xfId="408" xr:uid="{00000000-0005-0000-0000-00009C010000}"/>
    <cellStyle name="가운데" xfId="409" xr:uid="{00000000-0005-0000-0000-00009D010000}"/>
    <cellStyle name="강조색1 10" xfId="410" xr:uid="{00000000-0005-0000-0000-00009E010000}"/>
    <cellStyle name="강조색1 11" xfId="411" xr:uid="{00000000-0005-0000-0000-00009F010000}"/>
    <cellStyle name="강조색1 12" xfId="412" xr:uid="{00000000-0005-0000-0000-0000A0010000}"/>
    <cellStyle name="강조색1 13" xfId="413" xr:uid="{00000000-0005-0000-0000-0000A1010000}"/>
    <cellStyle name="강조색1 14" xfId="414" xr:uid="{00000000-0005-0000-0000-0000A2010000}"/>
    <cellStyle name="강조색1 15" xfId="415" xr:uid="{00000000-0005-0000-0000-0000A3010000}"/>
    <cellStyle name="강조색1 16" xfId="416" xr:uid="{00000000-0005-0000-0000-0000A4010000}"/>
    <cellStyle name="강조색1 2" xfId="417" xr:uid="{00000000-0005-0000-0000-0000A5010000}"/>
    <cellStyle name="강조색1 3" xfId="418" xr:uid="{00000000-0005-0000-0000-0000A6010000}"/>
    <cellStyle name="강조색1 4" xfId="419" xr:uid="{00000000-0005-0000-0000-0000A7010000}"/>
    <cellStyle name="강조색1 5" xfId="420" xr:uid="{00000000-0005-0000-0000-0000A8010000}"/>
    <cellStyle name="강조색1 6" xfId="421" xr:uid="{00000000-0005-0000-0000-0000A9010000}"/>
    <cellStyle name="강조색1 7" xfId="422" xr:uid="{00000000-0005-0000-0000-0000AA010000}"/>
    <cellStyle name="강조색1 8" xfId="423" xr:uid="{00000000-0005-0000-0000-0000AB010000}"/>
    <cellStyle name="강조색1 9" xfId="424" xr:uid="{00000000-0005-0000-0000-0000AC010000}"/>
    <cellStyle name="강조색2 10" xfId="425" xr:uid="{00000000-0005-0000-0000-0000AD010000}"/>
    <cellStyle name="강조색2 11" xfId="426" xr:uid="{00000000-0005-0000-0000-0000AE010000}"/>
    <cellStyle name="강조색2 12" xfId="427" xr:uid="{00000000-0005-0000-0000-0000AF010000}"/>
    <cellStyle name="강조색2 13" xfId="428" xr:uid="{00000000-0005-0000-0000-0000B0010000}"/>
    <cellStyle name="강조색2 14" xfId="429" xr:uid="{00000000-0005-0000-0000-0000B1010000}"/>
    <cellStyle name="강조색2 15" xfId="430" xr:uid="{00000000-0005-0000-0000-0000B2010000}"/>
    <cellStyle name="강조색2 16" xfId="431" xr:uid="{00000000-0005-0000-0000-0000B3010000}"/>
    <cellStyle name="강조색2 2" xfId="432" xr:uid="{00000000-0005-0000-0000-0000B4010000}"/>
    <cellStyle name="강조색2 3" xfId="433" xr:uid="{00000000-0005-0000-0000-0000B5010000}"/>
    <cellStyle name="강조색2 4" xfId="434" xr:uid="{00000000-0005-0000-0000-0000B6010000}"/>
    <cellStyle name="강조색2 5" xfId="435" xr:uid="{00000000-0005-0000-0000-0000B7010000}"/>
    <cellStyle name="강조색2 6" xfId="436" xr:uid="{00000000-0005-0000-0000-0000B8010000}"/>
    <cellStyle name="강조색2 7" xfId="437" xr:uid="{00000000-0005-0000-0000-0000B9010000}"/>
    <cellStyle name="강조색2 8" xfId="438" xr:uid="{00000000-0005-0000-0000-0000BA010000}"/>
    <cellStyle name="강조색2 9" xfId="439" xr:uid="{00000000-0005-0000-0000-0000BB010000}"/>
    <cellStyle name="강조색3 10" xfId="440" xr:uid="{00000000-0005-0000-0000-0000BC010000}"/>
    <cellStyle name="강조색3 11" xfId="441" xr:uid="{00000000-0005-0000-0000-0000BD010000}"/>
    <cellStyle name="강조색3 12" xfId="442" xr:uid="{00000000-0005-0000-0000-0000BE010000}"/>
    <cellStyle name="강조색3 13" xfId="443" xr:uid="{00000000-0005-0000-0000-0000BF010000}"/>
    <cellStyle name="강조색3 14" xfId="444" xr:uid="{00000000-0005-0000-0000-0000C0010000}"/>
    <cellStyle name="강조색3 15" xfId="445" xr:uid="{00000000-0005-0000-0000-0000C1010000}"/>
    <cellStyle name="강조색3 16" xfId="446" xr:uid="{00000000-0005-0000-0000-0000C2010000}"/>
    <cellStyle name="강조색3 2" xfId="447" xr:uid="{00000000-0005-0000-0000-0000C3010000}"/>
    <cellStyle name="강조색3 3" xfId="448" xr:uid="{00000000-0005-0000-0000-0000C4010000}"/>
    <cellStyle name="강조색3 4" xfId="449" xr:uid="{00000000-0005-0000-0000-0000C5010000}"/>
    <cellStyle name="강조색3 5" xfId="450" xr:uid="{00000000-0005-0000-0000-0000C6010000}"/>
    <cellStyle name="강조색3 6" xfId="451" xr:uid="{00000000-0005-0000-0000-0000C7010000}"/>
    <cellStyle name="강조색3 7" xfId="452" xr:uid="{00000000-0005-0000-0000-0000C8010000}"/>
    <cellStyle name="강조색3 8" xfId="453" xr:uid="{00000000-0005-0000-0000-0000C9010000}"/>
    <cellStyle name="강조색3 9" xfId="454" xr:uid="{00000000-0005-0000-0000-0000CA010000}"/>
    <cellStyle name="강조색4 10" xfId="455" xr:uid="{00000000-0005-0000-0000-0000CB010000}"/>
    <cellStyle name="강조색4 11" xfId="456" xr:uid="{00000000-0005-0000-0000-0000CC010000}"/>
    <cellStyle name="강조색4 12" xfId="457" xr:uid="{00000000-0005-0000-0000-0000CD010000}"/>
    <cellStyle name="강조색4 13" xfId="458" xr:uid="{00000000-0005-0000-0000-0000CE010000}"/>
    <cellStyle name="강조색4 14" xfId="459" xr:uid="{00000000-0005-0000-0000-0000CF010000}"/>
    <cellStyle name="강조색4 15" xfId="460" xr:uid="{00000000-0005-0000-0000-0000D0010000}"/>
    <cellStyle name="강조색4 16" xfId="461" xr:uid="{00000000-0005-0000-0000-0000D1010000}"/>
    <cellStyle name="강조색4 2" xfId="462" xr:uid="{00000000-0005-0000-0000-0000D2010000}"/>
    <cellStyle name="강조색4 3" xfId="463" xr:uid="{00000000-0005-0000-0000-0000D3010000}"/>
    <cellStyle name="강조색4 4" xfId="464" xr:uid="{00000000-0005-0000-0000-0000D4010000}"/>
    <cellStyle name="강조색4 5" xfId="465" xr:uid="{00000000-0005-0000-0000-0000D5010000}"/>
    <cellStyle name="강조색4 6" xfId="466" xr:uid="{00000000-0005-0000-0000-0000D6010000}"/>
    <cellStyle name="강조색4 7" xfId="467" xr:uid="{00000000-0005-0000-0000-0000D7010000}"/>
    <cellStyle name="강조색4 8" xfId="468" xr:uid="{00000000-0005-0000-0000-0000D8010000}"/>
    <cellStyle name="강조색4 9" xfId="469" xr:uid="{00000000-0005-0000-0000-0000D9010000}"/>
    <cellStyle name="강조색5 10" xfId="470" xr:uid="{00000000-0005-0000-0000-0000DA010000}"/>
    <cellStyle name="강조색5 11" xfId="471" xr:uid="{00000000-0005-0000-0000-0000DB010000}"/>
    <cellStyle name="강조색5 12" xfId="472" xr:uid="{00000000-0005-0000-0000-0000DC010000}"/>
    <cellStyle name="강조색5 13" xfId="473" xr:uid="{00000000-0005-0000-0000-0000DD010000}"/>
    <cellStyle name="강조색5 14" xfId="474" xr:uid="{00000000-0005-0000-0000-0000DE010000}"/>
    <cellStyle name="강조색5 15" xfId="475" xr:uid="{00000000-0005-0000-0000-0000DF010000}"/>
    <cellStyle name="강조색5 16" xfId="476" xr:uid="{00000000-0005-0000-0000-0000E0010000}"/>
    <cellStyle name="강조색5 2" xfId="477" xr:uid="{00000000-0005-0000-0000-0000E1010000}"/>
    <cellStyle name="강조색5 3" xfId="478" xr:uid="{00000000-0005-0000-0000-0000E2010000}"/>
    <cellStyle name="강조색5 4" xfId="479" xr:uid="{00000000-0005-0000-0000-0000E3010000}"/>
    <cellStyle name="강조색5 5" xfId="480" xr:uid="{00000000-0005-0000-0000-0000E4010000}"/>
    <cellStyle name="강조색5 6" xfId="481" xr:uid="{00000000-0005-0000-0000-0000E5010000}"/>
    <cellStyle name="강조색5 7" xfId="482" xr:uid="{00000000-0005-0000-0000-0000E6010000}"/>
    <cellStyle name="강조색5 8" xfId="483" xr:uid="{00000000-0005-0000-0000-0000E7010000}"/>
    <cellStyle name="강조색5 9" xfId="484" xr:uid="{00000000-0005-0000-0000-0000E8010000}"/>
    <cellStyle name="강조색6 10" xfId="485" xr:uid="{00000000-0005-0000-0000-0000E9010000}"/>
    <cellStyle name="강조색6 11" xfId="486" xr:uid="{00000000-0005-0000-0000-0000EA010000}"/>
    <cellStyle name="강조색6 12" xfId="487" xr:uid="{00000000-0005-0000-0000-0000EB010000}"/>
    <cellStyle name="강조색6 13" xfId="488" xr:uid="{00000000-0005-0000-0000-0000EC010000}"/>
    <cellStyle name="강조색6 14" xfId="489" xr:uid="{00000000-0005-0000-0000-0000ED010000}"/>
    <cellStyle name="강조색6 15" xfId="490" xr:uid="{00000000-0005-0000-0000-0000EE010000}"/>
    <cellStyle name="강조색6 16" xfId="491" xr:uid="{00000000-0005-0000-0000-0000EF010000}"/>
    <cellStyle name="강조색6 2" xfId="492" xr:uid="{00000000-0005-0000-0000-0000F0010000}"/>
    <cellStyle name="강조색6 3" xfId="493" xr:uid="{00000000-0005-0000-0000-0000F1010000}"/>
    <cellStyle name="강조색6 4" xfId="494" xr:uid="{00000000-0005-0000-0000-0000F2010000}"/>
    <cellStyle name="강조색6 5" xfId="495" xr:uid="{00000000-0005-0000-0000-0000F3010000}"/>
    <cellStyle name="강조색6 6" xfId="496" xr:uid="{00000000-0005-0000-0000-0000F4010000}"/>
    <cellStyle name="강조색6 7" xfId="497" xr:uid="{00000000-0005-0000-0000-0000F5010000}"/>
    <cellStyle name="강조색6 8" xfId="498" xr:uid="{00000000-0005-0000-0000-0000F6010000}"/>
    <cellStyle name="강조색6 9" xfId="499" xr:uid="{00000000-0005-0000-0000-0000F7010000}"/>
    <cellStyle name="경고문 10" xfId="500" xr:uid="{00000000-0005-0000-0000-0000F8010000}"/>
    <cellStyle name="경고문 11" xfId="501" xr:uid="{00000000-0005-0000-0000-0000F9010000}"/>
    <cellStyle name="경고문 12" xfId="502" xr:uid="{00000000-0005-0000-0000-0000FA010000}"/>
    <cellStyle name="경고문 13" xfId="503" xr:uid="{00000000-0005-0000-0000-0000FB010000}"/>
    <cellStyle name="경고문 14" xfId="504" xr:uid="{00000000-0005-0000-0000-0000FC010000}"/>
    <cellStyle name="경고문 15" xfId="505" xr:uid="{00000000-0005-0000-0000-0000FD010000}"/>
    <cellStyle name="경고문 16" xfId="506" xr:uid="{00000000-0005-0000-0000-0000FE010000}"/>
    <cellStyle name="경고문 2" xfId="507" xr:uid="{00000000-0005-0000-0000-0000FF010000}"/>
    <cellStyle name="경고문 2 2" xfId="508" xr:uid="{00000000-0005-0000-0000-000000020000}"/>
    <cellStyle name="경고문 2 3" xfId="509" xr:uid="{00000000-0005-0000-0000-000001020000}"/>
    <cellStyle name="경고문 3" xfId="510" xr:uid="{00000000-0005-0000-0000-000002020000}"/>
    <cellStyle name="경고문 4" xfId="511" xr:uid="{00000000-0005-0000-0000-000003020000}"/>
    <cellStyle name="경고문 5" xfId="512" xr:uid="{00000000-0005-0000-0000-000004020000}"/>
    <cellStyle name="경고문 6" xfId="513" xr:uid="{00000000-0005-0000-0000-000005020000}"/>
    <cellStyle name="경고문 7" xfId="514" xr:uid="{00000000-0005-0000-0000-000006020000}"/>
    <cellStyle name="경고문 8" xfId="515" xr:uid="{00000000-0005-0000-0000-000007020000}"/>
    <cellStyle name="경고문 9" xfId="516" xr:uid="{00000000-0005-0000-0000-000008020000}"/>
    <cellStyle name="계산 10" xfId="517" xr:uid="{00000000-0005-0000-0000-000009020000}"/>
    <cellStyle name="계산 11" xfId="518" xr:uid="{00000000-0005-0000-0000-00000A020000}"/>
    <cellStyle name="계산 12" xfId="519" xr:uid="{00000000-0005-0000-0000-00000B020000}"/>
    <cellStyle name="계산 13" xfId="520" xr:uid="{00000000-0005-0000-0000-00000C020000}"/>
    <cellStyle name="계산 14" xfId="521" xr:uid="{00000000-0005-0000-0000-00000D020000}"/>
    <cellStyle name="계산 15" xfId="522" xr:uid="{00000000-0005-0000-0000-00000E020000}"/>
    <cellStyle name="계산 16" xfId="523" xr:uid="{00000000-0005-0000-0000-00000F020000}"/>
    <cellStyle name="계산 2" xfId="524" xr:uid="{00000000-0005-0000-0000-000010020000}"/>
    <cellStyle name="계산 2 2" xfId="525" xr:uid="{00000000-0005-0000-0000-000011020000}"/>
    <cellStyle name="계산 2 3" xfId="526" xr:uid="{00000000-0005-0000-0000-000012020000}"/>
    <cellStyle name="계산 3" xfId="527" xr:uid="{00000000-0005-0000-0000-000013020000}"/>
    <cellStyle name="계산 4" xfId="528" xr:uid="{00000000-0005-0000-0000-000014020000}"/>
    <cellStyle name="계산 5" xfId="529" xr:uid="{00000000-0005-0000-0000-000015020000}"/>
    <cellStyle name="계산 6" xfId="530" xr:uid="{00000000-0005-0000-0000-000016020000}"/>
    <cellStyle name="계산 7" xfId="531" xr:uid="{00000000-0005-0000-0000-000017020000}"/>
    <cellStyle name="계산 8" xfId="532" xr:uid="{00000000-0005-0000-0000-000018020000}"/>
    <cellStyle name="계산 9" xfId="533" xr:uid="{00000000-0005-0000-0000-000019020000}"/>
    <cellStyle name="고정소숫점_V-200제작추진 " xfId="534" xr:uid="{00000000-0005-0000-0000-00001A020000}"/>
    <cellStyle name="고정출력1_10월2W타부 " xfId="535" xr:uid="{00000000-0005-0000-0000-00001B020000}"/>
    <cellStyle name="고정출력2_10월2W타부 " xfId="536" xr:uid="{00000000-0005-0000-0000-00001C020000}"/>
    <cellStyle name="咬訌裝?INCOM1" xfId="2980" xr:uid="{00000000-0005-0000-0000-000018210000}"/>
    <cellStyle name="咬訌裝?INCOM10" xfId="2981" xr:uid="{00000000-0005-0000-0000-000019210000}"/>
    <cellStyle name="咬訌裝?INCOM2" xfId="2982" xr:uid="{00000000-0005-0000-0000-00001A210000}"/>
    <cellStyle name="咬訌裝?INCOM3" xfId="2983" xr:uid="{00000000-0005-0000-0000-00001B210000}"/>
    <cellStyle name="咬訌裝?INCOM4" xfId="2984" xr:uid="{00000000-0005-0000-0000-00001C210000}"/>
    <cellStyle name="咬訌裝?INCOM5" xfId="2985" xr:uid="{00000000-0005-0000-0000-00001D210000}"/>
    <cellStyle name="咬訌裝?INCOM6" xfId="2986" xr:uid="{00000000-0005-0000-0000-00001E210000}"/>
    <cellStyle name="咬訌裝?INCOM7" xfId="2987" xr:uid="{00000000-0005-0000-0000-00001F210000}"/>
    <cellStyle name="咬訌裝?INCOM8" xfId="2988" xr:uid="{00000000-0005-0000-0000-000020210000}"/>
    <cellStyle name="咬訌裝?INCOM9" xfId="2989" xr:uid="{00000000-0005-0000-0000-000021210000}"/>
    <cellStyle name="咬訌裝?PRIB11" xfId="2990" xr:uid="{00000000-0005-0000-0000-000022210000}"/>
    <cellStyle name="나쁨 10" xfId="537" xr:uid="{00000000-0005-0000-0000-00001D020000}"/>
    <cellStyle name="나쁨 11" xfId="538" xr:uid="{00000000-0005-0000-0000-00001E020000}"/>
    <cellStyle name="나쁨 12" xfId="539" xr:uid="{00000000-0005-0000-0000-00001F020000}"/>
    <cellStyle name="나쁨 13" xfId="540" xr:uid="{00000000-0005-0000-0000-000020020000}"/>
    <cellStyle name="나쁨 14" xfId="541" xr:uid="{00000000-0005-0000-0000-000021020000}"/>
    <cellStyle name="나쁨 15" xfId="542" xr:uid="{00000000-0005-0000-0000-000022020000}"/>
    <cellStyle name="나쁨 16" xfId="543" xr:uid="{00000000-0005-0000-0000-000023020000}"/>
    <cellStyle name="나쁨 2" xfId="544" xr:uid="{00000000-0005-0000-0000-000024020000}"/>
    <cellStyle name="나쁨 2 2" xfId="545" xr:uid="{00000000-0005-0000-0000-000025020000}"/>
    <cellStyle name="나쁨 2 3" xfId="546" xr:uid="{00000000-0005-0000-0000-000026020000}"/>
    <cellStyle name="나쁨 3" xfId="547" xr:uid="{00000000-0005-0000-0000-000027020000}"/>
    <cellStyle name="나쁨 4" xfId="548" xr:uid="{00000000-0005-0000-0000-000028020000}"/>
    <cellStyle name="나쁨 5" xfId="549" xr:uid="{00000000-0005-0000-0000-000029020000}"/>
    <cellStyle name="나쁨 6" xfId="550" xr:uid="{00000000-0005-0000-0000-00002A020000}"/>
    <cellStyle name="나쁨 7" xfId="551" xr:uid="{00000000-0005-0000-0000-00002B020000}"/>
    <cellStyle name="나쁨 8" xfId="552" xr:uid="{00000000-0005-0000-0000-00002C020000}"/>
    <cellStyle name="나쁨 9" xfId="553" xr:uid="{00000000-0005-0000-0000-00002D020000}"/>
    <cellStyle name="날짜_V-200제작추진 " xfId="554" xr:uid="{00000000-0005-0000-0000-00002E020000}"/>
    <cellStyle name="달러_V-200제작추진 " xfId="555" xr:uid="{00000000-0005-0000-0000-00002F020000}"/>
    <cellStyle name="뒤에 오는 하이퍼링크_2004차체과전진관리방안(20040127).xls Chart 2" xfId="556" xr:uid="{00000000-0005-0000-0000-000030020000}"/>
    <cellStyle name="똿뗦먛귟 [0.00]_PRODUCT DETAIL Q1" xfId="557" xr:uid="{00000000-0005-0000-0000-000031020000}"/>
    <cellStyle name="똿뗦먛귟_PRODUCT DETAIL Q1" xfId="558" xr:uid="{00000000-0005-0000-0000-000032020000}"/>
    <cellStyle name="메모 10" xfId="559" xr:uid="{00000000-0005-0000-0000-000033020000}"/>
    <cellStyle name="메모 11" xfId="560" xr:uid="{00000000-0005-0000-0000-000034020000}"/>
    <cellStyle name="메모 12" xfId="561" xr:uid="{00000000-0005-0000-0000-000035020000}"/>
    <cellStyle name="메모 12 2" xfId="562" xr:uid="{00000000-0005-0000-0000-000036020000}"/>
    <cellStyle name="메모 13" xfId="563" xr:uid="{00000000-0005-0000-0000-000037020000}"/>
    <cellStyle name="메모 13 2" xfId="564" xr:uid="{00000000-0005-0000-0000-000038020000}"/>
    <cellStyle name="메모 14" xfId="565" xr:uid="{00000000-0005-0000-0000-000039020000}"/>
    <cellStyle name="메모 14 2" xfId="566" xr:uid="{00000000-0005-0000-0000-00003A020000}"/>
    <cellStyle name="메모 15" xfId="567" xr:uid="{00000000-0005-0000-0000-00003B020000}"/>
    <cellStyle name="메모 15 2" xfId="568" xr:uid="{00000000-0005-0000-0000-00003C020000}"/>
    <cellStyle name="메모 16" xfId="569" xr:uid="{00000000-0005-0000-0000-00003D020000}"/>
    <cellStyle name="메모 16 2" xfId="570" xr:uid="{00000000-0005-0000-0000-00003E020000}"/>
    <cellStyle name="메모 2" xfId="571" xr:uid="{00000000-0005-0000-0000-00003F020000}"/>
    <cellStyle name="메모 2 2" xfId="572" xr:uid="{00000000-0005-0000-0000-000040020000}"/>
    <cellStyle name="메모 3" xfId="573" xr:uid="{00000000-0005-0000-0000-000041020000}"/>
    <cellStyle name="메모 4" xfId="574" xr:uid="{00000000-0005-0000-0000-000042020000}"/>
    <cellStyle name="메모 5" xfId="575" xr:uid="{00000000-0005-0000-0000-000043020000}"/>
    <cellStyle name="메모 6" xfId="576" xr:uid="{00000000-0005-0000-0000-000044020000}"/>
    <cellStyle name="메모 7" xfId="577" xr:uid="{00000000-0005-0000-0000-000045020000}"/>
    <cellStyle name="메모 8" xfId="578" xr:uid="{00000000-0005-0000-0000-000046020000}"/>
    <cellStyle name="메모 9" xfId="579" xr:uid="{00000000-0005-0000-0000-000047020000}"/>
    <cellStyle name="믅됞 [0.00]_PRODUCT DETAIL Q1" xfId="580" xr:uid="{00000000-0005-0000-0000-000048020000}"/>
    <cellStyle name="믅됞_PRODUCT DETAIL Q1" xfId="581" xr:uid="{00000000-0005-0000-0000-000049020000}"/>
    <cellStyle name="밍? [0]_엄넷?? " xfId="582" xr:uid="{00000000-0005-0000-0000-00004A020000}"/>
    <cellStyle name="밍?_엄넷?? " xfId="583" xr:uid="{00000000-0005-0000-0000-00004B020000}"/>
    <cellStyle name="백분율 2" xfId="584" xr:uid="{00000000-0005-0000-0000-00004C020000}"/>
    <cellStyle name="백분율 2 2" xfId="585" xr:uid="{00000000-0005-0000-0000-00004D020000}"/>
    <cellStyle name="백분율 3" xfId="586" xr:uid="{00000000-0005-0000-0000-00004E020000}"/>
    <cellStyle name="백분율 4" xfId="587" xr:uid="{00000000-0005-0000-0000-00004F020000}"/>
    <cellStyle name="백분율 5" xfId="588" xr:uid="{00000000-0005-0000-0000-000050020000}"/>
    <cellStyle name="보통 10" xfId="589" xr:uid="{00000000-0005-0000-0000-000051020000}"/>
    <cellStyle name="보통 11" xfId="590" xr:uid="{00000000-0005-0000-0000-000052020000}"/>
    <cellStyle name="보통 12" xfId="591" xr:uid="{00000000-0005-0000-0000-000053020000}"/>
    <cellStyle name="보통 13" xfId="592" xr:uid="{00000000-0005-0000-0000-000054020000}"/>
    <cellStyle name="보통 14" xfId="593" xr:uid="{00000000-0005-0000-0000-000055020000}"/>
    <cellStyle name="보통 15" xfId="594" xr:uid="{00000000-0005-0000-0000-000056020000}"/>
    <cellStyle name="보통 16" xfId="595" xr:uid="{00000000-0005-0000-0000-000057020000}"/>
    <cellStyle name="보통 2" xfId="596" xr:uid="{00000000-0005-0000-0000-000058020000}"/>
    <cellStyle name="보통 3" xfId="597" xr:uid="{00000000-0005-0000-0000-000059020000}"/>
    <cellStyle name="보통 4" xfId="598" xr:uid="{00000000-0005-0000-0000-00005A020000}"/>
    <cellStyle name="보통 5" xfId="599" xr:uid="{00000000-0005-0000-0000-00005B020000}"/>
    <cellStyle name="보통 6" xfId="600" xr:uid="{00000000-0005-0000-0000-00005C020000}"/>
    <cellStyle name="보통 7" xfId="601" xr:uid="{00000000-0005-0000-0000-00005D020000}"/>
    <cellStyle name="보통 8" xfId="602" xr:uid="{00000000-0005-0000-0000-00005E020000}"/>
    <cellStyle name="보통 9" xfId="603" xr:uid="{00000000-0005-0000-0000-00005F020000}"/>
    <cellStyle name="뷭?_BOOKSHIP" xfId="604" xr:uid="{00000000-0005-0000-0000-000060020000}"/>
    <cellStyle name="뷰A? [0]_엄넷?? " xfId="605" xr:uid="{00000000-0005-0000-0000-000061020000}"/>
    <cellStyle name="뷰A?_엄넷?? " xfId="606" xr:uid="{00000000-0005-0000-0000-000062020000}"/>
    <cellStyle name="常规_Sheet1" xfId="2991" xr:uid="{00000000-0005-0000-0000-000023210000}"/>
    <cellStyle name="설명 텍스트 10" xfId="607" xr:uid="{00000000-0005-0000-0000-000063020000}"/>
    <cellStyle name="설명 텍스트 11" xfId="608" xr:uid="{00000000-0005-0000-0000-000064020000}"/>
    <cellStyle name="설명 텍스트 12" xfId="609" xr:uid="{00000000-0005-0000-0000-000065020000}"/>
    <cellStyle name="설명 텍스트 13" xfId="610" xr:uid="{00000000-0005-0000-0000-000066020000}"/>
    <cellStyle name="설명 텍스트 14" xfId="611" xr:uid="{00000000-0005-0000-0000-000067020000}"/>
    <cellStyle name="설명 텍스트 15" xfId="612" xr:uid="{00000000-0005-0000-0000-000068020000}"/>
    <cellStyle name="설명 텍스트 16" xfId="613" xr:uid="{00000000-0005-0000-0000-000069020000}"/>
    <cellStyle name="설명 텍스트 2" xfId="614" xr:uid="{00000000-0005-0000-0000-00006A020000}"/>
    <cellStyle name="설명 텍스트 2 2" xfId="615" xr:uid="{00000000-0005-0000-0000-00006B020000}"/>
    <cellStyle name="설명 텍스트 2 3" xfId="616" xr:uid="{00000000-0005-0000-0000-00006C020000}"/>
    <cellStyle name="설명 텍스트 3" xfId="617" xr:uid="{00000000-0005-0000-0000-00006D020000}"/>
    <cellStyle name="설명 텍스트 4" xfId="618" xr:uid="{00000000-0005-0000-0000-00006E020000}"/>
    <cellStyle name="설명 텍스트 5" xfId="619" xr:uid="{00000000-0005-0000-0000-00006F020000}"/>
    <cellStyle name="설명 텍스트 6" xfId="620" xr:uid="{00000000-0005-0000-0000-000070020000}"/>
    <cellStyle name="설명 텍스트 7" xfId="621" xr:uid="{00000000-0005-0000-0000-000071020000}"/>
    <cellStyle name="설명 텍스트 8" xfId="622" xr:uid="{00000000-0005-0000-0000-000072020000}"/>
    <cellStyle name="설명 텍스트 9" xfId="623" xr:uid="{00000000-0005-0000-0000-000073020000}"/>
    <cellStyle name="셀 확인 10" xfId="624" xr:uid="{00000000-0005-0000-0000-000074020000}"/>
    <cellStyle name="셀 확인 11" xfId="625" xr:uid="{00000000-0005-0000-0000-000075020000}"/>
    <cellStyle name="셀 확인 12" xfId="626" xr:uid="{00000000-0005-0000-0000-000076020000}"/>
    <cellStyle name="셀 확인 13" xfId="627" xr:uid="{00000000-0005-0000-0000-000077020000}"/>
    <cellStyle name="셀 확인 14" xfId="628" xr:uid="{00000000-0005-0000-0000-000078020000}"/>
    <cellStyle name="셀 확인 15" xfId="629" xr:uid="{00000000-0005-0000-0000-000079020000}"/>
    <cellStyle name="셀 확인 16" xfId="630" xr:uid="{00000000-0005-0000-0000-00007A020000}"/>
    <cellStyle name="셀 확인 2" xfId="631" xr:uid="{00000000-0005-0000-0000-00007B020000}"/>
    <cellStyle name="셀 확인 3" xfId="632" xr:uid="{00000000-0005-0000-0000-00007C020000}"/>
    <cellStyle name="셀 확인 4" xfId="633" xr:uid="{00000000-0005-0000-0000-00007D020000}"/>
    <cellStyle name="셀 확인 5" xfId="634" xr:uid="{00000000-0005-0000-0000-00007E020000}"/>
    <cellStyle name="셀 확인 6" xfId="635" xr:uid="{00000000-0005-0000-0000-00007F020000}"/>
    <cellStyle name="셀 확인 7" xfId="636" xr:uid="{00000000-0005-0000-0000-000080020000}"/>
    <cellStyle name="셀 확인 8" xfId="637" xr:uid="{00000000-0005-0000-0000-000081020000}"/>
    <cellStyle name="셀 확인 9" xfId="638" xr:uid="{00000000-0005-0000-0000-000082020000}"/>
    <cellStyle name="숫자(R)_ 팀별중간검사실적(2) " xfId="639" xr:uid="{00000000-0005-0000-0000-000083020000}"/>
    <cellStyle name="쉼표 [0]" xfId="337" builtinId="6"/>
    <cellStyle name="쉼표 [0] 10" xfId="640" xr:uid="{00000000-0005-0000-0000-000084020000}"/>
    <cellStyle name="쉼표 [0] 10 2" xfId="641" xr:uid="{00000000-0005-0000-0000-000085020000}"/>
    <cellStyle name="쉼표 [0] 10 2 2" xfId="642" xr:uid="{00000000-0005-0000-0000-000086020000}"/>
    <cellStyle name="쉼표 [0] 10 2 2 2" xfId="643" xr:uid="{00000000-0005-0000-0000-000087020000}"/>
    <cellStyle name="쉼표 [0] 10 2 2 2 2" xfId="3005" xr:uid="{00000000-0005-0000-0000-000088020000}"/>
    <cellStyle name="쉼표 [0] 10 2 2 2 2 2" xfId="6666" xr:uid="{00000000-0005-0000-0000-000089020000}"/>
    <cellStyle name="쉼표 [0] 10 2 2 2 2 2 2" xfId="13983" xr:uid="{C6D0BAFD-916C-44E5-B8E8-5639796972AD}"/>
    <cellStyle name="쉼표 [0] 10 2 2 2 2 3" xfId="10325" xr:uid="{018CF17C-E8D0-40DB-B7EB-5B9B0F21E3C7}"/>
    <cellStyle name="쉼표 [0] 10 2 2 2 3" xfId="4837" xr:uid="{00000000-0005-0000-0000-00008A020000}"/>
    <cellStyle name="쉼표 [0] 10 2 2 2 3 2" xfId="12154" xr:uid="{9376CCDB-6C88-41A6-A689-1BBAD80C2BDD}"/>
    <cellStyle name="쉼표 [0] 10 2 2 2 4" xfId="8495" xr:uid="{68205114-C69A-4F94-8073-E98A7424A752}"/>
    <cellStyle name="쉼표 [0] 10 2 2 3" xfId="3004" xr:uid="{00000000-0005-0000-0000-00008B020000}"/>
    <cellStyle name="쉼표 [0] 10 2 2 3 2" xfId="6665" xr:uid="{00000000-0005-0000-0000-00008C020000}"/>
    <cellStyle name="쉼표 [0] 10 2 2 3 2 2" xfId="13982" xr:uid="{DB44DAC7-479D-443C-8978-D454A697680D}"/>
    <cellStyle name="쉼표 [0] 10 2 2 3 3" xfId="10324" xr:uid="{7D4D6327-BD85-4F7E-AC0A-097C7D68FE9C}"/>
    <cellStyle name="쉼표 [0] 10 2 2 4" xfId="4836" xr:uid="{00000000-0005-0000-0000-00008D020000}"/>
    <cellStyle name="쉼표 [0] 10 2 2 4 2" xfId="12153" xr:uid="{742AAD1C-CDB2-4918-AF5E-3AB40E1D51CA}"/>
    <cellStyle name="쉼표 [0] 10 2 2 5" xfId="8494" xr:uid="{BED415D7-3E7D-4A91-9F64-8FB9B72579F3}"/>
    <cellStyle name="쉼표 [0] 10 2 3" xfId="644" xr:uid="{00000000-0005-0000-0000-00008E020000}"/>
    <cellStyle name="쉼표 [0] 10 2 3 2" xfId="645" xr:uid="{00000000-0005-0000-0000-00008F020000}"/>
    <cellStyle name="쉼표 [0] 10 2 3 2 2" xfId="3007" xr:uid="{00000000-0005-0000-0000-000090020000}"/>
    <cellStyle name="쉼표 [0] 10 2 3 2 2 2" xfId="6668" xr:uid="{00000000-0005-0000-0000-000091020000}"/>
    <cellStyle name="쉼표 [0] 10 2 3 2 2 2 2" xfId="13985" xr:uid="{FB1249C9-9F2C-4F54-AF16-6F6F2D42F811}"/>
    <cellStyle name="쉼표 [0] 10 2 3 2 2 3" xfId="10327" xr:uid="{4752ECEB-7698-489F-813C-8DC7B8D59E98}"/>
    <cellStyle name="쉼표 [0] 10 2 3 2 3" xfId="4839" xr:uid="{00000000-0005-0000-0000-000092020000}"/>
    <cellStyle name="쉼표 [0] 10 2 3 2 3 2" xfId="12156" xr:uid="{DECCCB20-98F1-417B-9F57-D4A00C006E35}"/>
    <cellStyle name="쉼표 [0] 10 2 3 2 4" xfId="8497" xr:uid="{824B03CA-1D1E-474B-94E2-FBCBDC332F56}"/>
    <cellStyle name="쉼표 [0] 10 2 3 3" xfId="3006" xr:uid="{00000000-0005-0000-0000-000093020000}"/>
    <cellStyle name="쉼표 [0] 10 2 3 3 2" xfId="6667" xr:uid="{00000000-0005-0000-0000-000094020000}"/>
    <cellStyle name="쉼표 [0] 10 2 3 3 2 2" xfId="13984" xr:uid="{5E754EF1-2BA5-4E3A-86C0-736F660BDA0C}"/>
    <cellStyle name="쉼표 [0] 10 2 3 3 3" xfId="10326" xr:uid="{519971DD-EFB5-44A0-B5DF-2890352B1467}"/>
    <cellStyle name="쉼표 [0] 10 2 3 4" xfId="4838" xr:uid="{00000000-0005-0000-0000-000095020000}"/>
    <cellStyle name="쉼표 [0] 10 2 3 4 2" xfId="12155" xr:uid="{923CC375-670F-4C84-A41F-3CDE15388AFF}"/>
    <cellStyle name="쉼표 [0] 10 2 3 5" xfId="8496" xr:uid="{F52C60B1-2565-4B77-A27C-08D47D5B75CA}"/>
    <cellStyle name="쉼표 [0] 10 2 4" xfId="646" xr:uid="{00000000-0005-0000-0000-000096020000}"/>
    <cellStyle name="쉼표 [0] 10 2 4 2" xfId="3008" xr:uid="{00000000-0005-0000-0000-000097020000}"/>
    <cellStyle name="쉼표 [0] 10 2 4 2 2" xfId="6669" xr:uid="{00000000-0005-0000-0000-000098020000}"/>
    <cellStyle name="쉼표 [0] 10 2 4 2 2 2" xfId="13986" xr:uid="{3598E981-D8EF-438B-9A7C-F10F19AF9C7F}"/>
    <cellStyle name="쉼표 [0] 10 2 4 2 3" xfId="10328" xr:uid="{39B0D212-2D66-4F70-AB45-2C2E3277562F}"/>
    <cellStyle name="쉼표 [0] 10 2 4 3" xfId="4840" xr:uid="{00000000-0005-0000-0000-000099020000}"/>
    <cellStyle name="쉼표 [0] 10 2 4 3 2" xfId="12157" xr:uid="{002CDD85-EC51-48F8-9D49-CF2483899FA2}"/>
    <cellStyle name="쉼표 [0] 10 2 4 4" xfId="8498" xr:uid="{78A92075-E8EA-4F83-87AE-72FF2D5CE926}"/>
    <cellStyle name="쉼표 [0] 10 2 5" xfId="647" xr:uid="{00000000-0005-0000-0000-00009A020000}"/>
    <cellStyle name="쉼표 [0] 10 2 5 2" xfId="3009" xr:uid="{00000000-0005-0000-0000-00009B020000}"/>
    <cellStyle name="쉼표 [0] 10 2 5 2 2" xfId="6670" xr:uid="{00000000-0005-0000-0000-00009C020000}"/>
    <cellStyle name="쉼표 [0] 10 2 5 2 2 2" xfId="13987" xr:uid="{47F813AF-514F-45C6-84C8-E9B4A108CBBB}"/>
    <cellStyle name="쉼표 [0] 10 2 5 2 3" xfId="10329" xr:uid="{C7EBB209-4B0F-40ED-9B8F-308FC91A1859}"/>
    <cellStyle name="쉼표 [0] 10 2 5 3" xfId="4841" xr:uid="{00000000-0005-0000-0000-00009D020000}"/>
    <cellStyle name="쉼표 [0] 10 2 5 3 2" xfId="12158" xr:uid="{56661BA1-A877-4A28-B23E-81B314FA89F3}"/>
    <cellStyle name="쉼표 [0] 10 2 5 4" xfId="8499" xr:uid="{5A77B6C7-24C0-42FF-83E3-158B796DB466}"/>
    <cellStyle name="쉼표 [0] 10 2 6" xfId="3003" xr:uid="{00000000-0005-0000-0000-00009E020000}"/>
    <cellStyle name="쉼표 [0] 10 2 6 2" xfId="6664" xr:uid="{00000000-0005-0000-0000-00009F020000}"/>
    <cellStyle name="쉼표 [0] 10 2 6 2 2" xfId="13981" xr:uid="{95E01C14-571D-4005-8537-43F9DBF28C99}"/>
    <cellStyle name="쉼표 [0] 10 2 6 3" xfId="10323" xr:uid="{9A2F9975-8B74-4502-84A1-EEC0F0877F43}"/>
    <cellStyle name="쉼표 [0] 10 2 7" xfId="4835" xr:uid="{00000000-0005-0000-0000-0000A0020000}"/>
    <cellStyle name="쉼표 [0] 10 2 7 2" xfId="12152" xr:uid="{7FABB7A5-CB23-4037-9D53-03E2DD6945BD}"/>
    <cellStyle name="쉼표 [0] 10 2 8" xfId="8493" xr:uid="{8DA639B3-2EA3-4C92-8FB0-249968F47E58}"/>
    <cellStyle name="쉼표 [0] 10 3" xfId="648" xr:uid="{00000000-0005-0000-0000-0000A1020000}"/>
    <cellStyle name="쉼표 [0] 10 3 2" xfId="649" xr:uid="{00000000-0005-0000-0000-0000A2020000}"/>
    <cellStyle name="쉼표 [0] 10 3 2 2" xfId="3011" xr:uid="{00000000-0005-0000-0000-0000A3020000}"/>
    <cellStyle name="쉼표 [0] 10 3 2 2 2" xfId="6672" xr:uid="{00000000-0005-0000-0000-0000A4020000}"/>
    <cellStyle name="쉼표 [0] 10 3 2 2 2 2" xfId="13989" xr:uid="{67C3C086-F3D2-4552-A997-62914AD06EA4}"/>
    <cellStyle name="쉼표 [0] 10 3 2 2 3" xfId="10331" xr:uid="{248A9980-9C3E-4348-8A46-E3A42C3E521D}"/>
    <cellStyle name="쉼표 [0] 10 3 2 3" xfId="4843" xr:uid="{00000000-0005-0000-0000-0000A5020000}"/>
    <cellStyle name="쉼표 [0] 10 3 2 3 2" xfId="12160" xr:uid="{0851B33E-9CBE-4D5C-BBE0-706AFB78EE44}"/>
    <cellStyle name="쉼표 [0] 10 3 2 4" xfId="8501" xr:uid="{520922E2-CC21-4871-B9F0-BC901D9237D4}"/>
    <cellStyle name="쉼표 [0] 10 3 3" xfId="3010" xr:uid="{00000000-0005-0000-0000-0000A6020000}"/>
    <cellStyle name="쉼표 [0] 10 3 3 2" xfId="6671" xr:uid="{00000000-0005-0000-0000-0000A7020000}"/>
    <cellStyle name="쉼표 [0] 10 3 3 2 2" xfId="13988" xr:uid="{9655D401-D7E4-4806-8AE7-41F124FD0C5F}"/>
    <cellStyle name="쉼표 [0] 10 3 3 3" xfId="10330" xr:uid="{A7509A12-0729-48A6-BBBA-B8C25FD7EDE9}"/>
    <cellStyle name="쉼표 [0] 10 3 4" xfId="4842" xr:uid="{00000000-0005-0000-0000-0000A8020000}"/>
    <cellStyle name="쉼표 [0] 10 3 4 2" xfId="12159" xr:uid="{356B8E2F-453D-42B9-B81C-B825F55B3A69}"/>
    <cellStyle name="쉼표 [0] 10 3 5" xfId="8500" xr:uid="{E1D2521D-3C5C-4A89-951E-3A5F84510314}"/>
    <cellStyle name="쉼표 [0] 10 4" xfId="650" xr:uid="{00000000-0005-0000-0000-0000A9020000}"/>
    <cellStyle name="쉼표 [0] 10 4 2" xfId="3012" xr:uid="{00000000-0005-0000-0000-0000AA020000}"/>
    <cellStyle name="쉼표 [0] 10 4 2 2" xfId="6673" xr:uid="{00000000-0005-0000-0000-0000AB020000}"/>
    <cellStyle name="쉼표 [0] 10 4 2 2 2" xfId="13990" xr:uid="{CA884FB8-4621-433F-84A8-FF9EC3AF8F46}"/>
    <cellStyle name="쉼표 [0] 10 4 2 3" xfId="10332" xr:uid="{A81A618E-2BE0-41ED-AA25-70713E791512}"/>
    <cellStyle name="쉼표 [0] 10 4 3" xfId="4844" xr:uid="{00000000-0005-0000-0000-0000AC020000}"/>
    <cellStyle name="쉼표 [0] 10 4 3 2" xfId="12161" xr:uid="{ECD91CC8-DF64-45B9-BAB4-0061E6789CA9}"/>
    <cellStyle name="쉼표 [0] 10 4 4" xfId="8502" xr:uid="{D993A17E-62F0-48CB-8591-17EB7DEBECA9}"/>
    <cellStyle name="쉼표 [0] 10 5" xfId="651" xr:uid="{00000000-0005-0000-0000-0000AD020000}"/>
    <cellStyle name="쉼표 [0] 10 5 2" xfId="3013" xr:uid="{00000000-0005-0000-0000-0000AE020000}"/>
    <cellStyle name="쉼표 [0] 10 5 2 2" xfId="6674" xr:uid="{00000000-0005-0000-0000-0000AF020000}"/>
    <cellStyle name="쉼표 [0] 10 5 2 2 2" xfId="13991" xr:uid="{0B427B05-E473-429A-AC10-A329A690D3C0}"/>
    <cellStyle name="쉼표 [0] 10 5 2 3" xfId="10333" xr:uid="{BD408DE3-19F6-469F-82E4-0D34723DEACB}"/>
    <cellStyle name="쉼표 [0] 10 5 3" xfId="4845" xr:uid="{00000000-0005-0000-0000-0000B0020000}"/>
    <cellStyle name="쉼표 [0] 10 5 3 2" xfId="12162" xr:uid="{86CDC568-C1C2-464A-B23B-4B83725AD046}"/>
    <cellStyle name="쉼표 [0] 10 5 4" xfId="8503" xr:uid="{F952298A-32CE-4347-BAC3-2BAEE193926B}"/>
    <cellStyle name="쉼표 [0] 10 6" xfId="3002" xr:uid="{00000000-0005-0000-0000-0000B1020000}"/>
    <cellStyle name="쉼표 [0] 10 6 2" xfId="6663" xr:uid="{00000000-0005-0000-0000-0000B2020000}"/>
    <cellStyle name="쉼표 [0] 10 6 2 2" xfId="13980" xr:uid="{13300A5C-6DB7-4AD8-9257-06B9B56743DC}"/>
    <cellStyle name="쉼표 [0] 10 6 3" xfId="10322" xr:uid="{93ECC62D-4133-40A9-AE14-32A87BC6B47B}"/>
    <cellStyle name="쉼표 [0] 10 7" xfId="4834" xr:uid="{00000000-0005-0000-0000-0000B3020000}"/>
    <cellStyle name="쉼표 [0] 10 7 2" xfId="12151" xr:uid="{01C5D781-8A7E-4D43-B755-0CE251CFB3E8}"/>
    <cellStyle name="쉼표 [0] 10 8" xfId="8492" xr:uid="{D2D685DD-0C90-4B4E-8DC3-34C260AB5670}"/>
    <cellStyle name="쉼표 [0] 11" xfId="652" xr:uid="{00000000-0005-0000-0000-0000B4020000}"/>
    <cellStyle name="쉼표 [0] 11 2" xfId="653" xr:uid="{00000000-0005-0000-0000-0000B5020000}"/>
    <cellStyle name="쉼표 [0] 11 2 2" xfId="654" xr:uid="{00000000-0005-0000-0000-0000B6020000}"/>
    <cellStyle name="쉼표 [0] 11 2 2 2" xfId="3016" xr:uid="{00000000-0005-0000-0000-0000B7020000}"/>
    <cellStyle name="쉼표 [0] 11 2 2 2 2" xfId="6677" xr:uid="{00000000-0005-0000-0000-0000B8020000}"/>
    <cellStyle name="쉼표 [0] 11 2 2 2 2 2" xfId="13994" xr:uid="{B933629A-3031-4E26-80BB-9BE1731E445B}"/>
    <cellStyle name="쉼표 [0] 11 2 2 2 3" xfId="10336" xr:uid="{14941DA5-40B8-4C2B-9963-CB4E189A091B}"/>
    <cellStyle name="쉼표 [0] 11 2 2 3" xfId="4848" xr:uid="{00000000-0005-0000-0000-0000B9020000}"/>
    <cellStyle name="쉼표 [0] 11 2 2 3 2" xfId="12165" xr:uid="{F52884B9-A34D-4E0C-B4FF-2C844C49A7AA}"/>
    <cellStyle name="쉼표 [0] 11 2 2 4" xfId="8506" xr:uid="{CFACBDAE-2398-446A-8744-047199F99EBD}"/>
    <cellStyle name="쉼표 [0] 11 2 3" xfId="655" xr:uid="{00000000-0005-0000-0000-0000BA020000}"/>
    <cellStyle name="쉼표 [0] 11 2 3 2" xfId="3017" xr:uid="{00000000-0005-0000-0000-0000BB020000}"/>
    <cellStyle name="쉼표 [0] 11 2 3 2 2" xfId="6678" xr:uid="{00000000-0005-0000-0000-0000BC020000}"/>
    <cellStyle name="쉼표 [0] 11 2 3 2 2 2" xfId="13995" xr:uid="{5369FBE1-B9D5-4F4C-B4F9-F98D5EAD1542}"/>
    <cellStyle name="쉼표 [0] 11 2 3 2 3" xfId="10337" xr:uid="{E09EB88B-AEAA-4B5C-B67A-347C60F21A17}"/>
    <cellStyle name="쉼표 [0] 11 2 3 3" xfId="4849" xr:uid="{00000000-0005-0000-0000-0000BD020000}"/>
    <cellStyle name="쉼표 [0] 11 2 3 3 2" xfId="12166" xr:uid="{30E7667F-E3E3-49C9-9612-C3B88EA08BBE}"/>
    <cellStyle name="쉼표 [0] 11 2 3 4" xfId="8507" xr:uid="{3FEA9A84-3083-4834-BB56-61E7C8DD8442}"/>
    <cellStyle name="쉼표 [0] 11 2 4" xfId="656" xr:uid="{00000000-0005-0000-0000-0000BE020000}"/>
    <cellStyle name="쉼표 [0] 11 2 4 2" xfId="3018" xr:uid="{00000000-0005-0000-0000-0000BF020000}"/>
    <cellStyle name="쉼표 [0] 11 2 4 2 2" xfId="6679" xr:uid="{00000000-0005-0000-0000-0000C0020000}"/>
    <cellStyle name="쉼표 [0] 11 2 4 2 2 2" xfId="13996" xr:uid="{3CF33B3A-9B02-454A-BAC2-26AC0BB4D5EA}"/>
    <cellStyle name="쉼표 [0] 11 2 4 2 3" xfId="10338" xr:uid="{B7515E6C-8B73-4BD3-92D6-B3BA1DC82582}"/>
    <cellStyle name="쉼표 [0] 11 2 4 3" xfId="4850" xr:uid="{00000000-0005-0000-0000-0000C1020000}"/>
    <cellStyle name="쉼표 [0] 11 2 4 3 2" xfId="12167" xr:uid="{9DF93720-B510-451C-9A91-1D3C229086AE}"/>
    <cellStyle name="쉼표 [0] 11 2 4 4" xfId="8508" xr:uid="{B2D72EA7-18C8-4207-802F-D9D88D25D3A0}"/>
    <cellStyle name="쉼표 [0] 11 2 5" xfId="3015" xr:uid="{00000000-0005-0000-0000-0000C2020000}"/>
    <cellStyle name="쉼표 [0] 11 2 5 2" xfId="6676" xr:uid="{00000000-0005-0000-0000-0000C3020000}"/>
    <cellStyle name="쉼표 [0] 11 2 5 2 2" xfId="13993" xr:uid="{6DF061FB-E222-4FA0-BA27-7B8AE9153946}"/>
    <cellStyle name="쉼표 [0] 11 2 5 3" xfId="10335" xr:uid="{58AAADD8-3E47-4DCA-963E-1FA1AEE28FE3}"/>
    <cellStyle name="쉼표 [0] 11 2 6" xfId="4847" xr:uid="{00000000-0005-0000-0000-0000C4020000}"/>
    <cellStyle name="쉼표 [0] 11 2 6 2" xfId="12164" xr:uid="{08072DE3-A391-4870-BA8B-386139B37278}"/>
    <cellStyle name="쉼표 [0] 11 2 7" xfId="8505" xr:uid="{E23E48BB-7114-4141-9E29-FFEF0C3E31E0}"/>
    <cellStyle name="쉼표 [0] 11 3" xfId="657" xr:uid="{00000000-0005-0000-0000-0000C5020000}"/>
    <cellStyle name="쉼표 [0] 11 3 2" xfId="3019" xr:uid="{00000000-0005-0000-0000-0000C6020000}"/>
    <cellStyle name="쉼표 [0] 11 3 2 2" xfId="6680" xr:uid="{00000000-0005-0000-0000-0000C7020000}"/>
    <cellStyle name="쉼표 [0] 11 3 2 2 2" xfId="13997" xr:uid="{32FB3713-F4FC-430E-881F-E38D7EC937BC}"/>
    <cellStyle name="쉼표 [0] 11 3 2 3" xfId="10339" xr:uid="{41358B3F-CB8B-414A-83EC-500516CF4261}"/>
    <cellStyle name="쉼표 [0] 11 3 3" xfId="4851" xr:uid="{00000000-0005-0000-0000-0000C8020000}"/>
    <cellStyle name="쉼표 [0] 11 3 3 2" xfId="12168" xr:uid="{1D1C7609-A92B-49EE-B396-736A59DD24E3}"/>
    <cellStyle name="쉼표 [0] 11 3 4" xfId="8509" xr:uid="{87F6B7F7-6AE4-4391-9FF5-F94F13EDBBA0}"/>
    <cellStyle name="쉼표 [0] 11 4" xfId="658" xr:uid="{00000000-0005-0000-0000-0000C9020000}"/>
    <cellStyle name="쉼표 [0] 11 4 2" xfId="3020" xr:uid="{00000000-0005-0000-0000-0000CA020000}"/>
    <cellStyle name="쉼표 [0] 11 4 2 2" xfId="6681" xr:uid="{00000000-0005-0000-0000-0000CB020000}"/>
    <cellStyle name="쉼표 [0] 11 4 2 2 2" xfId="13998" xr:uid="{02A7F9D2-A369-4BF1-BF48-90B336383032}"/>
    <cellStyle name="쉼표 [0] 11 4 2 3" xfId="10340" xr:uid="{61DE57D0-6FB9-4B97-B672-C51989DF9738}"/>
    <cellStyle name="쉼표 [0] 11 4 3" xfId="4852" xr:uid="{00000000-0005-0000-0000-0000CC020000}"/>
    <cellStyle name="쉼표 [0] 11 4 3 2" xfId="12169" xr:uid="{E336C4CA-701C-48E1-82FE-6A4952D662BC}"/>
    <cellStyle name="쉼표 [0] 11 4 4" xfId="8510" xr:uid="{D3951401-2D3D-4B6C-B1FA-3E5F1DB2E330}"/>
    <cellStyle name="쉼표 [0] 11 5" xfId="659" xr:uid="{00000000-0005-0000-0000-0000CD020000}"/>
    <cellStyle name="쉼표 [0] 11 5 2" xfId="3021" xr:uid="{00000000-0005-0000-0000-0000CE020000}"/>
    <cellStyle name="쉼표 [0] 11 5 2 2" xfId="6682" xr:uid="{00000000-0005-0000-0000-0000CF020000}"/>
    <cellStyle name="쉼표 [0] 11 5 2 2 2" xfId="13999" xr:uid="{80F8C435-263F-49E4-AF4E-0CEF36C4418F}"/>
    <cellStyle name="쉼표 [0] 11 5 2 3" xfId="10341" xr:uid="{8E706F04-34DA-40C6-9624-2361B6CC07F7}"/>
    <cellStyle name="쉼표 [0] 11 5 3" xfId="4853" xr:uid="{00000000-0005-0000-0000-0000D0020000}"/>
    <cellStyle name="쉼표 [0] 11 5 3 2" xfId="12170" xr:uid="{FFEF1821-BA1F-4B7A-B17E-27A27F6FBEB9}"/>
    <cellStyle name="쉼표 [0] 11 5 4" xfId="8511" xr:uid="{3E875DBB-BEB8-4151-8661-2D14DE100DBB}"/>
    <cellStyle name="쉼표 [0] 11 6" xfId="3014" xr:uid="{00000000-0005-0000-0000-0000D1020000}"/>
    <cellStyle name="쉼표 [0] 11 6 2" xfId="6675" xr:uid="{00000000-0005-0000-0000-0000D2020000}"/>
    <cellStyle name="쉼표 [0] 11 6 2 2" xfId="13992" xr:uid="{191F470E-8CFE-4CC6-AF5E-8A35F0DBB446}"/>
    <cellStyle name="쉼표 [0] 11 6 3" xfId="10334" xr:uid="{4C07E256-0019-4834-A55E-DB5BD63F40AF}"/>
    <cellStyle name="쉼표 [0] 11 7" xfId="4846" xr:uid="{00000000-0005-0000-0000-0000D3020000}"/>
    <cellStyle name="쉼표 [0] 11 7 2" xfId="12163" xr:uid="{00BC2CF0-3E6F-45C0-AF48-5E2DA2F82EDD}"/>
    <cellStyle name="쉼표 [0] 11 8" xfId="8504" xr:uid="{7AC5AA83-1513-4B57-BBB8-7F0903172481}"/>
    <cellStyle name="쉼표 [0] 12" xfId="660" xr:uid="{00000000-0005-0000-0000-0000D4020000}"/>
    <cellStyle name="쉼표 [0] 12 2" xfId="661" xr:uid="{00000000-0005-0000-0000-0000D5020000}"/>
    <cellStyle name="쉼표 [0] 12 2 2" xfId="662" xr:uid="{00000000-0005-0000-0000-0000D6020000}"/>
    <cellStyle name="쉼표 [0] 12 2 2 2" xfId="3024" xr:uid="{00000000-0005-0000-0000-0000D7020000}"/>
    <cellStyle name="쉼표 [0] 12 2 2 2 2" xfId="6685" xr:uid="{00000000-0005-0000-0000-0000D8020000}"/>
    <cellStyle name="쉼표 [0] 12 2 2 2 2 2" xfId="14002" xr:uid="{E2223F2C-541B-4CF2-966E-670CA18CF026}"/>
    <cellStyle name="쉼표 [0] 12 2 2 2 3" xfId="10344" xr:uid="{384526C7-ADBA-445A-9A21-A23D53A57177}"/>
    <cellStyle name="쉼표 [0] 12 2 2 3" xfId="4856" xr:uid="{00000000-0005-0000-0000-0000D9020000}"/>
    <cellStyle name="쉼표 [0] 12 2 2 3 2" xfId="12173" xr:uid="{93AE8678-7A2A-46FD-B21D-C06A77421A00}"/>
    <cellStyle name="쉼표 [0] 12 2 2 4" xfId="8514" xr:uid="{F87AD6A0-53F2-4E0A-9850-4BFFDD02209A}"/>
    <cellStyle name="쉼표 [0] 12 2 3" xfId="663" xr:uid="{00000000-0005-0000-0000-0000DA020000}"/>
    <cellStyle name="쉼표 [0] 12 2 3 2" xfId="3025" xr:uid="{00000000-0005-0000-0000-0000DB020000}"/>
    <cellStyle name="쉼표 [0] 12 2 3 2 2" xfId="6686" xr:uid="{00000000-0005-0000-0000-0000DC020000}"/>
    <cellStyle name="쉼표 [0] 12 2 3 2 2 2" xfId="14003" xr:uid="{D88B7B86-1E5B-42DD-9103-577F8E11AD64}"/>
    <cellStyle name="쉼표 [0] 12 2 3 2 3" xfId="10345" xr:uid="{5F936D0B-B59F-4816-B382-6A6147C0CD08}"/>
    <cellStyle name="쉼표 [0] 12 2 3 3" xfId="4857" xr:uid="{00000000-0005-0000-0000-0000DD020000}"/>
    <cellStyle name="쉼표 [0] 12 2 3 3 2" xfId="12174" xr:uid="{B2508C52-3DDE-4574-BAA6-85644A001E7B}"/>
    <cellStyle name="쉼표 [0] 12 2 3 4" xfId="8515" xr:uid="{10551894-C3E7-4392-9684-D986E5EE2960}"/>
    <cellStyle name="쉼표 [0] 12 2 4" xfId="664" xr:uid="{00000000-0005-0000-0000-0000DE020000}"/>
    <cellStyle name="쉼표 [0] 12 2 4 2" xfId="3026" xr:uid="{00000000-0005-0000-0000-0000DF020000}"/>
    <cellStyle name="쉼표 [0] 12 2 4 2 2" xfId="6687" xr:uid="{00000000-0005-0000-0000-0000E0020000}"/>
    <cellStyle name="쉼표 [0] 12 2 4 2 2 2" xfId="14004" xr:uid="{A2985C0D-1055-4A08-A6B8-D95052A77628}"/>
    <cellStyle name="쉼표 [0] 12 2 4 2 3" xfId="10346" xr:uid="{C4410DDE-18E8-46B2-8C99-906680F3490B}"/>
    <cellStyle name="쉼표 [0] 12 2 4 3" xfId="4858" xr:uid="{00000000-0005-0000-0000-0000E1020000}"/>
    <cellStyle name="쉼표 [0] 12 2 4 3 2" xfId="12175" xr:uid="{4B173EEF-B002-4963-8DAC-A4F8129D574B}"/>
    <cellStyle name="쉼표 [0] 12 2 4 4" xfId="8516" xr:uid="{3CFE44D2-7164-49FE-84EA-AB775548A2A4}"/>
    <cellStyle name="쉼표 [0] 12 2 5" xfId="3023" xr:uid="{00000000-0005-0000-0000-0000E2020000}"/>
    <cellStyle name="쉼표 [0] 12 2 5 2" xfId="6684" xr:uid="{00000000-0005-0000-0000-0000E3020000}"/>
    <cellStyle name="쉼표 [0] 12 2 5 2 2" xfId="14001" xr:uid="{B781DCAD-C29D-432B-82B7-FB63ED1454D9}"/>
    <cellStyle name="쉼표 [0] 12 2 5 3" xfId="10343" xr:uid="{8400C50F-3EFA-4241-A3F6-B2702289E040}"/>
    <cellStyle name="쉼표 [0] 12 2 6" xfId="4855" xr:uid="{00000000-0005-0000-0000-0000E4020000}"/>
    <cellStyle name="쉼표 [0] 12 2 6 2" xfId="12172" xr:uid="{6E8AE7C9-02EC-4621-AA89-F1F651024E32}"/>
    <cellStyle name="쉼표 [0] 12 2 7" xfId="8513" xr:uid="{425826DA-43FB-4D13-AAB8-C124CA0D674B}"/>
    <cellStyle name="쉼표 [0] 12 3" xfId="665" xr:uid="{00000000-0005-0000-0000-0000E5020000}"/>
    <cellStyle name="쉼표 [0] 12 3 2" xfId="3027" xr:uid="{00000000-0005-0000-0000-0000E6020000}"/>
    <cellStyle name="쉼표 [0] 12 3 2 2" xfId="6688" xr:uid="{00000000-0005-0000-0000-0000E7020000}"/>
    <cellStyle name="쉼표 [0] 12 3 2 2 2" xfId="14005" xr:uid="{D8B089F8-36D2-45B1-9BCD-5906D3F30E98}"/>
    <cellStyle name="쉼표 [0] 12 3 2 3" xfId="10347" xr:uid="{8AC432D4-AD3E-47B9-8586-A553734D0B13}"/>
    <cellStyle name="쉼표 [0] 12 3 3" xfId="4859" xr:uid="{00000000-0005-0000-0000-0000E8020000}"/>
    <cellStyle name="쉼표 [0] 12 3 3 2" xfId="12176" xr:uid="{43EFD9C5-72A0-48AC-8989-99AAC84FE53D}"/>
    <cellStyle name="쉼표 [0] 12 3 4" xfId="8517" xr:uid="{C197570F-C00B-4A6F-8AB1-DA84845E89D3}"/>
    <cellStyle name="쉼표 [0] 12 4" xfId="666" xr:uid="{00000000-0005-0000-0000-0000E9020000}"/>
    <cellStyle name="쉼표 [0] 12 4 2" xfId="3028" xr:uid="{00000000-0005-0000-0000-0000EA020000}"/>
    <cellStyle name="쉼표 [0] 12 4 2 2" xfId="6689" xr:uid="{00000000-0005-0000-0000-0000EB020000}"/>
    <cellStyle name="쉼표 [0] 12 4 2 2 2" xfId="14006" xr:uid="{6D197A06-F4D8-4FF0-9C6F-7B38CEF3F9E2}"/>
    <cellStyle name="쉼표 [0] 12 4 2 3" xfId="10348" xr:uid="{A40C8F0F-F2AA-4100-82AE-CA9683E38C75}"/>
    <cellStyle name="쉼표 [0] 12 4 3" xfId="4860" xr:uid="{00000000-0005-0000-0000-0000EC020000}"/>
    <cellStyle name="쉼표 [0] 12 4 3 2" xfId="12177" xr:uid="{5C4D3100-1906-43E0-B334-7DD062B74309}"/>
    <cellStyle name="쉼표 [0] 12 4 4" xfId="8518" xr:uid="{041F9528-E2E8-4BC1-B021-DF9A4370A9A6}"/>
    <cellStyle name="쉼표 [0] 12 5" xfId="667" xr:uid="{00000000-0005-0000-0000-0000ED020000}"/>
    <cellStyle name="쉼표 [0] 12 5 2" xfId="3029" xr:uid="{00000000-0005-0000-0000-0000EE020000}"/>
    <cellStyle name="쉼표 [0] 12 5 2 2" xfId="6690" xr:uid="{00000000-0005-0000-0000-0000EF020000}"/>
    <cellStyle name="쉼표 [0] 12 5 2 2 2" xfId="14007" xr:uid="{46F7F5D7-55EF-444D-92A3-EA4DC15B8ED5}"/>
    <cellStyle name="쉼표 [0] 12 5 2 3" xfId="10349" xr:uid="{7A4261D3-5166-46C2-95E1-B2B3A133B725}"/>
    <cellStyle name="쉼표 [0] 12 5 3" xfId="4861" xr:uid="{00000000-0005-0000-0000-0000F0020000}"/>
    <cellStyle name="쉼표 [0] 12 5 3 2" xfId="12178" xr:uid="{6DC41B5E-FAB3-401B-B3CE-7264E4958596}"/>
    <cellStyle name="쉼표 [0] 12 5 4" xfId="8519" xr:uid="{0D3CF8AA-D9D5-4A2E-AFEB-6A6617698AF1}"/>
    <cellStyle name="쉼표 [0] 12 6" xfId="3022" xr:uid="{00000000-0005-0000-0000-0000F1020000}"/>
    <cellStyle name="쉼표 [0] 12 6 2" xfId="6683" xr:uid="{00000000-0005-0000-0000-0000F2020000}"/>
    <cellStyle name="쉼표 [0] 12 6 2 2" xfId="14000" xr:uid="{B20A1C57-9100-471D-AAF3-8F59CA5D659F}"/>
    <cellStyle name="쉼표 [0] 12 6 3" xfId="10342" xr:uid="{D010F982-A485-4F2A-9F57-4E86A6459289}"/>
    <cellStyle name="쉼표 [0] 12 7" xfId="4854" xr:uid="{00000000-0005-0000-0000-0000F3020000}"/>
    <cellStyle name="쉼표 [0] 12 7 2" xfId="12171" xr:uid="{7633C572-9A40-4366-AC64-888AB0B486E9}"/>
    <cellStyle name="쉼표 [0] 12 8" xfId="8512" xr:uid="{21AAACC7-9128-4A19-9A89-0D11C6EBAC11}"/>
    <cellStyle name="쉼표 [0] 13" xfId="668" xr:uid="{00000000-0005-0000-0000-0000F4020000}"/>
    <cellStyle name="쉼표 [0] 13 2" xfId="669" xr:uid="{00000000-0005-0000-0000-0000F5020000}"/>
    <cellStyle name="쉼표 [0] 13 2 2" xfId="670" xr:uid="{00000000-0005-0000-0000-0000F6020000}"/>
    <cellStyle name="쉼표 [0] 13 2 2 2" xfId="3032" xr:uid="{00000000-0005-0000-0000-0000F7020000}"/>
    <cellStyle name="쉼표 [0] 13 2 2 2 2" xfId="6693" xr:uid="{00000000-0005-0000-0000-0000F8020000}"/>
    <cellStyle name="쉼표 [0] 13 2 2 2 2 2" xfId="14010" xr:uid="{C8478C84-D146-451B-AB71-7512E9D066B9}"/>
    <cellStyle name="쉼표 [0] 13 2 2 2 3" xfId="10352" xr:uid="{1D603625-5A2A-47EE-99CD-EC7F88B6511D}"/>
    <cellStyle name="쉼표 [0] 13 2 2 3" xfId="4864" xr:uid="{00000000-0005-0000-0000-0000F9020000}"/>
    <cellStyle name="쉼표 [0] 13 2 2 3 2" xfId="12181" xr:uid="{67E6CD71-8F7F-41E5-AB0B-F298FDB08A03}"/>
    <cellStyle name="쉼표 [0] 13 2 2 4" xfId="8522" xr:uid="{7C63A268-E818-4494-A691-40A45E38106A}"/>
    <cellStyle name="쉼표 [0] 13 2 3" xfId="3031" xr:uid="{00000000-0005-0000-0000-0000FA020000}"/>
    <cellStyle name="쉼표 [0] 13 2 3 2" xfId="6692" xr:uid="{00000000-0005-0000-0000-0000FB020000}"/>
    <cellStyle name="쉼표 [0] 13 2 3 2 2" xfId="14009" xr:uid="{4E374FF5-0FDB-4FB2-89F1-5D58C1760051}"/>
    <cellStyle name="쉼표 [0] 13 2 3 3" xfId="10351" xr:uid="{F8CEEC2D-A44F-4564-96F9-5341C330D930}"/>
    <cellStyle name="쉼표 [0] 13 2 4" xfId="4863" xr:uid="{00000000-0005-0000-0000-0000FC020000}"/>
    <cellStyle name="쉼표 [0] 13 2 4 2" xfId="12180" xr:uid="{E826AB71-5CF9-409B-97CA-2BD49A2AA20E}"/>
    <cellStyle name="쉼표 [0] 13 2 5" xfId="8521" xr:uid="{81E6798E-1804-4210-87E1-B67C7FFCE79C}"/>
    <cellStyle name="쉼표 [0] 13 3" xfId="671" xr:uid="{00000000-0005-0000-0000-0000FD020000}"/>
    <cellStyle name="쉼표 [0] 13 3 2" xfId="3033" xr:uid="{00000000-0005-0000-0000-0000FE020000}"/>
    <cellStyle name="쉼표 [0] 13 3 2 2" xfId="6694" xr:uid="{00000000-0005-0000-0000-0000FF020000}"/>
    <cellStyle name="쉼표 [0] 13 3 2 2 2" xfId="14011" xr:uid="{A02822B9-C3C0-4D02-B893-8BD80C0293E8}"/>
    <cellStyle name="쉼표 [0] 13 3 2 3" xfId="10353" xr:uid="{BC6595A6-C8AD-46AF-B866-66FCCCF17E23}"/>
    <cellStyle name="쉼표 [0] 13 3 3" xfId="4865" xr:uid="{00000000-0005-0000-0000-000000030000}"/>
    <cellStyle name="쉼표 [0] 13 3 3 2" xfId="12182" xr:uid="{FBEB548B-5E25-4AC3-874D-55E8A73B3E58}"/>
    <cellStyle name="쉼표 [0] 13 3 4" xfId="8523" xr:uid="{72FAF866-B201-4377-B6EC-FF2E9E62EC89}"/>
    <cellStyle name="쉼표 [0] 13 4" xfId="672" xr:uid="{00000000-0005-0000-0000-000001030000}"/>
    <cellStyle name="쉼표 [0] 13 4 2" xfId="673" xr:uid="{00000000-0005-0000-0000-000002030000}"/>
    <cellStyle name="쉼표 [0] 13 4 2 2" xfId="3035" xr:uid="{00000000-0005-0000-0000-000003030000}"/>
    <cellStyle name="쉼표 [0] 13 4 2 2 2" xfId="6696" xr:uid="{00000000-0005-0000-0000-000004030000}"/>
    <cellStyle name="쉼표 [0] 13 4 2 2 2 2" xfId="14013" xr:uid="{535CDF81-37D8-4D4A-9C6A-2BD7DDFB0CE1}"/>
    <cellStyle name="쉼표 [0] 13 4 2 2 3" xfId="10355" xr:uid="{1210FD3D-DB7A-4830-B632-1F6926DE045A}"/>
    <cellStyle name="쉼표 [0] 13 4 2 3" xfId="4867" xr:uid="{00000000-0005-0000-0000-000005030000}"/>
    <cellStyle name="쉼표 [0] 13 4 2 3 2" xfId="12184" xr:uid="{4F234699-96CF-4982-9134-F60E023F898B}"/>
    <cellStyle name="쉼표 [0] 13 4 2 4" xfId="8525" xr:uid="{3376432E-E48F-4D8B-AD3B-1FF4FE232CC6}"/>
    <cellStyle name="쉼표 [0] 13 4 3" xfId="3034" xr:uid="{00000000-0005-0000-0000-000006030000}"/>
    <cellStyle name="쉼표 [0] 13 4 3 2" xfId="6695" xr:uid="{00000000-0005-0000-0000-000007030000}"/>
    <cellStyle name="쉼표 [0] 13 4 3 2 2" xfId="14012" xr:uid="{7F667DD8-94B7-430D-860A-0FD5E048ACF1}"/>
    <cellStyle name="쉼표 [0] 13 4 3 3" xfId="10354" xr:uid="{0BEB81BB-D4F0-4529-A2DB-BA3DB470AEAD}"/>
    <cellStyle name="쉼표 [0] 13 4 4" xfId="4866" xr:uid="{00000000-0005-0000-0000-000008030000}"/>
    <cellStyle name="쉼표 [0] 13 4 4 2" xfId="12183" xr:uid="{CECC9131-EB78-42D5-8087-7382C442837B}"/>
    <cellStyle name="쉼표 [0] 13 4 5" xfId="8524" xr:uid="{88CF3B7A-4133-4716-8345-F983FA75E11C}"/>
    <cellStyle name="쉼표 [0] 13 5" xfId="3030" xr:uid="{00000000-0005-0000-0000-000009030000}"/>
    <cellStyle name="쉼표 [0] 13 5 2" xfId="6691" xr:uid="{00000000-0005-0000-0000-00000A030000}"/>
    <cellStyle name="쉼표 [0] 13 5 2 2" xfId="14008" xr:uid="{E4AF92D1-6501-4504-8297-C47CA27517E7}"/>
    <cellStyle name="쉼표 [0] 13 5 3" xfId="10350" xr:uid="{81B22F44-1F70-4BF7-B02F-C498C68D9E73}"/>
    <cellStyle name="쉼표 [0] 13 6" xfId="4862" xr:uid="{00000000-0005-0000-0000-00000B030000}"/>
    <cellStyle name="쉼표 [0] 13 6 2" xfId="12179" xr:uid="{48EF629F-4466-46AC-9015-943F494BC6B2}"/>
    <cellStyle name="쉼표 [0] 13 7" xfId="8520" xr:uid="{736CBE24-583C-42C3-96E8-EFEAB568CF0E}"/>
    <cellStyle name="쉼표 [0] 14" xfId="674" xr:uid="{00000000-0005-0000-0000-00000C030000}"/>
    <cellStyle name="쉼표 [0] 14 2" xfId="675" xr:uid="{00000000-0005-0000-0000-00000D030000}"/>
    <cellStyle name="쉼표 [0] 14 2 2" xfId="3037" xr:uid="{00000000-0005-0000-0000-00000E030000}"/>
    <cellStyle name="쉼표 [0] 14 2 2 2" xfId="6698" xr:uid="{00000000-0005-0000-0000-00000F030000}"/>
    <cellStyle name="쉼표 [0] 14 2 2 2 2" xfId="14015" xr:uid="{B25453A9-CFA7-4F8E-BD54-AA759C536B50}"/>
    <cellStyle name="쉼표 [0] 14 2 2 3" xfId="10357" xr:uid="{78C1681C-4C5A-4EB6-AA0F-745E01A40D0B}"/>
    <cellStyle name="쉼표 [0] 14 2 3" xfId="4869" xr:uid="{00000000-0005-0000-0000-000010030000}"/>
    <cellStyle name="쉼표 [0] 14 2 3 2" xfId="12186" xr:uid="{2734EE23-834F-461B-8FB9-B831D5B7BC7E}"/>
    <cellStyle name="쉼표 [0] 14 2 4" xfId="8527" xr:uid="{57EE3F91-3104-40BD-AF0D-61B8E2235C1A}"/>
    <cellStyle name="쉼표 [0] 14 3" xfId="676" xr:uid="{00000000-0005-0000-0000-000011030000}"/>
    <cellStyle name="쉼표 [0] 14 3 2" xfId="677" xr:uid="{00000000-0005-0000-0000-000012030000}"/>
    <cellStyle name="쉼표 [0] 14 3 2 2" xfId="3039" xr:uid="{00000000-0005-0000-0000-000013030000}"/>
    <cellStyle name="쉼표 [0] 14 3 2 2 2" xfId="6700" xr:uid="{00000000-0005-0000-0000-000014030000}"/>
    <cellStyle name="쉼표 [0] 14 3 2 2 2 2" xfId="14017" xr:uid="{C0CF0002-5A3F-43DE-9E6D-D20AD5F2B874}"/>
    <cellStyle name="쉼표 [0] 14 3 2 2 3" xfId="10359" xr:uid="{810AE263-AF03-4477-BB8D-74352E51D535}"/>
    <cellStyle name="쉼표 [0] 14 3 2 3" xfId="4871" xr:uid="{00000000-0005-0000-0000-000015030000}"/>
    <cellStyle name="쉼표 [0] 14 3 2 3 2" xfId="12188" xr:uid="{B0E15CD8-E149-4005-B976-E7F59E845288}"/>
    <cellStyle name="쉼표 [0] 14 3 2 4" xfId="8529" xr:uid="{FE9FB8D9-1B0C-450E-B7CC-1340B7D4E47E}"/>
    <cellStyle name="쉼표 [0] 14 3 3" xfId="3038" xr:uid="{00000000-0005-0000-0000-000016030000}"/>
    <cellStyle name="쉼표 [0] 14 3 3 2" xfId="6699" xr:uid="{00000000-0005-0000-0000-000017030000}"/>
    <cellStyle name="쉼표 [0] 14 3 3 2 2" xfId="14016" xr:uid="{8993471B-C6ED-4D5C-9275-4AC9DA3C80B2}"/>
    <cellStyle name="쉼표 [0] 14 3 3 3" xfId="10358" xr:uid="{AD16395B-B785-40B5-9AED-ED0F4049ECDE}"/>
    <cellStyle name="쉼표 [0] 14 3 4" xfId="4870" xr:uid="{00000000-0005-0000-0000-000018030000}"/>
    <cellStyle name="쉼표 [0] 14 3 4 2" xfId="12187" xr:uid="{342D6014-665B-4ECE-8548-496A1A546702}"/>
    <cellStyle name="쉼표 [0] 14 3 5" xfId="8528" xr:uid="{8BCAADF8-E706-4C05-9E2A-CEE630EBC599}"/>
    <cellStyle name="쉼표 [0] 14 4" xfId="3036" xr:uid="{00000000-0005-0000-0000-000019030000}"/>
    <cellStyle name="쉼표 [0] 14 4 2" xfId="6697" xr:uid="{00000000-0005-0000-0000-00001A030000}"/>
    <cellStyle name="쉼표 [0] 14 4 2 2" xfId="14014" xr:uid="{E6898232-0F50-4263-97FE-5320B42BC97D}"/>
    <cellStyle name="쉼표 [0] 14 4 3" xfId="10356" xr:uid="{FAB7A486-6FAF-4F9E-B757-A671B7F0A810}"/>
    <cellStyle name="쉼표 [0] 14 5" xfId="4868" xr:uid="{00000000-0005-0000-0000-00001B030000}"/>
    <cellStyle name="쉼표 [0] 14 5 2" xfId="12185" xr:uid="{63D460D8-7325-415F-AC1A-639DAE711B6A}"/>
    <cellStyle name="쉼표 [0] 14 6" xfId="8526" xr:uid="{62C90269-7D23-4581-8180-6B40EE365BA5}"/>
    <cellStyle name="쉼표 [0] 15" xfId="678" xr:uid="{00000000-0005-0000-0000-00001C030000}"/>
    <cellStyle name="쉼표 [0] 15 2" xfId="679" xr:uid="{00000000-0005-0000-0000-00001D030000}"/>
    <cellStyle name="쉼표 [0] 15 2 2" xfId="680" xr:uid="{00000000-0005-0000-0000-00001E030000}"/>
    <cellStyle name="쉼표 [0] 15 2 2 2" xfId="3042" xr:uid="{00000000-0005-0000-0000-00001F030000}"/>
    <cellStyle name="쉼표 [0] 15 2 2 2 2" xfId="6703" xr:uid="{00000000-0005-0000-0000-000020030000}"/>
    <cellStyle name="쉼표 [0] 15 2 2 2 2 2" xfId="14020" xr:uid="{2F32C817-FBB4-4C5D-B78E-C49028065A5C}"/>
    <cellStyle name="쉼표 [0] 15 2 2 2 3" xfId="10362" xr:uid="{BB0A8E25-3FB1-46B7-864B-EE949B22147D}"/>
    <cellStyle name="쉼표 [0] 15 2 2 3" xfId="4874" xr:uid="{00000000-0005-0000-0000-000021030000}"/>
    <cellStyle name="쉼표 [0] 15 2 2 3 2" xfId="12191" xr:uid="{0856886D-82A5-4C4E-B21E-CE26789B9D70}"/>
    <cellStyle name="쉼표 [0] 15 2 2 4" xfId="8532" xr:uid="{5BA63FDF-166E-45A8-9314-8CB60C01771E}"/>
    <cellStyle name="쉼표 [0] 15 2 3" xfId="681" xr:uid="{00000000-0005-0000-0000-000022030000}"/>
    <cellStyle name="쉼표 [0] 15 2 3 2" xfId="3043" xr:uid="{00000000-0005-0000-0000-000023030000}"/>
    <cellStyle name="쉼표 [0] 15 2 3 2 2" xfId="6704" xr:uid="{00000000-0005-0000-0000-000024030000}"/>
    <cellStyle name="쉼표 [0] 15 2 3 2 2 2" xfId="14021" xr:uid="{E55A1727-6EA4-4CBF-B31D-EEF38BE81936}"/>
    <cellStyle name="쉼표 [0] 15 2 3 2 3" xfId="10363" xr:uid="{D2842C91-3E0F-4301-AC1D-68F565B3ABF1}"/>
    <cellStyle name="쉼표 [0] 15 2 3 3" xfId="4875" xr:uid="{00000000-0005-0000-0000-000025030000}"/>
    <cellStyle name="쉼표 [0] 15 2 3 3 2" xfId="12192" xr:uid="{96FCB84E-7391-434D-8B33-00F1E6B31BCB}"/>
    <cellStyle name="쉼표 [0] 15 2 3 4" xfId="8533" xr:uid="{A7B334E0-0A4A-4BB1-B039-3E4834349514}"/>
    <cellStyle name="쉼표 [0] 15 2 4" xfId="682" xr:uid="{00000000-0005-0000-0000-000026030000}"/>
    <cellStyle name="쉼표 [0] 15 2 4 2" xfId="3044" xr:uid="{00000000-0005-0000-0000-000027030000}"/>
    <cellStyle name="쉼표 [0] 15 2 4 2 2" xfId="6705" xr:uid="{00000000-0005-0000-0000-000028030000}"/>
    <cellStyle name="쉼표 [0] 15 2 4 2 2 2" xfId="14022" xr:uid="{5EEAE9F2-D27C-40FE-BE67-CE02549D3BEE}"/>
    <cellStyle name="쉼표 [0] 15 2 4 2 3" xfId="10364" xr:uid="{7C6A066E-870F-448E-8107-EC451E033314}"/>
    <cellStyle name="쉼표 [0] 15 2 4 3" xfId="4876" xr:uid="{00000000-0005-0000-0000-000029030000}"/>
    <cellStyle name="쉼표 [0] 15 2 4 3 2" xfId="12193" xr:uid="{39A454BE-5FAB-4B58-BA58-97A36C930B9C}"/>
    <cellStyle name="쉼표 [0] 15 2 4 4" xfId="8534" xr:uid="{B04343D9-C37A-4324-BCA2-27E67491D297}"/>
    <cellStyle name="쉼표 [0] 15 2 5" xfId="3041" xr:uid="{00000000-0005-0000-0000-00002A030000}"/>
    <cellStyle name="쉼표 [0] 15 2 5 2" xfId="6702" xr:uid="{00000000-0005-0000-0000-00002B030000}"/>
    <cellStyle name="쉼표 [0] 15 2 5 2 2" xfId="14019" xr:uid="{5637B741-3DE4-4C2D-89A5-D2FFD5F5227B}"/>
    <cellStyle name="쉼표 [0] 15 2 5 3" xfId="10361" xr:uid="{3213C83B-84F3-4006-915D-6E7A462EC8EF}"/>
    <cellStyle name="쉼표 [0] 15 2 6" xfId="4873" xr:uid="{00000000-0005-0000-0000-00002C030000}"/>
    <cellStyle name="쉼표 [0] 15 2 6 2" xfId="12190" xr:uid="{7E3C8D2C-E8E6-4DBA-B70F-EC11C1CA11E7}"/>
    <cellStyle name="쉼표 [0] 15 2 7" xfId="8531" xr:uid="{360B87D4-ED6C-4513-9C24-20A525B9A821}"/>
    <cellStyle name="쉼표 [0] 15 3" xfId="683" xr:uid="{00000000-0005-0000-0000-00002D030000}"/>
    <cellStyle name="쉼표 [0] 15 3 2" xfId="3045" xr:uid="{00000000-0005-0000-0000-00002E030000}"/>
    <cellStyle name="쉼표 [0] 15 3 2 2" xfId="6706" xr:uid="{00000000-0005-0000-0000-00002F030000}"/>
    <cellStyle name="쉼표 [0] 15 3 2 2 2" xfId="14023" xr:uid="{A3821F4D-819B-4E83-90F2-BC7F6B5CAE1D}"/>
    <cellStyle name="쉼표 [0] 15 3 2 3" xfId="10365" xr:uid="{0A8C87E4-F7EA-4D44-979F-8D1D89A09CA0}"/>
    <cellStyle name="쉼표 [0] 15 3 3" xfId="4877" xr:uid="{00000000-0005-0000-0000-000030030000}"/>
    <cellStyle name="쉼표 [0] 15 3 3 2" xfId="12194" xr:uid="{F242BF6E-74E1-4B88-B558-D3F92D03BCC4}"/>
    <cellStyle name="쉼표 [0] 15 3 4" xfId="8535" xr:uid="{D8CB42B8-71E6-4CEC-96C6-A0EDAED64714}"/>
    <cellStyle name="쉼표 [0] 15 4" xfId="684" xr:uid="{00000000-0005-0000-0000-000031030000}"/>
    <cellStyle name="쉼표 [0] 15 4 2" xfId="3046" xr:uid="{00000000-0005-0000-0000-000032030000}"/>
    <cellStyle name="쉼표 [0] 15 4 2 2" xfId="6707" xr:uid="{00000000-0005-0000-0000-000033030000}"/>
    <cellStyle name="쉼표 [0] 15 4 2 2 2" xfId="14024" xr:uid="{C1EFA262-BDA3-4FBC-A11E-F098A989BC71}"/>
    <cellStyle name="쉼표 [0] 15 4 2 3" xfId="10366" xr:uid="{232E3AF9-0155-4FF7-9CE1-64C322CF4D15}"/>
    <cellStyle name="쉼표 [0] 15 4 3" xfId="4878" xr:uid="{00000000-0005-0000-0000-000034030000}"/>
    <cellStyle name="쉼표 [0] 15 4 3 2" xfId="12195" xr:uid="{D89D4FAD-98B5-4CB4-9DB6-55F74119B40A}"/>
    <cellStyle name="쉼표 [0] 15 4 4" xfId="8536" xr:uid="{6EF24002-6BBE-47EA-A7D2-936B7DC30818}"/>
    <cellStyle name="쉼표 [0] 15 5" xfId="685" xr:uid="{00000000-0005-0000-0000-000035030000}"/>
    <cellStyle name="쉼표 [0] 15 5 2" xfId="3047" xr:uid="{00000000-0005-0000-0000-000036030000}"/>
    <cellStyle name="쉼표 [0] 15 5 2 2" xfId="6708" xr:uid="{00000000-0005-0000-0000-000037030000}"/>
    <cellStyle name="쉼표 [0] 15 5 2 2 2" xfId="14025" xr:uid="{E32783B2-2971-4D10-9426-87E164BF58BB}"/>
    <cellStyle name="쉼표 [0] 15 5 2 3" xfId="10367" xr:uid="{807F02B5-1D71-4EC7-8DF6-347560522B7A}"/>
    <cellStyle name="쉼표 [0] 15 5 3" xfId="4879" xr:uid="{00000000-0005-0000-0000-000038030000}"/>
    <cellStyle name="쉼표 [0] 15 5 3 2" xfId="12196" xr:uid="{2E2CD4F3-8471-4660-8001-E3BEFFE2D8EA}"/>
    <cellStyle name="쉼표 [0] 15 5 4" xfId="8537" xr:uid="{6B00F292-76E7-4EC3-A5A9-C01D9F63FA07}"/>
    <cellStyle name="쉼표 [0] 15 6" xfId="3040" xr:uid="{00000000-0005-0000-0000-000039030000}"/>
    <cellStyle name="쉼표 [0] 15 6 2" xfId="6701" xr:uid="{00000000-0005-0000-0000-00003A030000}"/>
    <cellStyle name="쉼표 [0] 15 6 2 2" xfId="14018" xr:uid="{83B47EE1-1E14-4C6D-8F41-1A5937C7756E}"/>
    <cellStyle name="쉼표 [0] 15 6 3" xfId="10360" xr:uid="{24A7EC08-C9AD-4663-B4C8-DAC05684ED85}"/>
    <cellStyle name="쉼표 [0] 15 7" xfId="4872" xr:uid="{00000000-0005-0000-0000-00003B030000}"/>
    <cellStyle name="쉼표 [0] 15 7 2" xfId="12189" xr:uid="{960F320C-6E58-4F0C-8FBE-1169C5DCC85F}"/>
    <cellStyle name="쉼표 [0] 15 8" xfId="8530" xr:uid="{5555E964-4484-4BD0-A4AF-479DD8E39E79}"/>
    <cellStyle name="쉼표 [0] 16" xfId="686" xr:uid="{00000000-0005-0000-0000-00003C030000}"/>
    <cellStyle name="쉼표 [0] 16 2" xfId="687" xr:uid="{00000000-0005-0000-0000-00003D030000}"/>
    <cellStyle name="쉼표 [0] 16 2 2" xfId="3049" xr:uid="{00000000-0005-0000-0000-00003E030000}"/>
    <cellStyle name="쉼표 [0] 16 2 2 2" xfId="6710" xr:uid="{00000000-0005-0000-0000-00003F030000}"/>
    <cellStyle name="쉼표 [0] 16 2 2 2 2" xfId="14027" xr:uid="{49E37F94-5C24-4920-A5FF-59734FF58599}"/>
    <cellStyle name="쉼표 [0] 16 2 2 3" xfId="10369" xr:uid="{8B02C25A-A26D-4F43-AE5F-1EEE86D8F5B0}"/>
    <cellStyle name="쉼표 [0] 16 2 3" xfId="4881" xr:uid="{00000000-0005-0000-0000-000040030000}"/>
    <cellStyle name="쉼표 [0] 16 2 3 2" xfId="12198" xr:uid="{B720B3D5-43AB-463F-ADBC-D6FE87412467}"/>
    <cellStyle name="쉼표 [0] 16 2 4" xfId="8539" xr:uid="{1AF42C59-D9AC-48B8-AA04-AFEE77212A26}"/>
    <cellStyle name="쉼표 [0] 16 3" xfId="3048" xr:uid="{00000000-0005-0000-0000-000041030000}"/>
    <cellStyle name="쉼표 [0] 16 3 2" xfId="6709" xr:uid="{00000000-0005-0000-0000-000042030000}"/>
    <cellStyle name="쉼표 [0] 16 3 2 2" xfId="14026" xr:uid="{F274C8BE-E89A-46F7-BB4E-81889F5DA283}"/>
    <cellStyle name="쉼표 [0] 16 3 3" xfId="10368" xr:uid="{9D67FD97-84EE-4E07-9477-4A23AAB1B32A}"/>
    <cellStyle name="쉼표 [0] 16 4" xfId="4880" xr:uid="{00000000-0005-0000-0000-000043030000}"/>
    <cellStyle name="쉼표 [0] 16 4 2" xfId="12197" xr:uid="{9497514B-CF42-47C6-AF1E-C91B800F92CC}"/>
    <cellStyle name="쉼표 [0] 16 5" xfId="8538" xr:uid="{13A7585F-3DA7-474C-8E95-A4FA44D37507}"/>
    <cellStyle name="쉼표 [0] 17" xfId="688" xr:uid="{00000000-0005-0000-0000-000044030000}"/>
    <cellStyle name="쉼표 [0] 17 2" xfId="689" xr:uid="{00000000-0005-0000-0000-000045030000}"/>
    <cellStyle name="쉼표 [0] 17 2 2" xfId="3051" xr:uid="{00000000-0005-0000-0000-000046030000}"/>
    <cellStyle name="쉼표 [0] 17 2 2 2" xfId="6712" xr:uid="{00000000-0005-0000-0000-000047030000}"/>
    <cellStyle name="쉼표 [0] 17 2 2 2 2" xfId="14029" xr:uid="{5FFFB672-AAA0-4C86-BD87-9C109F4EE856}"/>
    <cellStyle name="쉼표 [0] 17 2 2 3" xfId="10371" xr:uid="{C6DC17B5-4E3D-41C3-B557-5A87B00DD20E}"/>
    <cellStyle name="쉼표 [0] 17 2 3" xfId="4883" xr:uid="{00000000-0005-0000-0000-000048030000}"/>
    <cellStyle name="쉼표 [0] 17 2 3 2" xfId="12200" xr:uid="{EC7860EE-49A0-484B-A32D-C7314CE6262A}"/>
    <cellStyle name="쉼표 [0] 17 2 4" xfId="8541" xr:uid="{510F2C97-042A-4B5D-80C1-DA980CDCFBEE}"/>
    <cellStyle name="쉼표 [0] 17 3" xfId="3050" xr:uid="{00000000-0005-0000-0000-000049030000}"/>
    <cellStyle name="쉼표 [0] 17 3 2" xfId="6711" xr:uid="{00000000-0005-0000-0000-00004A030000}"/>
    <cellStyle name="쉼표 [0] 17 3 2 2" xfId="14028" xr:uid="{206B0E5C-1B8B-4DBD-9986-86723DAC4FAB}"/>
    <cellStyle name="쉼표 [0] 17 3 3" xfId="10370" xr:uid="{88777DC0-637A-4BB9-8A69-15F076A8796B}"/>
    <cellStyle name="쉼표 [0] 17 4" xfId="4882" xr:uid="{00000000-0005-0000-0000-00004B030000}"/>
    <cellStyle name="쉼표 [0] 17 4 2" xfId="12199" xr:uid="{ED0ADE65-1664-4479-984C-0B6EB3ED9868}"/>
    <cellStyle name="쉼표 [0] 17 5" xfId="8540" xr:uid="{C1C6CB1B-BB8C-4F58-A5B5-6985008884D3}"/>
    <cellStyle name="쉼표 [0] 18" xfId="690" xr:uid="{00000000-0005-0000-0000-00004C030000}"/>
    <cellStyle name="쉼표 [0] 18 2" xfId="691" xr:uid="{00000000-0005-0000-0000-00004D030000}"/>
    <cellStyle name="쉼표 [0] 18 2 2" xfId="3053" xr:uid="{00000000-0005-0000-0000-00004E030000}"/>
    <cellStyle name="쉼표 [0] 18 2 2 2" xfId="6714" xr:uid="{00000000-0005-0000-0000-00004F030000}"/>
    <cellStyle name="쉼표 [0] 18 2 2 2 2" xfId="14031" xr:uid="{325F68FB-00AE-49B8-A323-875C3E7A5C63}"/>
    <cellStyle name="쉼표 [0] 18 2 2 3" xfId="10373" xr:uid="{7FCC3FD0-38A1-4FED-918D-D2F7526D2F9A}"/>
    <cellStyle name="쉼표 [0] 18 2 3" xfId="4885" xr:uid="{00000000-0005-0000-0000-000050030000}"/>
    <cellStyle name="쉼표 [0] 18 2 3 2" xfId="12202" xr:uid="{9FD15C79-8BB1-4871-B036-C40F1AD34471}"/>
    <cellStyle name="쉼표 [0] 18 2 4" xfId="8543" xr:uid="{33051F83-754D-407D-8BA9-43358EACF05B}"/>
    <cellStyle name="쉼표 [0] 18 3" xfId="3052" xr:uid="{00000000-0005-0000-0000-000051030000}"/>
    <cellStyle name="쉼표 [0] 18 3 2" xfId="6713" xr:uid="{00000000-0005-0000-0000-000052030000}"/>
    <cellStyle name="쉼표 [0] 18 3 2 2" xfId="14030" xr:uid="{83B58CC6-F86F-41CC-A726-80410E775674}"/>
    <cellStyle name="쉼표 [0] 18 3 3" xfId="10372" xr:uid="{796987A2-3926-4C1D-9899-0713BA4DE46D}"/>
    <cellStyle name="쉼표 [0] 18 4" xfId="4884" xr:uid="{00000000-0005-0000-0000-000053030000}"/>
    <cellStyle name="쉼표 [0] 18 4 2" xfId="12201" xr:uid="{1ACB222E-4C24-4D34-979C-5F47F9C01662}"/>
    <cellStyle name="쉼표 [0] 18 5" xfId="8542" xr:uid="{E8A83B06-3C79-41FD-8027-58B90B6F9959}"/>
    <cellStyle name="쉼표 [0] 19" xfId="692" xr:uid="{00000000-0005-0000-0000-000054030000}"/>
    <cellStyle name="쉼표 [0] 19 2" xfId="693" xr:uid="{00000000-0005-0000-0000-000055030000}"/>
    <cellStyle name="쉼표 [0] 19 2 2" xfId="694" xr:uid="{00000000-0005-0000-0000-000056030000}"/>
    <cellStyle name="쉼표 [0] 19 2 2 2" xfId="3056" xr:uid="{00000000-0005-0000-0000-000057030000}"/>
    <cellStyle name="쉼표 [0] 19 2 2 2 2" xfId="6717" xr:uid="{00000000-0005-0000-0000-000058030000}"/>
    <cellStyle name="쉼표 [0] 19 2 2 2 2 2" xfId="14034" xr:uid="{F3386B9A-9372-49FC-B7BB-2A7A4D94D9A0}"/>
    <cellStyle name="쉼표 [0] 19 2 2 2 3" xfId="10376" xr:uid="{7A926C7E-E6E3-4D21-B083-6206F09F3E0E}"/>
    <cellStyle name="쉼표 [0] 19 2 2 3" xfId="4888" xr:uid="{00000000-0005-0000-0000-000059030000}"/>
    <cellStyle name="쉼표 [0] 19 2 2 3 2" xfId="12205" xr:uid="{18A6A55A-855D-4974-8B71-CB9C2B497D41}"/>
    <cellStyle name="쉼표 [0] 19 2 2 4" xfId="8546" xr:uid="{F13A64EE-FBC6-4E7B-B4E7-11CA792D9496}"/>
    <cellStyle name="쉼표 [0] 19 2 3" xfId="695" xr:uid="{00000000-0005-0000-0000-00005A030000}"/>
    <cellStyle name="쉼표 [0] 19 2 3 2" xfId="3057" xr:uid="{00000000-0005-0000-0000-00005B030000}"/>
    <cellStyle name="쉼표 [0] 19 2 3 2 2" xfId="6718" xr:uid="{00000000-0005-0000-0000-00005C030000}"/>
    <cellStyle name="쉼표 [0] 19 2 3 2 2 2" xfId="14035" xr:uid="{30DB5A78-CFD2-4EF2-8090-0F98421CB73A}"/>
    <cellStyle name="쉼표 [0] 19 2 3 2 3" xfId="10377" xr:uid="{8606D1FE-ABE3-4306-BB67-A6ED0ACC8829}"/>
    <cellStyle name="쉼표 [0] 19 2 3 3" xfId="4889" xr:uid="{00000000-0005-0000-0000-00005D030000}"/>
    <cellStyle name="쉼표 [0] 19 2 3 3 2" xfId="12206" xr:uid="{9E34B585-75BD-4B02-9AE5-7DC0C5EFC125}"/>
    <cellStyle name="쉼표 [0] 19 2 3 4" xfId="8547" xr:uid="{B72BBD94-9416-4B6F-9902-A7053B988652}"/>
    <cellStyle name="쉼표 [0] 19 2 4" xfId="696" xr:uid="{00000000-0005-0000-0000-00005E030000}"/>
    <cellStyle name="쉼표 [0] 19 2 4 2" xfId="3058" xr:uid="{00000000-0005-0000-0000-00005F030000}"/>
    <cellStyle name="쉼표 [0] 19 2 4 2 2" xfId="6719" xr:uid="{00000000-0005-0000-0000-000060030000}"/>
    <cellStyle name="쉼표 [0] 19 2 4 2 2 2" xfId="14036" xr:uid="{40C3E771-4368-47E4-BAA6-0129DDC56D85}"/>
    <cellStyle name="쉼표 [0] 19 2 4 2 3" xfId="10378" xr:uid="{5BB0501B-F6E2-406A-AFE4-2F76E43C595A}"/>
    <cellStyle name="쉼표 [0] 19 2 4 3" xfId="4890" xr:uid="{00000000-0005-0000-0000-000061030000}"/>
    <cellStyle name="쉼표 [0] 19 2 4 3 2" xfId="12207" xr:uid="{55B83150-6127-455A-8E17-14717F25F154}"/>
    <cellStyle name="쉼표 [0] 19 2 4 4" xfId="8548" xr:uid="{C8EE75BB-79FD-4689-95B1-A30EB5E6510B}"/>
    <cellStyle name="쉼표 [0] 19 2 5" xfId="3055" xr:uid="{00000000-0005-0000-0000-000062030000}"/>
    <cellStyle name="쉼표 [0] 19 2 5 2" xfId="6716" xr:uid="{00000000-0005-0000-0000-000063030000}"/>
    <cellStyle name="쉼표 [0] 19 2 5 2 2" xfId="14033" xr:uid="{F2A26C5D-6E2A-443C-B648-7C08DD64E820}"/>
    <cellStyle name="쉼표 [0] 19 2 5 3" xfId="10375" xr:uid="{3A7108B1-DB49-4BB2-B0F5-0116A6930655}"/>
    <cellStyle name="쉼표 [0] 19 2 6" xfId="4887" xr:uid="{00000000-0005-0000-0000-000064030000}"/>
    <cellStyle name="쉼표 [0] 19 2 6 2" xfId="12204" xr:uid="{ED057098-408D-4679-AB62-BAE5E06F0A8A}"/>
    <cellStyle name="쉼표 [0] 19 2 7" xfId="8545" xr:uid="{0127E417-FD7C-45CC-9A33-3375A718AF70}"/>
    <cellStyle name="쉼표 [0] 19 3" xfId="697" xr:uid="{00000000-0005-0000-0000-000065030000}"/>
    <cellStyle name="쉼표 [0] 19 3 2" xfId="3059" xr:uid="{00000000-0005-0000-0000-000066030000}"/>
    <cellStyle name="쉼표 [0] 19 3 2 2" xfId="6720" xr:uid="{00000000-0005-0000-0000-000067030000}"/>
    <cellStyle name="쉼표 [0] 19 3 2 2 2" xfId="14037" xr:uid="{C6C2DAF6-ED16-42B6-B73C-08A051AA19B8}"/>
    <cellStyle name="쉼표 [0] 19 3 2 3" xfId="10379" xr:uid="{AA2B08FF-DDBD-4E80-98A6-BB537C68F250}"/>
    <cellStyle name="쉼표 [0] 19 3 3" xfId="4891" xr:uid="{00000000-0005-0000-0000-000068030000}"/>
    <cellStyle name="쉼표 [0] 19 3 3 2" xfId="12208" xr:uid="{DDBE3CF5-EECD-40B8-A025-7AC28ADC1044}"/>
    <cellStyle name="쉼표 [0] 19 3 4" xfId="8549" xr:uid="{F39D56EF-F5A2-4E08-BB9B-EC446EBCDB56}"/>
    <cellStyle name="쉼표 [0] 19 4" xfId="698" xr:uid="{00000000-0005-0000-0000-000069030000}"/>
    <cellStyle name="쉼표 [0] 19 4 2" xfId="3060" xr:uid="{00000000-0005-0000-0000-00006A030000}"/>
    <cellStyle name="쉼표 [0] 19 4 2 2" xfId="6721" xr:uid="{00000000-0005-0000-0000-00006B030000}"/>
    <cellStyle name="쉼표 [0] 19 4 2 2 2" xfId="14038" xr:uid="{CA4B11F7-D8A2-41F1-B384-131C3B150E85}"/>
    <cellStyle name="쉼표 [0] 19 4 2 3" xfId="10380" xr:uid="{197D7A25-1139-4CEC-B20B-AC87A34394EF}"/>
    <cellStyle name="쉼표 [0] 19 4 3" xfId="4892" xr:uid="{00000000-0005-0000-0000-00006C030000}"/>
    <cellStyle name="쉼표 [0] 19 4 3 2" xfId="12209" xr:uid="{F55858B1-E431-455D-8AD4-E3B736A479DE}"/>
    <cellStyle name="쉼표 [0] 19 4 4" xfId="8550" xr:uid="{FB48BA72-BC44-4729-9A84-F33F1EB46244}"/>
    <cellStyle name="쉼표 [0] 19 5" xfId="699" xr:uid="{00000000-0005-0000-0000-00006D030000}"/>
    <cellStyle name="쉼표 [0] 19 5 2" xfId="3061" xr:uid="{00000000-0005-0000-0000-00006E030000}"/>
    <cellStyle name="쉼표 [0] 19 5 2 2" xfId="6722" xr:uid="{00000000-0005-0000-0000-00006F030000}"/>
    <cellStyle name="쉼표 [0] 19 5 2 2 2" xfId="14039" xr:uid="{AE7A8790-7AFA-409F-B79E-9210F4C4FF3A}"/>
    <cellStyle name="쉼표 [0] 19 5 2 3" xfId="10381" xr:uid="{563FD874-B4D9-4FDC-954D-39F31347BB28}"/>
    <cellStyle name="쉼표 [0] 19 5 3" xfId="4893" xr:uid="{00000000-0005-0000-0000-000070030000}"/>
    <cellStyle name="쉼표 [0] 19 5 3 2" xfId="12210" xr:uid="{F78652E2-3174-4D0D-BDB5-5CD3CC6F1E86}"/>
    <cellStyle name="쉼표 [0] 19 5 4" xfId="8551" xr:uid="{5D4E7E01-BA11-405E-AB87-5265660F71B8}"/>
    <cellStyle name="쉼표 [0] 19 6" xfId="3054" xr:uid="{00000000-0005-0000-0000-000071030000}"/>
    <cellStyle name="쉼표 [0] 19 6 2" xfId="6715" xr:uid="{00000000-0005-0000-0000-000072030000}"/>
    <cellStyle name="쉼표 [0] 19 6 2 2" xfId="14032" xr:uid="{A07F814A-8236-4487-8FDA-A46DD0F47022}"/>
    <cellStyle name="쉼표 [0] 19 6 3" xfId="10374" xr:uid="{1A68E6F3-8E69-4691-B403-835F6CB90F67}"/>
    <cellStyle name="쉼표 [0] 19 7" xfId="4886" xr:uid="{00000000-0005-0000-0000-000073030000}"/>
    <cellStyle name="쉼표 [0] 19 7 2" xfId="12203" xr:uid="{A7BC6703-5A19-42BB-B49A-D596004C5E75}"/>
    <cellStyle name="쉼표 [0] 19 8" xfId="8544" xr:uid="{60DDAF1B-79F1-454D-B62F-3284C781EC30}"/>
    <cellStyle name="쉼표 [0] 2" xfId="700" xr:uid="{00000000-0005-0000-0000-000074030000}"/>
    <cellStyle name="쉼표 [0] 2 10" xfId="701" xr:uid="{00000000-0005-0000-0000-000075030000}"/>
    <cellStyle name="쉼표 [0] 2 10 2" xfId="702" xr:uid="{00000000-0005-0000-0000-000076030000}"/>
    <cellStyle name="쉼표 [0] 2 10 2 2" xfId="703" xr:uid="{00000000-0005-0000-0000-000077030000}"/>
    <cellStyle name="쉼표 [0] 2 10 2 2 2" xfId="704" xr:uid="{00000000-0005-0000-0000-000078030000}"/>
    <cellStyle name="쉼표 [0] 2 10 2 2 2 2" xfId="3066" xr:uid="{00000000-0005-0000-0000-000079030000}"/>
    <cellStyle name="쉼표 [0] 2 10 2 2 2 2 2" xfId="6727" xr:uid="{00000000-0005-0000-0000-00007A030000}"/>
    <cellStyle name="쉼표 [0] 2 10 2 2 2 2 2 2" xfId="14044" xr:uid="{0EC455A6-8918-425E-9C7A-174CA783FB97}"/>
    <cellStyle name="쉼표 [0] 2 10 2 2 2 2 3" xfId="10386" xr:uid="{E0B1FD36-BAAE-4149-8957-BE4A681EEAF1}"/>
    <cellStyle name="쉼표 [0] 2 10 2 2 2 3" xfId="4898" xr:uid="{00000000-0005-0000-0000-00007B030000}"/>
    <cellStyle name="쉼표 [0] 2 10 2 2 2 3 2" xfId="12215" xr:uid="{6EAF2F9D-BC85-4245-AD6A-2A9F8E98863B}"/>
    <cellStyle name="쉼표 [0] 2 10 2 2 2 4" xfId="8556" xr:uid="{A4D06A27-B0C1-47D9-9E77-5CA5AF78F9E5}"/>
    <cellStyle name="쉼표 [0] 2 10 2 2 3" xfId="705" xr:uid="{00000000-0005-0000-0000-00007C030000}"/>
    <cellStyle name="쉼표 [0] 2 10 2 2 3 2" xfId="3067" xr:uid="{00000000-0005-0000-0000-00007D030000}"/>
    <cellStyle name="쉼표 [0] 2 10 2 2 3 2 2" xfId="6728" xr:uid="{00000000-0005-0000-0000-00007E030000}"/>
    <cellStyle name="쉼표 [0] 2 10 2 2 3 2 2 2" xfId="14045" xr:uid="{065108A9-7137-4AFF-B53B-AD36EB5E2423}"/>
    <cellStyle name="쉼표 [0] 2 10 2 2 3 2 3" xfId="10387" xr:uid="{5EB78E36-12CD-4163-B4CB-4EA7CFD269A9}"/>
    <cellStyle name="쉼표 [0] 2 10 2 2 3 3" xfId="4899" xr:uid="{00000000-0005-0000-0000-00007F030000}"/>
    <cellStyle name="쉼표 [0] 2 10 2 2 3 3 2" xfId="12216" xr:uid="{2C64685C-E3A6-4E45-8E6B-CDABB80BE636}"/>
    <cellStyle name="쉼표 [0] 2 10 2 2 3 4" xfId="8557" xr:uid="{888C2051-8946-4A66-9034-EE0627663EE6}"/>
    <cellStyle name="쉼표 [0] 2 10 2 2 4" xfId="706" xr:uid="{00000000-0005-0000-0000-000080030000}"/>
    <cellStyle name="쉼표 [0] 2 10 2 2 4 2" xfId="3068" xr:uid="{00000000-0005-0000-0000-000081030000}"/>
    <cellStyle name="쉼표 [0] 2 10 2 2 4 2 2" xfId="6729" xr:uid="{00000000-0005-0000-0000-000082030000}"/>
    <cellStyle name="쉼표 [0] 2 10 2 2 4 2 2 2" xfId="14046" xr:uid="{118C30BE-93D6-48D2-B0D5-83300DAC0977}"/>
    <cellStyle name="쉼표 [0] 2 10 2 2 4 2 3" xfId="10388" xr:uid="{3E21AAD8-C752-460D-998C-382E25A59FCF}"/>
    <cellStyle name="쉼표 [0] 2 10 2 2 4 3" xfId="4900" xr:uid="{00000000-0005-0000-0000-000083030000}"/>
    <cellStyle name="쉼표 [0] 2 10 2 2 4 3 2" xfId="12217" xr:uid="{90EC9826-1D3C-4DDE-B9DE-A8B3F3C42DDF}"/>
    <cellStyle name="쉼표 [0] 2 10 2 2 4 4" xfId="8558" xr:uid="{A4E8DD4D-AEA1-41B6-A30C-35E305E25BFC}"/>
    <cellStyle name="쉼표 [0] 2 10 2 2 5" xfId="3065" xr:uid="{00000000-0005-0000-0000-000084030000}"/>
    <cellStyle name="쉼표 [0] 2 10 2 2 5 2" xfId="6726" xr:uid="{00000000-0005-0000-0000-000085030000}"/>
    <cellStyle name="쉼표 [0] 2 10 2 2 5 2 2" xfId="14043" xr:uid="{0734CC1F-DC6A-4F78-AE47-8262A1276EFD}"/>
    <cellStyle name="쉼표 [0] 2 10 2 2 5 3" xfId="10385" xr:uid="{4519130B-63C3-410B-8E87-49CFDC7688CC}"/>
    <cellStyle name="쉼표 [0] 2 10 2 2 6" xfId="4897" xr:uid="{00000000-0005-0000-0000-000086030000}"/>
    <cellStyle name="쉼표 [0] 2 10 2 2 6 2" xfId="12214" xr:uid="{2637BBB7-5D4B-4C94-A30B-94CBCE676035}"/>
    <cellStyle name="쉼표 [0] 2 10 2 2 7" xfId="8555" xr:uid="{F9F59BDF-CBC0-4C71-9358-65088C2921C3}"/>
    <cellStyle name="쉼표 [0] 2 10 2 3" xfId="707" xr:uid="{00000000-0005-0000-0000-000087030000}"/>
    <cellStyle name="쉼표 [0] 2 10 2 3 2" xfId="708" xr:uid="{00000000-0005-0000-0000-000088030000}"/>
    <cellStyle name="쉼표 [0] 2 10 2 3 2 2" xfId="3070" xr:uid="{00000000-0005-0000-0000-000089030000}"/>
    <cellStyle name="쉼표 [0] 2 10 2 3 2 2 2" xfId="6731" xr:uid="{00000000-0005-0000-0000-00008A030000}"/>
    <cellStyle name="쉼표 [0] 2 10 2 3 2 2 2 2" xfId="14048" xr:uid="{6C13F0CF-DB23-4988-977A-A1C795A6CCA6}"/>
    <cellStyle name="쉼표 [0] 2 10 2 3 2 2 3" xfId="10390" xr:uid="{7E9DE098-2E25-4A58-8E70-16A6C8D3969E}"/>
    <cellStyle name="쉼표 [0] 2 10 2 3 2 3" xfId="4902" xr:uid="{00000000-0005-0000-0000-00008B030000}"/>
    <cellStyle name="쉼표 [0] 2 10 2 3 2 3 2" xfId="12219" xr:uid="{95BB5540-9CC8-44F1-9D5B-657F4F825BF5}"/>
    <cellStyle name="쉼표 [0] 2 10 2 3 2 4" xfId="8560" xr:uid="{8E1C007F-9814-4FEA-8B72-7EAE1BDC6AA9}"/>
    <cellStyle name="쉼표 [0] 2 10 2 3 3" xfId="3069" xr:uid="{00000000-0005-0000-0000-00008C030000}"/>
    <cellStyle name="쉼표 [0] 2 10 2 3 3 2" xfId="6730" xr:uid="{00000000-0005-0000-0000-00008D030000}"/>
    <cellStyle name="쉼표 [0] 2 10 2 3 3 2 2" xfId="14047" xr:uid="{D38B5121-CCBD-4696-990C-15A1CF823FE8}"/>
    <cellStyle name="쉼표 [0] 2 10 2 3 3 3" xfId="10389" xr:uid="{2F7A9D8E-D8C3-4421-B517-9664A435AE0F}"/>
    <cellStyle name="쉼표 [0] 2 10 2 3 4" xfId="4901" xr:uid="{00000000-0005-0000-0000-00008E030000}"/>
    <cellStyle name="쉼표 [0] 2 10 2 3 4 2" xfId="12218" xr:uid="{E490F412-5BB0-4C34-A0DA-FF7E1AB2256D}"/>
    <cellStyle name="쉼표 [0] 2 10 2 3 5" xfId="8559" xr:uid="{74A1477A-3A28-4D3A-8B26-4AB0855F02EB}"/>
    <cellStyle name="쉼표 [0] 2 10 2 4" xfId="709" xr:uid="{00000000-0005-0000-0000-00008F030000}"/>
    <cellStyle name="쉼표 [0] 2 10 2 4 2" xfId="710" xr:uid="{00000000-0005-0000-0000-000090030000}"/>
    <cellStyle name="쉼표 [0] 2 10 2 4 2 2" xfId="3072" xr:uid="{00000000-0005-0000-0000-000091030000}"/>
    <cellStyle name="쉼표 [0] 2 10 2 4 2 2 2" xfId="6733" xr:uid="{00000000-0005-0000-0000-000092030000}"/>
    <cellStyle name="쉼표 [0] 2 10 2 4 2 2 2 2" xfId="14050" xr:uid="{065E0E99-AB79-471C-80D0-D626048DE893}"/>
    <cellStyle name="쉼표 [0] 2 10 2 4 2 2 3" xfId="10392" xr:uid="{E583790B-1939-4E3B-8905-4AB85291C698}"/>
    <cellStyle name="쉼표 [0] 2 10 2 4 2 3" xfId="4904" xr:uid="{00000000-0005-0000-0000-000093030000}"/>
    <cellStyle name="쉼표 [0] 2 10 2 4 2 3 2" xfId="12221" xr:uid="{96FAF587-DB22-4015-A2D3-821F14F082F5}"/>
    <cellStyle name="쉼표 [0] 2 10 2 4 2 4" xfId="8562" xr:uid="{9A43D7ED-01CA-4D50-B68E-04A4CA2F9BB6}"/>
    <cellStyle name="쉼표 [0] 2 10 2 4 3" xfId="3071" xr:uid="{00000000-0005-0000-0000-000094030000}"/>
    <cellStyle name="쉼표 [0] 2 10 2 4 3 2" xfId="6732" xr:uid="{00000000-0005-0000-0000-000095030000}"/>
    <cellStyle name="쉼표 [0] 2 10 2 4 3 2 2" xfId="14049" xr:uid="{8CB87CBB-0B9B-4383-B47E-BF01145E192B}"/>
    <cellStyle name="쉼표 [0] 2 10 2 4 3 3" xfId="10391" xr:uid="{C2DF1AF6-7315-48EA-9325-7092F30F69DF}"/>
    <cellStyle name="쉼표 [0] 2 10 2 4 4" xfId="4903" xr:uid="{00000000-0005-0000-0000-000096030000}"/>
    <cellStyle name="쉼표 [0] 2 10 2 4 4 2" xfId="12220" xr:uid="{AA82BEF1-BA45-441D-B599-BB1A38662506}"/>
    <cellStyle name="쉼표 [0] 2 10 2 4 5" xfId="8561" xr:uid="{51A8EA8A-5306-476C-B6C9-233F5057A6D5}"/>
    <cellStyle name="쉼표 [0] 2 10 2 5" xfId="711" xr:uid="{00000000-0005-0000-0000-000097030000}"/>
    <cellStyle name="쉼표 [0] 2 10 2 5 2" xfId="3073" xr:uid="{00000000-0005-0000-0000-000098030000}"/>
    <cellStyle name="쉼표 [0] 2 10 2 5 2 2" xfId="6734" xr:uid="{00000000-0005-0000-0000-000099030000}"/>
    <cellStyle name="쉼표 [0] 2 10 2 5 2 2 2" xfId="14051" xr:uid="{669D0797-A8FE-4B05-8B2F-4F957B7256F9}"/>
    <cellStyle name="쉼표 [0] 2 10 2 5 2 3" xfId="10393" xr:uid="{F7652E26-78F9-47E7-9896-8CEF43D5CDFA}"/>
    <cellStyle name="쉼표 [0] 2 10 2 5 3" xfId="4905" xr:uid="{00000000-0005-0000-0000-00009A030000}"/>
    <cellStyle name="쉼표 [0] 2 10 2 5 3 2" xfId="12222" xr:uid="{CEA6D067-867B-44A7-8BBA-FF401A05B9AC}"/>
    <cellStyle name="쉼표 [0] 2 10 2 5 4" xfId="8563" xr:uid="{E1903EF2-A51D-47EB-A1A9-1F0B6A9711F7}"/>
    <cellStyle name="쉼표 [0] 2 10 2 6" xfId="3064" xr:uid="{00000000-0005-0000-0000-00009B030000}"/>
    <cellStyle name="쉼표 [0] 2 10 2 6 2" xfId="6725" xr:uid="{00000000-0005-0000-0000-00009C030000}"/>
    <cellStyle name="쉼표 [0] 2 10 2 6 2 2" xfId="14042" xr:uid="{19A8ABC7-93C4-4A1D-A624-D59CC55E23D9}"/>
    <cellStyle name="쉼표 [0] 2 10 2 6 3" xfId="10384" xr:uid="{65FF795E-571F-44AB-8CC8-CDF5D882D1F6}"/>
    <cellStyle name="쉼표 [0] 2 10 2 7" xfId="4896" xr:uid="{00000000-0005-0000-0000-00009D030000}"/>
    <cellStyle name="쉼표 [0] 2 10 2 7 2" xfId="12213" xr:uid="{96C33D5E-E01E-4ADD-A4C7-5B13002E31B3}"/>
    <cellStyle name="쉼표 [0] 2 10 2 8" xfId="8554" xr:uid="{B1DE5E39-7FA7-4447-8D50-FF83F5524B47}"/>
    <cellStyle name="쉼표 [0] 2 10 3" xfId="712" xr:uid="{00000000-0005-0000-0000-00009E030000}"/>
    <cellStyle name="쉼표 [0] 2 10 3 2" xfId="713" xr:uid="{00000000-0005-0000-0000-00009F030000}"/>
    <cellStyle name="쉼표 [0] 2 10 3 2 2" xfId="714" xr:uid="{00000000-0005-0000-0000-0000A0030000}"/>
    <cellStyle name="쉼표 [0] 2 10 3 2 2 2" xfId="3076" xr:uid="{00000000-0005-0000-0000-0000A1030000}"/>
    <cellStyle name="쉼표 [0] 2 10 3 2 2 2 2" xfId="6737" xr:uid="{00000000-0005-0000-0000-0000A2030000}"/>
    <cellStyle name="쉼표 [0] 2 10 3 2 2 2 2 2" xfId="14054" xr:uid="{F5C9ECFB-CB11-42E9-B913-DDCE2C1FE1A9}"/>
    <cellStyle name="쉼표 [0] 2 10 3 2 2 2 3" xfId="10396" xr:uid="{781FE6E8-A748-4550-B2C6-E86237EEFEBD}"/>
    <cellStyle name="쉼표 [0] 2 10 3 2 2 3" xfId="4908" xr:uid="{00000000-0005-0000-0000-0000A3030000}"/>
    <cellStyle name="쉼표 [0] 2 10 3 2 2 3 2" xfId="12225" xr:uid="{0F3379A7-2990-464C-9001-57D10B1093FC}"/>
    <cellStyle name="쉼표 [0] 2 10 3 2 2 4" xfId="8566" xr:uid="{FC8B2EF7-8D89-4406-A1EC-BF600DED3674}"/>
    <cellStyle name="쉼표 [0] 2 10 3 2 3" xfId="715" xr:uid="{00000000-0005-0000-0000-0000A4030000}"/>
    <cellStyle name="쉼표 [0] 2 10 3 2 3 2" xfId="3077" xr:uid="{00000000-0005-0000-0000-0000A5030000}"/>
    <cellStyle name="쉼표 [0] 2 10 3 2 3 2 2" xfId="6738" xr:uid="{00000000-0005-0000-0000-0000A6030000}"/>
    <cellStyle name="쉼표 [0] 2 10 3 2 3 2 2 2" xfId="14055" xr:uid="{D571FC8F-0AAC-40A8-8053-25EE3470FAE4}"/>
    <cellStyle name="쉼표 [0] 2 10 3 2 3 2 3" xfId="10397" xr:uid="{F8AF5673-F798-402D-B791-C23A982A9F3E}"/>
    <cellStyle name="쉼표 [0] 2 10 3 2 3 3" xfId="4909" xr:uid="{00000000-0005-0000-0000-0000A7030000}"/>
    <cellStyle name="쉼표 [0] 2 10 3 2 3 3 2" xfId="12226" xr:uid="{4464F84A-0A8B-409F-8DDF-2EDE428D2E6F}"/>
    <cellStyle name="쉼표 [0] 2 10 3 2 3 4" xfId="8567" xr:uid="{2A77C1F0-CF98-4446-A8F3-11E899F9EEC1}"/>
    <cellStyle name="쉼표 [0] 2 10 3 2 4" xfId="716" xr:uid="{00000000-0005-0000-0000-0000A8030000}"/>
    <cellStyle name="쉼표 [0] 2 10 3 2 4 2" xfId="3078" xr:uid="{00000000-0005-0000-0000-0000A9030000}"/>
    <cellStyle name="쉼표 [0] 2 10 3 2 4 2 2" xfId="6739" xr:uid="{00000000-0005-0000-0000-0000AA030000}"/>
    <cellStyle name="쉼표 [0] 2 10 3 2 4 2 2 2" xfId="14056" xr:uid="{02528D6A-6833-4BB2-BDCA-F7D98DEE9FF3}"/>
    <cellStyle name="쉼표 [0] 2 10 3 2 4 2 3" xfId="10398" xr:uid="{33E81777-7E0F-4174-B9E9-392DF9DF9A31}"/>
    <cellStyle name="쉼표 [0] 2 10 3 2 4 3" xfId="4910" xr:uid="{00000000-0005-0000-0000-0000AB030000}"/>
    <cellStyle name="쉼표 [0] 2 10 3 2 4 3 2" xfId="12227" xr:uid="{CD253646-1824-413A-8D0E-E3BC0BE61D1F}"/>
    <cellStyle name="쉼표 [0] 2 10 3 2 4 4" xfId="8568" xr:uid="{65BE6D06-6AB4-4E2B-BDEB-0F7D852B059F}"/>
    <cellStyle name="쉼표 [0] 2 10 3 2 5" xfId="3075" xr:uid="{00000000-0005-0000-0000-0000AC030000}"/>
    <cellStyle name="쉼표 [0] 2 10 3 2 5 2" xfId="6736" xr:uid="{00000000-0005-0000-0000-0000AD030000}"/>
    <cellStyle name="쉼표 [0] 2 10 3 2 5 2 2" xfId="14053" xr:uid="{A1821893-02E3-4A0F-BB07-5E77038AAAAE}"/>
    <cellStyle name="쉼표 [0] 2 10 3 2 5 3" xfId="10395" xr:uid="{2F662BC7-912A-467A-8C72-5688108204F0}"/>
    <cellStyle name="쉼표 [0] 2 10 3 2 6" xfId="4907" xr:uid="{00000000-0005-0000-0000-0000AE030000}"/>
    <cellStyle name="쉼표 [0] 2 10 3 2 6 2" xfId="12224" xr:uid="{706D2158-BF5E-44F5-8FE2-6A17958D4AA8}"/>
    <cellStyle name="쉼표 [0] 2 10 3 2 7" xfId="8565" xr:uid="{0DB6665B-F279-438E-9DDB-68C8524F3D7E}"/>
    <cellStyle name="쉼표 [0] 2 10 3 3" xfId="717" xr:uid="{00000000-0005-0000-0000-0000AF030000}"/>
    <cellStyle name="쉼표 [0] 2 10 3 3 2" xfId="3079" xr:uid="{00000000-0005-0000-0000-0000B0030000}"/>
    <cellStyle name="쉼표 [0] 2 10 3 3 2 2" xfId="6740" xr:uid="{00000000-0005-0000-0000-0000B1030000}"/>
    <cellStyle name="쉼표 [0] 2 10 3 3 2 2 2" xfId="14057" xr:uid="{21846390-9A94-4E2F-B976-F4CB85914D19}"/>
    <cellStyle name="쉼표 [0] 2 10 3 3 2 3" xfId="10399" xr:uid="{24974C06-1ABA-4C26-9ACC-5BC80865D6F4}"/>
    <cellStyle name="쉼표 [0] 2 10 3 3 3" xfId="4911" xr:uid="{00000000-0005-0000-0000-0000B2030000}"/>
    <cellStyle name="쉼표 [0] 2 10 3 3 3 2" xfId="12228" xr:uid="{FCB582CC-9526-497F-A1B3-26807C0C7E5F}"/>
    <cellStyle name="쉼표 [0] 2 10 3 3 4" xfId="8569" xr:uid="{5778C033-1BD6-4649-8E1F-DF0C750CA2DA}"/>
    <cellStyle name="쉼표 [0] 2 10 3 4" xfId="718" xr:uid="{00000000-0005-0000-0000-0000B3030000}"/>
    <cellStyle name="쉼표 [0] 2 10 3 4 2" xfId="3080" xr:uid="{00000000-0005-0000-0000-0000B4030000}"/>
    <cellStyle name="쉼표 [0] 2 10 3 4 2 2" xfId="6741" xr:uid="{00000000-0005-0000-0000-0000B5030000}"/>
    <cellStyle name="쉼표 [0] 2 10 3 4 2 2 2" xfId="14058" xr:uid="{FF0D5594-E414-41FD-9BAF-82B3A647AFA8}"/>
    <cellStyle name="쉼표 [0] 2 10 3 4 2 3" xfId="10400" xr:uid="{3721D8B6-866B-4A34-BA26-3606406DE422}"/>
    <cellStyle name="쉼표 [0] 2 10 3 4 3" xfId="4912" xr:uid="{00000000-0005-0000-0000-0000B6030000}"/>
    <cellStyle name="쉼표 [0] 2 10 3 4 3 2" xfId="12229" xr:uid="{992D9DF9-B2B6-481B-B573-355CAD363563}"/>
    <cellStyle name="쉼표 [0] 2 10 3 4 4" xfId="8570" xr:uid="{C32FE0F4-160A-4D8C-A457-A1CB22113580}"/>
    <cellStyle name="쉼표 [0] 2 10 3 5" xfId="719" xr:uid="{00000000-0005-0000-0000-0000B7030000}"/>
    <cellStyle name="쉼표 [0] 2 10 3 5 2" xfId="3081" xr:uid="{00000000-0005-0000-0000-0000B8030000}"/>
    <cellStyle name="쉼표 [0] 2 10 3 5 2 2" xfId="6742" xr:uid="{00000000-0005-0000-0000-0000B9030000}"/>
    <cellStyle name="쉼표 [0] 2 10 3 5 2 2 2" xfId="14059" xr:uid="{1E6A56B5-E525-4099-BDFA-D8B411C1ABDC}"/>
    <cellStyle name="쉼표 [0] 2 10 3 5 2 3" xfId="10401" xr:uid="{54159FE1-3C62-4C30-99EF-6B3D2DD60F76}"/>
    <cellStyle name="쉼표 [0] 2 10 3 5 3" xfId="4913" xr:uid="{00000000-0005-0000-0000-0000BA030000}"/>
    <cellStyle name="쉼표 [0] 2 10 3 5 3 2" xfId="12230" xr:uid="{748C516E-0F27-4883-A7C2-ECE6928163BD}"/>
    <cellStyle name="쉼표 [0] 2 10 3 5 4" xfId="8571" xr:uid="{B4AB3B78-D90E-45D6-9DDD-7B3F80D168F0}"/>
    <cellStyle name="쉼표 [0] 2 10 3 6" xfId="3074" xr:uid="{00000000-0005-0000-0000-0000BB030000}"/>
    <cellStyle name="쉼표 [0] 2 10 3 6 2" xfId="6735" xr:uid="{00000000-0005-0000-0000-0000BC030000}"/>
    <cellStyle name="쉼표 [0] 2 10 3 6 2 2" xfId="14052" xr:uid="{0F48756E-E7C8-43C2-A0F0-4FD0B5E9CE3B}"/>
    <cellStyle name="쉼표 [0] 2 10 3 6 3" xfId="10394" xr:uid="{BD17B9E0-B7D5-4325-B1E7-B3D6DF42A781}"/>
    <cellStyle name="쉼표 [0] 2 10 3 7" xfId="4906" xr:uid="{00000000-0005-0000-0000-0000BD030000}"/>
    <cellStyle name="쉼표 [0] 2 10 3 7 2" xfId="12223" xr:uid="{6DF82194-6822-49C0-B96F-F908FD7098E9}"/>
    <cellStyle name="쉼표 [0] 2 10 3 8" xfId="8564" xr:uid="{3E698CCB-C500-479A-A673-B91E4F43A77A}"/>
    <cellStyle name="쉼표 [0] 2 10 4" xfId="720" xr:uid="{00000000-0005-0000-0000-0000BE030000}"/>
    <cellStyle name="쉼표 [0] 2 10 4 2" xfId="721" xr:uid="{00000000-0005-0000-0000-0000BF030000}"/>
    <cellStyle name="쉼표 [0] 2 10 4 2 2" xfId="722" xr:uid="{00000000-0005-0000-0000-0000C0030000}"/>
    <cellStyle name="쉼표 [0] 2 10 4 2 2 2" xfId="3084" xr:uid="{00000000-0005-0000-0000-0000C1030000}"/>
    <cellStyle name="쉼표 [0] 2 10 4 2 2 2 2" xfId="6745" xr:uid="{00000000-0005-0000-0000-0000C2030000}"/>
    <cellStyle name="쉼표 [0] 2 10 4 2 2 2 2 2" xfId="14062" xr:uid="{4A6F4EBA-7C10-4F78-9782-360E53EE0459}"/>
    <cellStyle name="쉼표 [0] 2 10 4 2 2 2 3" xfId="10404" xr:uid="{2F0A5DBD-20E1-46F3-8B33-6B1B097E2299}"/>
    <cellStyle name="쉼표 [0] 2 10 4 2 2 3" xfId="4916" xr:uid="{00000000-0005-0000-0000-0000C3030000}"/>
    <cellStyle name="쉼표 [0] 2 10 4 2 2 3 2" xfId="12233" xr:uid="{DD50642B-6F2D-48F4-904B-611BB26FA36A}"/>
    <cellStyle name="쉼표 [0] 2 10 4 2 2 4" xfId="8574" xr:uid="{D14CD1CF-FC72-40B0-B6DE-316218E2A34D}"/>
    <cellStyle name="쉼표 [0] 2 10 4 2 3" xfId="723" xr:uid="{00000000-0005-0000-0000-0000C4030000}"/>
    <cellStyle name="쉼표 [0] 2 10 4 2 3 2" xfId="3085" xr:uid="{00000000-0005-0000-0000-0000C5030000}"/>
    <cellStyle name="쉼표 [0] 2 10 4 2 3 2 2" xfId="6746" xr:uid="{00000000-0005-0000-0000-0000C6030000}"/>
    <cellStyle name="쉼표 [0] 2 10 4 2 3 2 2 2" xfId="14063" xr:uid="{036A1E00-3A3A-4466-B5EE-85AD69BB903A}"/>
    <cellStyle name="쉼표 [0] 2 10 4 2 3 2 3" xfId="10405" xr:uid="{B4916AEE-2DC8-4B33-9EB2-A99F2A63420F}"/>
    <cellStyle name="쉼표 [0] 2 10 4 2 3 3" xfId="4917" xr:uid="{00000000-0005-0000-0000-0000C7030000}"/>
    <cellStyle name="쉼표 [0] 2 10 4 2 3 3 2" xfId="12234" xr:uid="{EC8FCF75-D11D-4E56-B994-5544EEC1D6EF}"/>
    <cellStyle name="쉼표 [0] 2 10 4 2 3 4" xfId="8575" xr:uid="{495E0FC3-158B-4F93-8BBA-32821101CC96}"/>
    <cellStyle name="쉼표 [0] 2 10 4 2 4" xfId="724" xr:uid="{00000000-0005-0000-0000-0000C8030000}"/>
    <cellStyle name="쉼표 [0] 2 10 4 2 4 2" xfId="3086" xr:uid="{00000000-0005-0000-0000-0000C9030000}"/>
    <cellStyle name="쉼표 [0] 2 10 4 2 4 2 2" xfId="6747" xr:uid="{00000000-0005-0000-0000-0000CA030000}"/>
    <cellStyle name="쉼표 [0] 2 10 4 2 4 2 2 2" xfId="14064" xr:uid="{2EA204B1-823F-4FF4-8A73-DC0A264C92AE}"/>
    <cellStyle name="쉼표 [0] 2 10 4 2 4 2 3" xfId="10406" xr:uid="{0DB6461B-9493-439E-881D-A16706AACB4F}"/>
    <cellStyle name="쉼표 [0] 2 10 4 2 4 3" xfId="4918" xr:uid="{00000000-0005-0000-0000-0000CB030000}"/>
    <cellStyle name="쉼표 [0] 2 10 4 2 4 3 2" xfId="12235" xr:uid="{133203F0-4A75-4C2B-8EE3-1E3C51C8FAC5}"/>
    <cellStyle name="쉼표 [0] 2 10 4 2 4 4" xfId="8576" xr:uid="{E15181E8-CA53-4416-AC44-C3FEC1A91C03}"/>
    <cellStyle name="쉼표 [0] 2 10 4 2 5" xfId="3083" xr:uid="{00000000-0005-0000-0000-0000CC030000}"/>
    <cellStyle name="쉼표 [0] 2 10 4 2 5 2" xfId="6744" xr:uid="{00000000-0005-0000-0000-0000CD030000}"/>
    <cellStyle name="쉼표 [0] 2 10 4 2 5 2 2" xfId="14061" xr:uid="{B055C40E-A49C-422A-93DB-93202988B2DF}"/>
    <cellStyle name="쉼표 [0] 2 10 4 2 5 3" xfId="10403" xr:uid="{3E01D95B-384E-460E-9ACC-9044AB65AE46}"/>
    <cellStyle name="쉼표 [0] 2 10 4 2 6" xfId="4915" xr:uid="{00000000-0005-0000-0000-0000CE030000}"/>
    <cellStyle name="쉼표 [0] 2 10 4 2 6 2" xfId="12232" xr:uid="{77F4563F-62A2-4624-AB6C-F1A1EE24967D}"/>
    <cellStyle name="쉼표 [0] 2 10 4 2 7" xfId="8573" xr:uid="{1EAB885B-9DD2-427A-A66D-085B8E76C3A9}"/>
    <cellStyle name="쉼표 [0] 2 10 4 3" xfId="725" xr:uid="{00000000-0005-0000-0000-0000CF030000}"/>
    <cellStyle name="쉼표 [0] 2 10 4 3 2" xfId="3087" xr:uid="{00000000-0005-0000-0000-0000D0030000}"/>
    <cellStyle name="쉼표 [0] 2 10 4 3 2 2" xfId="6748" xr:uid="{00000000-0005-0000-0000-0000D1030000}"/>
    <cellStyle name="쉼표 [0] 2 10 4 3 2 2 2" xfId="14065" xr:uid="{96AE2798-1AD3-4CC6-BF5F-E7C07C4C7F46}"/>
    <cellStyle name="쉼표 [0] 2 10 4 3 2 3" xfId="10407" xr:uid="{1C059B0F-A1FC-48AD-83C4-F5078591D44E}"/>
    <cellStyle name="쉼표 [0] 2 10 4 3 3" xfId="4919" xr:uid="{00000000-0005-0000-0000-0000D2030000}"/>
    <cellStyle name="쉼표 [0] 2 10 4 3 3 2" xfId="12236" xr:uid="{5E551CAB-5A2C-4E03-87DF-26A6F5C14BD1}"/>
    <cellStyle name="쉼표 [0] 2 10 4 3 4" xfId="8577" xr:uid="{8AA42115-2306-415F-9145-4508800574C8}"/>
    <cellStyle name="쉼표 [0] 2 10 4 4" xfId="726" xr:uid="{00000000-0005-0000-0000-0000D3030000}"/>
    <cellStyle name="쉼표 [0] 2 10 4 4 2" xfId="3088" xr:uid="{00000000-0005-0000-0000-0000D4030000}"/>
    <cellStyle name="쉼표 [0] 2 10 4 4 2 2" xfId="6749" xr:uid="{00000000-0005-0000-0000-0000D5030000}"/>
    <cellStyle name="쉼표 [0] 2 10 4 4 2 2 2" xfId="14066" xr:uid="{B6759A09-32AE-4C62-BA8C-15B82ABC2C79}"/>
    <cellStyle name="쉼표 [0] 2 10 4 4 2 3" xfId="10408" xr:uid="{9B8FE3AC-A88B-46AF-B506-83F7A09711F9}"/>
    <cellStyle name="쉼표 [0] 2 10 4 4 3" xfId="4920" xr:uid="{00000000-0005-0000-0000-0000D6030000}"/>
    <cellStyle name="쉼표 [0] 2 10 4 4 3 2" xfId="12237" xr:uid="{264F20C2-ACD0-4BF6-9423-43A83DB35F06}"/>
    <cellStyle name="쉼표 [0] 2 10 4 4 4" xfId="8578" xr:uid="{E6093ED2-554D-4283-9842-910E6BF0EA62}"/>
    <cellStyle name="쉼표 [0] 2 10 4 5" xfId="727" xr:uid="{00000000-0005-0000-0000-0000D7030000}"/>
    <cellStyle name="쉼표 [0] 2 10 4 5 2" xfId="3089" xr:uid="{00000000-0005-0000-0000-0000D8030000}"/>
    <cellStyle name="쉼표 [0] 2 10 4 5 2 2" xfId="6750" xr:uid="{00000000-0005-0000-0000-0000D9030000}"/>
    <cellStyle name="쉼표 [0] 2 10 4 5 2 2 2" xfId="14067" xr:uid="{D49BDBB0-DA9B-4832-880C-71090225A79B}"/>
    <cellStyle name="쉼표 [0] 2 10 4 5 2 3" xfId="10409" xr:uid="{DDDE8DD6-ADF5-4C35-8978-304CB284E56E}"/>
    <cellStyle name="쉼표 [0] 2 10 4 5 3" xfId="4921" xr:uid="{00000000-0005-0000-0000-0000DA030000}"/>
    <cellStyle name="쉼표 [0] 2 10 4 5 3 2" xfId="12238" xr:uid="{48001C5D-74BB-41C3-B747-42B3454C22A0}"/>
    <cellStyle name="쉼표 [0] 2 10 4 5 4" xfId="8579" xr:uid="{75F72160-76D3-428B-95B2-90716216F634}"/>
    <cellStyle name="쉼표 [0] 2 10 4 6" xfId="3082" xr:uid="{00000000-0005-0000-0000-0000DB030000}"/>
    <cellStyle name="쉼표 [0] 2 10 4 6 2" xfId="6743" xr:uid="{00000000-0005-0000-0000-0000DC030000}"/>
    <cellStyle name="쉼표 [0] 2 10 4 6 2 2" xfId="14060" xr:uid="{B4C9E4E6-D55F-480A-A5EE-A2A1175C88E7}"/>
    <cellStyle name="쉼표 [0] 2 10 4 6 3" xfId="10402" xr:uid="{3E647A31-21FD-4304-B32D-BC2A9A9D20BF}"/>
    <cellStyle name="쉼표 [0] 2 10 4 7" xfId="4914" xr:uid="{00000000-0005-0000-0000-0000DD030000}"/>
    <cellStyle name="쉼표 [0] 2 10 4 7 2" xfId="12231" xr:uid="{42DD6FFA-7317-4FDC-BC01-92007827C4FA}"/>
    <cellStyle name="쉼표 [0] 2 10 4 8" xfId="8572" xr:uid="{A6BB85B2-0FA7-4E2B-88D5-11A6E0539C33}"/>
    <cellStyle name="쉼표 [0] 2 10 5" xfId="728" xr:uid="{00000000-0005-0000-0000-0000DE030000}"/>
    <cellStyle name="쉼표 [0] 2 10 6" xfId="729" xr:uid="{00000000-0005-0000-0000-0000DF030000}"/>
    <cellStyle name="쉼표 [0] 2 10 6 2" xfId="3090" xr:uid="{00000000-0005-0000-0000-0000E0030000}"/>
    <cellStyle name="쉼표 [0] 2 10 6 2 2" xfId="6751" xr:uid="{00000000-0005-0000-0000-0000E1030000}"/>
    <cellStyle name="쉼표 [0] 2 10 6 2 2 2" xfId="14068" xr:uid="{EE87560F-BE24-464E-AD2B-8636AE82F31F}"/>
    <cellStyle name="쉼표 [0] 2 10 6 2 3" xfId="10410" xr:uid="{8233D00A-7345-48EB-BB33-D230ECFB7591}"/>
    <cellStyle name="쉼표 [0] 2 10 6 3" xfId="4922" xr:uid="{00000000-0005-0000-0000-0000E2030000}"/>
    <cellStyle name="쉼표 [0] 2 10 6 3 2" xfId="12239" xr:uid="{C06F48D2-C154-4558-95D4-2353153E97F3}"/>
    <cellStyle name="쉼표 [0] 2 10 6 4" xfId="8580" xr:uid="{62C78C0C-0200-4D47-A085-AB501DD16A94}"/>
    <cellStyle name="쉼표 [0] 2 10 7" xfId="3063" xr:uid="{00000000-0005-0000-0000-0000E3030000}"/>
    <cellStyle name="쉼표 [0] 2 10 7 2" xfId="6724" xr:uid="{00000000-0005-0000-0000-0000E4030000}"/>
    <cellStyle name="쉼표 [0] 2 10 7 2 2" xfId="14041" xr:uid="{0A7B08D3-59A5-4E84-9A27-C5A0EF6EBE85}"/>
    <cellStyle name="쉼표 [0] 2 10 7 3" xfId="10383" xr:uid="{6D296B0F-0E63-40C8-8185-BEA75FF03A84}"/>
    <cellStyle name="쉼표 [0] 2 10 8" xfId="4895" xr:uid="{00000000-0005-0000-0000-0000E5030000}"/>
    <cellStyle name="쉼표 [0] 2 10 8 2" xfId="12212" xr:uid="{CDE955B7-C557-4113-804D-27F6B9776C48}"/>
    <cellStyle name="쉼표 [0] 2 10 9" xfId="8553" xr:uid="{4DB9360F-B833-443F-852D-424CBF2BF30C}"/>
    <cellStyle name="쉼표 [0] 2 11" xfId="730" xr:uid="{00000000-0005-0000-0000-0000E6030000}"/>
    <cellStyle name="쉼표 [0] 2 11 10" xfId="8581" xr:uid="{1A7D5926-5E60-43ED-A6B0-7A8C4A288154}"/>
    <cellStyle name="쉼표 [0] 2 11 2" xfId="731" xr:uid="{00000000-0005-0000-0000-0000E7030000}"/>
    <cellStyle name="쉼표 [0] 2 11 2 2" xfId="732" xr:uid="{00000000-0005-0000-0000-0000E8030000}"/>
    <cellStyle name="쉼표 [0] 2 11 2 2 2" xfId="733" xr:uid="{00000000-0005-0000-0000-0000E9030000}"/>
    <cellStyle name="쉼표 [0] 2 11 2 2 2 2" xfId="3094" xr:uid="{00000000-0005-0000-0000-0000EA030000}"/>
    <cellStyle name="쉼표 [0] 2 11 2 2 2 2 2" xfId="6755" xr:uid="{00000000-0005-0000-0000-0000EB030000}"/>
    <cellStyle name="쉼표 [0] 2 11 2 2 2 2 2 2" xfId="14072" xr:uid="{F9CE5AC8-0372-4942-BC28-3D15026FD833}"/>
    <cellStyle name="쉼표 [0] 2 11 2 2 2 2 3" xfId="10414" xr:uid="{DBF616D5-8911-4A67-A60C-DDE4155EB2DD}"/>
    <cellStyle name="쉼표 [0] 2 11 2 2 2 3" xfId="4926" xr:uid="{00000000-0005-0000-0000-0000EC030000}"/>
    <cellStyle name="쉼표 [0] 2 11 2 2 2 3 2" xfId="12243" xr:uid="{9CC773C5-1089-4493-AAC8-674D3007E863}"/>
    <cellStyle name="쉼표 [0] 2 11 2 2 2 4" xfId="8584" xr:uid="{E5AB8FB3-5AB3-4B66-BEB6-BBC81AE9A554}"/>
    <cellStyle name="쉼표 [0] 2 11 2 2 3" xfId="3093" xr:uid="{00000000-0005-0000-0000-0000ED030000}"/>
    <cellStyle name="쉼표 [0] 2 11 2 2 3 2" xfId="6754" xr:uid="{00000000-0005-0000-0000-0000EE030000}"/>
    <cellStyle name="쉼표 [0] 2 11 2 2 3 2 2" xfId="14071" xr:uid="{1C2AA667-7DA5-46BA-A071-D52679FC4FBF}"/>
    <cellStyle name="쉼표 [0] 2 11 2 2 3 3" xfId="10413" xr:uid="{748B5DC5-EAB5-4076-95B8-D19CFF342CD6}"/>
    <cellStyle name="쉼표 [0] 2 11 2 2 4" xfId="4925" xr:uid="{00000000-0005-0000-0000-0000EF030000}"/>
    <cellStyle name="쉼표 [0] 2 11 2 2 4 2" xfId="12242" xr:uid="{5A8D9CF2-C721-44BF-B5CC-2419AA0A7CA0}"/>
    <cellStyle name="쉼표 [0] 2 11 2 2 5" xfId="8583" xr:uid="{C195519E-CFD9-4307-A070-AFFB98BF999C}"/>
    <cellStyle name="쉼표 [0] 2 11 2 3" xfId="734" xr:uid="{00000000-0005-0000-0000-0000F0030000}"/>
    <cellStyle name="쉼표 [0] 2 11 2 3 2" xfId="735" xr:uid="{00000000-0005-0000-0000-0000F1030000}"/>
    <cellStyle name="쉼표 [0] 2 11 2 3 2 2" xfId="3096" xr:uid="{00000000-0005-0000-0000-0000F2030000}"/>
    <cellStyle name="쉼표 [0] 2 11 2 3 2 2 2" xfId="6757" xr:uid="{00000000-0005-0000-0000-0000F3030000}"/>
    <cellStyle name="쉼표 [0] 2 11 2 3 2 2 2 2" xfId="14074" xr:uid="{1911BE03-2D45-4A71-9695-E02EA869849A}"/>
    <cellStyle name="쉼표 [0] 2 11 2 3 2 2 3" xfId="10416" xr:uid="{8D61669C-832A-402A-B7B3-75903BBE9081}"/>
    <cellStyle name="쉼표 [0] 2 11 2 3 2 3" xfId="4928" xr:uid="{00000000-0005-0000-0000-0000F4030000}"/>
    <cellStyle name="쉼표 [0] 2 11 2 3 2 3 2" xfId="12245" xr:uid="{B02F50D6-EEFE-420C-AAC7-60C18F96180E}"/>
    <cellStyle name="쉼표 [0] 2 11 2 3 2 4" xfId="8586" xr:uid="{3F256485-1A79-4B25-BABE-676C8C20C593}"/>
    <cellStyle name="쉼표 [0] 2 11 2 3 3" xfId="3095" xr:uid="{00000000-0005-0000-0000-0000F5030000}"/>
    <cellStyle name="쉼표 [0] 2 11 2 3 3 2" xfId="6756" xr:uid="{00000000-0005-0000-0000-0000F6030000}"/>
    <cellStyle name="쉼표 [0] 2 11 2 3 3 2 2" xfId="14073" xr:uid="{D5E434E0-4CCB-4AC0-A2F8-82965DB7E769}"/>
    <cellStyle name="쉼표 [0] 2 11 2 3 3 3" xfId="10415" xr:uid="{0215C62E-EC25-40BD-9FAF-035DC6358AAF}"/>
    <cellStyle name="쉼표 [0] 2 11 2 3 4" xfId="4927" xr:uid="{00000000-0005-0000-0000-0000F7030000}"/>
    <cellStyle name="쉼표 [0] 2 11 2 3 4 2" xfId="12244" xr:uid="{72D21BA7-FC54-4041-87D0-8AEDAE3C2263}"/>
    <cellStyle name="쉼표 [0] 2 11 2 3 5" xfId="8585" xr:uid="{5CD29259-C6E8-44F3-9319-1B7A52D50A8F}"/>
    <cellStyle name="쉼표 [0] 2 11 2 4" xfId="736" xr:uid="{00000000-0005-0000-0000-0000F8030000}"/>
    <cellStyle name="쉼표 [0] 2 11 2 4 2" xfId="3097" xr:uid="{00000000-0005-0000-0000-0000F9030000}"/>
    <cellStyle name="쉼표 [0] 2 11 2 4 2 2" xfId="6758" xr:uid="{00000000-0005-0000-0000-0000FA030000}"/>
    <cellStyle name="쉼표 [0] 2 11 2 4 2 2 2" xfId="14075" xr:uid="{55252735-88F7-41BE-BB8A-905316D7BC30}"/>
    <cellStyle name="쉼표 [0] 2 11 2 4 2 3" xfId="10417" xr:uid="{61307AFD-F1F9-4A24-9776-295B0D4B7782}"/>
    <cellStyle name="쉼표 [0] 2 11 2 4 3" xfId="4929" xr:uid="{00000000-0005-0000-0000-0000FB030000}"/>
    <cellStyle name="쉼표 [0] 2 11 2 4 3 2" xfId="12246" xr:uid="{35106755-2B5B-4B8A-B150-CC3E2E40A6A6}"/>
    <cellStyle name="쉼표 [0] 2 11 2 4 4" xfId="8587" xr:uid="{0EDFDCA3-3C5A-44C8-B552-710B3ADD212C}"/>
    <cellStyle name="쉼표 [0] 2 11 2 5" xfId="3092" xr:uid="{00000000-0005-0000-0000-0000FC030000}"/>
    <cellStyle name="쉼표 [0] 2 11 2 5 2" xfId="6753" xr:uid="{00000000-0005-0000-0000-0000FD030000}"/>
    <cellStyle name="쉼표 [0] 2 11 2 5 2 2" xfId="14070" xr:uid="{3FE4845C-B372-4FFA-9F29-81A38EAEE4EC}"/>
    <cellStyle name="쉼표 [0] 2 11 2 5 3" xfId="10412" xr:uid="{6D148C7E-96E3-4C51-A9EC-7E76702C9E26}"/>
    <cellStyle name="쉼표 [0] 2 11 2 6" xfId="4924" xr:uid="{00000000-0005-0000-0000-0000FE030000}"/>
    <cellStyle name="쉼표 [0] 2 11 2 6 2" xfId="12241" xr:uid="{C71B6C99-8677-42A9-8E31-502C6615D681}"/>
    <cellStyle name="쉼표 [0] 2 11 2 7" xfId="8582" xr:uid="{3D175A21-025F-4DEC-8C8F-04294728A293}"/>
    <cellStyle name="쉼표 [0] 2 11 3" xfId="737" xr:uid="{00000000-0005-0000-0000-0000FF030000}"/>
    <cellStyle name="쉼표 [0] 2 11 3 2" xfId="738" xr:uid="{00000000-0005-0000-0000-000000040000}"/>
    <cellStyle name="쉼표 [0] 2 11 3 2 2" xfId="3099" xr:uid="{00000000-0005-0000-0000-000001040000}"/>
    <cellStyle name="쉼표 [0] 2 11 3 2 2 2" xfId="6760" xr:uid="{00000000-0005-0000-0000-000002040000}"/>
    <cellStyle name="쉼표 [0] 2 11 3 2 2 2 2" xfId="14077" xr:uid="{7D4ECBC5-2985-4688-9273-A7EB027FCC80}"/>
    <cellStyle name="쉼표 [0] 2 11 3 2 2 3" xfId="10419" xr:uid="{57580201-4928-47C5-8426-A49993900198}"/>
    <cellStyle name="쉼표 [0] 2 11 3 2 3" xfId="4931" xr:uid="{00000000-0005-0000-0000-000003040000}"/>
    <cellStyle name="쉼표 [0] 2 11 3 2 3 2" xfId="12248" xr:uid="{AE24E297-08E5-40D5-BBC6-F2A3D0789BAE}"/>
    <cellStyle name="쉼표 [0] 2 11 3 2 4" xfId="8589" xr:uid="{64943E5F-373B-4784-9699-FF677ADC90DD}"/>
    <cellStyle name="쉼표 [0] 2 11 3 3" xfId="3098" xr:uid="{00000000-0005-0000-0000-000004040000}"/>
    <cellStyle name="쉼표 [0] 2 11 3 3 2" xfId="6759" xr:uid="{00000000-0005-0000-0000-000005040000}"/>
    <cellStyle name="쉼표 [0] 2 11 3 3 2 2" xfId="14076" xr:uid="{6C0B317D-6A2F-40CF-A7BC-053C5A1C1337}"/>
    <cellStyle name="쉼표 [0] 2 11 3 3 3" xfId="10418" xr:uid="{01EB1259-86C4-43E9-B191-EE8D06665CA7}"/>
    <cellStyle name="쉼표 [0] 2 11 3 4" xfId="4930" xr:uid="{00000000-0005-0000-0000-000006040000}"/>
    <cellStyle name="쉼표 [0] 2 11 3 4 2" xfId="12247" xr:uid="{469F1F23-DD91-4C27-9F07-FCBA0F2A1664}"/>
    <cellStyle name="쉼표 [0] 2 11 3 5" xfId="8588" xr:uid="{005AE8BB-D143-47B2-8FA0-6237DD13229B}"/>
    <cellStyle name="쉼표 [0] 2 11 4" xfId="739" xr:uid="{00000000-0005-0000-0000-000007040000}"/>
    <cellStyle name="쉼표 [0] 2 11 4 2" xfId="3100" xr:uid="{00000000-0005-0000-0000-000008040000}"/>
    <cellStyle name="쉼표 [0] 2 11 4 2 2" xfId="6761" xr:uid="{00000000-0005-0000-0000-000009040000}"/>
    <cellStyle name="쉼표 [0] 2 11 4 2 2 2" xfId="14078" xr:uid="{02E0EF54-90B7-40F3-AB47-FF0ADA510BCA}"/>
    <cellStyle name="쉼표 [0] 2 11 4 2 3" xfId="10420" xr:uid="{9326E24E-405D-48A1-B1FE-0B507C83F9FF}"/>
    <cellStyle name="쉼표 [0] 2 11 4 3" xfId="4932" xr:uid="{00000000-0005-0000-0000-00000A040000}"/>
    <cellStyle name="쉼표 [0] 2 11 4 3 2" xfId="12249" xr:uid="{0AF9CB57-22E0-416A-A9A1-54C6D9BE38BA}"/>
    <cellStyle name="쉼표 [0] 2 11 4 4" xfId="8590" xr:uid="{9147F3EE-49C2-433B-ABE6-C6F09A6F1240}"/>
    <cellStyle name="쉼표 [0] 2 11 5" xfId="740" xr:uid="{00000000-0005-0000-0000-00000B040000}"/>
    <cellStyle name="쉼표 [0] 2 11 5 2" xfId="3101" xr:uid="{00000000-0005-0000-0000-00000C040000}"/>
    <cellStyle name="쉼표 [0] 2 11 5 2 2" xfId="6762" xr:uid="{00000000-0005-0000-0000-00000D040000}"/>
    <cellStyle name="쉼표 [0] 2 11 5 2 2 2" xfId="14079" xr:uid="{669A6905-8F8F-4499-A307-81B0A6D526C4}"/>
    <cellStyle name="쉼표 [0] 2 11 5 2 3" xfId="10421" xr:uid="{5355F465-10BD-4AFC-862A-253EC81528A6}"/>
    <cellStyle name="쉼표 [0] 2 11 5 3" xfId="4933" xr:uid="{00000000-0005-0000-0000-00000E040000}"/>
    <cellStyle name="쉼표 [0] 2 11 5 3 2" xfId="12250" xr:uid="{78F86D76-025A-4C92-B7F8-2873360696CC}"/>
    <cellStyle name="쉼표 [0] 2 11 5 4" xfId="8591" xr:uid="{507615EA-2D4C-4D53-8383-6F2D449C7B1D}"/>
    <cellStyle name="쉼표 [0] 2 11 6" xfId="741" xr:uid="{00000000-0005-0000-0000-00000F040000}"/>
    <cellStyle name="쉼표 [0] 2 11 6 2" xfId="3102" xr:uid="{00000000-0005-0000-0000-000010040000}"/>
    <cellStyle name="쉼표 [0] 2 11 6 2 2" xfId="6763" xr:uid="{00000000-0005-0000-0000-000011040000}"/>
    <cellStyle name="쉼표 [0] 2 11 6 2 2 2" xfId="14080" xr:uid="{2BF1C6B4-6B47-4948-ABBE-7C8BF62BEAB5}"/>
    <cellStyle name="쉼표 [0] 2 11 6 2 3" xfId="10422" xr:uid="{11B1335C-43A5-41ED-AE26-C26DF54CF91B}"/>
    <cellStyle name="쉼표 [0] 2 11 6 3" xfId="4934" xr:uid="{00000000-0005-0000-0000-000012040000}"/>
    <cellStyle name="쉼표 [0] 2 11 6 3 2" xfId="12251" xr:uid="{BD146446-0CA1-4F1C-A419-AF85378EC501}"/>
    <cellStyle name="쉼표 [0] 2 11 6 4" xfId="8592" xr:uid="{8B0D887D-7B19-4463-BE54-A0B23828AADC}"/>
    <cellStyle name="쉼표 [0] 2 11 7" xfId="742" xr:uid="{00000000-0005-0000-0000-000013040000}"/>
    <cellStyle name="쉼표 [0] 2 11 7 2" xfId="3103" xr:uid="{00000000-0005-0000-0000-000014040000}"/>
    <cellStyle name="쉼표 [0] 2 11 7 2 2" xfId="6764" xr:uid="{00000000-0005-0000-0000-000015040000}"/>
    <cellStyle name="쉼표 [0] 2 11 7 2 2 2" xfId="14081" xr:uid="{D5D63A52-8FAD-45A5-A8AF-BD8E137E09ED}"/>
    <cellStyle name="쉼표 [0] 2 11 7 2 3" xfId="10423" xr:uid="{14F2EF62-1981-4F8B-90B1-FAE8A967EF3C}"/>
    <cellStyle name="쉼표 [0] 2 11 7 3" xfId="4935" xr:uid="{00000000-0005-0000-0000-000016040000}"/>
    <cellStyle name="쉼표 [0] 2 11 7 3 2" xfId="12252" xr:uid="{3A682F8C-D4DB-45B8-9EA5-A3CAB64582A7}"/>
    <cellStyle name="쉼표 [0] 2 11 7 4" xfId="8593" xr:uid="{77B42C1E-891F-475C-A943-496E0425132A}"/>
    <cellStyle name="쉼표 [0] 2 11 8" xfId="3091" xr:uid="{00000000-0005-0000-0000-000017040000}"/>
    <cellStyle name="쉼표 [0] 2 11 8 2" xfId="6752" xr:uid="{00000000-0005-0000-0000-000018040000}"/>
    <cellStyle name="쉼표 [0] 2 11 8 2 2" xfId="14069" xr:uid="{C4B1E279-9196-4B35-B7B7-424CE33B4404}"/>
    <cellStyle name="쉼표 [0] 2 11 8 3" xfId="10411" xr:uid="{0534855E-E897-4786-9867-8AED8B390051}"/>
    <cellStyle name="쉼표 [0] 2 11 9" xfId="4923" xr:uid="{00000000-0005-0000-0000-000019040000}"/>
    <cellStyle name="쉼표 [0] 2 11 9 2" xfId="12240" xr:uid="{537B4BC7-B44D-4650-AF67-C746D93B2886}"/>
    <cellStyle name="쉼표 [0] 2 12" xfId="743" xr:uid="{00000000-0005-0000-0000-00001A040000}"/>
    <cellStyle name="쉼표 [0] 2 12 2" xfId="744" xr:uid="{00000000-0005-0000-0000-00001B040000}"/>
    <cellStyle name="쉼표 [0] 2 12 2 2" xfId="745" xr:uid="{00000000-0005-0000-0000-00001C040000}"/>
    <cellStyle name="쉼표 [0] 2 12 2 2 2" xfId="746" xr:uid="{00000000-0005-0000-0000-00001D040000}"/>
    <cellStyle name="쉼표 [0] 2 12 2 2 2 2" xfId="3107" xr:uid="{00000000-0005-0000-0000-00001E040000}"/>
    <cellStyle name="쉼표 [0] 2 12 2 2 2 2 2" xfId="6768" xr:uid="{00000000-0005-0000-0000-00001F040000}"/>
    <cellStyle name="쉼표 [0] 2 12 2 2 2 2 2 2" xfId="14085" xr:uid="{15BB9BC1-9170-4EE8-9C58-8CDA52419824}"/>
    <cellStyle name="쉼표 [0] 2 12 2 2 2 2 3" xfId="10427" xr:uid="{78EA4DAA-01B2-4268-9490-9300ED1B960A}"/>
    <cellStyle name="쉼표 [0] 2 12 2 2 2 3" xfId="4939" xr:uid="{00000000-0005-0000-0000-000020040000}"/>
    <cellStyle name="쉼표 [0] 2 12 2 2 2 3 2" xfId="12256" xr:uid="{007399E3-A787-4756-ADDF-8D1020997D78}"/>
    <cellStyle name="쉼표 [0] 2 12 2 2 2 4" xfId="8597" xr:uid="{474CDE51-54FF-4368-BD26-E3E82DE3CE41}"/>
    <cellStyle name="쉼표 [0] 2 12 2 2 3" xfId="3106" xr:uid="{00000000-0005-0000-0000-000021040000}"/>
    <cellStyle name="쉼표 [0] 2 12 2 2 3 2" xfId="6767" xr:uid="{00000000-0005-0000-0000-000022040000}"/>
    <cellStyle name="쉼표 [0] 2 12 2 2 3 2 2" xfId="14084" xr:uid="{4009B597-A5D4-4387-8C10-7EF2C53C4A5E}"/>
    <cellStyle name="쉼표 [0] 2 12 2 2 3 3" xfId="10426" xr:uid="{C375B7A5-1FFC-4236-91A7-1B637702F863}"/>
    <cellStyle name="쉼표 [0] 2 12 2 2 4" xfId="4938" xr:uid="{00000000-0005-0000-0000-000023040000}"/>
    <cellStyle name="쉼표 [0] 2 12 2 2 4 2" xfId="12255" xr:uid="{61FFC857-C802-474F-B0CE-F08FCBC676AE}"/>
    <cellStyle name="쉼표 [0] 2 12 2 2 5" xfId="8596" xr:uid="{CA4B8E89-223B-4A80-A889-BE0A1600F735}"/>
    <cellStyle name="쉼표 [0] 2 12 2 3" xfId="747" xr:uid="{00000000-0005-0000-0000-000024040000}"/>
    <cellStyle name="쉼표 [0] 2 12 2 3 2" xfId="748" xr:uid="{00000000-0005-0000-0000-000025040000}"/>
    <cellStyle name="쉼표 [0] 2 12 2 3 2 2" xfId="3109" xr:uid="{00000000-0005-0000-0000-000026040000}"/>
    <cellStyle name="쉼표 [0] 2 12 2 3 2 2 2" xfId="6770" xr:uid="{00000000-0005-0000-0000-000027040000}"/>
    <cellStyle name="쉼표 [0] 2 12 2 3 2 2 2 2" xfId="14087" xr:uid="{C8799400-9003-452D-B243-E4FFAD61B53A}"/>
    <cellStyle name="쉼표 [0] 2 12 2 3 2 2 3" xfId="10429" xr:uid="{B340781C-A597-437C-9659-6BA086C8E4AF}"/>
    <cellStyle name="쉼표 [0] 2 12 2 3 2 3" xfId="4941" xr:uid="{00000000-0005-0000-0000-000028040000}"/>
    <cellStyle name="쉼표 [0] 2 12 2 3 2 3 2" xfId="12258" xr:uid="{8E5DF203-005B-4472-86C3-9471F50FB71B}"/>
    <cellStyle name="쉼표 [0] 2 12 2 3 2 4" xfId="8599" xr:uid="{5E5FEE35-CBFC-4146-99B9-FF227DD9C383}"/>
    <cellStyle name="쉼표 [0] 2 12 2 3 3" xfId="3108" xr:uid="{00000000-0005-0000-0000-000029040000}"/>
    <cellStyle name="쉼표 [0] 2 12 2 3 3 2" xfId="6769" xr:uid="{00000000-0005-0000-0000-00002A040000}"/>
    <cellStyle name="쉼표 [0] 2 12 2 3 3 2 2" xfId="14086" xr:uid="{3373E5D0-C716-4A64-91DD-DD6D40A7C433}"/>
    <cellStyle name="쉼표 [0] 2 12 2 3 3 3" xfId="10428" xr:uid="{83850CE8-4554-4604-8A2A-A39F7247AF2D}"/>
    <cellStyle name="쉼표 [0] 2 12 2 3 4" xfId="4940" xr:uid="{00000000-0005-0000-0000-00002B040000}"/>
    <cellStyle name="쉼표 [0] 2 12 2 3 4 2" xfId="12257" xr:uid="{40BAE659-F66C-4040-9F25-7ADD0BA7B36F}"/>
    <cellStyle name="쉼표 [0] 2 12 2 3 5" xfId="8598" xr:uid="{C918745A-961F-42B5-B454-B7291392FB5A}"/>
    <cellStyle name="쉼표 [0] 2 12 2 4" xfId="749" xr:uid="{00000000-0005-0000-0000-00002C040000}"/>
    <cellStyle name="쉼표 [0] 2 12 2 4 2" xfId="3110" xr:uid="{00000000-0005-0000-0000-00002D040000}"/>
    <cellStyle name="쉼표 [0] 2 12 2 4 2 2" xfId="6771" xr:uid="{00000000-0005-0000-0000-00002E040000}"/>
    <cellStyle name="쉼표 [0] 2 12 2 4 2 2 2" xfId="14088" xr:uid="{40935C93-46D9-427F-97FC-8EE89BB92B0C}"/>
    <cellStyle name="쉼표 [0] 2 12 2 4 2 3" xfId="10430" xr:uid="{49C1C9FC-3C03-4E6C-A6FF-7BD7D0121E77}"/>
    <cellStyle name="쉼표 [0] 2 12 2 4 3" xfId="4942" xr:uid="{00000000-0005-0000-0000-00002F040000}"/>
    <cellStyle name="쉼표 [0] 2 12 2 4 3 2" xfId="12259" xr:uid="{D1BB6669-BE52-4EB0-AEA4-C067AB6440FB}"/>
    <cellStyle name="쉼표 [0] 2 12 2 4 4" xfId="8600" xr:uid="{7FA0CA99-82AC-41AD-8116-D166D11A6F30}"/>
    <cellStyle name="쉼표 [0] 2 12 2 5" xfId="3105" xr:uid="{00000000-0005-0000-0000-000030040000}"/>
    <cellStyle name="쉼표 [0] 2 12 2 5 2" xfId="6766" xr:uid="{00000000-0005-0000-0000-000031040000}"/>
    <cellStyle name="쉼표 [0] 2 12 2 5 2 2" xfId="14083" xr:uid="{16AD578E-6A28-4995-99ED-4BE538050BC6}"/>
    <cellStyle name="쉼표 [0] 2 12 2 5 3" xfId="10425" xr:uid="{88D8A87E-7945-4CE3-A725-C3DDFE8B5FA1}"/>
    <cellStyle name="쉼표 [0] 2 12 2 6" xfId="4937" xr:uid="{00000000-0005-0000-0000-000032040000}"/>
    <cellStyle name="쉼표 [0] 2 12 2 6 2" xfId="12254" xr:uid="{21D66978-B773-4B28-8961-795CC25DF7DF}"/>
    <cellStyle name="쉼표 [0] 2 12 2 7" xfId="8595" xr:uid="{000E6454-509E-4501-88E9-589DE1CC0AD0}"/>
    <cellStyle name="쉼표 [0] 2 12 3" xfId="750" xr:uid="{00000000-0005-0000-0000-000033040000}"/>
    <cellStyle name="쉼표 [0] 2 12 3 2" xfId="751" xr:uid="{00000000-0005-0000-0000-000034040000}"/>
    <cellStyle name="쉼표 [0] 2 12 3 2 2" xfId="3112" xr:uid="{00000000-0005-0000-0000-000035040000}"/>
    <cellStyle name="쉼표 [0] 2 12 3 2 2 2" xfId="6773" xr:uid="{00000000-0005-0000-0000-000036040000}"/>
    <cellStyle name="쉼표 [0] 2 12 3 2 2 2 2" xfId="14090" xr:uid="{23731547-577C-40A7-A951-AC3E0B7B4713}"/>
    <cellStyle name="쉼표 [0] 2 12 3 2 2 3" xfId="10432" xr:uid="{FC713013-A9E7-4EA0-B10C-6F290132FAA3}"/>
    <cellStyle name="쉼표 [0] 2 12 3 2 3" xfId="4944" xr:uid="{00000000-0005-0000-0000-000037040000}"/>
    <cellStyle name="쉼표 [0] 2 12 3 2 3 2" xfId="12261" xr:uid="{8F8A604A-B033-4DE6-89A3-6C8E2782FC53}"/>
    <cellStyle name="쉼표 [0] 2 12 3 2 4" xfId="8602" xr:uid="{4134A7E0-A091-439E-A963-006A72F9C90C}"/>
    <cellStyle name="쉼표 [0] 2 12 3 3" xfId="3111" xr:uid="{00000000-0005-0000-0000-000038040000}"/>
    <cellStyle name="쉼표 [0] 2 12 3 3 2" xfId="6772" xr:uid="{00000000-0005-0000-0000-000039040000}"/>
    <cellStyle name="쉼표 [0] 2 12 3 3 2 2" xfId="14089" xr:uid="{4494CDE2-68C5-43A9-82A5-7EB27486748A}"/>
    <cellStyle name="쉼표 [0] 2 12 3 3 3" xfId="10431" xr:uid="{0CD43225-0660-424A-A567-C4359F40239C}"/>
    <cellStyle name="쉼표 [0] 2 12 3 4" xfId="4943" xr:uid="{00000000-0005-0000-0000-00003A040000}"/>
    <cellStyle name="쉼표 [0] 2 12 3 4 2" xfId="12260" xr:uid="{CA007881-A7EA-4FD9-907D-067B4729382E}"/>
    <cellStyle name="쉼표 [0] 2 12 3 5" xfId="8601" xr:uid="{D7E54745-559E-42BC-9024-B29E5E350723}"/>
    <cellStyle name="쉼표 [0] 2 12 4" xfId="752" xr:uid="{00000000-0005-0000-0000-00003B040000}"/>
    <cellStyle name="쉼표 [0] 2 12 4 2" xfId="3113" xr:uid="{00000000-0005-0000-0000-00003C040000}"/>
    <cellStyle name="쉼표 [0] 2 12 4 2 2" xfId="6774" xr:uid="{00000000-0005-0000-0000-00003D040000}"/>
    <cellStyle name="쉼표 [0] 2 12 4 2 2 2" xfId="14091" xr:uid="{00DFEE34-3A45-4807-B1FE-F07BC56A0F25}"/>
    <cellStyle name="쉼표 [0] 2 12 4 2 3" xfId="10433" xr:uid="{6E729C9A-D12E-4377-9DBE-C3A8C87F2B46}"/>
    <cellStyle name="쉼표 [0] 2 12 4 3" xfId="4945" xr:uid="{00000000-0005-0000-0000-00003E040000}"/>
    <cellStyle name="쉼표 [0] 2 12 4 3 2" xfId="12262" xr:uid="{58537900-2BD3-41C8-8FA3-A02205F35086}"/>
    <cellStyle name="쉼표 [0] 2 12 4 4" xfId="8603" xr:uid="{012432F3-2F10-40B4-9140-68A102B2B192}"/>
    <cellStyle name="쉼표 [0] 2 12 5" xfId="753" xr:uid="{00000000-0005-0000-0000-00003F040000}"/>
    <cellStyle name="쉼표 [0] 2 12 5 2" xfId="3114" xr:uid="{00000000-0005-0000-0000-000040040000}"/>
    <cellStyle name="쉼표 [0] 2 12 5 2 2" xfId="6775" xr:uid="{00000000-0005-0000-0000-000041040000}"/>
    <cellStyle name="쉼표 [0] 2 12 5 2 2 2" xfId="14092" xr:uid="{02BE3C4E-3BCB-447C-838B-F211850F2CED}"/>
    <cellStyle name="쉼표 [0] 2 12 5 2 3" xfId="10434" xr:uid="{3480E8EB-CECA-42F8-AAAA-F39767809C7D}"/>
    <cellStyle name="쉼표 [0] 2 12 5 3" xfId="4946" xr:uid="{00000000-0005-0000-0000-000042040000}"/>
    <cellStyle name="쉼표 [0] 2 12 5 3 2" xfId="12263" xr:uid="{4E459670-BD93-4060-A571-F5E0C3104327}"/>
    <cellStyle name="쉼표 [0] 2 12 5 4" xfId="8604" xr:uid="{16110FAD-3924-4739-832C-04BC6357C619}"/>
    <cellStyle name="쉼표 [0] 2 12 6" xfId="754" xr:uid="{00000000-0005-0000-0000-000043040000}"/>
    <cellStyle name="쉼표 [0] 2 12 6 2" xfId="3115" xr:uid="{00000000-0005-0000-0000-000044040000}"/>
    <cellStyle name="쉼표 [0] 2 12 6 2 2" xfId="6776" xr:uid="{00000000-0005-0000-0000-000045040000}"/>
    <cellStyle name="쉼표 [0] 2 12 6 2 2 2" xfId="14093" xr:uid="{22676107-7EA2-4E15-ACB9-C0280459AD1A}"/>
    <cellStyle name="쉼표 [0] 2 12 6 2 3" xfId="10435" xr:uid="{D273D729-12C4-469D-BC45-B7780FB9F9C4}"/>
    <cellStyle name="쉼표 [0] 2 12 6 3" xfId="4947" xr:uid="{00000000-0005-0000-0000-000046040000}"/>
    <cellStyle name="쉼표 [0] 2 12 6 3 2" xfId="12264" xr:uid="{D2FDD016-3B6A-4D05-A192-C24E0FB67372}"/>
    <cellStyle name="쉼표 [0] 2 12 6 4" xfId="8605" xr:uid="{6F7E5243-2AD2-4833-9E20-D1B7022259B5}"/>
    <cellStyle name="쉼표 [0] 2 12 7" xfId="3104" xr:uid="{00000000-0005-0000-0000-000047040000}"/>
    <cellStyle name="쉼표 [0] 2 12 7 2" xfId="6765" xr:uid="{00000000-0005-0000-0000-000048040000}"/>
    <cellStyle name="쉼표 [0] 2 12 7 2 2" xfId="14082" xr:uid="{9526F069-3055-46B4-B89C-7C56E5378C4E}"/>
    <cellStyle name="쉼표 [0] 2 12 7 3" xfId="10424" xr:uid="{77FDD04F-84BF-4754-8915-DEA9CAA44949}"/>
    <cellStyle name="쉼표 [0] 2 12 8" xfId="4936" xr:uid="{00000000-0005-0000-0000-000049040000}"/>
    <cellStyle name="쉼표 [0] 2 12 8 2" xfId="12253" xr:uid="{2FDD0A50-E697-4B51-A4AA-7370CD74F51C}"/>
    <cellStyle name="쉼표 [0] 2 12 9" xfId="8594" xr:uid="{DFA56316-2F49-422F-9364-0E3ED2B5AB9C}"/>
    <cellStyle name="쉼표 [0] 2 13" xfId="755" xr:uid="{00000000-0005-0000-0000-00004A040000}"/>
    <cellStyle name="쉼표 [0] 2 13 2" xfId="756" xr:uid="{00000000-0005-0000-0000-00004B040000}"/>
    <cellStyle name="쉼표 [0] 2 13 2 2" xfId="757" xr:uid="{00000000-0005-0000-0000-00004C040000}"/>
    <cellStyle name="쉼표 [0] 2 13 2 2 2" xfId="758" xr:uid="{00000000-0005-0000-0000-00004D040000}"/>
    <cellStyle name="쉼표 [0] 2 13 2 2 2 2" xfId="3119" xr:uid="{00000000-0005-0000-0000-00004E040000}"/>
    <cellStyle name="쉼표 [0] 2 13 2 2 2 2 2" xfId="6780" xr:uid="{00000000-0005-0000-0000-00004F040000}"/>
    <cellStyle name="쉼표 [0] 2 13 2 2 2 2 2 2" xfId="14097" xr:uid="{20C105F3-44B4-458D-BA43-9AA5A3BDC5B3}"/>
    <cellStyle name="쉼표 [0] 2 13 2 2 2 2 3" xfId="10439" xr:uid="{D1C7E9CC-54FB-408D-BF57-C6E4A4E57071}"/>
    <cellStyle name="쉼표 [0] 2 13 2 2 2 3" xfId="4951" xr:uid="{00000000-0005-0000-0000-000050040000}"/>
    <cellStyle name="쉼표 [0] 2 13 2 2 2 3 2" xfId="12268" xr:uid="{6FC2064C-E54D-456B-B634-0AF4F65E311B}"/>
    <cellStyle name="쉼표 [0] 2 13 2 2 2 4" xfId="8609" xr:uid="{FE0CAF93-B255-4F5D-BFD1-D88B14432A4C}"/>
    <cellStyle name="쉼표 [0] 2 13 2 2 3" xfId="3118" xr:uid="{00000000-0005-0000-0000-000051040000}"/>
    <cellStyle name="쉼표 [0] 2 13 2 2 3 2" xfId="6779" xr:uid="{00000000-0005-0000-0000-000052040000}"/>
    <cellStyle name="쉼표 [0] 2 13 2 2 3 2 2" xfId="14096" xr:uid="{C0495745-FB34-4ABE-8C5F-0A8523D9B65C}"/>
    <cellStyle name="쉼표 [0] 2 13 2 2 3 3" xfId="10438" xr:uid="{7B81E631-66F8-473D-9A29-BADC205AA2DE}"/>
    <cellStyle name="쉼표 [0] 2 13 2 2 4" xfId="4950" xr:uid="{00000000-0005-0000-0000-000053040000}"/>
    <cellStyle name="쉼표 [0] 2 13 2 2 4 2" xfId="12267" xr:uid="{DDE95EF0-EACC-4321-8843-F14A3D90887A}"/>
    <cellStyle name="쉼표 [0] 2 13 2 2 5" xfId="8608" xr:uid="{AE56DB38-2C6B-4E44-9AD7-4F4FDFC5155A}"/>
    <cellStyle name="쉼표 [0] 2 13 2 3" xfId="759" xr:uid="{00000000-0005-0000-0000-000054040000}"/>
    <cellStyle name="쉼표 [0] 2 13 2 3 2" xfId="760" xr:uid="{00000000-0005-0000-0000-000055040000}"/>
    <cellStyle name="쉼표 [0] 2 13 2 3 2 2" xfId="3121" xr:uid="{00000000-0005-0000-0000-000056040000}"/>
    <cellStyle name="쉼표 [0] 2 13 2 3 2 2 2" xfId="6782" xr:uid="{00000000-0005-0000-0000-000057040000}"/>
    <cellStyle name="쉼표 [0] 2 13 2 3 2 2 2 2" xfId="14099" xr:uid="{002F2512-4901-43ED-8AB2-3DC8CB3C2A8B}"/>
    <cellStyle name="쉼표 [0] 2 13 2 3 2 2 3" xfId="10441" xr:uid="{064ADBA7-8B5B-4294-A637-921440E88A93}"/>
    <cellStyle name="쉼표 [0] 2 13 2 3 2 3" xfId="4953" xr:uid="{00000000-0005-0000-0000-000058040000}"/>
    <cellStyle name="쉼표 [0] 2 13 2 3 2 3 2" xfId="12270" xr:uid="{24DE045B-6A97-4366-B9CA-2591165CDC90}"/>
    <cellStyle name="쉼표 [0] 2 13 2 3 2 4" xfId="8611" xr:uid="{7BDD4505-87AE-4AE2-949B-0413F86D7068}"/>
    <cellStyle name="쉼표 [0] 2 13 2 3 3" xfId="3120" xr:uid="{00000000-0005-0000-0000-000059040000}"/>
    <cellStyle name="쉼표 [0] 2 13 2 3 3 2" xfId="6781" xr:uid="{00000000-0005-0000-0000-00005A040000}"/>
    <cellStyle name="쉼표 [0] 2 13 2 3 3 2 2" xfId="14098" xr:uid="{C3343F6A-E895-4EC5-A16E-684C2096D856}"/>
    <cellStyle name="쉼표 [0] 2 13 2 3 3 3" xfId="10440" xr:uid="{7BD6D791-F609-4FA3-B6CA-FA81498CA6C0}"/>
    <cellStyle name="쉼표 [0] 2 13 2 3 4" xfId="4952" xr:uid="{00000000-0005-0000-0000-00005B040000}"/>
    <cellStyle name="쉼표 [0] 2 13 2 3 4 2" xfId="12269" xr:uid="{F3FB158C-F85C-402A-BE53-94090196B97F}"/>
    <cellStyle name="쉼표 [0] 2 13 2 3 5" xfId="8610" xr:uid="{4F6233B4-5EF2-4FED-BB99-74B1BEA90F03}"/>
    <cellStyle name="쉼표 [0] 2 13 2 4" xfId="761" xr:uid="{00000000-0005-0000-0000-00005C040000}"/>
    <cellStyle name="쉼표 [0] 2 13 2 4 2" xfId="3122" xr:uid="{00000000-0005-0000-0000-00005D040000}"/>
    <cellStyle name="쉼표 [0] 2 13 2 4 2 2" xfId="6783" xr:uid="{00000000-0005-0000-0000-00005E040000}"/>
    <cellStyle name="쉼표 [0] 2 13 2 4 2 2 2" xfId="14100" xr:uid="{C35F247D-DB95-488E-A0E2-B4B70F7EB2D3}"/>
    <cellStyle name="쉼표 [0] 2 13 2 4 2 3" xfId="10442" xr:uid="{AC4B2C6C-CAAC-4615-9618-88B65B3614FE}"/>
    <cellStyle name="쉼표 [0] 2 13 2 4 3" xfId="4954" xr:uid="{00000000-0005-0000-0000-00005F040000}"/>
    <cellStyle name="쉼표 [0] 2 13 2 4 3 2" xfId="12271" xr:uid="{FF2E810E-B081-4D91-92A3-3D527EE7E583}"/>
    <cellStyle name="쉼표 [0] 2 13 2 4 4" xfId="8612" xr:uid="{69F8F67A-D6C8-4F2E-8F86-E29F10877B1C}"/>
    <cellStyle name="쉼표 [0] 2 13 2 5" xfId="3117" xr:uid="{00000000-0005-0000-0000-000060040000}"/>
    <cellStyle name="쉼표 [0] 2 13 2 5 2" xfId="6778" xr:uid="{00000000-0005-0000-0000-000061040000}"/>
    <cellStyle name="쉼표 [0] 2 13 2 5 2 2" xfId="14095" xr:uid="{991E0F10-8BF0-4E62-9FBF-06C2F2ED5F73}"/>
    <cellStyle name="쉼표 [0] 2 13 2 5 3" xfId="10437" xr:uid="{A335BE9D-F6F8-4CCC-B39E-A7A7C8DAF0E3}"/>
    <cellStyle name="쉼표 [0] 2 13 2 6" xfId="4949" xr:uid="{00000000-0005-0000-0000-000062040000}"/>
    <cellStyle name="쉼표 [0] 2 13 2 6 2" xfId="12266" xr:uid="{A169EF30-B323-4B04-9292-4DE93C83B6E9}"/>
    <cellStyle name="쉼표 [0] 2 13 2 7" xfId="8607" xr:uid="{B5B9EDD7-431D-4C7B-8465-1D5CDBD66958}"/>
    <cellStyle name="쉼표 [0] 2 13 3" xfId="762" xr:uid="{00000000-0005-0000-0000-000063040000}"/>
    <cellStyle name="쉼표 [0] 2 13 3 2" xfId="763" xr:uid="{00000000-0005-0000-0000-000064040000}"/>
    <cellStyle name="쉼표 [0] 2 13 3 2 2" xfId="3124" xr:uid="{00000000-0005-0000-0000-000065040000}"/>
    <cellStyle name="쉼표 [0] 2 13 3 2 2 2" xfId="6785" xr:uid="{00000000-0005-0000-0000-000066040000}"/>
    <cellStyle name="쉼표 [0] 2 13 3 2 2 2 2" xfId="14102" xr:uid="{E30B1034-7D98-40A4-8374-A565D4B78DE2}"/>
    <cellStyle name="쉼표 [0] 2 13 3 2 2 3" xfId="10444" xr:uid="{190FC109-08C4-4E67-95E2-9E27FB09F794}"/>
    <cellStyle name="쉼표 [0] 2 13 3 2 3" xfId="4956" xr:uid="{00000000-0005-0000-0000-000067040000}"/>
    <cellStyle name="쉼표 [0] 2 13 3 2 3 2" xfId="12273" xr:uid="{C63887AC-B949-4C8F-AFF1-070CE787B094}"/>
    <cellStyle name="쉼표 [0] 2 13 3 2 4" xfId="8614" xr:uid="{359B955C-393D-4887-9572-6778643F7011}"/>
    <cellStyle name="쉼표 [0] 2 13 3 3" xfId="3123" xr:uid="{00000000-0005-0000-0000-000068040000}"/>
    <cellStyle name="쉼표 [0] 2 13 3 3 2" xfId="6784" xr:uid="{00000000-0005-0000-0000-000069040000}"/>
    <cellStyle name="쉼표 [0] 2 13 3 3 2 2" xfId="14101" xr:uid="{0259D33F-BB59-4741-9C7B-99362F9FD77E}"/>
    <cellStyle name="쉼표 [0] 2 13 3 3 3" xfId="10443" xr:uid="{A6B22BD5-D6A7-45EC-9DA4-E97E2EEAE519}"/>
    <cellStyle name="쉼표 [0] 2 13 3 4" xfId="4955" xr:uid="{00000000-0005-0000-0000-00006A040000}"/>
    <cellStyle name="쉼표 [0] 2 13 3 4 2" xfId="12272" xr:uid="{F69E11A6-A4C6-402C-9F57-D9FED68CD5B9}"/>
    <cellStyle name="쉼표 [0] 2 13 3 5" xfId="8613" xr:uid="{C9E78724-266A-4FB5-8B5B-F37407EFE175}"/>
    <cellStyle name="쉼표 [0] 2 13 4" xfId="764" xr:uid="{00000000-0005-0000-0000-00006B040000}"/>
    <cellStyle name="쉼표 [0] 2 13 4 2" xfId="3125" xr:uid="{00000000-0005-0000-0000-00006C040000}"/>
    <cellStyle name="쉼표 [0] 2 13 4 2 2" xfId="6786" xr:uid="{00000000-0005-0000-0000-00006D040000}"/>
    <cellStyle name="쉼표 [0] 2 13 4 2 2 2" xfId="14103" xr:uid="{26C6281A-C084-42D9-8274-540B7469318B}"/>
    <cellStyle name="쉼표 [0] 2 13 4 2 3" xfId="10445" xr:uid="{EB3335A4-A5D7-424D-861F-218B737C094C}"/>
    <cellStyle name="쉼표 [0] 2 13 4 3" xfId="4957" xr:uid="{00000000-0005-0000-0000-00006E040000}"/>
    <cellStyle name="쉼표 [0] 2 13 4 3 2" xfId="12274" xr:uid="{442FFACD-8E40-467E-ADC0-E71F1F79B75F}"/>
    <cellStyle name="쉼표 [0] 2 13 4 4" xfId="8615" xr:uid="{277100ED-7E6C-41AB-886E-00691CD8984F}"/>
    <cellStyle name="쉼표 [0] 2 13 5" xfId="765" xr:uid="{00000000-0005-0000-0000-00006F040000}"/>
    <cellStyle name="쉼표 [0] 2 13 5 2" xfId="3126" xr:uid="{00000000-0005-0000-0000-000070040000}"/>
    <cellStyle name="쉼표 [0] 2 13 5 2 2" xfId="6787" xr:uid="{00000000-0005-0000-0000-000071040000}"/>
    <cellStyle name="쉼표 [0] 2 13 5 2 2 2" xfId="14104" xr:uid="{96E3C000-D011-4546-A65E-4C10B4DAC98D}"/>
    <cellStyle name="쉼표 [0] 2 13 5 2 3" xfId="10446" xr:uid="{5C8CBF73-2430-472B-92F5-4D231ECA3496}"/>
    <cellStyle name="쉼표 [0] 2 13 5 3" xfId="4958" xr:uid="{00000000-0005-0000-0000-000072040000}"/>
    <cellStyle name="쉼표 [0] 2 13 5 3 2" xfId="12275" xr:uid="{1F5D0A5E-29EB-49DD-A536-B6C951A15B6F}"/>
    <cellStyle name="쉼표 [0] 2 13 5 4" xfId="8616" xr:uid="{D02998E9-A034-41FA-954D-422026348C05}"/>
    <cellStyle name="쉼표 [0] 2 13 6" xfId="766" xr:uid="{00000000-0005-0000-0000-000073040000}"/>
    <cellStyle name="쉼표 [0] 2 13 6 2" xfId="3127" xr:uid="{00000000-0005-0000-0000-000074040000}"/>
    <cellStyle name="쉼표 [0] 2 13 6 2 2" xfId="6788" xr:uid="{00000000-0005-0000-0000-000075040000}"/>
    <cellStyle name="쉼표 [0] 2 13 6 2 2 2" xfId="14105" xr:uid="{F88CE70B-464F-4672-8BAD-04A5A26F6370}"/>
    <cellStyle name="쉼표 [0] 2 13 6 2 3" xfId="10447" xr:uid="{2B3694B6-AC72-4346-8575-EA14AF03367B}"/>
    <cellStyle name="쉼표 [0] 2 13 6 3" xfId="4959" xr:uid="{00000000-0005-0000-0000-000076040000}"/>
    <cellStyle name="쉼표 [0] 2 13 6 3 2" xfId="12276" xr:uid="{B5D64E05-92D1-43B2-B0CA-7927CAEA79BF}"/>
    <cellStyle name="쉼표 [0] 2 13 6 4" xfId="8617" xr:uid="{002499FF-0368-425C-9501-FAAAB05532E3}"/>
    <cellStyle name="쉼표 [0] 2 13 7" xfId="3116" xr:uid="{00000000-0005-0000-0000-000077040000}"/>
    <cellStyle name="쉼표 [0] 2 13 7 2" xfId="6777" xr:uid="{00000000-0005-0000-0000-000078040000}"/>
    <cellStyle name="쉼표 [0] 2 13 7 2 2" xfId="14094" xr:uid="{4B1F64B1-F8D1-4DC6-B6D4-495B7C90F619}"/>
    <cellStyle name="쉼표 [0] 2 13 7 3" xfId="10436" xr:uid="{7C63F59A-4CD1-4420-8E80-02DEE6AE8C34}"/>
    <cellStyle name="쉼표 [0] 2 13 8" xfId="4948" xr:uid="{00000000-0005-0000-0000-000079040000}"/>
    <cellStyle name="쉼표 [0] 2 13 8 2" xfId="12265" xr:uid="{78F80984-54F0-4D5C-B973-1D11FBB2819F}"/>
    <cellStyle name="쉼표 [0] 2 13 9" xfId="8606" xr:uid="{1704F063-CD0D-46A4-B76A-63C2B28E2E69}"/>
    <cellStyle name="쉼표 [0] 2 14" xfId="767" xr:uid="{00000000-0005-0000-0000-00007A040000}"/>
    <cellStyle name="쉼표 [0] 2 14 2" xfId="768" xr:uid="{00000000-0005-0000-0000-00007B040000}"/>
    <cellStyle name="쉼표 [0] 2 14 2 2" xfId="769" xr:uid="{00000000-0005-0000-0000-00007C040000}"/>
    <cellStyle name="쉼표 [0] 2 14 2 2 2" xfId="770" xr:uid="{00000000-0005-0000-0000-00007D040000}"/>
    <cellStyle name="쉼표 [0] 2 14 2 2 2 2" xfId="3131" xr:uid="{00000000-0005-0000-0000-00007E040000}"/>
    <cellStyle name="쉼표 [0] 2 14 2 2 2 2 2" xfId="6792" xr:uid="{00000000-0005-0000-0000-00007F040000}"/>
    <cellStyle name="쉼표 [0] 2 14 2 2 2 2 2 2" xfId="14109" xr:uid="{A356FFEF-E32A-4059-AA61-287944F66215}"/>
    <cellStyle name="쉼표 [0] 2 14 2 2 2 2 3" xfId="10451" xr:uid="{71082877-8F90-467A-80B0-A3A5571667DE}"/>
    <cellStyle name="쉼표 [0] 2 14 2 2 2 3" xfId="4963" xr:uid="{00000000-0005-0000-0000-000080040000}"/>
    <cellStyle name="쉼표 [0] 2 14 2 2 2 3 2" xfId="12280" xr:uid="{DC9BA37A-2179-4A90-852B-B55841B8D479}"/>
    <cellStyle name="쉼표 [0] 2 14 2 2 2 4" xfId="8621" xr:uid="{96C45050-6DB2-4F38-9930-C81775CDFC61}"/>
    <cellStyle name="쉼표 [0] 2 14 2 2 3" xfId="3130" xr:uid="{00000000-0005-0000-0000-000081040000}"/>
    <cellStyle name="쉼표 [0] 2 14 2 2 3 2" xfId="6791" xr:uid="{00000000-0005-0000-0000-000082040000}"/>
    <cellStyle name="쉼표 [0] 2 14 2 2 3 2 2" xfId="14108" xr:uid="{57810F5D-545A-4E6D-8BC3-913AAD0371A5}"/>
    <cellStyle name="쉼표 [0] 2 14 2 2 3 3" xfId="10450" xr:uid="{F0DFF755-8C54-487E-AE9B-67DC0FBA8BBE}"/>
    <cellStyle name="쉼표 [0] 2 14 2 2 4" xfId="4962" xr:uid="{00000000-0005-0000-0000-000083040000}"/>
    <cellStyle name="쉼표 [0] 2 14 2 2 4 2" xfId="12279" xr:uid="{1DB53AC4-C8E7-48B1-B931-F2B637E16C11}"/>
    <cellStyle name="쉼표 [0] 2 14 2 2 5" xfId="8620" xr:uid="{8950D878-7B6B-4618-B163-DDAF318B8B8F}"/>
    <cellStyle name="쉼표 [0] 2 14 2 3" xfId="771" xr:uid="{00000000-0005-0000-0000-000084040000}"/>
    <cellStyle name="쉼표 [0] 2 14 2 3 2" xfId="772" xr:uid="{00000000-0005-0000-0000-000085040000}"/>
    <cellStyle name="쉼표 [0] 2 14 2 3 2 2" xfId="3133" xr:uid="{00000000-0005-0000-0000-000086040000}"/>
    <cellStyle name="쉼표 [0] 2 14 2 3 2 2 2" xfId="6794" xr:uid="{00000000-0005-0000-0000-000087040000}"/>
    <cellStyle name="쉼표 [0] 2 14 2 3 2 2 2 2" xfId="14111" xr:uid="{71C2C8DB-CADF-4B36-9510-51E43CDBE204}"/>
    <cellStyle name="쉼표 [0] 2 14 2 3 2 2 3" xfId="10453" xr:uid="{FFB5F936-B742-458D-9416-5F2858523BF9}"/>
    <cellStyle name="쉼표 [0] 2 14 2 3 2 3" xfId="4965" xr:uid="{00000000-0005-0000-0000-000088040000}"/>
    <cellStyle name="쉼표 [0] 2 14 2 3 2 3 2" xfId="12282" xr:uid="{DEA9208A-6108-4A50-BAB3-175BE23EA59A}"/>
    <cellStyle name="쉼표 [0] 2 14 2 3 2 4" xfId="8623" xr:uid="{208C8408-A469-4785-87C0-156C4E7E0DC0}"/>
    <cellStyle name="쉼표 [0] 2 14 2 3 3" xfId="3132" xr:uid="{00000000-0005-0000-0000-000089040000}"/>
    <cellStyle name="쉼표 [0] 2 14 2 3 3 2" xfId="6793" xr:uid="{00000000-0005-0000-0000-00008A040000}"/>
    <cellStyle name="쉼표 [0] 2 14 2 3 3 2 2" xfId="14110" xr:uid="{E327CA95-F0F7-4B43-9868-74AB4BBF4C1D}"/>
    <cellStyle name="쉼표 [0] 2 14 2 3 3 3" xfId="10452" xr:uid="{F870D3FF-8077-4E0F-9E17-1EFAC0423890}"/>
    <cellStyle name="쉼표 [0] 2 14 2 3 4" xfId="4964" xr:uid="{00000000-0005-0000-0000-00008B040000}"/>
    <cellStyle name="쉼표 [0] 2 14 2 3 4 2" xfId="12281" xr:uid="{E1404D9D-6DF7-4073-950D-9890E28DA4A7}"/>
    <cellStyle name="쉼표 [0] 2 14 2 3 5" xfId="8622" xr:uid="{0F00E9BB-B5FB-4907-82EE-B317F61F9855}"/>
    <cellStyle name="쉼표 [0] 2 14 2 4" xfId="773" xr:uid="{00000000-0005-0000-0000-00008C040000}"/>
    <cellStyle name="쉼표 [0] 2 14 2 4 2" xfId="3134" xr:uid="{00000000-0005-0000-0000-00008D040000}"/>
    <cellStyle name="쉼표 [0] 2 14 2 4 2 2" xfId="6795" xr:uid="{00000000-0005-0000-0000-00008E040000}"/>
    <cellStyle name="쉼표 [0] 2 14 2 4 2 2 2" xfId="14112" xr:uid="{9F71CFBD-685D-480F-97C5-36970AD26900}"/>
    <cellStyle name="쉼표 [0] 2 14 2 4 2 3" xfId="10454" xr:uid="{61A4A1DB-9A82-4C1B-9657-2003BE7532AB}"/>
    <cellStyle name="쉼표 [0] 2 14 2 4 3" xfId="4966" xr:uid="{00000000-0005-0000-0000-00008F040000}"/>
    <cellStyle name="쉼표 [0] 2 14 2 4 3 2" xfId="12283" xr:uid="{B1FC0384-562D-48B3-823C-81FE7E0C9249}"/>
    <cellStyle name="쉼표 [0] 2 14 2 4 4" xfId="8624" xr:uid="{082DF242-E7D7-47DA-A1EF-53D789A6EC10}"/>
    <cellStyle name="쉼표 [0] 2 14 2 5" xfId="3129" xr:uid="{00000000-0005-0000-0000-000090040000}"/>
    <cellStyle name="쉼표 [0] 2 14 2 5 2" xfId="6790" xr:uid="{00000000-0005-0000-0000-000091040000}"/>
    <cellStyle name="쉼표 [0] 2 14 2 5 2 2" xfId="14107" xr:uid="{A934DF8F-D940-4C48-A5CF-DDC1BD71C97A}"/>
    <cellStyle name="쉼표 [0] 2 14 2 5 3" xfId="10449" xr:uid="{8D1FD096-F3A4-401A-A3FF-C19997272406}"/>
    <cellStyle name="쉼표 [0] 2 14 2 6" xfId="4961" xr:uid="{00000000-0005-0000-0000-000092040000}"/>
    <cellStyle name="쉼표 [0] 2 14 2 6 2" xfId="12278" xr:uid="{C7FCE440-CD23-4607-85DF-14F893B35395}"/>
    <cellStyle name="쉼표 [0] 2 14 2 7" xfId="8619" xr:uid="{3B3A78DA-BFF3-4C25-A874-3158D222898B}"/>
    <cellStyle name="쉼표 [0] 2 14 3" xfId="774" xr:uid="{00000000-0005-0000-0000-000093040000}"/>
    <cellStyle name="쉼표 [0] 2 14 3 2" xfId="775" xr:uid="{00000000-0005-0000-0000-000094040000}"/>
    <cellStyle name="쉼표 [0] 2 14 3 2 2" xfId="3136" xr:uid="{00000000-0005-0000-0000-000095040000}"/>
    <cellStyle name="쉼표 [0] 2 14 3 2 2 2" xfId="6797" xr:uid="{00000000-0005-0000-0000-000096040000}"/>
    <cellStyle name="쉼표 [0] 2 14 3 2 2 2 2" xfId="14114" xr:uid="{54313619-CEA0-4159-ACD5-E04E5D7AF946}"/>
    <cellStyle name="쉼표 [0] 2 14 3 2 2 3" xfId="10456" xr:uid="{5AC47E76-B3F3-4737-B30F-F798A3808FDA}"/>
    <cellStyle name="쉼표 [0] 2 14 3 2 3" xfId="4968" xr:uid="{00000000-0005-0000-0000-000097040000}"/>
    <cellStyle name="쉼표 [0] 2 14 3 2 3 2" xfId="12285" xr:uid="{FBAB1507-53C6-44CE-A538-BB4A62E3B933}"/>
    <cellStyle name="쉼표 [0] 2 14 3 2 4" xfId="8626" xr:uid="{830539E9-BD63-4315-908E-CC2503BB8C89}"/>
    <cellStyle name="쉼표 [0] 2 14 3 3" xfId="3135" xr:uid="{00000000-0005-0000-0000-000098040000}"/>
    <cellStyle name="쉼표 [0] 2 14 3 3 2" xfId="6796" xr:uid="{00000000-0005-0000-0000-000099040000}"/>
    <cellStyle name="쉼표 [0] 2 14 3 3 2 2" xfId="14113" xr:uid="{FD3781D6-AD18-491E-94BA-38534BB8E7EA}"/>
    <cellStyle name="쉼표 [0] 2 14 3 3 3" xfId="10455" xr:uid="{14FD84EE-CCD8-4468-80C4-40F080BF4C9E}"/>
    <cellStyle name="쉼표 [0] 2 14 3 4" xfId="4967" xr:uid="{00000000-0005-0000-0000-00009A040000}"/>
    <cellStyle name="쉼표 [0] 2 14 3 4 2" xfId="12284" xr:uid="{224F2E1E-5D9C-4645-9DA3-E0C7DD882769}"/>
    <cellStyle name="쉼표 [0] 2 14 3 5" xfId="8625" xr:uid="{BD906C44-C804-4347-9B48-5E1B6C779570}"/>
    <cellStyle name="쉼표 [0] 2 14 4" xfId="776" xr:uid="{00000000-0005-0000-0000-00009B040000}"/>
    <cellStyle name="쉼표 [0] 2 14 4 2" xfId="3137" xr:uid="{00000000-0005-0000-0000-00009C040000}"/>
    <cellStyle name="쉼표 [0] 2 14 4 2 2" xfId="6798" xr:uid="{00000000-0005-0000-0000-00009D040000}"/>
    <cellStyle name="쉼표 [0] 2 14 4 2 2 2" xfId="14115" xr:uid="{FA44CCC4-3150-449A-8E96-98E2BF1B7DE9}"/>
    <cellStyle name="쉼표 [0] 2 14 4 2 3" xfId="10457" xr:uid="{D2B278C8-3FC7-4241-8C50-B11EFD0046D1}"/>
    <cellStyle name="쉼표 [0] 2 14 4 3" xfId="4969" xr:uid="{00000000-0005-0000-0000-00009E040000}"/>
    <cellStyle name="쉼표 [0] 2 14 4 3 2" xfId="12286" xr:uid="{228483D2-7548-4AA7-B405-276494F5B048}"/>
    <cellStyle name="쉼표 [0] 2 14 4 4" xfId="8627" xr:uid="{FC4D2E99-1853-4EA8-9593-9959179CEAAA}"/>
    <cellStyle name="쉼표 [0] 2 14 5" xfId="777" xr:uid="{00000000-0005-0000-0000-00009F040000}"/>
    <cellStyle name="쉼표 [0] 2 14 5 2" xfId="3138" xr:uid="{00000000-0005-0000-0000-0000A0040000}"/>
    <cellStyle name="쉼표 [0] 2 14 5 2 2" xfId="6799" xr:uid="{00000000-0005-0000-0000-0000A1040000}"/>
    <cellStyle name="쉼표 [0] 2 14 5 2 2 2" xfId="14116" xr:uid="{F5A1EB15-2B8D-489D-818D-61C8B3089395}"/>
    <cellStyle name="쉼표 [0] 2 14 5 2 3" xfId="10458" xr:uid="{5C0A5C8E-EAC1-4D75-BFDB-A3D00B85E03B}"/>
    <cellStyle name="쉼표 [0] 2 14 5 3" xfId="4970" xr:uid="{00000000-0005-0000-0000-0000A2040000}"/>
    <cellStyle name="쉼표 [0] 2 14 5 3 2" xfId="12287" xr:uid="{89158C6F-5842-4072-A846-012A59096554}"/>
    <cellStyle name="쉼표 [0] 2 14 5 4" xfId="8628" xr:uid="{335B8E3A-8CAC-44DA-8F11-C697C580CBA9}"/>
    <cellStyle name="쉼표 [0] 2 14 6" xfId="778" xr:uid="{00000000-0005-0000-0000-0000A3040000}"/>
    <cellStyle name="쉼표 [0] 2 14 6 2" xfId="3139" xr:uid="{00000000-0005-0000-0000-0000A4040000}"/>
    <cellStyle name="쉼표 [0] 2 14 6 2 2" xfId="6800" xr:uid="{00000000-0005-0000-0000-0000A5040000}"/>
    <cellStyle name="쉼표 [0] 2 14 6 2 2 2" xfId="14117" xr:uid="{C4A662A1-D7C4-4C98-8455-ACEB5CA9342C}"/>
    <cellStyle name="쉼표 [0] 2 14 6 2 3" xfId="10459" xr:uid="{4CDD94B9-A2AB-4A7C-82E6-9C11785F70A7}"/>
    <cellStyle name="쉼표 [0] 2 14 6 3" xfId="4971" xr:uid="{00000000-0005-0000-0000-0000A6040000}"/>
    <cellStyle name="쉼표 [0] 2 14 6 3 2" xfId="12288" xr:uid="{A4DB3201-006C-41AF-B184-E72A26A8A4BA}"/>
    <cellStyle name="쉼표 [0] 2 14 6 4" xfId="8629" xr:uid="{FDE26D7A-AAE9-40C6-ADEE-3B93F6F055EB}"/>
    <cellStyle name="쉼표 [0] 2 14 7" xfId="3128" xr:uid="{00000000-0005-0000-0000-0000A7040000}"/>
    <cellStyle name="쉼표 [0] 2 14 7 2" xfId="6789" xr:uid="{00000000-0005-0000-0000-0000A8040000}"/>
    <cellStyle name="쉼표 [0] 2 14 7 2 2" xfId="14106" xr:uid="{F15FE20D-077C-4C1E-94E0-831027C8CE09}"/>
    <cellStyle name="쉼표 [0] 2 14 7 3" xfId="10448" xr:uid="{7024BF4B-0CD3-48CD-B083-ADC1C3CE9B5A}"/>
    <cellStyle name="쉼표 [0] 2 14 8" xfId="4960" xr:uid="{00000000-0005-0000-0000-0000A9040000}"/>
    <cellStyle name="쉼표 [0] 2 14 8 2" xfId="12277" xr:uid="{70AFEC43-D206-4B87-A124-82EAD5F9C856}"/>
    <cellStyle name="쉼표 [0] 2 14 9" xfId="8618" xr:uid="{DB1BC027-BFEB-400F-B26F-22C8C59B60FA}"/>
    <cellStyle name="쉼표 [0] 2 15" xfId="779" xr:uid="{00000000-0005-0000-0000-0000AA040000}"/>
    <cellStyle name="쉼표 [0] 2 15 2" xfId="780" xr:uid="{00000000-0005-0000-0000-0000AB040000}"/>
    <cellStyle name="쉼표 [0] 2 15 2 2" xfId="781" xr:uid="{00000000-0005-0000-0000-0000AC040000}"/>
    <cellStyle name="쉼표 [0] 2 15 2 2 2" xfId="3142" xr:uid="{00000000-0005-0000-0000-0000AD040000}"/>
    <cellStyle name="쉼표 [0] 2 15 2 2 2 2" xfId="6803" xr:uid="{00000000-0005-0000-0000-0000AE040000}"/>
    <cellStyle name="쉼표 [0] 2 15 2 2 2 2 2" xfId="14120" xr:uid="{3602CBFE-4EBA-40D0-AA82-105395D23A38}"/>
    <cellStyle name="쉼표 [0] 2 15 2 2 2 3" xfId="10462" xr:uid="{E4598C3D-80C3-4F5B-B530-49BA09D9C447}"/>
    <cellStyle name="쉼표 [0] 2 15 2 2 3" xfId="4974" xr:uid="{00000000-0005-0000-0000-0000AF040000}"/>
    <cellStyle name="쉼표 [0] 2 15 2 2 3 2" xfId="12291" xr:uid="{3457D917-E43F-42DE-8C10-8CC26A2F4EC7}"/>
    <cellStyle name="쉼표 [0] 2 15 2 2 4" xfId="8632" xr:uid="{5DA896BB-8066-47E6-B50B-9F02D967B101}"/>
    <cellStyle name="쉼표 [0] 2 15 2 3" xfId="3141" xr:uid="{00000000-0005-0000-0000-0000B0040000}"/>
    <cellStyle name="쉼표 [0] 2 15 2 3 2" xfId="6802" xr:uid="{00000000-0005-0000-0000-0000B1040000}"/>
    <cellStyle name="쉼표 [0] 2 15 2 3 2 2" xfId="14119" xr:uid="{0700B010-C59F-4FA1-BA5A-C7C870E5B31C}"/>
    <cellStyle name="쉼표 [0] 2 15 2 3 3" xfId="10461" xr:uid="{F558B0B6-6D92-44DC-97CE-A4D170457737}"/>
    <cellStyle name="쉼표 [0] 2 15 2 4" xfId="4973" xr:uid="{00000000-0005-0000-0000-0000B2040000}"/>
    <cellStyle name="쉼표 [0] 2 15 2 4 2" xfId="12290" xr:uid="{99CCE29C-0005-4CB5-9FE4-A9F7FABD39FD}"/>
    <cellStyle name="쉼표 [0] 2 15 2 5" xfId="8631" xr:uid="{6733A455-4E42-4C4C-A51A-5C6448C38ACC}"/>
    <cellStyle name="쉼표 [0] 2 15 3" xfId="782" xr:uid="{00000000-0005-0000-0000-0000B3040000}"/>
    <cellStyle name="쉼표 [0] 2 15 4" xfId="783" xr:uid="{00000000-0005-0000-0000-0000B4040000}"/>
    <cellStyle name="쉼표 [0] 2 15 4 2" xfId="3143" xr:uid="{00000000-0005-0000-0000-0000B5040000}"/>
    <cellStyle name="쉼표 [0] 2 15 4 2 2" xfId="6804" xr:uid="{00000000-0005-0000-0000-0000B6040000}"/>
    <cellStyle name="쉼표 [0] 2 15 4 2 2 2" xfId="14121" xr:uid="{A09C4A99-F27D-474C-A532-5295669F9C3E}"/>
    <cellStyle name="쉼표 [0] 2 15 4 2 3" xfId="10463" xr:uid="{94DF9681-DC0C-4794-ACCF-CC30AE645E71}"/>
    <cellStyle name="쉼표 [0] 2 15 4 3" xfId="4975" xr:uid="{00000000-0005-0000-0000-0000B7040000}"/>
    <cellStyle name="쉼표 [0] 2 15 4 3 2" xfId="12292" xr:uid="{BD68D243-8B29-4575-A03A-8942850CA3AC}"/>
    <cellStyle name="쉼표 [0] 2 15 4 4" xfId="8633" xr:uid="{9F0FCA83-43BD-4C14-B173-67C878D301BF}"/>
    <cellStyle name="쉼표 [0] 2 15 5" xfId="784" xr:uid="{00000000-0005-0000-0000-0000B8040000}"/>
    <cellStyle name="쉼표 [0] 2 15 5 2" xfId="3144" xr:uid="{00000000-0005-0000-0000-0000B9040000}"/>
    <cellStyle name="쉼표 [0] 2 15 5 2 2" xfId="6805" xr:uid="{00000000-0005-0000-0000-0000BA040000}"/>
    <cellStyle name="쉼표 [0] 2 15 5 2 2 2" xfId="14122" xr:uid="{5B97BA0F-730D-4904-892C-DECE0CFDB99B}"/>
    <cellStyle name="쉼표 [0] 2 15 5 2 3" xfId="10464" xr:uid="{355DD029-A59C-48E7-A574-BACC31B59078}"/>
    <cellStyle name="쉼표 [0] 2 15 5 3" xfId="4976" xr:uid="{00000000-0005-0000-0000-0000BB040000}"/>
    <cellStyle name="쉼표 [0] 2 15 5 3 2" xfId="12293" xr:uid="{0DAA0F12-5375-4AF9-B3B9-FABD3AB9F14A}"/>
    <cellStyle name="쉼표 [0] 2 15 5 4" xfId="8634" xr:uid="{41BDBC52-73D5-4320-95F5-68CB40BB2F5E}"/>
    <cellStyle name="쉼표 [0] 2 15 6" xfId="3140" xr:uid="{00000000-0005-0000-0000-0000BC040000}"/>
    <cellStyle name="쉼표 [0] 2 15 6 2" xfId="6801" xr:uid="{00000000-0005-0000-0000-0000BD040000}"/>
    <cellStyle name="쉼표 [0] 2 15 6 2 2" xfId="14118" xr:uid="{4505E8F9-3B9D-4CE7-AF81-FCAEB6D44B84}"/>
    <cellStyle name="쉼표 [0] 2 15 6 3" xfId="10460" xr:uid="{8EFD3D69-BCB4-4DA3-9045-9BAB2938A6A0}"/>
    <cellStyle name="쉼표 [0] 2 15 7" xfId="4972" xr:uid="{00000000-0005-0000-0000-0000BE040000}"/>
    <cellStyle name="쉼표 [0] 2 15 7 2" xfId="12289" xr:uid="{E28F8E73-A032-445A-A065-A3A884EEFEB8}"/>
    <cellStyle name="쉼표 [0] 2 15 8" xfId="8630" xr:uid="{AA0561B3-866F-4B8E-907C-E1B33273F59C}"/>
    <cellStyle name="쉼표 [0] 2 16" xfId="785" xr:uid="{00000000-0005-0000-0000-0000BF040000}"/>
    <cellStyle name="쉼표 [0] 2 16 10" xfId="8635" xr:uid="{432BF431-C54B-4C1C-B4D8-B7340DA6FF2B}"/>
    <cellStyle name="쉼표 [0] 2 16 2" xfId="786" xr:uid="{00000000-0005-0000-0000-0000C0040000}"/>
    <cellStyle name="쉼표 [0] 2 16 2 2" xfId="787" xr:uid="{00000000-0005-0000-0000-0000C1040000}"/>
    <cellStyle name="쉼표 [0] 2 16 2 2 2" xfId="788" xr:uid="{00000000-0005-0000-0000-0000C2040000}"/>
    <cellStyle name="쉼표 [0] 2 16 2 2 2 2" xfId="3148" xr:uid="{00000000-0005-0000-0000-0000C3040000}"/>
    <cellStyle name="쉼표 [0] 2 16 2 2 2 2 2" xfId="6809" xr:uid="{00000000-0005-0000-0000-0000C4040000}"/>
    <cellStyle name="쉼표 [0] 2 16 2 2 2 2 2 2" xfId="14126" xr:uid="{B55FCD5E-DFFA-412A-8597-CE3F26039EB7}"/>
    <cellStyle name="쉼표 [0] 2 16 2 2 2 2 3" xfId="10468" xr:uid="{826F6C94-9D31-4B12-B544-4E102AE154B9}"/>
    <cellStyle name="쉼표 [0] 2 16 2 2 2 3" xfId="4980" xr:uid="{00000000-0005-0000-0000-0000C5040000}"/>
    <cellStyle name="쉼표 [0] 2 16 2 2 2 3 2" xfId="12297" xr:uid="{7BAE579C-0850-4770-BB0F-408B2732AE90}"/>
    <cellStyle name="쉼표 [0] 2 16 2 2 2 4" xfId="8638" xr:uid="{E68F7A45-66F6-4BC9-8A81-D16535E3B8ED}"/>
    <cellStyle name="쉼표 [0] 2 16 2 2 3" xfId="3147" xr:uid="{00000000-0005-0000-0000-0000C6040000}"/>
    <cellStyle name="쉼표 [0] 2 16 2 2 3 2" xfId="6808" xr:uid="{00000000-0005-0000-0000-0000C7040000}"/>
    <cellStyle name="쉼표 [0] 2 16 2 2 3 2 2" xfId="14125" xr:uid="{6E8E2954-BDDB-436B-90C3-62C520ECF9F8}"/>
    <cellStyle name="쉼표 [0] 2 16 2 2 3 3" xfId="10467" xr:uid="{72EB5BA3-0223-49D7-8476-69151EBE83BF}"/>
    <cellStyle name="쉼표 [0] 2 16 2 2 4" xfId="4979" xr:uid="{00000000-0005-0000-0000-0000C8040000}"/>
    <cellStyle name="쉼표 [0] 2 16 2 2 4 2" xfId="12296" xr:uid="{EF01A99E-8075-45A1-81BB-09C994C3E2DB}"/>
    <cellStyle name="쉼표 [0] 2 16 2 2 5" xfId="8637" xr:uid="{C036EFAA-DFB5-4BFE-AB10-5AFC2CFD3BBC}"/>
    <cellStyle name="쉼표 [0] 2 16 2 3" xfId="789" xr:uid="{00000000-0005-0000-0000-0000C9040000}"/>
    <cellStyle name="쉼표 [0] 2 16 2 3 2" xfId="790" xr:uid="{00000000-0005-0000-0000-0000CA040000}"/>
    <cellStyle name="쉼표 [0] 2 16 2 3 2 2" xfId="3150" xr:uid="{00000000-0005-0000-0000-0000CB040000}"/>
    <cellStyle name="쉼표 [0] 2 16 2 3 2 2 2" xfId="6811" xr:uid="{00000000-0005-0000-0000-0000CC040000}"/>
    <cellStyle name="쉼표 [0] 2 16 2 3 2 2 2 2" xfId="14128" xr:uid="{0AA51FB2-BAE0-4875-8FB5-6C470C3DF8B2}"/>
    <cellStyle name="쉼표 [0] 2 16 2 3 2 2 3" xfId="10470" xr:uid="{66F9976C-76A3-4FCA-B821-D978A3161854}"/>
    <cellStyle name="쉼표 [0] 2 16 2 3 2 3" xfId="4982" xr:uid="{00000000-0005-0000-0000-0000CD040000}"/>
    <cellStyle name="쉼표 [0] 2 16 2 3 2 3 2" xfId="12299" xr:uid="{62FA5427-8954-4214-8A16-2C0B1B34EE61}"/>
    <cellStyle name="쉼표 [0] 2 16 2 3 2 4" xfId="8640" xr:uid="{ADD0D8D9-FC0E-44CE-B32C-0B7EE313AE46}"/>
    <cellStyle name="쉼표 [0] 2 16 2 3 3" xfId="3149" xr:uid="{00000000-0005-0000-0000-0000CE040000}"/>
    <cellStyle name="쉼표 [0] 2 16 2 3 3 2" xfId="6810" xr:uid="{00000000-0005-0000-0000-0000CF040000}"/>
    <cellStyle name="쉼표 [0] 2 16 2 3 3 2 2" xfId="14127" xr:uid="{BB6BF69A-42D8-4B4D-AB90-2310B81C9585}"/>
    <cellStyle name="쉼표 [0] 2 16 2 3 3 3" xfId="10469" xr:uid="{D14DE2EE-627D-4F1D-9CB5-4FC030C8C4C2}"/>
    <cellStyle name="쉼표 [0] 2 16 2 3 4" xfId="4981" xr:uid="{00000000-0005-0000-0000-0000D0040000}"/>
    <cellStyle name="쉼표 [0] 2 16 2 3 4 2" xfId="12298" xr:uid="{B5A95013-E20C-467F-BF99-1DA95C8A4B83}"/>
    <cellStyle name="쉼표 [0] 2 16 2 3 5" xfId="8639" xr:uid="{EED6853D-4140-43DE-816C-38742A2AC690}"/>
    <cellStyle name="쉼표 [0] 2 16 2 4" xfId="791" xr:uid="{00000000-0005-0000-0000-0000D1040000}"/>
    <cellStyle name="쉼표 [0] 2 16 2 4 2" xfId="3151" xr:uid="{00000000-0005-0000-0000-0000D2040000}"/>
    <cellStyle name="쉼표 [0] 2 16 2 4 2 2" xfId="6812" xr:uid="{00000000-0005-0000-0000-0000D3040000}"/>
    <cellStyle name="쉼표 [0] 2 16 2 4 2 2 2" xfId="14129" xr:uid="{5E50D10D-F3F2-4687-B3D6-F75A8C82E51E}"/>
    <cellStyle name="쉼표 [0] 2 16 2 4 2 3" xfId="10471" xr:uid="{B172386B-1C7C-49C4-A344-CDDBBA54DBCB}"/>
    <cellStyle name="쉼표 [0] 2 16 2 4 3" xfId="4983" xr:uid="{00000000-0005-0000-0000-0000D4040000}"/>
    <cellStyle name="쉼표 [0] 2 16 2 4 3 2" xfId="12300" xr:uid="{97E70510-7A36-4E15-9481-0E24C276C89F}"/>
    <cellStyle name="쉼표 [0] 2 16 2 4 4" xfId="8641" xr:uid="{1797F394-134B-4230-B2AD-C4AD0D725AED}"/>
    <cellStyle name="쉼표 [0] 2 16 2 5" xfId="3146" xr:uid="{00000000-0005-0000-0000-0000D5040000}"/>
    <cellStyle name="쉼표 [0] 2 16 2 5 2" xfId="6807" xr:uid="{00000000-0005-0000-0000-0000D6040000}"/>
    <cellStyle name="쉼표 [0] 2 16 2 5 2 2" xfId="14124" xr:uid="{83A551AE-538A-4636-8747-3C8635FEFBC1}"/>
    <cellStyle name="쉼표 [0] 2 16 2 5 3" xfId="10466" xr:uid="{88FC28B7-8C77-43D0-9833-AC246698567E}"/>
    <cellStyle name="쉼표 [0] 2 16 2 6" xfId="4978" xr:uid="{00000000-0005-0000-0000-0000D7040000}"/>
    <cellStyle name="쉼표 [0] 2 16 2 6 2" xfId="12295" xr:uid="{0174DB91-5B17-4C52-B97F-07EF3272BFCE}"/>
    <cellStyle name="쉼표 [0] 2 16 2 7" xfId="8636" xr:uid="{589BC3E6-AD2C-431F-8E47-14001A4A853B}"/>
    <cellStyle name="쉼표 [0] 2 16 3" xfId="792" xr:uid="{00000000-0005-0000-0000-0000D8040000}"/>
    <cellStyle name="쉼표 [0] 2 16 3 2" xfId="793" xr:uid="{00000000-0005-0000-0000-0000D9040000}"/>
    <cellStyle name="쉼표 [0] 2 16 3 2 2" xfId="3153" xr:uid="{00000000-0005-0000-0000-0000DA040000}"/>
    <cellStyle name="쉼표 [0] 2 16 3 2 2 2" xfId="6814" xr:uid="{00000000-0005-0000-0000-0000DB040000}"/>
    <cellStyle name="쉼표 [0] 2 16 3 2 2 2 2" xfId="14131" xr:uid="{159E0438-FB8C-41C6-AFD5-840A49F7F8D0}"/>
    <cellStyle name="쉼표 [0] 2 16 3 2 2 3" xfId="10473" xr:uid="{83DF3FEB-0935-4ED1-9952-3170EEC1B3DA}"/>
    <cellStyle name="쉼표 [0] 2 16 3 2 3" xfId="4985" xr:uid="{00000000-0005-0000-0000-0000DC040000}"/>
    <cellStyle name="쉼표 [0] 2 16 3 2 3 2" xfId="12302" xr:uid="{6F874349-41EB-4E8A-88C5-CA8049DBB688}"/>
    <cellStyle name="쉼표 [0] 2 16 3 2 4" xfId="8643" xr:uid="{CC90D73E-1BEA-49D7-9B3E-A463D072E11E}"/>
    <cellStyle name="쉼표 [0] 2 16 3 3" xfId="3152" xr:uid="{00000000-0005-0000-0000-0000DD040000}"/>
    <cellStyle name="쉼표 [0] 2 16 3 3 2" xfId="6813" xr:uid="{00000000-0005-0000-0000-0000DE040000}"/>
    <cellStyle name="쉼표 [0] 2 16 3 3 2 2" xfId="14130" xr:uid="{F257648E-AA9E-4FFB-8B2D-5C0FC839AEBB}"/>
    <cellStyle name="쉼표 [0] 2 16 3 3 3" xfId="10472" xr:uid="{1B0D2E7D-2D35-410B-8BB7-37B674C1802A}"/>
    <cellStyle name="쉼표 [0] 2 16 3 4" xfId="4984" xr:uid="{00000000-0005-0000-0000-0000DF040000}"/>
    <cellStyle name="쉼표 [0] 2 16 3 4 2" xfId="12301" xr:uid="{394E0AC4-A0F4-4A06-8F3F-1B2C748B51AE}"/>
    <cellStyle name="쉼표 [0] 2 16 3 5" xfId="8642" xr:uid="{6D485696-DFE4-4485-8235-4C661A3A47D6}"/>
    <cellStyle name="쉼표 [0] 2 16 4" xfId="794" xr:uid="{00000000-0005-0000-0000-0000E0040000}"/>
    <cellStyle name="쉼표 [0] 2 16 4 2" xfId="3154" xr:uid="{00000000-0005-0000-0000-0000E1040000}"/>
    <cellStyle name="쉼표 [0] 2 16 4 2 2" xfId="6815" xr:uid="{00000000-0005-0000-0000-0000E2040000}"/>
    <cellStyle name="쉼표 [0] 2 16 4 2 2 2" xfId="14132" xr:uid="{B86DB684-3676-420C-81E7-E4E120494BF5}"/>
    <cellStyle name="쉼표 [0] 2 16 4 2 3" xfId="10474" xr:uid="{FEC32EC4-B71D-45C4-BB09-C488EBD210A1}"/>
    <cellStyle name="쉼표 [0] 2 16 4 3" xfId="4986" xr:uid="{00000000-0005-0000-0000-0000E3040000}"/>
    <cellStyle name="쉼표 [0] 2 16 4 3 2" xfId="12303" xr:uid="{6A8B362E-ED4F-4325-875D-6C76B856AE1F}"/>
    <cellStyle name="쉼표 [0] 2 16 4 4" xfId="8644" xr:uid="{8E136F96-1A71-4029-A6F3-7978FF152181}"/>
    <cellStyle name="쉼표 [0] 2 16 5" xfId="795" xr:uid="{00000000-0005-0000-0000-0000E4040000}"/>
    <cellStyle name="쉼표 [0] 2 16 5 2" xfId="3155" xr:uid="{00000000-0005-0000-0000-0000E5040000}"/>
    <cellStyle name="쉼표 [0] 2 16 5 2 2" xfId="6816" xr:uid="{00000000-0005-0000-0000-0000E6040000}"/>
    <cellStyle name="쉼표 [0] 2 16 5 2 2 2" xfId="14133" xr:uid="{F882893F-4C7D-4398-B97C-4B1DA7C7E32C}"/>
    <cellStyle name="쉼표 [0] 2 16 5 2 3" xfId="10475" xr:uid="{03E8E76D-5486-46A2-8DA2-94D855B14E18}"/>
    <cellStyle name="쉼표 [0] 2 16 5 3" xfId="4987" xr:uid="{00000000-0005-0000-0000-0000E7040000}"/>
    <cellStyle name="쉼표 [0] 2 16 5 3 2" xfId="12304" xr:uid="{20AB2A0D-FAA8-46AC-B10A-C6B38BD8B45E}"/>
    <cellStyle name="쉼표 [0] 2 16 5 4" xfId="8645" xr:uid="{A00373B6-E748-4C00-B99F-14AC23EE656E}"/>
    <cellStyle name="쉼표 [0] 2 16 6" xfId="796" xr:uid="{00000000-0005-0000-0000-0000E8040000}"/>
    <cellStyle name="쉼표 [0] 2 16 6 2" xfId="3156" xr:uid="{00000000-0005-0000-0000-0000E9040000}"/>
    <cellStyle name="쉼표 [0] 2 16 6 2 2" xfId="6817" xr:uid="{00000000-0005-0000-0000-0000EA040000}"/>
    <cellStyle name="쉼표 [0] 2 16 6 2 2 2" xfId="14134" xr:uid="{0984922C-484D-47E7-8C4B-FE4242B9E5D2}"/>
    <cellStyle name="쉼표 [0] 2 16 6 2 3" xfId="10476" xr:uid="{45C4EE6C-A6C8-4825-ABB2-25D5F92A92CE}"/>
    <cellStyle name="쉼표 [0] 2 16 6 3" xfId="4988" xr:uid="{00000000-0005-0000-0000-0000EB040000}"/>
    <cellStyle name="쉼표 [0] 2 16 6 3 2" xfId="12305" xr:uid="{E23BA31D-A57E-4A58-A343-832C974E48C9}"/>
    <cellStyle name="쉼표 [0] 2 16 6 4" xfId="8646" xr:uid="{2E224134-29B5-4BDD-910B-D71E6FCA4B4C}"/>
    <cellStyle name="쉼표 [0] 2 16 7" xfId="797" xr:uid="{00000000-0005-0000-0000-0000EC040000}"/>
    <cellStyle name="쉼표 [0] 2 16 7 2" xfId="3157" xr:uid="{00000000-0005-0000-0000-0000ED040000}"/>
    <cellStyle name="쉼표 [0] 2 16 7 2 2" xfId="6818" xr:uid="{00000000-0005-0000-0000-0000EE040000}"/>
    <cellStyle name="쉼표 [0] 2 16 7 2 2 2" xfId="14135" xr:uid="{21F1E39F-C540-4777-9E50-8873D7EEAD5F}"/>
    <cellStyle name="쉼표 [0] 2 16 7 2 3" xfId="10477" xr:uid="{AD4383FF-FDB3-47A3-929E-31D74029BCF1}"/>
    <cellStyle name="쉼표 [0] 2 16 7 3" xfId="4989" xr:uid="{00000000-0005-0000-0000-0000EF040000}"/>
    <cellStyle name="쉼표 [0] 2 16 7 3 2" xfId="12306" xr:uid="{329850E6-BEF3-44D2-8601-F64B3C1B192E}"/>
    <cellStyle name="쉼표 [0] 2 16 7 4" xfId="8647" xr:uid="{C760C96E-E6F4-4A58-A0A2-ADF5AAA78203}"/>
    <cellStyle name="쉼표 [0] 2 16 8" xfId="3145" xr:uid="{00000000-0005-0000-0000-0000F0040000}"/>
    <cellStyle name="쉼표 [0] 2 16 8 2" xfId="6806" xr:uid="{00000000-0005-0000-0000-0000F1040000}"/>
    <cellStyle name="쉼표 [0] 2 16 8 2 2" xfId="14123" xr:uid="{0E8F0986-6027-412D-A1F3-2F06244BC0D3}"/>
    <cellStyle name="쉼표 [0] 2 16 8 3" xfId="10465" xr:uid="{6EB51B7D-4CA4-4699-A002-E8BF89FED33D}"/>
    <cellStyle name="쉼표 [0] 2 16 9" xfId="4977" xr:uid="{00000000-0005-0000-0000-0000F2040000}"/>
    <cellStyle name="쉼표 [0] 2 16 9 2" xfId="12294" xr:uid="{11871783-5CB5-4B61-8D67-37029F3C4761}"/>
    <cellStyle name="쉼표 [0] 2 17" xfId="798" xr:uid="{00000000-0005-0000-0000-0000F3040000}"/>
    <cellStyle name="쉼표 [0] 2 17 10" xfId="8648" xr:uid="{CE70E5FA-6850-4B14-81FD-686C14B9DAF9}"/>
    <cellStyle name="쉼표 [0] 2 17 2" xfId="799" xr:uid="{00000000-0005-0000-0000-0000F4040000}"/>
    <cellStyle name="쉼표 [0] 2 17 2 2" xfId="800" xr:uid="{00000000-0005-0000-0000-0000F5040000}"/>
    <cellStyle name="쉼표 [0] 2 17 2 2 2" xfId="801" xr:uid="{00000000-0005-0000-0000-0000F6040000}"/>
    <cellStyle name="쉼표 [0] 2 17 2 2 2 2" xfId="3161" xr:uid="{00000000-0005-0000-0000-0000F7040000}"/>
    <cellStyle name="쉼표 [0] 2 17 2 2 2 2 2" xfId="6822" xr:uid="{00000000-0005-0000-0000-0000F8040000}"/>
    <cellStyle name="쉼표 [0] 2 17 2 2 2 2 2 2" xfId="14139" xr:uid="{D39FC5B8-03DE-475D-8F1F-A39CE2735069}"/>
    <cellStyle name="쉼표 [0] 2 17 2 2 2 2 3" xfId="10481" xr:uid="{DFD17275-90F8-4934-A979-C85353442AA0}"/>
    <cellStyle name="쉼표 [0] 2 17 2 2 2 3" xfId="4993" xr:uid="{00000000-0005-0000-0000-0000F9040000}"/>
    <cellStyle name="쉼표 [0] 2 17 2 2 2 3 2" xfId="12310" xr:uid="{1F2D7FB1-B294-46C4-BCF1-6324CBA2FCED}"/>
    <cellStyle name="쉼표 [0] 2 17 2 2 2 4" xfId="8651" xr:uid="{B4B00725-9C3B-4AEF-9253-2DDD14700CB8}"/>
    <cellStyle name="쉼표 [0] 2 17 2 2 3" xfId="3160" xr:uid="{00000000-0005-0000-0000-0000FA040000}"/>
    <cellStyle name="쉼표 [0] 2 17 2 2 3 2" xfId="6821" xr:uid="{00000000-0005-0000-0000-0000FB040000}"/>
    <cellStyle name="쉼표 [0] 2 17 2 2 3 2 2" xfId="14138" xr:uid="{982BD16B-24B4-4C02-B253-274F9C9BF1A5}"/>
    <cellStyle name="쉼표 [0] 2 17 2 2 3 3" xfId="10480" xr:uid="{CAF16540-DA51-40DF-AD1F-1C5D252CBBD1}"/>
    <cellStyle name="쉼표 [0] 2 17 2 2 4" xfId="4992" xr:uid="{00000000-0005-0000-0000-0000FC040000}"/>
    <cellStyle name="쉼표 [0] 2 17 2 2 4 2" xfId="12309" xr:uid="{0858EC26-E253-4978-A600-1986F1DCFE6F}"/>
    <cellStyle name="쉼표 [0] 2 17 2 2 5" xfId="8650" xr:uid="{EB9E88A4-889B-45C8-B871-F80BA42883B1}"/>
    <cellStyle name="쉼표 [0] 2 17 2 3" xfId="802" xr:uid="{00000000-0005-0000-0000-0000FD040000}"/>
    <cellStyle name="쉼표 [0] 2 17 2 3 2" xfId="803" xr:uid="{00000000-0005-0000-0000-0000FE040000}"/>
    <cellStyle name="쉼표 [0] 2 17 2 3 2 2" xfId="3163" xr:uid="{00000000-0005-0000-0000-0000FF040000}"/>
    <cellStyle name="쉼표 [0] 2 17 2 3 2 2 2" xfId="6824" xr:uid="{00000000-0005-0000-0000-000000050000}"/>
    <cellStyle name="쉼표 [0] 2 17 2 3 2 2 2 2" xfId="14141" xr:uid="{BEEDD39F-F427-4B60-8471-1FF3E6D3A62F}"/>
    <cellStyle name="쉼표 [0] 2 17 2 3 2 2 3" xfId="10483" xr:uid="{1E39EFB7-19A5-4F6E-95D6-3ADA4CDECFAE}"/>
    <cellStyle name="쉼표 [0] 2 17 2 3 2 3" xfId="4995" xr:uid="{00000000-0005-0000-0000-000001050000}"/>
    <cellStyle name="쉼표 [0] 2 17 2 3 2 3 2" xfId="12312" xr:uid="{78B2D975-68D1-44EB-BD1B-E712B0BAA60A}"/>
    <cellStyle name="쉼표 [0] 2 17 2 3 2 4" xfId="8653" xr:uid="{249D4E06-996A-4D5E-9ED0-CD258D5738E3}"/>
    <cellStyle name="쉼표 [0] 2 17 2 3 3" xfId="3162" xr:uid="{00000000-0005-0000-0000-000002050000}"/>
    <cellStyle name="쉼표 [0] 2 17 2 3 3 2" xfId="6823" xr:uid="{00000000-0005-0000-0000-000003050000}"/>
    <cellStyle name="쉼표 [0] 2 17 2 3 3 2 2" xfId="14140" xr:uid="{B85FC08F-1B9A-4B4F-8303-29407DD807BD}"/>
    <cellStyle name="쉼표 [0] 2 17 2 3 3 3" xfId="10482" xr:uid="{B58573B2-CA93-447D-AC8E-965547D1C3BF}"/>
    <cellStyle name="쉼표 [0] 2 17 2 3 4" xfId="4994" xr:uid="{00000000-0005-0000-0000-000004050000}"/>
    <cellStyle name="쉼표 [0] 2 17 2 3 4 2" xfId="12311" xr:uid="{A5BD438A-3A1C-42BC-92FF-49533F60BA76}"/>
    <cellStyle name="쉼표 [0] 2 17 2 3 5" xfId="8652" xr:uid="{20EA0050-60DD-4DFD-B525-A9DF5287A3C9}"/>
    <cellStyle name="쉼표 [0] 2 17 2 4" xfId="804" xr:uid="{00000000-0005-0000-0000-000005050000}"/>
    <cellStyle name="쉼표 [0] 2 17 2 4 2" xfId="3164" xr:uid="{00000000-0005-0000-0000-000006050000}"/>
    <cellStyle name="쉼표 [0] 2 17 2 4 2 2" xfId="6825" xr:uid="{00000000-0005-0000-0000-000007050000}"/>
    <cellStyle name="쉼표 [0] 2 17 2 4 2 2 2" xfId="14142" xr:uid="{ABF71FA0-EF92-4032-98D5-DE28CE830D10}"/>
    <cellStyle name="쉼표 [0] 2 17 2 4 2 3" xfId="10484" xr:uid="{C2C25992-E06F-40DC-90BA-C48CBC542F4E}"/>
    <cellStyle name="쉼표 [0] 2 17 2 4 3" xfId="4996" xr:uid="{00000000-0005-0000-0000-000008050000}"/>
    <cellStyle name="쉼표 [0] 2 17 2 4 3 2" xfId="12313" xr:uid="{F6793C83-0408-435B-AB17-DFB62A0DE87F}"/>
    <cellStyle name="쉼표 [0] 2 17 2 4 4" xfId="8654" xr:uid="{183842C7-AF4B-44D2-8F0E-7A86167FEB4F}"/>
    <cellStyle name="쉼표 [0] 2 17 2 5" xfId="3159" xr:uid="{00000000-0005-0000-0000-000009050000}"/>
    <cellStyle name="쉼표 [0] 2 17 2 5 2" xfId="6820" xr:uid="{00000000-0005-0000-0000-00000A050000}"/>
    <cellStyle name="쉼표 [0] 2 17 2 5 2 2" xfId="14137" xr:uid="{5838A6E1-E7EF-4391-94D1-DB732431B45D}"/>
    <cellStyle name="쉼표 [0] 2 17 2 5 3" xfId="10479" xr:uid="{D3077157-C521-464F-AD88-513C4A545754}"/>
    <cellStyle name="쉼표 [0] 2 17 2 6" xfId="4991" xr:uid="{00000000-0005-0000-0000-00000B050000}"/>
    <cellStyle name="쉼표 [0] 2 17 2 6 2" xfId="12308" xr:uid="{A3B39862-CFA2-49C9-B9F4-C29A09D7151F}"/>
    <cellStyle name="쉼표 [0] 2 17 2 7" xfId="8649" xr:uid="{69891906-3C73-47F6-9AAD-CBB39D11F102}"/>
    <cellStyle name="쉼표 [0] 2 17 3" xfId="805" xr:uid="{00000000-0005-0000-0000-00000C050000}"/>
    <cellStyle name="쉼표 [0] 2 17 3 2" xfId="806" xr:uid="{00000000-0005-0000-0000-00000D050000}"/>
    <cellStyle name="쉼표 [0] 2 17 3 2 2" xfId="3166" xr:uid="{00000000-0005-0000-0000-00000E050000}"/>
    <cellStyle name="쉼표 [0] 2 17 3 2 2 2" xfId="6827" xr:uid="{00000000-0005-0000-0000-00000F050000}"/>
    <cellStyle name="쉼표 [0] 2 17 3 2 2 2 2" xfId="14144" xr:uid="{F2FB1E58-13AF-45EF-997C-26CA4FBDE365}"/>
    <cellStyle name="쉼표 [0] 2 17 3 2 2 3" xfId="10486" xr:uid="{CA029537-64CF-454D-BCDD-A23FF9BE9FB6}"/>
    <cellStyle name="쉼표 [0] 2 17 3 2 3" xfId="4998" xr:uid="{00000000-0005-0000-0000-000010050000}"/>
    <cellStyle name="쉼표 [0] 2 17 3 2 3 2" xfId="12315" xr:uid="{B1E02C71-FDB3-42F1-997D-3ACA014BDB3A}"/>
    <cellStyle name="쉼표 [0] 2 17 3 2 4" xfId="8656" xr:uid="{D307181B-EB30-4B1B-B5EA-7B110FC4EFAB}"/>
    <cellStyle name="쉼표 [0] 2 17 3 3" xfId="3165" xr:uid="{00000000-0005-0000-0000-000011050000}"/>
    <cellStyle name="쉼표 [0] 2 17 3 3 2" xfId="6826" xr:uid="{00000000-0005-0000-0000-000012050000}"/>
    <cellStyle name="쉼표 [0] 2 17 3 3 2 2" xfId="14143" xr:uid="{089683ED-8E32-4EDA-BDAE-C5FB7CFA8556}"/>
    <cellStyle name="쉼표 [0] 2 17 3 3 3" xfId="10485" xr:uid="{64B98CE5-4139-4D4C-B90C-D98D404094A2}"/>
    <cellStyle name="쉼표 [0] 2 17 3 4" xfId="4997" xr:uid="{00000000-0005-0000-0000-000013050000}"/>
    <cellStyle name="쉼표 [0] 2 17 3 4 2" xfId="12314" xr:uid="{89310CF2-7522-4F13-A34F-EEFAD9D15BD9}"/>
    <cellStyle name="쉼표 [0] 2 17 3 5" xfId="8655" xr:uid="{8DF7747F-9C8A-443A-ADBF-F9DB4EC9D845}"/>
    <cellStyle name="쉼표 [0] 2 17 4" xfId="807" xr:uid="{00000000-0005-0000-0000-000014050000}"/>
    <cellStyle name="쉼표 [0] 2 17 4 2" xfId="3167" xr:uid="{00000000-0005-0000-0000-000015050000}"/>
    <cellStyle name="쉼표 [0] 2 17 4 2 2" xfId="6828" xr:uid="{00000000-0005-0000-0000-000016050000}"/>
    <cellStyle name="쉼표 [0] 2 17 4 2 2 2" xfId="14145" xr:uid="{015C4CF6-5057-4401-ACB3-AAA63B819C4E}"/>
    <cellStyle name="쉼표 [0] 2 17 4 2 3" xfId="10487" xr:uid="{93A175D0-9151-48E3-9E44-D39DE4A9AACC}"/>
    <cellStyle name="쉼표 [0] 2 17 4 3" xfId="4999" xr:uid="{00000000-0005-0000-0000-000017050000}"/>
    <cellStyle name="쉼표 [0] 2 17 4 3 2" xfId="12316" xr:uid="{317B5CCB-23B3-4F45-94A4-5F91666D4704}"/>
    <cellStyle name="쉼표 [0] 2 17 4 4" xfId="8657" xr:uid="{0CBF0253-85C7-49F9-AB45-55D66E43CB8E}"/>
    <cellStyle name="쉼표 [0] 2 17 5" xfId="808" xr:uid="{00000000-0005-0000-0000-000018050000}"/>
    <cellStyle name="쉼표 [0] 2 17 5 2" xfId="3168" xr:uid="{00000000-0005-0000-0000-000019050000}"/>
    <cellStyle name="쉼표 [0] 2 17 5 2 2" xfId="6829" xr:uid="{00000000-0005-0000-0000-00001A050000}"/>
    <cellStyle name="쉼표 [0] 2 17 5 2 2 2" xfId="14146" xr:uid="{8F209E5C-60CB-4433-AFC9-D15749DC0B84}"/>
    <cellStyle name="쉼표 [0] 2 17 5 2 3" xfId="10488" xr:uid="{7E9F057D-E782-49F8-A57E-F55991F36D51}"/>
    <cellStyle name="쉼표 [0] 2 17 5 3" xfId="5000" xr:uid="{00000000-0005-0000-0000-00001B050000}"/>
    <cellStyle name="쉼표 [0] 2 17 5 3 2" xfId="12317" xr:uid="{337BDE97-8FB6-404D-A9A1-C04B2366E232}"/>
    <cellStyle name="쉼표 [0] 2 17 5 4" xfId="8658" xr:uid="{36C49674-8B16-4964-A3D2-6F11CE59263F}"/>
    <cellStyle name="쉼표 [0] 2 17 6" xfId="809" xr:uid="{00000000-0005-0000-0000-00001C050000}"/>
    <cellStyle name="쉼표 [0] 2 17 6 2" xfId="3169" xr:uid="{00000000-0005-0000-0000-00001D050000}"/>
    <cellStyle name="쉼표 [0] 2 17 6 2 2" xfId="6830" xr:uid="{00000000-0005-0000-0000-00001E050000}"/>
    <cellStyle name="쉼표 [0] 2 17 6 2 2 2" xfId="14147" xr:uid="{53CD7609-A1AD-467D-B336-EEA643CB9D8D}"/>
    <cellStyle name="쉼표 [0] 2 17 6 2 3" xfId="10489" xr:uid="{D7DF125A-E4A6-4CB8-B886-B68725F107B2}"/>
    <cellStyle name="쉼표 [0] 2 17 6 3" xfId="5001" xr:uid="{00000000-0005-0000-0000-00001F050000}"/>
    <cellStyle name="쉼표 [0] 2 17 6 3 2" xfId="12318" xr:uid="{2CBB4A72-5E27-406F-8F82-4B4AF09D3DDD}"/>
    <cellStyle name="쉼표 [0] 2 17 6 4" xfId="8659" xr:uid="{E000AF8D-ECB6-45D1-9073-02C615082D0E}"/>
    <cellStyle name="쉼표 [0] 2 17 7" xfId="810" xr:uid="{00000000-0005-0000-0000-000020050000}"/>
    <cellStyle name="쉼표 [0] 2 17 7 2" xfId="3170" xr:uid="{00000000-0005-0000-0000-000021050000}"/>
    <cellStyle name="쉼표 [0] 2 17 7 2 2" xfId="6831" xr:uid="{00000000-0005-0000-0000-000022050000}"/>
    <cellStyle name="쉼표 [0] 2 17 7 2 2 2" xfId="14148" xr:uid="{8BB89BD7-4511-462A-93F3-E7266A309607}"/>
    <cellStyle name="쉼표 [0] 2 17 7 2 3" xfId="10490" xr:uid="{6E81F01C-53E7-4ACD-AF6C-354D05E1359B}"/>
    <cellStyle name="쉼표 [0] 2 17 7 3" xfId="5002" xr:uid="{00000000-0005-0000-0000-000023050000}"/>
    <cellStyle name="쉼표 [0] 2 17 7 3 2" xfId="12319" xr:uid="{28B8479D-1DF4-4B34-9767-301A70576640}"/>
    <cellStyle name="쉼표 [0] 2 17 7 4" xfId="8660" xr:uid="{B0A25067-3DE3-44BD-879E-4EEBBB5BFFD1}"/>
    <cellStyle name="쉼표 [0] 2 17 8" xfId="3158" xr:uid="{00000000-0005-0000-0000-000024050000}"/>
    <cellStyle name="쉼표 [0] 2 17 8 2" xfId="6819" xr:uid="{00000000-0005-0000-0000-000025050000}"/>
    <cellStyle name="쉼표 [0] 2 17 8 2 2" xfId="14136" xr:uid="{ACA6ED25-9F8F-44C6-A9EF-20558E91874C}"/>
    <cellStyle name="쉼표 [0] 2 17 8 3" xfId="10478" xr:uid="{C0B7175E-372F-4CEE-A1E4-F3F82899FE68}"/>
    <cellStyle name="쉼표 [0] 2 17 9" xfId="4990" xr:uid="{00000000-0005-0000-0000-000026050000}"/>
    <cellStyle name="쉼표 [0] 2 17 9 2" xfId="12307" xr:uid="{88A091B3-3C0A-4537-ABA1-F6C29C21F849}"/>
    <cellStyle name="쉼표 [0] 2 18" xfId="811" xr:uid="{00000000-0005-0000-0000-000027050000}"/>
    <cellStyle name="쉼표 [0] 2 18 10" xfId="8661" xr:uid="{8D14F434-45DE-473D-918C-38F4CAA2F172}"/>
    <cellStyle name="쉼표 [0] 2 18 2" xfId="812" xr:uid="{00000000-0005-0000-0000-000028050000}"/>
    <cellStyle name="쉼표 [0] 2 18 2 2" xfId="813" xr:uid="{00000000-0005-0000-0000-000029050000}"/>
    <cellStyle name="쉼표 [0] 2 18 2 2 2" xfId="814" xr:uid="{00000000-0005-0000-0000-00002A050000}"/>
    <cellStyle name="쉼표 [0] 2 18 2 2 2 2" xfId="3174" xr:uid="{00000000-0005-0000-0000-00002B050000}"/>
    <cellStyle name="쉼표 [0] 2 18 2 2 2 2 2" xfId="6835" xr:uid="{00000000-0005-0000-0000-00002C050000}"/>
    <cellStyle name="쉼표 [0] 2 18 2 2 2 2 2 2" xfId="14152" xr:uid="{1FF3A25F-6D72-4CFA-9754-33DD57690C69}"/>
    <cellStyle name="쉼표 [0] 2 18 2 2 2 2 3" xfId="10494" xr:uid="{A11D31DA-8DC0-4400-8255-C35FE36FDAAC}"/>
    <cellStyle name="쉼표 [0] 2 18 2 2 2 3" xfId="5006" xr:uid="{00000000-0005-0000-0000-00002D050000}"/>
    <cellStyle name="쉼표 [0] 2 18 2 2 2 3 2" xfId="12323" xr:uid="{30D126F9-7CFD-4FC7-948F-B2A3C83BA7CD}"/>
    <cellStyle name="쉼표 [0] 2 18 2 2 2 4" xfId="8664" xr:uid="{5F8E3AD0-4098-404F-8A44-F0A1845B961E}"/>
    <cellStyle name="쉼표 [0] 2 18 2 2 3" xfId="3173" xr:uid="{00000000-0005-0000-0000-00002E050000}"/>
    <cellStyle name="쉼표 [0] 2 18 2 2 3 2" xfId="6834" xr:uid="{00000000-0005-0000-0000-00002F050000}"/>
    <cellStyle name="쉼표 [0] 2 18 2 2 3 2 2" xfId="14151" xr:uid="{9A7008FD-FF2E-4843-9A67-A9176D4C6574}"/>
    <cellStyle name="쉼표 [0] 2 18 2 2 3 3" xfId="10493" xr:uid="{BF506B68-310D-4393-944A-45DA130B50A7}"/>
    <cellStyle name="쉼표 [0] 2 18 2 2 4" xfId="5005" xr:uid="{00000000-0005-0000-0000-000030050000}"/>
    <cellStyle name="쉼표 [0] 2 18 2 2 4 2" xfId="12322" xr:uid="{04DC2D40-9FF8-45C6-90EA-418F5FB9B140}"/>
    <cellStyle name="쉼표 [0] 2 18 2 2 5" xfId="8663" xr:uid="{8DFA79B3-A5CE-4CB6-AE61-B2B98D1CE41F}"/>
    <cellStyle name="쉼표 [0] 2 18 2 3" xfId="815" xr:uid="{00000000-0005-0000-0000-000031050000}"/>
    <cellStyle name="쉼표 [0] 2 18 2 3 2" xfId="816" xr:uid="{00000000-0005-0000-0000-000032050000}"/>
    <cellStyle name="쉼표 [0] 2 18 2 3 2 2" xfId="3176" xr:uid="{00000000-0005-0000-0000-000033050000}"/>
    <cellStyle name="쉼표 [0] 2 18 2 3 2 2 2" xfId="6837" xr:uid="{00000000-0005-0000-0000-000034050000}"/>
    <cellStyle name="쉼표 [0] 2 18 2 3 2 2 2 2" xfId="14154" xr:uid="{33630B51-A560-4C25-B440-97F1DFD50687}"/>
    <cellStyle name="쉼표 [0] 2 18 2 3 2 2 3" xfId="10496" xr:uid="{1C3E4FB0-D60C-4760-B085-529AFE5A94DD}"/>
    <cellStyle name="쉼표 [0] 2 18 2 3 2 3" xfId="5008" xr:uid="{00000000-0005-0000-0000-000035050000}"/>
    <cellStyle name="쉼표 [0] 2 18 2 3 2 3 2" xfId="12325" xr:uid="{F448BE8E-C3EF-471D-BCC7-FB068F2A2B8A}"/>
    <cellStyle name="쉼표 [0] 2 18 2 3 2 4" xfId="8666" xr:uid="{3D1879D0-7E82-4487-B071-659C3F2D15DC}"/>
    <cellStyle name="쉼표 [0] 2 18 2 3 3" xfId="3175" xr:uid="{00000000-0005-0000-0000-000036050000}"/>
    <cellStyle name="쉼표 [0] 2 18 2 3 3 2" xfId="6836" xr:uid="{00000000-0005-0000-0000-000037050000}"/>
    <cellStyle name="쉼표 [0] 2 18 2 3 3 2 2" xfId="14153" xr:uid="{544CB07D-F73D-4D18-BC37-C48AFA74BB6F}"/>
    <cellStyle name="쉼표 [0] 2 18 2 3 3 3" xfId="10495" xr:uid="{3F5DFA9F-3566-44A1-96EB-3B10A20BC16B}"/>
    <cellStyle name="쉼표 [0] 2 18 2 3 4" xfId="5007" xr:uid="{00000000-0005-0000-0000-000038050000}"/>
    <cellStyle name="쉼표 [0] 2 18 2 3 4 2" xfId="12324" xr:uid="{5AE3467F-FDFA-4C4D-A2E0-579D7C709CF1}"/>
    <cellStyle name="쉼표 [0] 2 18 2 3 5" xfId="8665" xr:uid="{EF314585-22F1-4BDD-9499-3E0CA3B5A228}"/>
    <cellStyle name="쉼표 [0] 2 18 2 4" xfId="817" xr:uid="{00000000-0005-0000-0000-000039050000}"/>
    <cellStyle name="쉼표 [0] 2 18 2 4 2" xfId="3177" xr:uid="{00000000-0005-0000-0000-00003A050000}"/>
    <cellStyle name="쉼표 [0] 2 18 2 4 2 2" xfId="6838" xr:uid="{00000000-0005-0000-0000-00003B050000}"/>
    <cellStyle name="쉼표 [0] 2 18 2 4 2 2 2" xfId="14155" xr:uid="{4EEC6B1B-BB97-4CE2-92A1-5C69DE3D12FA}"/>
    <cellStyle name="쉼표 [0] 2 18 2 4 2 3" xfId="10497" xr:uid="{B0617919-E3E8-4DC6-89DB-25E73B57B78A}"/>
    <cellStyle name="쉼표 [0] 2 18 2 4 3" xfId="5009" xr:uid="{00000000-0005-0000-0000-00003C050000}"/>
    <cellStyle name="쉼표 [0] 2 18 2 4 3 2" xfId="12326" xr:uid="{8C23CF4E-BEEA-45DB-9AE0-0C9BDFB97F10}"/>
    <cellStyle name="쉼표 [0] 2 18 2 4 4" xfId="8667" xr:uid="{85F79F0A-DB17-4FD5-BF6A-01F1D66D05E2}"/>
    <cellStyle name="쉼표 [0] 2 18 2 5" xfId="3172" xr:uid="{00000000-0005-0000-0000-00003D050000}"/>
    <cellStyle name="쉼표 [0] 2 18 2 5 2" xfId="6833" xr:uid="{00000000-0005-0000-0000-00003E050000}"/>
    <cellStyle name="쉼표 [0] 2 18 2 5 2 2" xfId="14150" xr:uid="{18D092F4-1DE4-4C4D-978A-7BB2293298EB}"/>
    <cellStyle name="쉼표 [0] 2 18 2 5 3" xfId="10492" xr:uid="{BCEE1522-696A-464C-A819-632570F4F3DB}"/>
    <cellStyle name="쉼표 [0] 2 18 2 6" xfId="5004" xr:uid="{00000000-0005-0000-0000-00003F050000}"/>
    <cellStyle name="쉼표 [0] 2 18 2 6 2" xfId="12321" xr:uid="{3CB5649C-2080-441E-896F-370322EE3F0A}"/>
    <cellStyle name="쉼표 [0] 2 18 2 7" xfId="8662" xr:uid="{6E80578B-14AF-446A-897C-8C6BA983B1A2}"/>
    <cellStyle name="쉼표 [0] 2 18 3" xfId="818" xr:uid="{00000000-0005-0000-0000-000040050000}"/>
    <cellStyle name="쉼표 [0] 2 18 3 2" xfId="819" xr:uid="{00000000-0005-0000-0000-000041050000}"/>
    <cellStyle name="쉼표 [0] 2 18 3 2 2" xfId="3179" xr:uid="{00000000-0005-0000-0000-000042050000}"/>
    <cellStyle name="쉼표 [0] 2 18 3 2 2 2" xfId="6840" xr:uid="{00000000-0005-0000-0000-000043050000}"/>
    <cellStyle name="쉼표 [0] 2 18 3 2 2 2 2" xfId="14157" xr:uid="{12226253-31DF-42A8-ABF7-EB371B2B5F50}"/>
    <cellStyle name="쉼표 [0] 2 18 3 2 2 3" xfId="10499" xr:uid="{DE4A0B8C-7781-4056-B046-228B4154599F}"/>
    <cellStyle name="쉼표 [0] 2 18 3 2 3" xfId="5011" xr:uid="{00000000-0005-0000-0000-000044050000}"/>
    <cellStyle name="쉼표 [0] 2 18 3 2 3 2" xfId="12328" xr:uid="{EBA7E681-C2DB-4664-A181-D22049493ED0}"/>
    <cellStyle name="쉼표 [0] 2 18 3 2 4" xfId="8669" xr:uid="{C19E7665-BA03-4BAD-9D59-E1BFC7EF69CF}"/>
    <cellStyle name="쉼표 [0] 2 18 3 3" xfId="3178" xr:uid="{00000000-0005-0000-0000-000045050000}"/>
    <cellStyle name="쉼표 [0] 2 18 3 3 2" xfId="6839" xr:uid="{00000000-0005-0000-0000-000046050000}"/>
    <cellStyle name="쉼표 [0] 2 18 3 3 2 2" xfId="14156" xr:uid="{B22A1228-EBEA-4E4E-BF6F-9D8D115297D4}"/>
    <cellStyle name="쉼표 [0] 2 18 3 3 3" xfId="10498" xr:uid="{F93B395C-B9BC-436F-A2BD-8F8C026920D1}"/>
    <cellStyle name="쉼표 [0] 2 18 3 4" xfId="5010" xr:uid="{00000000-0005-0000-0000-000047050000}"/>
    <cellStyle name="쉼표 [0] 2 18 3 4 2" xfId="12327" xr:uid="{D666B2A6-7949-4937-9051-550CEB2A8B18}"/>
    <cellStyle name="쉼표 [0] 2 18 3 5" xfId="8668" xr:uid="{F4FBA879-3854-41E9-83CC-F3BB750A31B9}"/>
    <cellStyle name="쉼표 [0] 2 18 4" xfId="820" xr:uid="{00000000-0005-0000-0000-000048050000}"/>
    <cellStyle name="쉼표 [0] 2 18 4 2" xfId="3180" xr:uid="{00000000-0005-0000-0000-000049050000}"/>
    <cellStyle name="쉼표 [0] 2 18 4 2 2" xfId="6841" xr:uid="{00000000-0005-0000-0000-00004A050000}"/>
    <cellStyle name="쉼표 [0] 2 18 4 2 2 2" xfId="14158" xr:uid="{6316D9EB-638F-4891-8DD1-B57B55A26F32}"/>
    <cellStyle name="쉼표 [0] 2 18 4 2 3" xfId="10500" xr:uid="{834CE49C-FEFB-4FC7-93D5-F8837C840B61}"/>
    <cellStyle name="쉼표 [0] 2 18 4 3" xfId="5012" xr:uid="{00000000-0005-0000-0000-00004B050000}"/>
    <cellStyle name="쉼표 [0] 2 18 4 3 2" xfId="12329" xr:uid="{424F5B47-4E34-4AC0-93D4-456D5E195CCF}"/>
    <cellStyle name="쉼표 [0] 2 18 4 4" xfId="8670" xr:uid="{CF95AEBA-2446-4896-A031-8E56C2EB168A}"/>
    <cellStyle name="쉼표 [0] 2 18 5" xfId="821" xr:uid="{00000000-0005-0000-0000-00004C050000}"/>
    <cellStyle name="쉼표 [0] 2 18 5 2" xfId="3181" xr:uid="{00000000-0005-0000-0000-00004D050000}"/>
    <cellStyle name="쉼표 [0] 2 18 5 2 2" xfId="6842" xr:uid="{00000000-0005-0000-0000-00004E050000}"/>
    <cellStyle name="쉼표 [0] 2 18 5 2 2 2" xfId="14159" xr:uid="{1E15E8AF-E1B8-4376-8751-109DD6B51A04}"/>
    <cellStyle name="쉼표 [0] 2 18 5 2 3" xfId="10501" xr:uid="{82D552A0-3A69-45E6-9C34-B0F8E0F97FBD}"/>
    <cellStyle name="쉼표 [0] 2 18 5 3" xfId="5013" xr:uid="{00000000-0005-0000-0000-00004F050000}"/>
    <cellStyle name="쉼표 [0] 2 18 5 3 2" xfId="12330" xr:uid="{DEDD2F78-3D97-47E0-A415-C08C3BF5EC6D}"/>
    <cellStyle name="쉼표 [0] 2 18 5 4" xfId="8671" xr:uid="{8E494F0B-63FB-4C4C-BC51-920E3335B737}"/>
    <cellStyle name="쉼표 [0] 2 18 6" xfId="822" xr:uid="{00000000-0005-0000-0000-000050050000}"/>
    <cellStyle name="쉼표 [0] 2 18 6 2" xfId="3182" xr:uid="{00000000-0005-0000-0000-000051050000}"/>
    <cellStyle name="쉼표 [0] 2 18 6 2 2" xfId="6843" xr:uid="{00000000-0005-0000-0000-000052050000}"/>
    <cellStyle name="쉼표 [0] 2 18 6 2 2 2" xfId="14160" xr:uid="{A482B7D1-9B2F-42AE-9FFC-BA79320D3AEF}"/>
    <cellStyle name="쉼표 [0] 2 18 6 2 3" xfId="10502" xr:uid="{1BF8EC30-E583-4420-B02D-59F4BCCF0E51}"/>
    <cellStyle name="쉼표 [0] 2 18 6 3" xfId="5014" xr:uid="{00000000-0005-0000-0000-000053050000}"/>
    <cellStyle name="쉼표 [0] 2 18 6 3 2" xfId="12331" xr:uid="{E93DADD6-EA80-4EB5-BD28-05EEF83C8FB9}"/>
    <cellStyle name="쉼표 [0] 2 18 6 4" xfId="8672" xr:uid="{71279B53-14C1-405C-8913-0F54E5C50D03}"/>
    <cellStyle name="쉼표 [0] 2 18 7" xfId="823" xr:uid="{00000000-0005-0000-0000-000054050000}"/>
    <cellStyle name="쉼표 [0] 2 18 7 2" xfId="3183" xr:uid="{00000000-0005-0000-0000-000055050000}"/>
    <cellStyle name="쉼표 [0] 2 18 7 2 2" xfId="6844" xr:uid="{00000000-0005-0000-0000-000056050000}"/>
    <cellStyle name="쉼표 [0] 2 18 7 2 2 2" xfId="14161" xr:uid="{487B3F67-F975-414F-AEC9-F1588EF8DD7F}"/>
    <cellStyle name="쉼표 [0] 2 18 7 2 3" xfId="10503" xr:uid="{D525555E-16FB-4F29-9E5D-C0C2D710B410}"/>
    <cellStyle name="쉼표 [0] 2 18 7 3" xfId="5015" xr:uid="{00000000-0005-0000-0000-000057050000}"/>
    <cellStyle name="쉼표 [0] 2 18 7 3 2" xfId="12332" xr:uid="{24123C61-6744-4084-B0F7-8F1E99283CE8}"/>
    <cellStyle name="쉼표 [0] 2 18 7 4" xfId="8673" xr:uid="{D68300CC-46EF-46A6-8772-FC33634BA7D2}"/>
    <cellStyle name="쉼표 [0] 2 18 8" xfId="3171" xr:uid="{00000000-0005-0000-0000-000058050000}"/>
    <cellStyle name="쉼표 [0] 2 18 8 2" xfId="6832" xr:uid="{00000000-0005-0000-0000-000059050000}"/>
    <cellStyle name="쉼표 [0] 2 18 8 2 2" xfId="14149" xr:uid="{D915A902-85C0-409B-84C2-FD414264A030}"/>
    <cellStyle name="쉼표 [0] 2 18 8 3" xfId="10491" xr:uid="{06CF4EED-F3BB-41FE-BE17-6DC0A427B1BA}"/>
    <cellStyle name="쉼표 [0] 2 18 9" xfId="5003" xr:uid="{00000000-0005-0000-0000-00005A050000}"/>
    <cellStyle name="쉼표 [0] 2 18 9 2" xfId="12320" xr:uid="{14DB8B91-E097-4479-8BE4-E52A82799B62}"/>
    <cellStyle name="쉼표 [0] 2 19" xfId="824" xr:uid="{00000000-0005-0000-0000-00005B050000}"/>
    <cellStyle name="쉼표 [0] 2 19 10" xfId="825" xr:uid="{00000000-0005-0000-0000-00005C050000}"/>
    <cellStyle name="쉼표 [0] 2 19 10 2" xfId="826" xr:uid="{00000000-0005-0000-0000-00005D050000}"/>
    <cellStyle name="쉼표 [0] 2 19 10 2 2" xfId="3186" xr:uid="{00000000-0005-0000-0000-00005E050000}"/>
    <cellStyle name="쉼표 [0] 2 19 10 2 2 2" xfId="6847" xr:uid="{00000000-0005-0000-0000-00005F050000}"/>
    <cellStyle name="쉼표 [0] 2 19 10 2 2 2 2" xfId="14164" xr:uid="{EC6608CE-EB54-4FA8-AD95-0C31F2BCC73D}"/>
    <cellStyle name="쉼표 [0] 2 19 10 2 2 3" xfId="10506" xr:uid="{D8735E91-9BDE-4BE1-B084-D62CE8DE830E}"/>
    <cellStyle name="쉼표 [0] 2 19 10 2 3" xfId="5018" xr:uid="{00000000-0005-0000-0000-000060050000}"/>
    <cellStyle name="쉼표 [0] 2 19 10 2 3 2" xfId="12335" xr:uid="{16B745D1-5A5D-49A8-B91D-B06C82A139CA}"/>
    <cellStyle name="쉼표 [0] 2 19 10 2 4" xfId="8676" xr:uid="{46666DCA-3603-4E61-ACA2-B4ACD87B5835}"/>
    <cellStyle name="쉼표 [0] 2 19 10 3" xfId="827" xr:uid="{00000000-0005-0000-0000-000061050000}"/>
    <cellStyle name="쉼표 [0] 2 19 10 3 2" xfId="3187" xr:uid="{00000000-0005-0000-0000-000062050000}"/>
    <cellStyle name="쉼표 [0] 2 19 10 3 2 2" xfId="6848" xr:uid="{00000000-0005-0000-0000-000063050000}"/>
    <cellStyle name="쉼표 [0] 2 19 10 3 2 2 2" xfId="14165" xr:uid="{5C806243-968A-410E-A030-10E6F3E2E89D}"/>
    <cellStyle name="쉼표 [0] 2 19 10 3 2 3" xfId="10507" xr:uid="{9BD7B1C3-7A5B-4974-9F53-93CDBC5554A0}"/>
    <cellStyle name="쉼표 [0] 2 19 10 3 3" xfId="5019" xr:uid="{00000000-0005-0000-0000-000064050000}"/>
    <cellStyle name="쉼표 [0] 2 19 10 3 3 2" xfId="12336" xr:uid="{FB029924-3E9B-4E4A-96A5-6BCBC1A4A9C5}"/>
    <cellStyle name="쉼표 [0] 2 19 10 3 4" xfId="8677" xr:uid="{080BFDDF-4650-43BA-974C-4B33B8868745}"/>
    <cellStyle name="쉼표 [0] 2 19 10 4" xfId="3185" xr:uid="{00000000-0005-0000-0000-000065050000}"/>
    <cellStyle name="쉼표 [0] 2 19 10 4 2" xfId="6846" xr:uid="{00000000-0005-0000-0000-000066050000}"/>
    <cellStyle name="쉼표 [0] 2 19 10 4 2 2" xfId="14163" xr:uid="{41E07810-7080-40CE-898D-985CF628AB9C}"/>
    <cellStyle name="쉼표 [0] 2 19 10 4 3" xfId="10505" xr:uid="{06C51D1F-15B3-40E2-A2FF-CD984A18F604}"/>
    <cellStyle name="쉼표 [0] 2 19 10 5" xfId="5017" xr:uid="{00000000-0005-0000-0000-000067050000}"/>
    <cellStyle name="쉼표 [0] 2 19 10 5 2" xfId="12334" xr:uid="{27D3D468-26E9-41A5-B580-D70D8F6E3C6E}"/>
    <cellStyle name="쉼표 [0] 2 19 10 6" xfId="8675" xr:uid="{BBB551FA-D135-42EE-9A4A-B7A4FB5D33F3}"/>
    <cellStyle name="쉼표 [0] 2 19 11" xfId="828" xr:uid="{00000000-0005-0000-0000-000068050000}"/>
    <cellStyle name="쉼표 [0] 2 19 11 2" xfId="829" xr:uid="{00000000-0005-0000-0000-000069050000}"/>
    <cellStyle name="쉼표 [0] 2 19 11 2 2" xfId="3189" xr:uid="{00000000-0005-0000-0000-00006A050000}"/>
    <cellStyle name="쉼표 [0] 2 19 11 2 2 2" xfId="6850" xr:uid="{00000000-0005-0000-0000-00006B050000}"/>
    <cellStyle name="쉼표 [0] 2 19 11 2 2 2 2" xfId="14167" xr:uid="{2D64BA91-20D3-49C8-B212-BA80945CBF26}"/>
    <cellStyle name="쉼표 [0] 2 19 11 2 2 3" xfId="10509" xr:uid="{7212D35A-074B-4E62-8C28-F6B971AD6B22}"/>
    <cellStyle name="쉼표 [0] 2 19 11 2 3" xfId="5021" xr:uid="{00000000-0005-0000-0000-00006C050000}"/>
    <cellStyle name="쉼표 [0] 2 19 11 2 3 2" xfId="12338" xr:uid="{7B22141C-D9E9-4179-9E29-CC9973812097}"/>
    <cellStyle name="쉼표 [0] 2 19 11 2 4" xfId="8679" xr:uid="{C993148F-5F7D-4346-8636-E452AD20B9DC}"/>
    <cellStyle name="쉼표 [0] 2 19 11 3" xfId="830" xr:uid="{00000000-0005-0000-0000-00006D050000}"/>
    <cellStyle name="쉼표 [0] 2 19 11 3 2" xfId="3190" xr:uid="{00000000-0005-0000-0000-00006E050000}"/>
    <cellStyle name="쉼표 [0] 2 19 11 3 2 2" xfId="6851" xr:uid="{00000000-0005-0000-0000-00006F050000}"/>
    <cellStyle name="쉼표 [0] 2 19 11 3 2 2 2" xfId="14168" xr:uid="{97DAE0B9-AE68-4FC2-B9D4-7E6EBF3017A2}"/>
    <cellStyle name="쉼표 [0] 2 19 11 3 2 3" xfId="10510" xr:uid="{AE51B2C0-B9B6-43E5-9BAA-12B35309CC4E}"/>
    <cellStyle name="쉼표 [0] 2 19 11 3 3" xfId="5022" xr:uid="{00000000-0005-0000-0000-000070050000}"/>
    <cellStyle name="쉼표 [0] 2 19 11 3 3 2" xfId="12339" xr:uid="{E80BBD7D-7530-44EC-AFF5-B96CFAC5360F}"/>
    <cellStyle name="쉼표 [0] 2 19 11 3 4" xfId="8680" xr:uid="{6A25545B-038C-46B1-9CBB-B6D62EBC4055}"/>
    <cellStyle name="쉼표 [0] 2 19 11 4" xfId="3188" xr:uid="{00000000-0005-0000-0000-000071050000}"/>
    <cellStyle name="쉼표 [0] 2 19 11 4 2" xfId="6849" xr:uid="{00000000-0005-0000-0000-000072050000}"/>
    <cellStyle name="쉼표 [0] 2 19 11 4 2 2" xfId="14166" xr:uid="{2650A7B3-A176-4463-8884-DD591F83D143}"/>
    <cellStyle name="쉼표 [0] 2 19 11 4 3" xfId="10508" xr:uid="{1BC89161-01E0-4E6F-BCCB-D92F22D74F8A}"/>
    <cellStyle name="쉼표 [0] 2 19 11 5" xfId="5020" xr:uid="{00000000-0005-0000-0000-000073050000}"/>
    <cellStyle name="쉼표 [0] 2 19 11 5 2" xfId="12337" xr:uid="{FEDF1098-A3E8-4B8B-83FC-F3C38F7F347E}"/>
    <cellStyle name="쉼표 [0] 2 19 11 6" xfId="8678" xr:uid="{DBEBDA97-5DF6-41DC-AA66-3627D1AD410A}"/>
    <cellStyle name="쉼표 [0] 2 19 12" xfId="831" xr:uid="{00000000-0005-0000-0000-000074050000}"/>
    <cellStyle name="쉼표 [0] 2 19 12 2" xfId="3191" xr:uid="{00000000-0005-0000-0000-000075050000}"/>
    <cellStyle name="쉼표 [0] 2 19 12 2 2" xfId="6852" xr:uid="{00000000-0005-0000-0000-000076050000}"/>
    <cellStyle name="쉼표 [0] 2 19 12 2 2 2" xfId="14169" xr:uid="{1E3E7429-5A41-4FEB-B21A-C68632999B5E}"/>
    <cellStyle name="쉼표 [0] 2 19 12 2 3" xfId="10511" xr:uid="{117EE98D-F670-48DC-B876-0DB9313E3B9E}"/>
    <cellStyle name="쉼표 [0] 2 19 12 3" xfId="5023" xr:uid="{00000000-0005-0000-0000-000077050000}"/>
    <cellStyle name="쉼표 [0] 2 19 12 3 2" xfId="12340" xr:uid="{58E37ACF-5133-45C7-9223-659EE5EC7B2D}"/>
    <cellStyle name="쉼표 [0] 2 19 12 4" xfId="8681" xr:uid="{5453806A-5AC8-4C20-8CAE-6D1B33ED0769}"/>
    <cellStyle name="쉼표 [0] 2 19 13" xfId="832" xr:uid="{00000000-0005-0000-0000-000078050000}"/>
    <cellStyle name="쉼표 [0] 2 19 13 2" xfId="3192" xr:uid="{00000000-0005-0000-0000-000079050000}"/>
    <cellStyle name="쉼표 [0] 2 19 13 2 2" xfId="6853" xr:uid="{00000000-0005-0000-0000-00007A050000}"/>
    <cellStyle name="쉼표 [0] 2 19 13 2 2 2" xfId="14170" xr:uid="{3DBFCA97-5660-4E46-9838-5F75AA5F2EE4}"/>
    <cellStyle name="쉼표 [0] 2 19 13 2 3" xfId="10512" xr:uid="{CA2C7C69-D57A-402A-A2A6-1C72D0EDAD1B}"/>
    <cellStyle name="쉼표 [0] 2 19 13 3" xfId="5024" xr:uid="{00000000-0005-0000-0000-00007B050000}"/>
    <cellStyle name="쉼표 [0] 2 19 13 3 2" xfId="12341" xr:uid="{001461C8-3235-4377-9135-A1B54633FDA7}"/>
    <cellStyle name="쉼표 [0] 2 19 13 4" xfId="8682" xr:uid="{8BE4A994-654B-44AA-AA80-239EDA69A2F7}"/>
    <cellStyle name="쉼표 [0] 2 19 14" xfId="833" xr:uid="{00000000-0005-0000-0000-00007C050000}"/>
    <cellStyle name="쉼표 [0] 2 19 14 2" xfId="3193" xr:uid="{00000000-0005-0000-0000-00007D050000}"/>
    <cellStyle name="쉼표 [0] 2 19 14 2 2" xfId="6854" xr:uid="{00000000-0005-0000-0000-00007E050000}"/>
    <cellStyle name="쉼표 [0] 2 19 14 2 2 2" xfId="14171" xr:uid="{31E1CB24-E197-4B6B-9E1F-D7CCFBCC633F}"/>
    <cellStyle name="쉼표 [0] 2 19 14 2 3" xfId="10513" xr:uid="{7B48540C-5B91-45D0-80B6-128A8D35B4DE}"/>
    <cellStyle name="쉼표 [0] 2 19 14 3" xfId="5025" xr:uid="{00000000-0005-0000-0000-00007F050000}"/>
    <cellStyle name="쉼표 [0] 2 19 14 3 2" xfId="12342" xr:uid="{CB39FAA7-3852-4377-98D0-794E3378F15D}"/>
    <cellStyle name="쉼표 [0] 2 19 14 4" xfId="8683" xr:uid="{A0B91DD7-9251-4E17-B5FD-C2F297FD80EA}"/>
    <cellStyle name="쉼표 [0] 2 19 15" xfId="834" xr:uid="{00000000-0005-0000-0000-000080050000}"/>
    <cellStyle name="쉼표 [0] 2 19 15 2" xfId="3194" xr:uid="{00000000-0005-0000-0000-000081050000}"/>
    <cellStyle name="쉼표 [0] 2 19 15 2 2" xfId="6855" xr:uid="{00000000-0005-0000-0000-000082050000}"/>
    <cellStyle name="쉼표 [0] 2 19 15 2 2 2" xfId="14172" xr:uid="{F0569773-0BB4-4455-9786-4F1CA63292F3}"/>
    <cellStyle name="쉼표 [0] 2 19 15 2 3" xfId="10514" xr:uid="{81BEFC07-1920-427A-AA99-1C17CFBC5376}"/>
    <cellStyle name="쉼표 [0] 2 19 15 3" xfId="5026" xr:uid="{00000000-0005-0000-0000-000083050000}"/>
    <cellStyle name="쉼표 [0] 2 19 15 3 2" xfId="12343" xr:uid="{F97C0423-9F7A-49E5-A246-CA302034117E}"/>
    <cellStyle name="쉼표 [0] 2 19 15 4" xfId="8684" xr:uid="{8BF9E47A-3DDE-444D-B3B4-5C8574772F3E}"/>
    <cellStyle name="쉼표 [0] 2 19 16" xfId="3184" xr:uid="{00000000-0005-0000-0000-000084050000}"/>
    <cellStyle name="쉼표 [0] 2 19 16 2" xfId="6845" xr:uid="{00000000-0005-0000-0000-000085050000}"/>
    <cellStyle name="쉼표 [0] 2 19 16 2 2" xfId="14162" xr:uid="{DC2CD8C0-2368-401F-8B31-D34F6A878F33}"/>
    <cellStyle name="쉼표 [0] 2 19 16 3" xfId="10504" xr:uid="{A63C6090-551E-4C27-9A31-A4BD5CC474DE}"/>
    <cellStyle name="쉼표 [0] 2 19 17" xfId="5016" xr:uid="{00000000-0005-0000-0000-000086050000}"/>
    <cellStyle name="쉼표 [0] 2 19 17 2" xfId="12333" xr:uid="{6F4C0C6D-B1B4-420C-BFC1-1184E904D7BA}"/>
    <cellStyle name="쉼표 [0] 2 19 18" xfId="8674" xr:uid="{FC5CEA42-87E3-4E8A-BF94-54418C409DDC}"/>
    <cellStyle name="쉼표 [0] 2 19 2" xfId="835" xr:uid="{00000000-0005-0000-0000-000087050000}"/>
    <cellStyle name="쉼표 [0] 2 19 2 10" xfId="836" xr:uid="{00000000-0005-0000-0000-000088050000}"/>
    <cellStyle name="쉼표 [0] 2 19 2 10 2" xfId="3196" xr:uid="{00000000-0005-0000-0000-000089050000}"/>
    <cellStyle name="쉼표 [0] 2 19 2 10 2 2" xfId="6857" xr:uid="{00000000-0005-0000-0000-00008A050000}"/>
    <cellStyle name="쉼표 [0] 2 19 2 10 2 2 2" xfId="14174" xr:uid="{05AADCF8-3EE0-4FB1-BC36-D07F254AD095}"/>
    <cellStyle name="쉼표 [0] 2 19 2 10 2 3" xfId="10516" xr:uid="{464E24FF-99EF-47B6-B421-06CC517F55B9}"/>
    <cellStyle name="쉼표 [0] 2 19 2 10 3" xfId="5028" xr:uid="{00000000-0005-0000-0000-00008B050000}"/>
    <cellStyle name="쉼표 [0] 2 19 2 10 3 2" xfId="12345" xr:uid="{4FB3637E-C61F-45F3-876F-B9CA5D3BF766}"/>
    <cellStyle name="쉼표 [0] 2 19 2 10 4" xfId="8686" xr:uid="{82714F9D-FDC2-4DE6-B99F-AFF238CBCA70}"/>
    <cellStyle name="쉼표 [0] 2 19 2 11" xfId="837" xr:uid="{00000000-0005-0000-0000-00008C050000}"/>
    <cellStyle name="쉼표 [0] 2 19 2 11 2" xfId="3197" xr:uid="{00000000-0005-0000-0000-00008D050000}"/>
    <cellStyle name="쉼표 [0] 2 19 2 11 2 2" xfId="6858" xr:uid="{00000000-0005-0000-0000-00008E050000}"/>
    <cellStyle name="쉼표 [0] 2 19 2 11 2 2 2" xfId="14175" xr:uid="{154E161F-0680-4CF8-A5D1-1FAC2540E5CA}"/>
    <cellStyle name="쉼표 [0] 2 19 2 11 2 3" xfId="10517" xr:uid="{D17E06A6-DF3E-417D-A3C2-246CEDF0C7C6}"/>
    <cellStyle name="쉼표 [0] 2 19 2 11 3" xfId="5029" xr:uid="{00000000-0005-0000-0000-00008F050000}"/>
    <cellStyle name="쉼표 [0] 2 19 2 11 3 2" xfId="12346" xr:uid="{0E9AAB59-FB40-447C-BFF2-3CC10BFDF117}"/>
    <cellStyle name="쉼표 [0] 2 19 2 11 4" xfId="8687" xr:uid="{A32E3FA8-5863-46E0-9C4F-4B4D702769B1}"/>
    <cellStyle name="쉼표 [0] 2 19 2 12" xfId="3195" xr:uid="{00000000-0005-0000-0000-000090050000}"/>
    <cellStyle name="쉼표 [0] 2 19 2 12 2" xfId="6856" xr:uid="{00000000-0005-0000-0000-000091050000}"/>
    <cellStyle name="쉼표 [0] 2 19 2 12 2 2" xfId="14173" xr:uid="{4B3D8974-E3C1-4729-A7C0-1E5B9A18473B}"/>
    <cellStyle name="쉼표 [0] 2 19 2 12 3" xfId="10515" xr:uid="{8073F829-5FB2-4E7E-B166-CE6B87604F6C}"/>
    <cellStyle name="쉼표 [0] 2 19 2 13" xfId="5027" xr:uid="{00000000-0005-0000-0000-000092050000}"/>
    <cellStyle name="쉼표 [0] 2 19 2 13 2" xfId="12344" xr:uid="{E9BE92A9-0177-4BE0-A9FF-AC2B76BD05B3}"/>
    <cellStyle name="쉼표 [0] 2 19 2 14" xfId="8685" xr:uid="{C0EB44E9-0D74-4DA8-AB4A-634AF362C1A9}"/>
    <cellStyle name="쉼표 [0] 2 19 2 2" xfId="838" xr:uid="{00000000-0005-0000-0000-000093050000}"/>
    <cellStyle name="쉼표 [0] 2 19 2 2 10" xfId="3198" xr:uid="{00000000-0005-0000-0000-000094050000}"/>
    <cellStyle name="쉼표 [0] 2 19 2 2 10 2" xfId="6859" xr:uid="{00000000-0005-0000-0000-000095050000}"/>
    <cellStyle name="쉼표 [0] 2 19 2 2 10 2 2" xfId="14176" xr:uid="{546B85E0-612A-4AA9-8725-7B19280803A3}"/>
    <cellStyle name="쉼표 [0] 2 19 2 2 10 3" xfId="10518" xr:uid="{DACB8689-1B69-42A6-AF66-BE5267FE9F9A}"/>
    <cellStyle name="쉼표 [0] 2 19 2 2 11" xfId="5030" xr:uid="{00000000-0005-0000-0000-000096050000}"/>
    <cellStyle name="쉼표 [0] 2 19 2 2 11 2" xfId="12347" xr:uid="{9B21F23E-6863-4DC4-B33B-15583CBDAA9B}"/>
    <cellStyle name="쉼표 [0] 2 19 2 2 12" xfId="8688" xr:uid="{56988767-406D-4426-B0E3-AD17C7375E5F}"/>
    <cellStyle name="쉼표 [0] 2 19 2 2 2" xfId="839" xr:uid="{00000000-0005-0000-0000-000097050000}"/>
    <cellStyle name="쉼표 [0] 2 19 2 2 2 2" xfId="840" xr:uid="{00000000-0005-0000-0000-000098050000}"/>
    <cellStyle name="쉼표 [0] 2 19 2 2 2 2 2" xfId="3200" xr:uid="{00000000-0005-0000-0000-000099050000}"/>
    <cellStyle name="쉼표 [0] 2 19 2 2 2 2 2 2" xfId="6861" xr:uid="{00000000-0005-0000-0000-00009A050000}"/>
    <cellStyle name="쉼표 [0] 2 19 2 2 2 2 2 2 2" xfId="14178" xr:uid="{5F8E340D-501C-4DCC-A9DE-8E8F1D14AD01}"/>
    <cellStyle name="쉼표 [0] 2 19 2 2 2 2 2 3" xfId="10520" xr:uid="{5027B6E7-196F-44F3-A26D-DEB27BAF5CA4}"/>
    <cellStyle name="쉼표 [0] 2 19 2 2 2 2 3" xfId="5032" xr:uid="{00000000-0005-0000-0000-00009B050000}"/>
    <cellStyle name="쉼표 [0] 2 19 2 2 2 2 3 2" xfId="12349" xr:uid="{7709213D-4917-4B93-BF78-6D2A1C2C0CDA}"/>
    <cellStyle name="쉼표 [0] 2 19 2 2 2 2 4" xfId="8690" xr:uid="{3B120EC3-08BE-4CEE-A0FF-57FF9538E9DD}"/>
    <cellStyle name="쉼표 [0] 2 19 2 2 2 3" xfId="841" xr:uid="{00000000-0005-0000-0000-00009C050000}"/>
    <cellStyle name="쉼표 [0] 2 19 2 2 2 3 2" xfId="3201" xr:uid="{00000000-0005-0000-0000-00009D050000}"/>
    <cellStyle name="쉼표 [0] 2 19 2 2 2 3 2 2" xfId="6862" xr:uid="{00000000-0005-0000-0000-00009E050000}"/>
    <cellStyle name="쉼표 [0] 2 19 2 2 2 3 2 2 2" xfId="14179" xr:uid="{31A45D1E-3EC1-4A8D-A452-8A2CF1227032}"/>
    <cellStyle name="쉼표 [0] 2 19 2 2 2 3 2 3" xfId="10521" xr:uid="{10C49B2F-A5B5-40C2-BD42-292A55B33314}"/>
    <cellStyle name="쉼표 [0] 2 19 2 2 2 3 3" xfId="5033" xr:uid="{00000000-0005-0000-0000-00009F050000}"/>
    <cellStyle name="쉼표 [0] 2 19 2 2 2 3 3 2" xfId="12350" xr:uid="{4C686D60-75D6-48C0-881F-07672A7254E4}"/>
    <cellStyle name="쉼표 [0] 2 19 2 2 2 3 4" xfId="8691" xr:uid="{D29A4E37-4AC4-4A71-AA54-434F034C1796}"/>
    <cellStyle name="쉼표 [0] 2 19 2 2 2 4" xfId="3199" xr:uid="{00000000-0005-0000-0000-0000A0050000}"/>
    <cellStyle name="쉼표 [0] 2 19 2 2 2 4 2" xfId="6860" xr:uid="{00000000-0005-0000-0000-0000A1050000}"/>
    <cellStyle name="쉼표 [0] 2 19 2 2 2 4 2 2" xfId="14177" xr:uid="{BB37A6D4-CDEB-4893-A235-24023B993443}"/>
    <cellStyle name="쉼표 [0] 2 19 2 2 2 4 3" xfId="10519" xr:uid="{32998A40-CB70-4A99-B945-39A0C891A2FF}"/>
    <cellStyle name="쉼표 [0] 2 19 2 2 2 5" xfId="5031" xr:uid="{00000000-0005-0000-0000-0000A2050000}"/>
    <cellStyle name="쉼표 [0] 2 19 2 2 2 5 2" xfId="12348" xr:uid="{15E049B5-C7AA-4159-BC30-AD15764F1D49}"/>
    <cellStyle name="쉼표 [0] 2 19 2 2 2 6" xfId="8689" xr:uid="{E5B47AFD-886F-4AF8-82F4-5C7190BBD863}"/>
    <cellStyle name="쉼표 [0] 2 19 2 2 3" xfId="842" xr:uid="{00000000-0005-0000-0000-0000A3050000}"/>
    <cellStyle name="쉼표 [0] 2 19 2 2 3 2" xfId="843" xr:uid="{00000000-0005-0000-0000-0000A4050000}"/>
    <cellStyle name="쉼표 [0] 2 19 2 2 3 2 2" xfId="3203" xr:uid="{00000000-0005-0000-0000-0000A5050000}"/>
    <cellStyle name="쉼표 [0] 2 19 2 2 3 2 2 2" xfId="6864" xr:uid="{00000000-0005-0000-0000-0000A6050000}"/>
    <cellStyle name="쉼표 [0] 2 19 2 2 3 2 2 2 2" xfId="14181" xr:uid="{BFDB3CB7-2AA3-4C3E-A6CC-F09CA4816A0A}"/>
    <cellStyle name="쉼표 [0] 2 19 2 2 3 2 2 3" xfId="10523" xr:uid="{0253ED9D-5F55-4082-A013-FBBFF8586B5F}"/>
    <cellStyle name="쉼표 [0] 2 19 2 2 3 2 3" xfId="5035" xr:uid="{00000000-0005-0000-0000-0000A7050000}"/>
    <cellStyle name="쉼표 [0] 2 19 2 2 3 2 3 2" xfId="12352" xr:uid="{871A705B-0C79-43DA-8E1E-015D670E484E}"/>
    <cellStyle name="쉼표 [0] 2 19 2 2 3 2 4" xfId="8693" xr:uid="{EDA6E3EF-F1B4-4E73-8C0C-2A641DF91E34}"/>
    <cellStyle name="쉼표 [0] 2 19 2 2 3 3" xfId="844" xr:uid="{00000000-0005-0000-0000-0000A8050000}"/>
    <cellStyle name="쉼표 [0] 2 19 2 2 3 3 2" xfId="3204" xr:uid="{00000000-0005-0000-0000-0000A9050000}"/>
    <cellStyle name="쉼표 [0] 2 19 2 2 3 3 2 2" xfId="6865" xr:uid="{00000000-0005-0000-0000-0000AA050000}"/>
    <cellStyle name="쉼표 [0] 2 19 2 2 3 3 2 2 2" xfId="14182" xr:uid="{E5B40102-D59D-42ED-A46A-8FF9328898A3}"/>
    <cellStyle name="쉼표 [0] 2 19 2 2 3 3 2 3" xfId="10524" xr:uid="{926242FE-1806-4A55-AE30-041F89F6DB11}"/>
    <cellStyle name="쉼표 [0] 2 19 2 2 3 3 3" xfId="5036" xr:uid="{00000000-0005-0000-0000-0000AB050000}"/>
    <cellStyle name="쉼표 [0] 2 19 2 2 3 3 3 2" xfId="12353" xr:uid="{A2F0F48A-D42F-47C5-8144-609A6D116855}"/>
    <cellStyle name="쉼표 [0] 2 19 2 2 3 3 4" xfId="8694" xr:uid="{E4474B90-0567-49CE-9039-DF858ECB9AD4}"/>
    <cellStyle name="쉼표 [0] 2 19 2 2 3 4" xfId="3202" xr:uid="{00000000-0005-0000-0000-0000AC050000}"/>
    <cellStyle name="쉼표 [0] 2 19 2 2 3 4 2" xfId="6863" xr:uid="{00000000-0005-0000-0000-0000AD050000}"/>
    <cellStyle name="쉼표 [0] 2 19 2 2 3 4 2 2" xfId="14180" xr:uid="{D91D54B9-40DE-4511-812C-425961254868}"/>
    <cellStyle name="쉼표 [0] 2 19 2 2 3 4 3" xfId="10522" xr:uid="{54B50F8C-1184-41B9-8ACA-9FE1C3A6BBF0}"/>
    <cellStyle name="쉼표 [0] 2 19 2 2 3 5" xfId="5034" xr:uid="{00000000-0005-0000-0000-0000AE050000}"/>
    <cellStyle name="쉼표 [0] 2 19 2 2 3 5 2" xfId="12351" xr:uid="{48C1190C-2000-4519-A885-D22C669C71C3}"/>
    <cellStyle name="쉼표 [0] 2 19 2 2 3 6" xfId="8692" xr:uid="{29976D0B-CAFF-4ADD-AC7F-4654D70AA7ED}"/>
    <cellStyle name="쉼표 [0] 2 19 2 2 4" xfId="845" xr:uid="{00000000-0005-0000-0000-0000AF050000}"/>
    <cellStyle name="쉼표 [0] 2 19 2 2 4 2" xfId="846" xr:uid="{00000000-0005-0000-0000-0000B0050000}"/>
    <cellStyle name="쉼표 [0] 2 19 2 2 4 2 2" xfId="3206" xr:uid="{00000000-0005-0000-0000-0000B1050000}"/>
    <cellStyle name="쉼표 [0] 2 19 2 2 4 2 2 2" xfId="6867" xr:uid="{00000000-0005-0000-0000-0000B2050000}"/>
    <cellStyle name="쉼표 [0] 2 19 2 2 4 2 2 2 2" xfId="14184" xr:uid="{7DC023AC-B93C-4543-8382-71A17C9E0E9B}"/>
    <cellStyle name="쉼표 [0] 2 19 2 2 4 2 2 3" xfId="10526" xr:uid="{D52AFCE2-5320-4336-AD24-2F7BFDD929E1}"/>
    <cellStyle name="쉼표 [0] 2 19 2 2 4 2 3" xfId="5038" xr:uid="{00000000-0005-0000-0000-0000B3050000}"/>
    <cellStyle name="쉼표 [0] 2 19 2 2 4 2 3 2" xfId="12355" xr:uid="{CE1C2F61-1F48-4E6B-9B8A-B7EF56CE2FEF}"/>
    <cellStyle name="쉼표 [0] 2 19 2 2 4 2 4" xfId="8696" xr:uid="{4772AB2D-D82E-4383-93AA-A46756AA57F0}"/>
    <cellStyle name="쉼표 [0] 2 19 2 2 4 3" xfId="847" xr:uid="{00000000-0005-0000-0000-0000B4050000}"/>
    <cellStyle name="쉼표 [0] 2 19 2 2 4 3 2" xfId="3207" xr:uid="{00000000-0005-0000-0000-0000B5050000}"/>
    <cellStyle name="쉼표 [0] 2 19 2 2 4 3 2 2" xfId="6868" xr:uid="{00000000-0005-0000-0000-0000B6050000}"/>
    <cellStyle name="쉼표 [0] 2 19 2 2 4 3 2 2 2" xfId="14185" xr:uid="{71B7C1AA-C70D-49FB-84AF-4C549731C1FF}"/>
    <cellStyle name="쉼표 [0] 2 19 2 2 4 3 2 3" xfId="10527" xr:uid="{9E5D3FD3-9872-4D70-A76D-21EBACD9D0BE}"/>
    <cellStyle name="쉼표 [0] 2 19 2 2 4 3 3" xfId="5039" xr:uid="{00000000-0005-0000-0000-0000B7050000}"/>
    <cellStyle name="쉼표 [0] 2 19 2 2 4 3 3 2" xfId="12356" xr:uid="{4C5FE2A2-68F4-43AD-B5F6-784CA3683EC0}"/>
    <cellStyle name="쉼표 [0] 2 19 2 2 4 3 4" xfId="8697" xr:uid="{41CD1C28-0B27-47DE-863E-FA4EDF00978A}"/>
    <cellStyle name="쉼표 [0] 2 19 2 2 4 4" xfId="3205" xr:uid="{00000000-0005-0000-0000-0000B8050000}"/>
    <cellStyle name="쉼표 [0] 2 19 2 2 4 4 2" xfId="6866" xr:uid="{00000000-0005-0000-0000-0000B9050000}"/>
    <cellStyle name="쉼표 [0] 2 19 2 2 4 4 2 2" xfId="14183" xr:uid="{2AAB6E15-8832-4A02-85B8-668B58FAB49A}"/>
    <cellStyle name="쉼표 [0] 2 19 2 2 4 4 3" xfId="10525" xr:uid="{DB1F0240-6E6D-42F5-9F63-A89ED0B7715A}"/>
    <cellStyle name="쉼표 [0] 2 19 2 2 4 5" xfId="5037" xr:uid="{00000000-0005-0000-0000-0000BA050000}"/>
    <cellStyle name="쉼표 [0] 2 19 2 2 4 5 2" xfId="12354" xr:uid="{79DBFF7C-B3A5-4B33-8B54-DD76BC88954A}"/>
    <cellStyle name="쉼표 [0] 2 19 2 2 4 6" xfId="8695" xr:uid="{528804F1-8334-4AC2-A496-2E7D149DCD2F}"/>
    <cellStyle name="쉼표 [0] 2 19 2 2 5" xfId="848" xr:uid="{00000000-0005-0000-0000-0000BB050000}"/>
    <cellStyle name="쉼표 [0] 2 19 2 2 5 2" xfId="849" xr:uid="{00000000-0005-0000-0000-0000BC050000}"/>
    <cellStyle name="쉼표 [0] 2 19 2 2 5 2 2" xfId="3209" xr:uid="{00000000-0005-0000-0000-0000BD050000}"/>
    <cellStyle name="쉼표 [0] 2 19 2 2 5 2 2 2" xfId="6870" xr:uid="{00000000-0005-0000-0000-0000BE050000}"/>
    <cellStyle name="쉼표 [0] 2 19 2 2 5 2 2 2 2" xfId="14187" xr:uid="{5C57023F-ED1F-4FF9-8AA3-186D611A70DE}"/>
    <cellStyle name="쉼표 [0] 2 19 2 2 5 2 2 3" xfId="10529" xr:uid="{FCD881B0-7CB9-4229-B0F9-010F09871342}"/>
    <cellStyle name="쉼표 [0] 2 19 2 2 5 2 3" xfId="5041" xr:uid="{00000000-0005-0000-0000-0000BF050000}"/>
    <cellStyle name="쉼표 [0] 2 19 2 2 5 2 3 2" xfId="12358" xr:uid="{66C7627F-7D9F-4367-A9D3-4F96904E5797}"/>
    <cellStyle name="쉼표 [0] 2 19 2 2 5 2 4" xfId="8699" xr:uid="{73D90CA3-EB3D-4E8B-B2DD-6ADC662DAAAE}"/>
    <cellStyle name="쉼표 [0] 2 19 2 2 5 3" xfId="850" xr:uid="{00000000-0005-0000-0000-0000C0050000}"/>
    <cellStyle name="쉼표 [0] 2 19 2 2 5 3 2" xfId="3210" xr:uid="{00000000-0005-0000-0000-0000C1050000}"/>
    <cellStyle name="쉼표 [0] 2 19 2 2 5 3 2 2" xfId="6871" xr:uid="{00000000-0005-0000-0000-0000C2050000}"/>
    <cellStyle name="쉼표 [0] 2 19 2 2 5 3 2 2 2" xfId="14188" xr:uid="{62B3FD36-DC7C-4C79-B756-30CA378354C4}"/>
    <cellStyle name="쉼표 [0] 2 19 2 2 5 3 2 3" xfId="10530" xr:uid="{797C5851-0FB1-4861-9A43-7D1808A15762}"/>
    <cellStyle name="쉼표 [0] 2 19 2 2 5 3 3" xfId="5042" xr:uid="{00000000-0005-0000-0000-0000C3050000}"/>
    <cellStyle name="쉼표 [0] 2 19 2 2 5 3 3 2" xfId="12359" xr:uid="{662C84C9-86EA-4535-8D4B-73DA181AF5DE}"/>
    <cellStyle name="쉼표 [0] 2 19 2 2 5 3 4" xfId="8700" xr:uid="{0995096B-75CC-45C2-9570-3A8857F36F0B}"/>
    <cellStyle name="쉼표 [0] 2 19 2 2 5 4" xfId="3208" xr:uid="{00000000-0005-0000-0000-0000C4050000}"/>
    <cellStyle name="쉼표 [0] 2 19 2 2 5 4 2" xfId="6869" xr:uid="{00000000-0005-0000-0000-0000C5050000}"/>
    <cellStyle name="쉼표 [0] 2 19 2 2 5 4 2 2" xfId="14186" xr:uid="{38E079AF-AB61-4270-8C71-795D55AC48F3}"/>
    <cellStyle name="쉼표 [0] 2 19 2 2 5 4 3" xfId="10528" xr:uid="{98ACE6CF-DD9C-48DA-8710-DDE201E19551}"/>
    <cellStyle name="쉼표 [0] 2 19 2 2 5 5" xfId="5040" xr:uid="{00000000-0005-0000-0000-0000C6050000}"/>
    <cellStyle name="쉼표 [0] 2 19 2 2 5 5 2" xfId="12357" xr:uid="{7956A84A-3A51-428B-9829-A76884B053FD}"/>
    <cellStyle name="쉼표 [0] 2 19 2 2 5 6" xfId="8698" xr:uid="{55A2CA3F-43ED-4048-9B5C-B32521F76AE9}"/>
    <cellStyle name="쉼표 [0] 2 19 2 2 6" xfId="851" xr:uid="{00000000-0005-0000-0000-0000C7050000}"/>
    <cellStyle name="쉼표 [0] 2 19 2 2 6 2" xfId="852" xr:uid="{00000000-0005-0000-0000-0000C8050000}"/>
    <cellStyle name="쉼표 [0] 2 19 2 2 6 2 2" xfId="3212" xr:uid="{00000000-0005-0000-0000-0000C9050000}"/>
    <cellStyle name="쉼표 [0] 2 19 2 2 6 2 2 2" xfId="6873" xr:uid="{00000000-0005-0000-0000-0000CA050000}"/>
    <cellStyle name="쉼표 [0] 2 19 2 2 6 2 2 2 2" xfId="14190" xr:uid="{54804651-DCC8-4452-93B3-8FB822996BB1}"/>
    <cellStyle name="쉼표 [0] 2 19 2 2 6 2 2 3" xfId="10532" xr:uid="{A67193AC-7157-4D3F-B0A9-EEEA3186BD1B}"/>
    <cellStyle name="쉼표 [0] 2 19 2 2 6 2 3" xfId="5044" xr:uid="{00000000-0005-0000-0000-0000CB050000}"/>
    <cellStyle name="쉼표 [0] 2 19 2 2 6 2 3 2" xfId="12361" xr:uid="{194C0DE7-F028-4940-AEAC-F9CCB1918DB2}"/>
    <cellStyle name="쉼표 [0] 2 19 2 2 6 2 4" xfId="8702" xr:uid="{A330A263-031D-415F-AE16-011223C95D17}"/>
    <cellStyle name="쉼표 [0] 2 19 2 2 6 3" xfId="853" xr:uid="{00000000-0005-0000-0000-0000CC050000}"/>
    <cellStyle name="쉼표 [0] 2 19 2 2 6 3 2" xfId="3213" xr:uid="{00000000-0005-0000-0000-0000CD050000}"/>
    <cellStyle name="쉼표 [0] 2 19 2 2 6 3 2 2" xfId="6874" xr:uid="{00000000-0005-0000-0000-0000CE050000}"/>
    <cellStyle name="쉼표 [0] 2 19 2 2 6 3 2 2 2" xfId="14191" xr:uid="{286F612C-08DB-4BD5-A8B8-BA27D80A9650}"/>
    <cellStyle name="쉼표 [0] 2 19 2 2 6 3 2 3" xfId="10533" xr:uid="{AC00ABD6-A6D3-4402-AC10-8D69401F2D3F}"/>
    <cellStyle name="쉼표 [0] 2 19 2 2 6 3 3" xfId="5045" xr:uid="{00000000-0005-0000-0000-0000CF050000}"/>
    <cellStyle name="쉼표 [0] 2 19 2 2 6 3 3 2" xfId="12362" xr:uid="{E0360C22-2A74-4787-A280-8A66F6F0BA79}"/>
    <cellStyle name="쉼표 [0] 2 19 2 2 6 3 4" xfId="8703" xr:uid="{5C9C7410-F188-499F-94E7-91D9876DFEB6}"/>
    <cellStyle name="쉼표 [0] 2 19 2 2 6 4" xfId="3211" xr:uid="{00000000-0005-0000-0000-0000D0050000}"/>
    <cellStyle name="쉼표 [0] 2 19 2 2 6 4 2" xfId="6872" xr:uid="{00000000-0005-0000-0000-0000D1050000}"/>
    <cellStyle name="쉼표 [0] 2 19 2 2 6 4 2 2" xfId="14189" xr:uid="{AD8BE691-799B-4BFD-A539-4C14C8F287FE}"/>
    <cellStyle name="쉼표 [0] 2 19 2 2 6 4 3" xfId="10531" xr:uid="{AF980C44-6B8C-44A3-A6D3-B75DE99BE429}"/>
    <cellStyle name="쉼표 [0] 2 19 2 2 6 5" xfId="5043" xr:uid="{00000000-0005-0000-0000-0000D2050000}"/>
    <cellStyle name="쉼표 [0] 2 19 2 2 6 5 2" xfId="12360" xr:uid="{9C35E185-EE1F-4FDB-980D-DBD9F0161556}"/>
    <cellStyle name="쉼표 [0] 2 19 2 2 6 6" xfId="8701" xr:uid="{4160AE1F-A096-4765-AA98-85B517B52EDE}"/>
    <cellStyle name="쉼표 [0] 2 19 2 2 7" xfId="854" xr:uid="{00000000-0005-0000-0000-0000D3050000}"/>
    <cellStyle name="쉼표 [0] 2 19 2 2 7 2" xfId="3214" xr:uid="{00000000-0005-0000-0000-0000D4050000}"/>
    <cellStyle name="쉼표 [0] 2 19 2 2 7 2 2" xfId="6875" xr:uid="{00000000-0005-0000-0000-0000D5050000}"/>
    <cellStyle name="쉼표 [0] 2 19 2 2 7 2 2 2" xfId="14192" xr:uid="{3016BDAA-D5E6-474A-8BF5-7F28A229620A}"/>
    <cellStyle name="쉼표 [0] 2 19 2 2 7 2 3" xfId="10534" xr:uid="{C3D35066-B3DA-459B-97D1-CF00AFDF14DF}"/>
    <cellStyle name="쉼표 [0] 2 19 2 2 7 3" xfId="5046" xr:uid="{00000000-0005-0000-0000-0000D6050000}"/>
    <cellStyle name="쉼표 [0] 2 19 2 2 7 3 2" xfId="12363" xr:uid="{0528E266-B13A-4D57-AECC-14DFC19099B8}"/>
    <cellStyle name="쉼표 [0] 2 19 2 2 7 4" xfId="8704" xr:uid="{65035214-F87A-4F17-A99B-35F5EACB0648}"/>
    <cellStyle name="쉼표 [0] 2 19 2 2 8" xfId="855" xr:uid="{00000000-0005-0000-0000-0000D7050000}"/>
    <cellStyle name="쉼표 [0] 2 19 2 2 8 2" xfId="3215" xr:uid="{00000000-0005-0000-0000-0000D8050000}"/>
    <cellStyle name="쉼표 [0] 2 19 2 2 8 2 2" xfId="6876" xr:uid="{00000000-0005-0000-0000-0000D9050000}"/>
    <cellStyle name="쉼표 [0] 2 19 2 2 8 2 2 2" xfId="14193" xr:uid="{806B36CD-455C-433C-B094-8375BE99D018}"/>
    <cellStyle name="쉼표 [0] 2 19 2 2 8 2 3" xfId="10535" xr:uid="{E94AD4E1-71C2-4A87-97A7-D35C558DC41B}"/>
    <cellStyle name="쉼표 [0] 2 19 2 2 8 3" xfId="5047" xr:uid="{00000000-0005-0000-0000-0000DA050000}"/>
    <cellStyle name="쉼표 [0] 2 19 2 2 8 3 2" xfId="12364" xr:uid="{875DD568-547A-4CB1-8A14-88FE4395DEB0}"/>
    <cellStyle name="쉼표 [0] 2 19 2 2 8 4" xfId="8705" xr:uid="{7D2BE542-476B-41F4-95EC-CECFAF12EBA5}"/>
    <cellStyle name="쉼표 [0] 2 19 2 2 9" xfId="856" xr:uid="{00000000-0005-0000-0000-0000DB050000}"/>
    <cellStyle name="쉼표 [0] 2 19 2 2 9 2" xfId="3216" xr:uid="{00000000-0005-0000-0000-0000DC050000}"/>
    <cellStyle name="쉼표 [0] 2 19 2 2 9 2 2" xfId="6877" xr:uid="{00000000-0005-0000-0000-0000DD050000}"/>
    <cellStyle name="쉼표 [0] 2 19 2 2 9 2 2 2" xfId="14194" xr:uid="{48FEFA6C-52AE-44D4-8084-8D763089664B}"/>
    <cellStyle name="쉼표 [0] 2 19 2 2 9 2 3" xfId="10536" xr:uid="{5125857E-0F0F-496B-B5AB-CE7C1028DEE7}"/>
    <cellStyle name="쉼표 [0] 2 19 2 2 9 3" xfId="5048" xr:uid="{00000000-0005-0000-0000-0000DE050000}"/>
    <cellStyle name="쉼표 [0] 2 19 2 2 9 3 2" xfId="12365" xr:uid="{D377EF53-E418-4828-A828-F68F29122CC4}"/>
    <cellStyle name="쉼표 [0] 2 19 2 2 9 4" xfId="8706" xr:uid="{16B43CFE-85A3-4204-8962-5333D47BFEF6}"/>
    <cellStyle name="쉼표 [0] 2 19 2 3" xfId="857" xr:uid="{00000000-0005-0000-0000-0000DF050000}"/>
    <cellStyle name="쉼표 [0] 2 19 2 3 2" xfId="858" xr:uid="{00000000-0005-0000-0000-0000E0050000}"/>
    <cellStyle name="쉼표 [0] 2 19 2 3 2 2" xfId="3218" xr:uid="{00000000-0005-0000-0000-0000E1050000}"/>
    <cellStyle name="쉼표 [0] 2 19 2 3 2 2 2" xfId="6879" xr:uid="{00000000-0005-0000-0000-0000E2050000}"/>
    <cellStyle name="쉼표 [0] 2 19 2 3 2 2 2 2" xfId="14196" xr:uid="{C8C621CE-F298-4B2F-966F-7F9493D8359E}"/>
    <cellStyle name="쉼표 [0] 2 19 2 3 2 2 3" xfId="10538" xr:uid="{FA7DE57F-FF73-48EA-8951-F0CBD1A91696}"/>
    <cellStyle name="쉼표 [0] 2 19 2 3 2 3" xfId="5050" xr:uid="{00000000-0005-0000-0000-0000E3050000}"/>
    <cellStyle name="쉼표 [0] 2 19 2 3 2 3 2" xfId="12367" xr:uid="{493A96BE-272B-4277-82D9-9CFE28282663}"/>
    <cellStyle name="쉼표 [0] 2 19 2 3 2 4" xfId="8708" xr:uid="{7B45A4E0-574C-4985-A26B-5B194D6208BA}"/>
    <cellStyle name="쉼표 [0] 2 19 2 3 3" xfId="859" xr:uid="{00000000-0005-0000-0000-0000E4050000}"/>
    <cellStyle name="쉼표 [0] 2 19 2 3 3 2" xfId="3219" xr:uid="{00000000-0005-0000-0000-0000E5050000}"/>
    <cellStyle name="쉼표 [0] 2 19 2 3 3 2 2" xfId="6880" xr:uid="{00000000-0005-0000-0000-0000E6050000}"/>
    <cellStyle name="쉼표 [0] 2 19 2 3 3 2 2 2" xfId="14197" xr:uid="{FF0641CB-7786-45E9-ABE8-CC5343A36ADB}"/>
    <cellStyle name="쉼표 [0] 2 19 2 3 3 2 3" xfId="10539" xr:uid="{B643789B-C46D-4B67-B1B1-9AEF5FF585E0}"/>
    <cellStyle name="쉼표 [0] 2 19 2 3 3 3" xfId="5051" xr:uid="{00000000-0005-0000-0000-0000E7050000}"/>
    <cellStyle name="쉼표 [0] 2 19 2 3 3 3 2" xfId="12368" xr:uid="{FC92A3B6-37FD-46A5-A800-057FE7733790}"/>
    <cellStyle name="쉼표 [0] 2 19 2 3 3 4" xfId="8709" xr:uid="{CA739E83-DC0E-4853-B434-B45A9FC9B913}"/>
    <cellStyle name="쉼표 [0] 2 19 2 3 4" xfId="860" xr:uid="{00000000-0005-0000-0000-0000E8050000}"/>
    <cellStyle name="쉼표 [0] 2 19 2 3 4 2" xfId="3220" xr:uid="{00000000-0005-0000-0000-0000E9050000}"/>
    <cellStyle name="쉼표 [0] 2 19 2 3 4 2 2" xfId="6881" xr:uid="{00000000-0005-0000-0000-0000EA050000}"/>
    <cellStyle name="쉼표 [0] 2 19 2 3 4 2 2 2" xfId="14198" xr:uid="{F40DC4A8-FD83-4CB2-8D47-E8C3D08E9578}"/>
    <cellStyle name="쉼표 [0] 2 19 2 3 4 2 3" xfId="10540" xr:uid="{22000275-2017-4AC5-849B-C6F5F695818B}"/>
    <cellStyle name="쉼표 [0] 2 19 2 3 4 3" xfId="5052" xr:uid="{00000000-0005-0000-0000-0000EB050000}"/>
    <cellStyle name="쉼표 [0] 2 19 2 3 4 3 2" xfId="12369" xr:uid="{930E2C47-0317-4F9C-96E4-34B543707BDE}"/>
    <cellStyle name="쉼표 [0] 2 19 2 3 4 4" xfId="8710" xr:uid="{664AAE2F-B5B8-4B4E-B74D-B7C894035621}"/>
    <cellStyle name="쉼표 [0] 2 19 2 3 5" xfId="3217" xr:uid="{00000000-0005-0000-0000-0000EC050000}"/>
    <cellStyle name="쉼표 [0] 2 19 2 3 5 2" xfId="6878" xr:uid="{00000000-0005-0000-0000-0000ED050000}"/>
    <cellStyle name="쉼표 [0] 2 19 2 3 5 2 2" xfId="14195" xr:uid="{D043216C-711A-4D27-BB41-108849D89F29}"/>
    <cellStyle name="쉼표 [0] 2 19 2 3 5 3" xfId="10537" xr:uid="{65713E52-09A0-47BA-9038-22263154DDE2}"/>
    <cellStyle name="쉼표 [0] 2 19 2 3 6" xfId="5049" xr:uid="{00000000-0005-0000-0000-0000EE050000}"/>
    <cellStyle name="쉼표 [0] 2 19 2 3 6 2" xfId="12366" xr:uid="{1FA2A688-6A33-41B8-B680-C63ABD1E65BD}"/>
    <cellStyle name="쉼표 [0] 2 19 2 3 7" xfId="8707" xr:uid="{CE9A0327-2432-4509-B448-FD081A55A40C}"/>
    <cellStyle name="쉼표 [0] 2 19 2 4" xfId="861" xr:uid="{00000000-0005-0000-0000-0000EF050000}"/>
    <cellStyle name="쉼표 [0] 2 19 2 4 2" xfId="862" xr:uid="{00000000-0005-0000-0000-0000F0050000}"/>
    <cellStyle name="쉼표 [0] 2 19 2 4 2 2" xfId="3222" xr:uid="{00000000-0005-0000-0000-0000F1050000}"/>
    <cellStyle name="쉼표 [0] 2 19 2 4 2 2 2" xfId="6883" xr:uid="{00000000-0005-0000-0000-0000F2050000}"/>
    <cellStyle name="쉼표 [0] 2 19 2 4 2 2 2 2" xfId="14200" xr:uid="{6BF629A7-70CA-4155-B32F-2867B318FDA8}"/>
    <cellStyle name="쉼표 [0] 2 19 2 4 2 2 3" xfId="10542" xr:uid="{C2AB2AAB-7839-4143-910B-9BB7058CE15B}"/>
    <cellStyle name="쉼표 [0] 2 19 2 4 2 3" xfId="5054" xr:uid="{00000000-0005-0000-0000-0000F3050000}"/>
    <cellStyle name="쉼표 [0] 2 19 2 4 2 3 2" xfId="12371" xr:uid="{D779A719-E311-4AB7-A233-11AD4EBD3E54}"/>
    <cellStyle name="쉼표 [0] 2 19 2 4 2 4" xfId="8712" xr:uid="{7EF0C35E-E994-463B-BE88-7BF1B802FC9E}"/>
    <cellStyle name="쉼표 [0] 2 19 2 4 3" xfId="863" xr:uid="{00000000-0005-0000-0000-0000F4050000}"/>
    <cellStyle name="쉼표 [0] 2 19 2 4 3 2" xfId="3223" xr:uid="{00000000-0005-0000-0000-0000F5050000}"/>
    <cellStyle name="쉼표 [0] 2 19 2 4 3 2 2" xfId="6884" xr:uid="{00000000-0005-0000-0000-0000F6050000}"/>
    <cellStyle name="쉼표 [0] 2 19 2 4 3 2 2 2" xfId="14201" xr:uid="{6C0B3E5C-9313-40AD-B2A7-735175466B5B}"/>
    <cellStyle name="쉼표 [0] 2 19 2 4 3 2 3" xfId="10543" xr:uid="{5D82921B-9F79-4936-A4CD-FCBE3FE633D3}"/>
    <cellStyle name="쉼표 [0] 2 19 2 4 3 3" xfId="5055" xr:uid="{00000000-0005-0000-0000-0000F7050000}"/>
    <cellStyle name="쉼표 [0] 2 19 2 4 3 3 2" xfId="12372" xr:uid="{AC1E0C26-F57C-4A8E-8573-F52541D36C97}"/>
    <cellStyle name="쉼표 [0] 2 19 2 4 3 4" xfId="8713" xr:uid="{ADAC93D8-CA1E-422A-8F64-4AB799B87FAC}"/>
    <cellStyle name="쉼표 [0] 2 19 2 4 4" xfId="3221" xr:uid="{00000000-0005-0000-0000-0000F8050000}"/>
    <cellStyle name="쉼표 [0] 2 19 2 4 4 2" xfId="6882" xr:uid="{00000000-0005-0000-0000-0000F9050000}"/>
    <cellStyle name="쉼표 [0] 2 19 2 4 4 2 2" xfId="14199" xr:uid="{A578E157-1028-4970-BD18-A7E263CC1483}"/>
    <cellStyle name="쉼표 [0] 2 19 2 4 4 3" xfId="10541" xr:uid="{F3CF26B2-7933-40A7-B2B9-071F6DF2E701}"/>
    <cellStyle name="쉼표 [0] 2 19 2 4 5" xfId="5053" xr:uid="{00000000-0005-0000-0000-0000FA050000}"/>
    <cellStyle name="쉼표 [0] 2 19 2 4 5 2" xfId="12370" xr:uid="{DCBFF0B3-7C0B-4646-9B6D-5F176979FCA9}"/>
    <cellStyle name="쉼표 [0] 2 19 2 4 6" xfId="8711" xr:uid="{B7D87A33-B4D5-40C0-9E47-D309A597E3BC}"/>
    <cellStyle name="쉼표 [0] 2 19 2 5" xfId="864" xr:uid="{00000000-0005-0000-0000-0000FB050000}"/>
    <cellStyle name="쉼표 [0] 2 19 2 5 2" xfId="865" xr:uid="{00000000-0005-0000-0000-0000FC050000}"/>
    <cellStyle name="쉼표 [0] 2 19 2 5 2 2" xfId="3225" xr:uid="{00000000-0005-0000-0000-0000FD050000}"/>
    <cellStyle name="쉼표 [0] 2 19 2 5 2 2 2" xfId="6886" xr:uid="{00000000-0005-0000-0000-0000FE050000}"/>
    <cellStyle name="쉼표 [0] 2 19 2 5 2 2 2 2" xfId="14203" xr:uid="{B1FC4AE2-827A-47A7-B28A-48A060E57853}"/>
    <cellStyle name="쉼표 [0] 2 19 2 5 2 2 3" xfId="10545" xr:uid="{DBDE02D5-89FA-49EA-A024-05AFDCD341F3}"/>
    <cellStyle name="쉼표 [0] 2 19 2 5 2 3" xfId="5057" xr:uid="{00000000-0005-0000-0000-0000FF050000}"/>
    <cellStyle name="쉼표 [0] 2 19 2 5 2 3 2" xfId="12374" xr:uid="{EB929808-8421-481A-8A79-0CEBDD66C8AC}"/>
    <cellStyle name="쉼표 [0] 2 19 2 5 2 4" xfId="8715" xr:uid="{CCDECDF0-8950-422B-AB7E-CBF3420458AB}"/>
    <cellStyle name="쉼표 [0] 2 19 2 5 3" xfId="866" xr:uid="{00000000-0005-0000-0000-000000060000}"/>
    <cellStyle name="쉼표 [0] 2 19 2 5 3 2" xfId="3226" xr:uid="{00000000-0005-0000-0000-000001060000}"/>
    <cellStyle name="쉼표 [0] 2 19 2 5 3 2 2" xfId="6887" xr:uid="{00000000-0005-0000-0000-000002060000}"/>
    <cellStyle name="쉼표 [0] 2 19 2 5 3 2 2 2" xfId="14204" xr:uid="{75E9AFCA-BB66-4182-9261-639414E0D8FD}"/>
    <cellStyle name="쉼표 [0] 2 19 2 5 3 2 3" xfId="10546" xr:uid="{A82634C4-D98A-4EC6-8212-419D0DC12A27}"/>
    <cellStyle name="쉼표 [0] 2 19 2 5 3 3" xfId="5058" xr:uid="{00000000-0005-0000-0000-000003060000}"/>
    <cellStyle name="쉼표 [0] 2 19 2 5 3 3 2" xfId="12375" xr:uid="{95AA4F17-F490-44A4-9E17-DF186A8A0738}"/>
    <cellStyle name="쉼표 [0] 2 19 2 5 3 4" xfId="8716" xr:uid="{1F0BFC49-6933-4996-A3A3-DEEFF5BA48E9}"/>
    <cellStyle name="쉼표 [0] 2 19 2 5 4" xfId="3224" xr:uid="{00000000-0005-0000-0000-000004060000}"/>
    <cellStyle name="쉼표 [0] 2 19 2 5 4 2" xfId="6885" xr:uid="{00000000-0005-0000-0000-000005060000}"/>
    <cellStyle name="쉼표 [0] 2 19 2 5 4 2 2" xfId="14202" xr:uid="{DBFAF6AE-9CCD-467F-91ED-2996A85A8AAF}"/>
    <cellStyle name="쉼표 [0] 2 19 2 5 4 3" xfId="10544" xr:uid="{BD61E229-0506-45E6-B0C8-1982F073C140}"/>
    <cellStyle name="쉼표 [0] 2 19 2 5 5" xfId="5056" xr:uid="{00000000-0005-0000-0000-000006060000}"/>
    <cellStyle name="쉼표 [0] 2 19 2 5 5 2" xfId="12373" xr:uid="{BA8FEAA0-BD06-40D5-B374-04892BF303F3}"/>
    <cellStyle name="쉼표 [0] 2 19 2 5 6" xfId="8714" xr:uid="{36866488-EB30-4A7C-9C90-00EA379C2408}"/>
    <cellStyle name="쉼표 [0] 2 19 2 6" xfId="867" xr:uid="{00000000-0005-0000-0000-000007060000}"/>
    <cellStyle name="쉼표 [0] 2 19 2 6 2" xfId="868" xr:uid="{00000000-0005-0000-0000-000008060000}"/>
    <cellStyle name="쉼표 [0] 2 19 2 6 2 2" xfId="3228" xr:uid="{00000000-0005-0000-0000-000009060000}"/>
    <cellStyle name="쉼표 [0] 2 19 2 6 2 2 2" xfId="6889" xr:uid="{00000000-0005-0000-0000-00000A060000}"/>
    <cellStyle name="쉼표 [0] 2 19 2 6 2 2 2 2" xfId="14206" xr:uid="{0C320975-278E-43F8-99C1-24EC8E9DECCC}"/>
    <cellStyle name="쉼표 [0] 2 19 2 6 2 2 3" xfId="10548" xr:uid="{EFA06B0B-BFD1-48B5-9757-84B6D734CEBC}"/>
    <cellStyle name="쉼표 [0] 2 19 2 6 2 3" xfId="5060" xr:uid="{00000000-0005-0000-0000-00000B060000}"/>
    <cellStyle name="쉼표 [0] 2 19 2 6 2 3 2" xfId="12377" xr:uid="{FAE316FF-7532-417F-A73B-B559ED83716D}"/>
    <cellStyle name="쉼표 [0] 2 19 2 6 2 4" xfId="8718" xr:uid="{1391FA12-F913-401C-97AD-34252BAC034D}"/>
    <cellStyle name="쉼표 [0] 2 19 2 6 3" xfId="869" xr:uid="{00000000-0005-0000-0000-00000C060000}"/>
    <cellStyle name="쉼표 [0] 2 19 2 6 3 2" xfId="3229" xr:uid="{00000000-0005-0000-0000-00000D060000}"/>
    <cellStyle name="쉼표 [0] 2 19 2 6 3 2 2" xfId="6890" xr:uid="{00000000-0005-0000-0000-00000E060000}"/>
    <cellStyle name="쉼표 [0] 2 19 2 6 3 2 2 2" xfId="14207" xr:uid="{4D34B04E-1BF9-4773-93F8-A5D224DCE240}"/>
    <cellStyle name="쉼표 [0] 2 19 2 6 3 2 3" xfId="10549" xr:uid="{7AA74C06-439F-442B-AF57-B8B74310CB5F}"/>
    <cellStyle name="쉼표 [0] 2 19 2 6 3 3" xfId="5061" xr:uid="{00000000-0005-0000-0000-00000F060000}"/>
    <cellStyle name="쉼표 [0] 2 19 2 6 3 3 2" xfId="12378" xr:uid="{AC4A7D05-524F-463C-9BEF-716760C60983}"/>
    <cellStyle name="쉼표 [0] 2 19 2 6 3 4" xfId="8719" xr:uid="{079A5AC6-2CFC-4055-8E9C-D8D012D8C63C}"/>
    <cellStyle name="쉼표 [0] 2 19 2 6 4" xfId="3227" xr:uid="{00000000-0005-0000-0000-000010060000}"/>
    <cellStyle name="쉼표 [0] 2 19 2 6 4 2" xfId="6888" xr:uid="{00000000-0005-0000-0000-000011060000}"/>
    <cellStyle name="쉼표 [0] 2 19 2 6 4 2 2" xfId="14205" xr:uid="{A6F95DA5-1D15-4CAF-B660-23395FF5F483}"/>
    <cellStyle name="쉼표 [0] 2 19 2 6 4 3" xfId="10547" xr:uid="{9B421F70-305E-4823-AA60-AE79D3EEA4CF}"/>
    <cellStyle name="쉼표 [0] 2 19 2 6 5" xfId="5059" xr:uid="{00000000-0005-0000-0000-000012060000}"/>
    <cellStyle name="쉼표 [0] 2 19 2 6 5 2" xfId="12376" xr:uid="{71222A8E-29B1-46E0-B0D6-50E702799719}"/>
    <cellStyle name="쉼표 [0] 2 19 2 6 6" xfId="8717" xr:uid="{B665E18A-0C3F-4655-9EFB-3F1979157962}"/>
    <cellStyle name="쉼표 [0] 2 19 2 7" xfId="870" xr:uid="{00000000-0005-0000-0000-000013060000}"/>
    <cellStyle name="쉼표 [0] 2 19 2 7 2" xfId="871" xr:uid="{00000000-0005-0000-0000-000014060000}"/>
    <cellStyle name="쉼표 [0] 2 19 2 7 2 2" xfId="3231" xr:uid="{00000000-0005-0000-0000-000015060000}"/>
    <cellStyle name="쉼표 [0] 2 19 2 7 2 2 2" xfId="6892" xr:uid="{00000000-0005-0000-0000-000016060000}"/>
    <cellStyle name="쉼표 [0] 2 19 2 7 2 2 2 2" xfId="14209" xr:uid="{5B27BAFF-4D2B-4C86-979C-895F8BE7DBF9}"/>
    <cellStyle name="쉼표 [0] 2 19 2 7 2 2 3" xfId="10551" xr:uid="{B267576C-AA74-4B74-8645-6156A749AB42}"/>
    <cellStyle name="쉼표 [0] 2 19 2 7 2 3" xfId="5063" xr:uid="{00000000-0005-0000-0000-000017060000}"/>
    <cellStyle name="쉼표 [0] 2 19 2 7 2 3 2" xfId="12380" xr:uid="{3C8FFF87-E353-4821-A434-C61D7EE26345}"/>
    <cellStyle name="쉼표 [0] 2 19 2 7 2 4" xfId="8721" xr:uid="{B80B2537-A4A3-4438-AE5C-80E9A1489C50}"/>
    <cellStyle name="쉼표 [0] 2 19 2 7 3" xfId="872" xr:uid="{00000000-0005-0000-0000-000018060000}"/>
    <cellStyle name="쉼표 [0] 2 19 2 7 3 2" xfId="3232" xr:uid="{00000000-0005-0000-0000-000019060000}"/>
    <cellStyle name="쉼표 [0] 2 19 2 7 3 2 2" xfId="6893" xr:uid="{00000000-0005-0000-0000-00001A060000}"/>
    <cellStyle name="쉼표 [0] 2 19 2 7 3 2 2 2" xfId="14210" xr:uid="{35050089-699F-4697-957A-BF1E213B037A}"/>
    <cellStyle name="쉼표 [0] 2 19 2 7 3 2 3" xfId="10552" xr:uid="{ED81CC4A-30A6-406E-A692-D77B5829EC2B}"/>
    <cellStyle name="쉼표 [0] 2 19 2 7 3 3" xfId="5064" xr:uid="{00000000-0005-0000-0000-00001B060000}"/>
    <cellStyle name="쉼표 [0] 2 19 2 7 3 3 2" xfId="12381" xr:uid="{7CE874EC-9F60-4C9B-B241-B538B60E0D1E}"/>
    <cellStyle name="쉼표 [0] 2 19 2 7 3 4" xfId="8722" xr:uid="{A775B792-DB3C-45B2-93BF-42FDB807E0B0}"/>
    <cellStyle name="쉼표 [0] 2 19 2 7 4" xfId="3230" xr:uid="{00000000-0005-0000-0000-00001C060000}"/>
    <cellStyle name="쉼표 [0] 2 19 2 7 4 2" xfId="6891" xr:uid="{00000000-0005-0000-0000-00001D060000}"/>
    <cellStyle name="쉼표 [0] 2 19 2 7 4 2 2" xfId="14208" xr:uid="{505C0D71-B33A-43F6-9594-5A7EADD82E7F}"/>
    <cellStyle name="쉼표 [0] 2 19 2 7 4 3" xfId="10550" xr:uid="{3E177CF9-235D-4F96-9823-7C6F817B41DA}"/>
    <cellStyle name="쉼표 [0] 2 19 2 7 5" xfId="5062" xr:uid="{00000000-0005-0000-0000-00001E060000}"/>
    <cellStyle name="쉼표 [0] 2 19 2 7 5 2" xfId="12379" xr:uid="{21396C8E-5DCD-48BB-9F28-A58D68B4CE4F}"/>
    <cellStyle name="쉼표 [0] 2 19 2 7 6" xfId="8720" xr:uid="{DCB4011E-A822-4204-8EF1-54AB79F523D4}"/>
    <cellStyle name="쉼표 [0] 2 19 2 8" xfId="873" xr:uid="{00000000-0005-0000-0000-00001F060000}"/>
    <cellStyle name="쉼표 [0] 2 19 2 8 2" xfId="3233" xr:uid="{00000000-0005-0000-0000-000020060000}"/>
    <cellStyle name="쉼표 [0] 2 19 2 8 2 2" xfId="6894" xr:uid="{00000000-0005-0000-0000-000021060000}"/>
    <cellStyle name="쉼표 [0] 2 19 2 8 2 2 2" xfId="14211" xr:uid="{B60A52D6-375C-499B-8A53-B6058B1B9ABD}"/>
    <cellStyle name="쉼표 [0] 2 19 2 8 2 3" xfId="10553" xr:uid="{88E56B67-AA02-45D0-9CCC-334ABBCC03B4}"/>
    <cellStyle name="쉼표 [0] 2 19 2 8 3" xfId="5065" xr:uid="{00000000-0005-0000-0000-000022060000}"/>
    <cellStyle name="쉼표 [0] 2 19 2 8 3 2" xfId="12382" xr:uid="{5EADA7D9-AEAA-4CBF-8D2A-13E193C6C7CE}"/>
    <cellStyle name="쉼표 [0] 2 19 2 8 4" xfId="8723" xr:uid="{8E7C809D-4D92-4BB4-9B25-FFA4BB09BA09}"/>
    <cellStyle name="쉼표 [0] 2 19 2 9" xfId="874" xr:uid="{00000000-0005-0000-0000-000023060000}"/>
    <cellStyle name="쉼표 [0] 2 19 2 9 2" xfId="3234" xr:uid="{00000000-0005-0000-0000-000024060000}"/>
    <cellStyle name="쉼표 [0] 2 19 2 9 2 2" xfId="6895" xr:uid="{00000000-0005-0000-0000-000025060000}"/>
    <cellStyle name="쉼표 [0] 2 19 2 9 2 2 2" xfId="14212" xr:uid="{8E076F6A-FEBF-46E4-97B1-95148497A36C}"/>
    <cellStyle name="쉼표 [0] 2 19 2 9 2 3" xfId="10554" xr:uid="{141E6971-E755-4693-A54C-007BC2E98F2C}"/>
    <cellStyle name="쉼표 [0] 2 19 2 9 3" xfId="5066" xr:uid="{00000000-0005-0000-0000-000026060000}"/>
    <cellStyle name="쉼표 [0] 2 19 2 9 3 2" xfId="12383" xr:uid="{24EC1823-D41E-4962-BAE9-A564D9FBEE72}"/>
    <cellStyle name="쉼표 [0] 2 19 2 9 4" xfId="8724" xr:uid="{D0D59055-8198-4384-AC28-5A7187E630D8}"/>
    <cellStyle name="쉼표 [0] 2 19 3" xfId="875" xr:uid="{00000000-0005-0000-0000-000027060000}"/>
    <cellStyle name="쉼표 [0] 2 19 3 10" xfId="876" xr:uid="{00000000-0005-0000-0000-000028060000}"/>
    <cellStyle name="쉼표 [0] 2 19 3 10 2" xfId="3236" xr:uid="{00000000-0005-0000-0000-000029060000}"/>
    <cellStyle name="쉼표 [0] 2 19 3 10 2 2" xfId="6897" xr:uid="{00000000-0005-0000-0000-00002A060000}"/>
    <cellStyle name="쉼표 [0] 2 19 3 10 2 2 2" xfId="14214" xr:uid="{C18EE890-F30F-4ABD-A7DD-D30017F956DE}"/>
    <cellStyle name="쉼표 [0] 2 19 3 10 2 3" xfId="10556" xr:uid="{A9D751F7-58B9-4CEA-B644-13C478DAC50D}"/>
    <cellStyle name="쉼표 [0] 2 19 3 10 3" xfId="5068" xr:uid="{00000000-0005-0000-0000-00002B060000}"/>
    <cellStyle name="쉼표 [0] 2 19 3 10 3 2" xfId="12385" xr:uid="{36798071-93AD-4F3D-BA9D-671B5180FB2C}"/>
    <cellStyle name="쉼표 [0] 2 19 3 10 4" xfId="8726" xr:uid="{DE5F3884-C274-4012-BC52-0DDA395BD71D}"/>
    <cellStyle name="쉼표 [0] 2 19 3 11" xfId="3235" xr:uid="{00000000-0005-0000-0000-00002C060000}"/>
    <cellStyle name="쉼표 [0] 2 19 3 11 2" xfId="6896" xr:uid="{00000000-0005-0000-0000-00002D060000}"/>
    <cellStyle name="쉼표 [0] 2 19 3 11 2 2" xfId="14213" xr:uid="{3C49BD0D-9F7B-4420-873E-C50F3550F04A}"/>
    <cellStyle name="쉼표 [0] 2 19 3 11 3" xfId="10555" xr:uid="{2F9F594B-FFB5-4BEB-8617-3B351654AE5D}"/>
    <cellStyle name="쉼표 [0] 2 19 3 12" xfId="5067" xr:uid="{00000000-0005-0000-0000-00002E060000}"/>
    <cellStyle name="쉼표 [0] 2 19 3 12 2" xfId="12384" xr:uid="{594C3EA3-C216-47DF-807F-0FF6EBF7C438}"/>
    <cellStyle name="쉼표 [0] 2 19 3 13" xfId="8725" xr:uid="{0D63281A-DC62-40FE-A0FF-01B4AEFB6613}"/>
    <cellStyle name="쉼표 [0] 2 19 3 2" xfId="877" xr:uid="{00000000-0005-0000-0000-00002F060000}"/>
    <cellStyle name="쉼표 [0] 2 19 3 2 10" xfId="5069" xr:uid="{00000000-0005-0000-0000-000030060000}"/>
    <cellStyle name="쉼표 [0] 2 19 3 2 10 2" xfId="12386" xr:uid="{A10A3011-483C-477F-BCD9-4390CB100638}"/>
    <cellStyle name="쉼표 [0] 2 19 3 2 11" xfId="8727" xr:uid="{DE653148-7C5C-409E-8B65-8E6C4584D100}"/>
    <cellStyle name="쉼표 [0] 2 19 3 2 2" xfId="878" xr:uid="{00000000-0005-0000-0000-000031060000}"/>
    <cellStyle name="쉼표 [0] 2 19 3 2 2 2" xfId="879" xr:uid="{00000000-0005-0000-0000-000032060000}"/>
    <cellStyle name="쉼표 [0] 2 19 3 2 2 2 2" xfId="3239" xr:uid="{00000000-0005-0000-0000-000033060000}"/>
    <cellStyle name="쉼표 [0] 2 19 3 2 2 2 2 2" xfId="6900" xr:uid="{00000000-0005-0000-0000-000034060000}"/>
    <cellStyle name="쉼표 [0] 2 19 3 2 2 2 2 2 2" xfId="14217" xr:uid="{82259043-7F0A-4262-8904-4A647B322F2D}"/>
    <cellStyle name="쉼표 [0] 2 19 3 2 2 2 2 3" xfId="10559" xr:uid="{9078C1BE-9B30-4AA1-A739-F314812028F3}"/>
    <cellStyle name="쉼표 [0] 2 19 3 2 2 2 3" xfId="5071" xr:uid="{00000000-0005-0000-0000-000035060000}"/>
    <cellStyle name="쉼표 [0] 2 19 3 2 2 2 3 2" xfId="12388" xr:uid="{5D9F0A64-B016-43C7-92EC-7204627DC92F}"/>
    <cellStyle name="쉼표 [0] 2 19 3 2 2 2 4" xfId="8729" xr:uid="{B371C0EF-F60D-4F16-B973-3F05ABE3D7EE}"/>
    <cellStyle name="쉼표 [0] 2 19 3 2 2 3" xfId="880" xr:uid="{00000000-0005-0000-0000-000036060000}"/>
    <cellStyle name="쉼표 [0] 2 19 3 2 2 3 2" xfId="3240" xr:uid="{00000000-0005-0000-0000-000037060000}"/>
    <cellStyle name="쉼표 [0] 2 19 3 2 2 3 2 2" xfId="6901" xr:uid="{00000000-0005-0000-0000-000038060000}"/>
    <cellStyle name="쉼표 [0] 2 19 3 2 2 3 2 2 2" xfId="14218" xr:uid="{E70ED055-4FEC-435E-A06C-5963FAB7CF07}"/>
    <cellStyle name="쉼표 [0] 2 19 3 2 2 3 2 3" xfId="10560" xr:uid="{CA23B6C1-58B9-4467-B09F-CE6291509441}"/>
    <cellStyle name="쉼표 [0] 2 19 3 2 2 3 3" xfId="5072" xr:uid="{00000000-0005-0000-0000-000039060000}"/>
    <cellStyle name="쉼표 [0] 2 19 3 2 2 3 3 2" xfId="12389" xr:uid="{C8155165-6BED-4880-8066-D5C2785AE093}"/>
    <cellStyle name="쉼표 [0] 2 19 3 2 2 3 4" xfId="8730" xr:uid="{24EDDB3B-B440-49BD-A087-BE481F927F9B}"/>
    <cellStyle name="쉼표 [0] 2 19 3 2 2 4" xfId="3238" xr:uid="{00000000-0005-0000-0000-00003A060000}"/>
    <cellStyle name="쉼표 [0] 2 19 3 2 2 4 2" xfId="6899" xr:uid="{00000000-0005-0000-0000-00003B060000}"/>
    <cellStyle name="쉼표 [0] 2 19 3 2 2 4 2 2" xfId="14216" xr:uid="{FA34B34A-1B8B-4D58-BE02-F873CEEDE85C}"/>
    <cellStyle name="쉼표 [0] 2 19 3 2 2 4 3" xfId="10558" xr:uid="{87B288C9-25AE-4316-B7AC-C93DF0183DA9}"/>
    <cellStyle name="쉼표 [0] 2 19 3 2 2 5" xfId="5070" xr:uid="{00000000-0005-0000-0000-00003C060000}"/>
    <cellStyle name="쉼표 [0] 2 19 3 2 2 5 2" xfId="12387" xr:uid="{4F17DFB2-3D7D-488C-AAA7-08E78AFC344B}"/>
    <cellStyle name="쉼표 [0] 2 19 3 2 2 6" xfId="8728" xr:uid="{3793EA55-B0BD-4348-875B-F44A20F6D0D8}"/>
    <cellStyle name="쉼표 [0] 2 19 3 2 3" xfId="881" xr:uid="{00000000-0005-0000-0000-00003D060000}"/>
    <cellStyle name="쉼표 [0] 2 19 3 2 3 2" xfId="882" xr:uid="{00000000-0005-0000-0000-00003E060000}"/>
    <cellStyle name="쉼표 [0] 2 19 3 2 3 2 2" xfId="3242" xr:uid="{00000000-0005-0000-0000-00003F060000}"/>
    <cellStyle name="쉼표 [0] 2 19 3 2 3 2 2 2" xfId="6903" xr:uid="{00000000-0005-0000-0000-000040060000}"/>
    <cellStyle name="쉼표 [0] 2 19 3 2 3 2 2 2 2" xfId="14220" xr:uid="{669B91DD-9E96-4B62-A014-B88307EC6461}"/>
    <cellStyle name="쉼표 [0] 2 19 3 2 3 2 2 3" xfId="10562" xr:uid="{58F0897D-1991-49D6-88E3-5C3747A63455}"/>
    <cellStyle name="쉼표 [0] 2 19 3 2 3 2 3" xfId="5074" xr:uid="{00000000-0005-0000-0000-000041060000}"/>
    <cellStyle name="쉼표 [0] 2 19 3 2 3 2 3 2" xfId="12391" xr:uid="{FFC1FFA1-453F-4EA9-AFF3-625C9F6EF6D5}"/>
    <cellStyle name="쉼표 [0] 2 19 3 2 3 2 4" xfId="8732" xr:uid="{C0B65817-8FDB-45B1-B179-987710A7BBA6}"/>
    <cellStyle name="쉼표 [0] 2 19 3 2 3 3" xfId="883" xr:uid="{00000000-0005-0000-0000-000042060000}"/>
    <cellStyle name="쉼표 [0] 2 19 3 2 3 3 2" xfId="3243" xr:uid="{00000000-0005-0000-0000-000043060000}"/>
    <cellStyle name="쉼표 [0] 2 19 3 2 3 3 2 2" xfId="6904" xr:uid="{00000000-0005-0000-0000-000044060000}"/>
    <cellStyle name="쉼표 [0] 2 19 3 2 3 3 2 2 2" xfId="14221" xr:uid="{1D24D654-D9BA-4C33-A799-4FF053C7FE8A}"/>
    <cellStyle name="쉼표 [0] 2 19 3 2 3 3 2 3" xfId="10563" xr:uid="{9F186632-F2B0-47FC-AFEC-67E85A0E0704}"/>
    <cellStyle name="쉼표 [0] 2 19 3 2 3 3 3" xfId="5075" xr:uid="{00000000-0005-0000-0000-000045060000}"/>
    <cellStyle name="쉼표 [0] 2 19 3 2 3 3 3 2" xfId="12392" xr:uid="{C2D3CA02-54A0-48CC-B744-6053A3BAD768}"/>
    <cellStyle name="쉼표 [0] 2 19 3 2 3 3 4" xfId="8733" xr:uid="{701CB891-E816-4B3B-BB16-A3E99BD24EA1}"/>
    <cellStyle name="쉼표 [0] 2 19 3 2 3 4" xfId="3241" xr:uid="{00000000-0005-0000-0000-000046060000}"/>
    <cellStyle name="쉼표 [0] 2 19 3 2 3 4 2" xfId="6902" xr:uid="{00000000-0005-0000-0000-000047060000}"/>
    <cellStyle name="쉼표 [0] 2 19 3 2 3 4 2 2" xfId="14219" xr:uid="{DBA6B0C3-12AB-4762-8711-DEF2095C5003}"/>
    <cellStyle name="쉼표 [0] 2 19 3 2 3 4 3" xfId="10561" xr:uid="{52EB476E-5945-4FAC-876C-41B97E82AC54}"/>
    <cellStyle name="쉼표 [0] 2 19 3 2 3 5" xfId="5073" xr:uid="{00000000-0005-0000-0000-000048060000}"/>
    <cellStyle name="쉼표 [0] 2 19 3 2 3 5 2" xfId="12390" xr:uid="{23E153AA-3838-4620-93F7-99C129A8C669}"/>
    <cellStyle name="쉼표 [0] 2 19 3 2 3 6" xfId="8731" xr:uid="{ECE4ED9D-0D53-4EDB-BB9E-85A70CEDBC71}"/>
    <cellStyle name="쉼표 [0] 2 19 3 2 4" xfId="884" xr:uid="{00000000-0005-0000-0000-000049060000}"/>
    <cellStyle name="쉼표 [0] 2 19 3 2 4 2" xfId="885" xr:uid="{00000000-0005-0000-0000-00004A060000}"/>
    <cellStyle name="쉼표 [0] 2 19 3 2 4 2 2" xfId="3245" xr:uid="{00000000-0005-0000-0000-00004B060000}"/>
    <cellStyle name="쉼표 [0] 2 19 3 2 4 2 2 2" xfId="6906" xr:uid="{00000000-0005-0000-0000-00004C060000}"/>
    <cellStyle name="쉼표 [0] 2 19 3 2 4 2 2 2 2" xfId="14223" xr:uid="{8B89C771-E8FC-4317-BAB5-31FB86C00DA3}"/>
    <cellStyle name="쉼표 [0] 2 19 3 2 4 2 2 3" xfId="10565" xr:uid="{EFD314FE-1557-418B-B0C9-B79EC1DF8565}"/>
    <cellStyle name="쉼표 [0] 2 19 3 2 4 2 3" xfId="5077" xr:uid="{00000000-0005-0000-0000-00004D060000}"/>
    <cellStyle name="쉼표 [0] 2 19 3 2 4 2 3 2" xfId="12394" xr:uid="{D85B28CE-0E55-47CA-BEAE-68640CBCC3B9}"/>
    <cellStyle name="쉼표 [0] 2 19 3 2 4 2 4" xfId="8735" xr:uid="{4AD4694E-AC4B-4306-A17D-B3A2D4B3D0C7}"/>
    <cellStyle name="쉼표 [0] 2 19 3 2 4 3" xfId="886" xr:uid="{00000000-0005-0000-0000-00004E060000}"/>
    <cellStyle name="쉼표 [0] 2 19 3 2 4 3 2" xfId="3246" xr:uid="{00000000-0005-0000-0000-00004F060000}"/>
    <cellStyle name="쉼표 [0] 2 19 3 2 4 3 2 2" xfId="6907" xr:uid="{00000000-0005-0000-0000-000050060000}"/>
    <cellStyle name="쉼표 [0] 2 19 3 2 4 3 2 2 2" xfId="14224" xr:uid="{6E55DADF-2499-4703-AD3E-8F8B9476975D}"/>
    <cellStyle name="쉼표 [0] 2 19 3 2 4 3 2 3" xfId="10566" xr:uid="{A7845CE5-5B70-40A5-A76D-184060ACA0C2}"/>
    <cellStyle name="쉼표 [0] 2 19 3 2 4 3 3" xfId="5078" xr:uid="{00000000-0005-0000-0000-000051060000}"/>
    <cellStyle name="쉼표 [0] 2 19 3 2 4 3 3 2" xfId="12395" xr:uid="{664C21F3-0BDB-4E59-9A09-537930DD5FA8}"/>
    <cellStyle name="쉼표 [0] 2 19 3 2 4 3 4" xfId="8736" xr:uid="{9EF06DA4-9CC6-42B1-8660-593D8AA40D34}"/>
    <cellStyle name="쉼표 [0] 2 19 3 2 4 4" xfId="3244" xr:uid="{00000000-0005-0000-0000-000052060000}"/>
    <cellStyle name="쉼표 [0] 2 19 3 2 4 4 2" xfId="6905" xr:uid="{00000000-0005-0000-0000-000053060000}"/>
    <cellStyle name="쉼표 [0] 2 19 3 2 4 4 2 2" xfId="14222" xr:uid="{F17CF355-70D5-4E80-9335-08A87F162D0C}"/>
    <cellStyle name="쉼표 [0] 2 19 3 2 4 4 3" xfId="10564" xr:uid="{C6D1B623-42BA-4E38-B61C-A35DF20201FB}"/>
    <cellStyle name="쉼표 [0] 2 19 3 2 4 5" xfId="5076" xr:uid="{00000000-0005-0000-0000-000054060000}"/>
    <cellStyle name="쉼표 [0] 2 19 3 2 4 5 2" xfId="12393" xr:uid="{7AF3704C-2481-46D9-ACFF-DC0C43E7F1C5}"/>
    <cellStyle name="쉼표 [0] 2 19 3 2 4 6" xfId="8734" xr:uid="{4821333D-5E14-4710-B29F-1AC8D8840F31}"/>
    <cellStyle name="쉼표 [0] 2 19 3 2 5" xfId="887" xr:uid="{00000000-0005-0000-0000-000055060000}"/>
    <cellStyle name="쉼표 [0] 2 19 3 2 5 2" xfId="888" xr:uid="{00000000-0005-0000-0000-000056060000}"/>
    <cellStyle name="쉼표 [0] 2 19 3 2 5 2 2" xfId="3248" xr:uid="{00000000-0005-0000-0000-000057060000}"/>
    <cellStyle name="쉼표 [0] 2 19 3 2 5 2 2 2" xfId="6909" xr:uid="{00000000-0005-0000-0000-000058060000}"/>
    <cellStyle name="쉼표 [0] 2 19 3 2 5 2 2 2 2" xfId="14226" xr:uid="{E4038580-B13C-4FA2-AF27-7C198708EA28}"/>
    <cellStyle name="쉼표 [0] 2 19 3 2 5 2 2 3" xfId="10568" xr:uid="{A83C42CE-CA71-4011-BA18-C7811209D2B9}"/>
    <cellStyle name="쉼표 [0] 2 19 3 2 5 2 3" xfId="5080" xr:uid="{00000000-0005-0000-0000-000059060000}"/>
    <cellStyle name="쉼표 [0] 2 19 3 2 5 2 3 2" xfId="12397" xr:uid="{D6C99389-77C9-4EE0-A7A7-FB051D80D052}"/>
    <cellStyle name="쉼표 [0] 2 19 3 2 5 2 4" xfId="8738" xr:uid="{F21814EF-C802-4DC4-AE38-6894505FCDD0}"/>
    <cellStyle name="쉼표 [0] 2 19 3 2 5 3" xfId="889" xr:uid="{00000000-0005-0000-0000-00005A060000}"/>
    <cellStyle name="쉼표 [0] 2 19 3 2 5 3 2" xfId="3249" xr:uid="{00000000-0005-0000-0000-00005B060000}"/>
    <cellStyle name="쉼표 [0] 2 19 3 2 5 3 2 2" xfId="6910" xr:uid="{00000000-0005-0000-0000-00005C060000}"/>
    <cellStyle name="쉼표 [0] 2 19 3 2 5 3 2 2 2" xfId="14227" xr:uid="{58B7C333-F558-4C46-BD66-D382F56AD530}"/>
    <cellStyle name="쉼표 [0] 2 19 3 2 5 3 2 3" xfId="10569" xr:uid="{6A1EAD82-A8E5-48F8-B574-74EBE72CC322}"/>
    <cellStyle name="쉼표 [0] 2 19 3 2 5 3 3" xfId="5081" xr:uid="{00000000-0005-0000-0000-00005D060000}"/>
    <cellStyle name="쉼표 [0] 2 19 3 2 5 3 3 2" xfId="12398" xr:uid="{D3819F82-DCA1-4E9A-8D32-51C3D3B63497}"/>
    <cellStyle name="쉼표 [0] 2 19 3 2 5 3 4" xfId="8739" xr:uid="{41C47397-1854-43DE-9EA8-74D8B7CA28D6}"/>
    <cellStyle name="쉼표 [0] 2 19 3 2 5 4" xfId="3247" xr:uid="{00000000-0005-0000-0000-00005E060000}"/>
    <cellStyle name="쉼표 [0] 2 19 3 2 5 4 2" xfId="6908" xr:uid="{00000000-0005-0000-0000-00005F060000}"/>
    <cellStyle name="쉼표 [0] 2 19 3 2 5 4 2 2" xfId="14225" xr:uid="{8FFDA9AB-296D-4484-8780-58873CEA1F93}"/>
    <cellStyle name="쉼표 [0] 2 19 3 2 5 4 3" xfId="10567" xr:uid="{829E4762-76CB-4814-B453-A2DA2745F597}"/>
    <cellStyle name="쉼표 [0] 2 19 3 2 5 5" xfId="5079" xr:uid="{00000000-0005-0000-0000-000060060000}"/>
    <cellStyle name="쉼표 [0] 2 19 3 2 5 5 2" xfId="12396" xr:uid="{591169F9-31C5-478B-B3F9-CF13CEC6964E}"/>
    <cellStyle name="쉼표 [0] 2 19 3 2 5 6" xfId="8737" xr:uid="{828A6F5C-21F2-47E3-9C85-DC264D628B57}"/>
    <cellStyle name="쉼표 [0] 2 19 3 2 6" xfId="890" xr:uid="{00000000-0005-0000-0000-000061060000}"/>
    <cellStyle name="쉼표 [0] 2 19 3 2 6 2" xfId="891" xr:uid="{00000000-0005-0000-0000-000062060000}"/>
    <cellStyle name="쉼표 [0] 2 19 3 2 6 2 2" xfId="3251" xr:uid="{00000000-0005-0000-0000-000063060000}"/>
    <cellStyle name="쉼표 [0] 2 19 3 2 6 2 2 2" xfId="6912" xr:uid="{00000000-0005-0000-0000-000064060000}"/>
    <cellStyle name="쉼표 [0] 2 19 3 2 6 2 2 2 2" xfId="14229" xr:uid="{1AD6D8F1-E41A-4D04-B878-D49D95AC36CD}"/>
    <cellStyle name="쉼표 [0] 2 19 3 2 6 2 2 3" xfId="10571" xr:uid="{B04C4497-14C7-4EB0-BC79-1E20995D96F8}"/>
    <cellStyle name="쉼표 [0] 2 19 3 2 6 2 3" xfId="5083" xr:uid="{00000000-0005-0000-0000-000065060000}"/>
    <cellStyle name="쉼표 [0] 2 19 3 2 6 2 3 2" xfId="12400" xr:uid="{53638D3C-1E10-4F4D-9A94-F89792134045}"/>
    <cellStyle name="쉼표 [0] 2 19 3 2 6 2 4" xfId="8741" xr:uid="{504D604D-011B-4382-9DE4-1E7F83423EA9}"/>
    <cellStyle name="쉼표 [0] 2 19 3 2 6 3" xfId="892" xr:uid="{00000000-0005-0000-0000-000066060000}"/>
    <cellStyle name="쉼표 [0] 2 19 3 2 6 3 2" xfId="3252" xr:uid="{00000000-0005-0000-0000-000067060000}"/>
    <cellStyle name="쉼표 [0] 2 19 3 2 6 3 2 2" xfId="6913" xr:uid="{00000000-0005-0000-0000-000068060000}"/>
    <cellStyle name="쉼표 [0] 2 19 3 2 6 3 2 2 2" xfId="14230" xr:uid="{D0DB7574-9AFE-493D-93A4-4FC3348D9388}"/>
    <cellStyle name="쉼표 [0] 2 19 3 2 6 3 2 3" xfId="10572" xr:uid="{696EFE91-AE0E-40FB-B57C-17E7ACA3BD3C}"/>
    <cellStyle name="쉼표 [0] 2 19 3 2 6 3 3" xfId="5084" xr:uid="{00000000-0005-0000-0000-000069060000}"/>
    <cellStyle name="쉼표 [0] 2 19 3 2 6 3 3 2" xfId="12401" xr:uid="{1346FF85-82A2-4308-9C63-3AD10C46ECDD}"/>
    <cellStyle name="쉼표 [0] 2 19 3 2 6 3 4" xfId="8742" xr:uid="{FB2440F0-A018-4A23-9B01-9A5BEFDB8805}"/>
    <cellStyle name="쉼표 [0] 2 19 3 2 6 4" xfId="3250" xr:uid="{00000000-0005-0000-0000-00006A060000}"/>
    <cellStyle name="쉼표 [0] 2 19 3 2 6 4 2" xfId="6911" xr:uid="{00000000-0005-0000-0000-00006B060000}"/>
    <cellStyle name="쉼표 [0] 2 19 3 2 6 4 2 2" xfId="14228" xr:uid="{F177EB71-275E-4E31-A955-13DF5F90BC54}"/>
    <cellStyle name="쉼표 [0] 2 19 3 2 6 4 3" xfId="10570" xr:uid="{DF22A995-A9DF-417E-9225-DDA828AEFF30}"/>
    <cellStyle name="쉼표 [0] 2 19 3 2 6 5" xfId="5082" xr:uid="{00000000-0005-0000-0000-00006C060000}"/>
    <cellStyle name="쉼표 [0] 2 19 3 2 6 5 2" xfId="12399" xr:uid="{9448B64E-75FB-4DDD-B444-98F652B22162}"/>
    <cellStyle name="쉼표 [0] 2 19 3 2 6 6" xfId="8740" xr:uid="{468E28E3-1D23-4159-B498-8B314E744CFF}"/>
    <cellStyle name="쉼표 [0] 2 19 3 2 7" xfId="893" xr:uid="{00000000-0005-0000-0000-00006D060000}"/>
    <cellStyle name="쉼표 [0] 2 19 3 2 7 2" xfId="3253" xr:uid="{00000000-0005-0000-0000-00006E060000}"/>
    <cellStyle name="쉼표 [0] 2 19 3 2 7 2 2" xfId="6914" xr:uid="{00000000-0005-0000-0000-00006F060000}"/>
    <cellStyle name="쉼표 [0] 2 19 3 2 7 2 2 2" xfId="14231" xr:uid="{E309ADB5-DF57-4BB2-B9B6-4B5DBCCE9969}"/>
    <cellStyle name="쉼표 [0] 2 19 3 2 7 2 3" xfId="10573" xr:uid="{6E95DC0C-0046-4251-9FC9-6F9C90E5FC39}"/>
    <cellStyle name="쉼표 [0] 2 19 3 2 7 3" xfId="5085" xr:uid="{00000000-0005-0000-0000-000070060000}"/>
    <cellStyle name="쉼표 [0] 2 19 3 2 7 3 2" xfId="12402" xr:uid="{2FAF1976-6742-4661-ABB6-1370FB667B4B}"/>
    <cellStyle name="쉼표 [0] 2 19 3 2 7 4" xfId="8743" xr:uid="{8690B2C5-79DF-4860-8FDD-608B531C4B20}"/>
    <cellStyle name="쉼표 [0] 2 19 3 2 8" xfId="894" xr:uid="{00000000-0005-0000-0000-000071060000}"/>
    <cellStyle name="쉼표 [0] 2 19 3 2 8 2" xfId="3254" xr:uid="{00000000-0005-0000-0000-000072060000}"/>
    <cellStyle name="쉼표 [0] 2 19 3 2 8 2 2" xfId="6915" xr:uid="{00000000-0005-0000-0000-000073060000}"/>
    <cellStyle name="쉼표 [0] 2 19 3 2 8 2 2 2" xfId="14232" xr:uid="{A5CD6A18-F0E6-483A-8776-B55BA8689DF5}"/>
    <cellStyle name="쉼표 [0] 2 19 3 2 8 2 3" xfId="10574" xr:uid="{7E5F0784-CE5B-46D8-8EF9-176E31292C9E}"/>
    <cellStyle name="쉼표 [0] 2 19 3 2 8 3" xfId="5086" xr:uid="{00000000-0005-0000-0000-000074060000}"/>
    <cellStyle name="쉼표 [0] 2 19 3 2 8 3 2" xfId="12403" xr:uid="{D4392D4F-E69C-4ECF-9F6B-4014262FB053}"/>
    <cellStyle name="쉼표 [0] 2 19 3 2 8 4" xfId="8744" xr:uid="{0A327518-4CE1-4892-8969-459E64760D32}"/>
    <cellStyle name="쉼표 [0] 2 19 3 2 9" xfId="3237" xr:uid="{00000000-0005-0000-0000-000075060000}"/>
    <cellStyle name="쉼표 [0] 2 19 3 2 9 2" xfId="6898" xr:uid="{00000000-0005-0000-0000-000076060000}"/>
    <cellStyle name="쉼표 [0] 2 19 3 2 9 2 2" xfId="14215" xr:uid="{C96FBDFF-C2F5-42D7-90E5-2CE22ACC0990}"/>
    <cellStyle name="쉼표 [0] 2 19 3 2 9 3" xfId="10557" xr:uid="{FEA82D20-8F28-4EC9-AB67-6E81B127F32B}"/>
    <cellStyle name="쉼표 [0] 2 19 3 3" xfId="895" xr:uid="{00000000-0005-0000-0000-000077060000}"/>
    <cellStyle name="쉼표 [0] 2 19 3 3 2" xfId="896" xr:uid="{00000000-0005-0000-0000-000078060000}"/>
    <cellStyle name="쉼표 [0] 2 19 3 3 2 2" xfId="3256" xr:uid="{00000000-0005-0000-0000-000079060000}"/>
    <cellStyle name="쉼표 [0] 2 19 3 3 2 2 2" xfId="6917" xr:uid="{00000000-0005-0000-0000-00007A060000}"/>
    <cellStyle name="쉼표 [0] 2 19 3 3 2 2 2 2" xfId="14234" xr:uid="{6A7A10D1-97F5-4B9D-AC74-4E96A4E38B24}"/>
    <cellStyle name="쉼표 [0] 2 19 3 3 2 2 3" xfId="10576" xr:uid="{191E6190-8D24-4F49-99BF-C11B216FCF42}"/>
    <cellStyle name="쉼표 [0] 2 19 3 3 2 3" xfId="5088" xr:uid="{00000000-0005-0000-0000-00007B060000}"/>
    <cellStyle name="쉼표 [0] 2 19 3 3 2 3 2" xfId="12405" xr:uid="{839CA4A2-C1B9-44C1-A83E-3119264675F7}"/>
    <cellStyle name="쉼표 [0] 2 19 3 3 2 4" xfId="8746" xr:uid="{37540562-36C1-4955-A605-D3A2991AB362}"/>
    <cellStyle name="쉼표 [0] 2 19 3 3 3" xfId="897" xr:uid="{00000000-0005-0000-0000-00007C060000}"/>
    <cellStyle name="쉼표 [0] 2 19 3 3 3 2" xfId="3257" xr:uid="{00000000-0005-0000-0000-00007D060000}"/>
    <cellStyle name="쉼표 [0] 2 19 3 3 3 2 2" xfId="6918" xr:uid="{00000000-0005-0000-0000-00007E060000}"/>
    <cellStyle name="쉼표 [0] 2 19 3 3 3 2 2 2" xfId="14235" xr:uid="{7869000D-F6AE-4BF7-B42D-E46B0465D0EF}"/>
    <cellStyle name="쉼표 [0] 2 19 3 3 3 2 3" xfId="10577" xr:uid="{9F28C558-40B6-4545-9C07-40C7B1AFECD1}"/>
    <cellStyle name="쉼표 [0] 2 19 3 3 3 3" xfId="5089" xr:uid="{00000000-0005-0000-0000-00007F060000}"/>
    <cellStyle name="쉼표 [0] 2 19 3 3 3 3 2" xfId="12406" xr:uid="{40424554-D703-4F95-8A14-75E8FC90805B}"/>
    <cellStyle name="쉼표 [0] 2 19 3 3 3 4" xfId="8747" xr:uid="{FDEE8DD6-0F3D-4E4F-86E5-58FD0F94FCE1}"/>
    <cellStyle name="쉼표 [0] 2 19 3 3 4" xfId="3255" xr:uid="{00000000-0005-0000-0000-000080060000}"/>
    <cellStyle name="쉼표 [0] 2 19 3 3 4 2" xfId="6916" xr:uid="{00000000-0005-0000-0000-000081060000}"/>
    <cellStyle name="쉼표 [0] 2 19 3 3 4 2 2" xfId="14233" xr:uid="{E0DA9501-3E5D-41BE-AD68-81FABC93D2A2}"/>
    <cellStyle name="쉼표 [0] 2 19 3 3 4 3" xfId="10575" xr:uid="{CCA11CB4-45D5-4665-96FB-9E2E9AC6C865}"/>
    <cellStyle name="쉼표 [0] 2 19 3 3 5" xfId="5087" xr:uid="{00000000-0005-0000-0000-000082060000}"/>
    <cellStyle name="쉼표 [0] 2 19 3 3 5 2" xfId="12404" xr:uid="{5D260A21-D649-4D63-A59A-8BCF1C8FE21E}"/>
    <cellStyle name="쉼표 [0] 2 19 3 3 6" xfId="8745" xr:uid="{C7DE78F0-6806-404A-8DA5-E11AF07F648D}"/>
    <cellStyle name="쉼표 [0] 2 19 3 4" xfId="898" xr:uid="{00000000-0005-0000-0000-000083060000}"/>
    <cellStyle name="쉼표 [0] 2 19 3 4 2" xfId="899" xr:uid="{00000000-0005-0000-0000-000084060000}"/>
    <cellStyle name="쉼표 [0] 2 19 3 4 2 2" xfId="3259" xr:uid="{00000000-0005-0000-0000-000085060000}"/>
    <cellStyle name="쉼표 [0] 2 19 3 4 2 2 2" xfId="6920" xr:uid="{00000000-0005-0000-0000-000086060000}"/>
    <cellStyle name="쉼표 [0] 2 19 3 4 2 2 2 2" xfId="14237" xr:uid="{AAB2D0AF-6AC8-4311-97EA-3C25FF119777}"/>
    <cellStyle name="쉼표 [0] 2 19 3 4 2 2 3" xfId="10579" xr:uid="{4C836D45-16C1-460A-BEF2-DA1278C83AED}"/>
    <cellStyle name="쉼표 [0] 2 19 3 4 2 3" xfId="5091" xr:uid="{00000000-0005-0000-0000-000087060000}"/>
    <cellStyle name="쉼표 [0] 2 19 3 4 2 3 2" xfId="12408" xr:uid="{F8FB47EA-C819-4A44-9D82-A948AB302A7D}"/>
    <cellStyle name="쉼표 [0] 2 19 3 4 2 4" xfId="8749" xr:uid="{1C1F12F8-0782-48CB-8948-3B469B2B3664}"/>
    <cellStyle name="쉼표 [0] 2 19 3 4 3" xfId="900" xr:uid="{00000000-0005-0000-0000-000088060000}"/>
    <cellStyle name="쉼표 [0] 2 19 3 4 3 2" xfId="3260" xr:uid="{00000000-0005-0000-0000-000089060000}"/>
    <cellStyle name="쉼표 [0] 2 19 3 4 3 2 2" xfId="6921" xr:uid="{00000000-0005-0000-0000-00008A060000}"/>
    <cellStyle name="쉼표 [0] 2 19 3 4 3 2 2 2" xfId="14238" xr:uid="{77265523-4D48-49A4-A9A6-870A11FDFD82}"/>
    <cellStyle name="쉼표 [0] 2 19 3 4 3 2 3" xfId="10580" xr:uid="{8C9B2143-36D2-41A3-82E9-97F0CD3B969E}"/>
    <cellStyle name="쉼표 [0] 2 19 3 4 3 3" xfId="5092" xr:uid="{00000000-0005-0000-0000-00008B060000}"/>
    <cellStyle name="쉼표 [0] 2 19 3 4 3 3 2" xfId="12409" xr:uid="{50AC3263-C831-4DCB-81CE-6701F885DBED}"/>
    <cellStyle name="쉼표 [0] 2 19 3 4 3 4" xfId="8750" xr:uid="{B49D1105-1E81-4CE5-A487-B08EEC9F90D9}"/>
    <cellStyle name="쉼표 [0] 2 19 3 4 4" xfId="3258" xr:uid="{00000000-0005-0000-0000-00008C060000}"/>
    <cellStyle name="쉼표 [0] 2 19 3 4 4 2" xfId="6919" xr:uid="{00000000-0005-0000-0000-00008D060000}"/>
    <cellStyle name="쉼표 [0] 2 19 3 4 4 2 2" xfId="14236" xr:uid="{5160ACB1-8DB0-42B3-B56F-D475DF84A4A2}"/>
    <cellStyle name="쉼표 [0] 2 19 3 4 4 3" xfId="10578" xr:uid="{BE7832E3-F02B-4638-8939-8EDC0499A1A5}"/>
    <cellStyle name="쉼표 [0] 2 19 3 4 5" xfId="5090" xr:uid="{00000000-0005-0000-0000-00008E060000}"/>
    <cellStyle name="쉼표 [0] 2 19 3 4 5 2" xfId="12407" xr:uid="{69E5B49E-A892-4C87-A466-47ED307D8344}"/>
    <cellStyle name="쉼표 [0] 2 19 3 4 6" xfId="8748" xr:uid="{C248AF0D-6DEF-47EC-8587-339684B60C84}"/>
    <cellStyle name="쉼표 [0] 2 19 3 5" xfId="901" xr:uid="{00000000-0005-0000-0000-00008F060000}"/>
    <cellStyle name="쉼표 [0] 2 19 3 5 2" xfId="902" xr:uid="{00000000-0005-0000-0000-000090060000}"/>
    <cellStyle name="쉼표 [0] 2 19 3 5 2 2" xfId="3262" xr:uid="{00000000-0005-0000-0000-000091060000}"/>
    <cellStyle name="쉼표 [0] 2 19 3 5 2 2 2" xfId="6923" xr:uid="{00000000-0005-0000-0000-000092060000}"/>
    <cellStyle name="쉼표 [0] 2 19 3 5 2 2 2 2" xfId="14240" xr:uid="{2A2EB270-C2D7-422F-9080-2BC50168456E}"/>
    <cellStyle name="쉼표 [0] 2 19 3 5 2 2 3" xfId="10582" xr:uid="{BE40CB86-3896-4654-BA61-FA35EBCFEFC7}"/>
    <cellStyle name="쉼표 [0] 2 19 3 5 2 3" xfId="5094" xr:uid="{00000000-0005-0000-0000-000093060000}"/>
    <cellStyle name="쉼표 [0] 2 19 3 5 2 3 2" xfId="12411" xr:uid="{B3ABBF89-E548-41EB-B403-F981B3FEF65C}"/>
    <cellStyle name="쉼표 [0] 2 19 3 5 2 4" xfId="8752" xr:uid="{D96CF07A-4D12-4BFD-94C1-933EA5DFE973}"/>
    <cellStyle name="쉼표 [0] 2 19 3 5 3" xfId="903" xr:uid="{00000000-0005-0000-0000-000094060000}"/>
    <cellStyle name="쉼표 [0] 2 19 3 5 3 2" xfId="3263" xr:uid="{00000000-0005-0000-0000-000095060000}"/>
    <cellStyle name="쉼표 [0] 2 19 3 5 3 2 2" xfId="6924" xr:uid="{00000000-0005-0000-0000-000096060000}"/>
    <cellStyle name="쉼표 [0] 2 19 3 5 3 2 2 2" xfId="14241" xr:uid="{BAD248B5-C1B6-44C5-9260-6440B219FDEA}"/>
    <cellStyle name="쉼표 [0] 2 19 3 5 3 2 3" xfId="10583" xr:uid="{23026909-F51E-4C92-B1F6-878EC187FB6B}"/>
    <cellStyle name="쉼표 [0] 2 19 3 5 3 3" xfId="5095" xr:uid="{00000000-0005-0000-0000-000097060000}"/>
    <cellStyle name="쉼표 [0] 2 19 3 5 3 3 2" xfId="12412" xr:uid="{5C450AEC-C849-4A80-A972-2F6E3BAB2DD0}"/>
    <cellStyle name="쉼표 [0] 2 19 3 5 3 4" xfId="8753" xr:uid="{E8FA91D9-6B3A-4BD1-9ABD-FC3C138525EF}"/>
    <cellStyle name="쉼표 [0] 2 19 3 5 4" xfId="3261" xr:uid="{00000000-0005-0000-0000-000098060000}"/>
    <cellStyle name="쉼표 [0] 2 19 3 5 4 2" xfId="6922" xr:uid="{00000000-0005-0000-0000-000099060000}"/>
    <cellStyle name="쉼표 [0] 2 19 3 5 4 2 2" xfId="14239" xr:uid="{CCC4AEE0-D466-4D02-9571-7918D30936E8}"/>
    <cellStyle name="쉼표 [0] 2 19 3 5 4 3" xfId="10581" xr:uid="{73B945A1-7520-44DC-A1C9-60771BCD3954}"/>
    <cellStyle name="쉼표 [0] 2 19 3 5 5" xfId="5093" xr:uid="{00000000-0005-0000-0000-00009A060000}"/>
    <cellStyle name="쉼표 [0] 2 19 3 5 5 2" xfId="12410" xr:uid="{499A6416-D2C0-47FE-937E-CCD695FC136F}"/>
    <cellStyle name="쉼표 [0] 2 19 3 5 6" xfId="8751" xr:uid="{011C1E99-190E-4F1D-94F5-BB919CA98C58}"/>
    <cellStyle name="쉼표 [0] 2 19 3 6" xfId="904" xr:uid="{00000000-0005-0000-0000-00009B060000}"/>
    <cellStyle name="쉼표 [0] 2 19 3 6 2" xfId="905" xr:uid="{00000000-0005-0000-0000-00009C060000}"/>
    <cellStyle name="쉼표 [0] 2 19 3 6 2 2" xfId="3265" xr:uid="{00000000-0005-0000-0000-00009D060000}"/>
    <cellStyle name="쉼표 [0] 2 19 3 6 2 2 2" xfId="6926" xr:uid="{00000000-0005-0000-0000-00009E060000}"/>
    <cellStyle name="쉼표 [0] 2 19 3 6 2 2 2 2" xfId="14243" xr:uid="{383C2B46-F865-45E9-BF2A-919BED132B8A}"/>
    <cellStyle name="쉼표 [0] 2 19 3 6 2 2 3" xfId="10585" xr:uid="{D55EFC11-BEEC-455B-B531-EEE9AEFB50A2}"/>
    <cellStyle name="쉼표 [0] 2 19 3 6 2 3" xfId="5097" xr:uid="{00000000-0005-0000-0000-00009F060000}"/>
    <cellStyle name="쉼표 [0] 2 19 3 6 2 3 2" xfId="12414" xr:uid="{A924D583-66ED-4A8B-8BC6-8CA40EB7F6A3}"/>
    <cellStyle name="쉼표 [0] 2 19 3 6 2 4" xfId="8755" xr:uid="{B4D6A5EC-31DB-4BB4-9A55-1E48D2011B24}"/>
    <cellStyle name="쉼표 [0] 2 19 3 6 3" xfId="906" xr:uid="{00000000-0005-0000-0000-0000A0060000}"/>
    <cellStyle name="쉼표 [0] 2 19 3 6 3 2" xfId="3266" xr:uid="{00000000-0005-0000-0000-0000A1060000}"/>
    <cellStyle name="쉼표 [0] 2 19 3 6 3 2 2" xfId="6927" xr:uid="{00000000-0005-0000-0000-0000A2060000}"/>
    <cellStyle name="쉼표 [0] 2 19 3 6 3 2 2 2" xfId="14244" xr:uid="{8C127BCC-E8EC-4073-A59E-E9B205065E1E}"/>
    <cellStyle name="쉼표 [0] 2 19 3 6 3 2 3" xfId="10586" xr:uid="{7CC14F0F-A8CB-468C-844B-FE39697B9901}"/>
    <cellStyle name="쉼표 [0] 2 19 3 6 3 3" xfId="5098" xr:uid="{00000000-0005-0000-0000-0000A3060000}"/>
    <cellStyle name="쉼표 [0] 2 19 3 6 3 3 2" xfId="12415" xr:uid="{F516BB43-ABCD-4EA3-8967-C8EFFA1230D2}"/>
    <cellStyle name="쉼표 [0] 2 19 3 6 3 4" xfId="8756" xr:uid="{E81C9522-86F8-4DF8-86AB-3700A3932E5E}"/>
    <cellStyle name="쉼표 [0] 2 19 3 6 4" xfId="3264" xr:uid="{00000000-0005-0000-0000-0000A4060000}"/>
    <cellStyle name="쉼표 [0] 2 19 3 6 4 2" xfId="6925" xr:uid="{00000000-0005-0000-0000-0000A5060000}"/>
    <cellStyle name="쉼표 [0] 2 19 3 6 4 2 2" xfId="14242" xr:uid="{DB6C5077-E555-473B-846C-2489095DFA26}"/>
    <cellStyle name="쉼표 [0] 2 19 3 6 4 3" xfId="10584" xr:uid="{B33C25DD-7B18-485A-BC4A-0B71D160084B}"/>
    <cellStyle name="쉼표 [0] 2 19 3 6 5" xfId="5096" xr:uid="{00000000-0005-0000-0000-0000A6060000}"/>
    <cellStyle name="쉼표 [0] 2 19 3 6 5 2" xfId="12413" xr:uid="{7C09CC25-4C55-4709-9746-BD010BDA9469}"/>
    <cellStyle name="쉼표 [0] 2 19 3 6 6" xfId="8754" xr:uid="{E3435A15-4078-4B91-B26E-0D9ED7D1A34C}"/>
    <cellStyle name="쉼표 [0] 2 19 3 7" xfId="907" xr:uid="{00000000-0005-0000-0000-0000A7060000}"/>
    <cellStyle name="쉼표 [0] 2 19 3 7 2" xfId="908" xr:uid="{00000000-0005-0000-0000-0000A8060000}"/>
    <cellStyle name="쉼표 [0] 2 19 3 7 2 2" xfId="3268" xr:uid="{00000000-0005-0000-0000-0000A9060000}"/>
    <cellStyle name="쉼표 [0] 2 19 3 7 2 2 2" xfId="6929" xr:uid="{00000000-0005-0000-0000-0000AA060000}"/>
    <cellStyle name="쉼표 [0] 2 19 3 7 2 2 2 2" xfId="14246" xr:uid="{5B6F7F02-DF50-4B4A-8EF4-173BD9477E28}"/>
    <cellStyle name="쉼표 [0] 2 19 3 7 2 2 3" xfId="10588" xr:uid="{87585198-BC6E-4C57-AD35-300198797C28}"/>
    <cellStyle name="쉼표 [0] 2 19 3 7 2 3" xfId="5100" xr:uid="{00000000-0005-0000-0000-0000AB060000}"/>
    <cellStyle name="쉼표 [0] 2 19 3 7 2 3 2" xfId="12417" xr:uid="{D4F94470-DF42-4244-BC37-527F07372F17}"/>
    <cellStyle name="쉼표 [0] 2 19 3 7 2 4" xfId="8758" xr:uid="{5241254F-C273-4E3D-ABA7-2767A45F54FA}"/>
    <cellStyle name="쉼표 [0] 2 19 3 7 3" xfId="909" xr:uid="{00000000-0005-0000-0000-0000AC060000}"/>
    <cellStyle name="쉼표 [0] 2 19 3 7 3 2" xfId="3269" xr:uid="{00000000-0005-0000-0000-0000AD060000}"/>
    <cellStyle name="쉼표 [0] 2 19 3 7 3 2 2" xfId="6930" xr:uid="{00000000-0005-0000-0000-0000AE060000}"/>
    <cellStyle name="쉼표 [0] 2 19 3 7 3 2 2 2" xfId="14247" xr:uid="{8792BAA6-C5A2-4B80-A7B2-02B9CE9E5681}"/>
    <cellStyle name="쉼표 [0] 2 19 3 7 3 2 3" xfId="10589" xr:uid="{E6E9A7EA-962C-4A43-BE62-519205324D26}"/>
    <cellStyle name="쉼표 [0] 2 19 3 7 3 3" xfId="5101" xr:uid="{00000000-0005-0000-0000-0000AF060000}"/>
    <cellStyle name="쉼표 [0] 2 19 3 7 3 3 2" xfId="12418" xr:uid="{066EDB7F-7508-413B-AB26-C5EBE280010D}"/>
    <cellStyle name="쉼표 [0] 2 19 3 7 3 4" xfId="8759" xr:uid="{F7B073E7-EF23-43BB-A79F-8DC0D267928A}"/>
    <cellStyle name="쉼표 [0] 2 19 3 7 4" xfId="3267" xr:uid="{00000000-0005-0000-0000-0000B0060000}"/>
    <cellStyle name="쉼표 [0] 2 19 3 7 4 2" xfId="6928" xr:uid="{00000000-0005-0000-0000-0000B1060000}"/>
    <cellStyle name="쉼표 [0] 2 19 3 7 4 2 2" xfId="14245" xr:uid="{74B7053C-9190-42B5-ACFB-3693D612B726}"/>
    <cellStyle name="쉼표 [0] 2 19 3 7 4 3" xfId="10587" xr:uid="{D0E1D119-DBF8-4245-ADE3-C377FF93CF52}"/>
    <cellStyle name="쉼표 [0] 2 19 3 7 5" xfId="5099" xr:uid="{00000000-0005-0000-0000-0000B2060000}"/>
    <cellStyle name="쉼표 [0] 2 19 3 7 5 2" xfId="12416" xr:uid="{6DC2B66E-CAA8-4F32-9D90-5C85E3497D50}"/>
    <cellStyle name="쉼표 [0] 2 19 3 7 6" xfId="8757" xr:uid="{84A0429D-A955-4828-8762-ACFBE837A30F}"/>
    <cellStyle name="쉼표 [0] 2 19 3 8" xfId="910" xr:uid="{00000000-0005-0000-0000-0000B3060000}"/>
    <cellStyle name="쉼표 [0] 2 19 3 8 2" xfId="3270" xr:uid="{00000000-0005-0000-0000-0000B4060000}"/>
    <cellStyle name="쉼표 [0] 2 19 3 8 2 2" xfId="6931" xr:uid="{00000000-0005-0000-0000-0000B5060000}"/>
    <cellStyle name="쉼표 [0] 2 19 3 8 2 2 2" xfId="14248" xr:uid="{614A3248-8FEA-4D91-ADAC-F67B13DA668B}"/>
    <cellStyle name="쉼표 [0] 2 19 3 8 2 3" xfId="10590" xr:uid="{6D4F6861-FABE-468F-A914-EF65B92EC5E1}"/>
    <cellStyle name="쉼표 [0] 2 19 3 8 3" xfId="5102" xr:uid="{00000000-0005-0000-0000-0000B6060000}"/>
    <cellStyle name="쉼표 [0] 2 19 3 8 3 2" xfId="12419" xr:uid="{C4C29009-EB48-4322-A52D-A712E6A56BB2}"/>
    <cellStyle name="쉼표 [0] 2 19 3 8 4" xfId="8760" xr:uid="{04919424-5569-42DD-B15C-335A5392371C}"/>
    <cellStyle name="쉼표 [0] 2 19 3 9" xfId="911" xr:uid="{00000000-0005-0000-0000-0000B7060000}"/>
    <cellStyle name="쉼표 [0] 2 19 3 9 2" xfId="3271" xr:uid="{00000000-0005-0000-0000-0000B8060000}"/>
    <cellStyle name="쉼표 [0] 2 19 3 9 2 2" xfId="6932" xr:uid="{00000000-0005-0000-0000-0000B9060000}"/>
    <cellStyle name="쉼표 [0] 2 19 3 9 2 2 2" xfId="14249" xr:uid="{38024607-711A-40CF-A4D9-EFC49276FB1E}"/>
    <cellStyle name="쉼표 [0] 2 19 3 9 2 3" xfId="10591" xr:uid="{D6262D0B-31AE-4013-AC25-EC172BEA5C82}"/>
    <cellStyle name="쉼표 [0] 2 19 3 9 3" xfId="5103" xr:uid="{00000000-0005-0000-0000-0000BA060000}"/>
    <cellStyle name="쉼표 [0] 2 19 3 9 3 2" xfId="12420" xr:uid="{DAC65F36-8154-430F-9FB6-ABDE752131B3}"/>
    <cellStyle name="쉼표 [0] 2 19 3 9 4" xfId="8761" xr:uid="{B7B46295-5197-4A55-AF10-98767669EB7E}"/>
    <cellStyle name="쉼표 [0] 2 19 4" xfId="912" xr:uid="{00000000-0005-0000-0000-0000BB060000}"/>
    <cellStyle name="쉼표 [0] 2 19 4 10" xfId="3272" xr:uid="{00000000-0005-0000-0000-0000BC060000}"/>
    <cellStyle name="쉼표 [0] 2 19 4 10 2" xfId="6933" xr:uid="{00000000-0005-0000-0000-0000BD060000}"/>
    <cellStyle name="쉼표 [0] 2 19 4 10 2 2" xfId="14250" xr:uid="{5FA25707-2FAD-45B5-BAE3-63F6EB7CF657}"/>
    <cellStyle name="쉼표 [0] 2 19 4 10 3" xfId="10592" xr:uid="{339949DD-C067-474F-A44F-BB0236A57BBB}"/>
    <cellStyle name="쉼표 [0] 2 19 4 11" xfId="5104" xr:uid="{00000000-0005-0000-0000-0000BE060000}"/>
    <cellStyle name="쉼표 [0] 2 19 4 11 2" xfId="12421" xr:uid="{BFA6AA55-B452-43E6-B867-7D5098E6D541}"/>
    <cellStyle name="쉼표 [0] 2 19 4 12" xfId="8762" xr:uid="{D1F031EF-AF30-439B-8A39-34298C20D523}"/>
    <cellStyle name="쉼표 [0] 2 19 4 2" xfId="913" xr:uid="{00000000-0005-0000-0000-0000BF060000}"/>
    <cellStyle name="쉼표 [0] 2 19 4 2 2" xfId="914" xr:uid="{00000000-0005-0000-0000-0000C0060000}"/>
    <cellStyle name="쉼표 [0] 2 19 4 2 2 2" xfId="3274" xr:uid="{00000000-0005-0000-0000-0000C1060000}"/>
    <cellStyle name="쉼표 [0] 2 19 4 2 2 2 2" xfId="6935" xr:uid="{00000000-0005-0000-0000-0000C2060000}"/>
    <cellStyle name="쉼표 [0] 2 19 4 2 2 2 2 2" xfId="14252" xr:uid="{8993EE4E-BCD1-4025-8431-477FCD712456}"/>
    <cellStyle name="쉼표 [0] 2 19 4 2 2 2 3" xfId="10594" xr:uid="{E9587ED9-3B69-4BBB-B3BF-F938D8A275FC}"/>
    <cellStyle name="쉼표 [0] 2 19 4 2 2 3" xfId="5106" xr:uid="{00000000-0005-0000-0000-0000C3060000}"/>
    <cellStyle name="쉼표 [0] 2 19 4 2 2 3 2" xfId="12423" xr:uid="{A6C29E87-2C92-459B-AD85-74F898E31880}"/>
    <cellStyle name="쉼표 [0] 2 19 4 2 2 4" xfId="8764" xr:uid="{27522144-23D3-4B59-9A17-D25C1E930347}"/>
    <cellStyle name="쉼표 [0] 2 19 4 2 3" xfId="915" xr:uid="{00000000-0005-0000-0000-0000C4060000}"/>
    <cellStyle name="쉼표 [0] 2 19 4 2 3 2" xfId="3275" xr:uid="{00000000-0005-0000-0000-0000C5060000}"/>
    <cellStyle name="쉼표 [0] 2 19 4 2 3 2 2" xfId="6936" xr:uid="{00000000-0005-0000-0000-0000C6060000}"/>
    <cellStyle name="쉼표 [0] 2 19 4 2 3 2 2 2" xfId="14253" xr:uid="{EB79AF1F-8C96-4B7A-BD85-EE22F1E67784}"/>
    <cellStyle name="쉼표 [0] 2 19 4 2 3 2 3" xfId="10595" xr:uid="{9CC2858E-2048-41D0-BF31-FE3D24AB44C4}"/>
    <cellStyle name="쉼표 [0] 2 19 4 2 3 3" xfId="5107" xr:uid="{00000000-0005-0000-0000-0000C7060000}"/>
    <cellStyle name="쉼표 [0] 2 19 4 2 3 3 2" xfId="12424" xr:uid="{8BA75129-33C9-4C16-908A-3E06787104CE}"/>
    <cellStyle name="쉼표 [0] 2 19 4 2 3 4" xfId="8765" xr:uid="{93F6F1AC-439F-4AA9-B8C6-0606CFFADA11}"/>
    <cellStyle name="쉼표 [0] 2 19 4 2 4" xfId="3273" xr:uid="{00000000-0005-0000-0000-0000C8060000}"/>
    <cellStyle name="쉼표 [0] 2 19 4 2 4 2" xfId="6934" xr:uid="{00000000-0005-0000-0000-0000C9060000}"/>
    <cellStyle name="쉼표 [0] 2 19 4 2 4 2 2" xfId="14251" xr:uid="{ED376ECC-8C3F-4207-B63C-3CE07EADD808}"/>
    <cellStyle name="쉼표 [0] 2 19 4 2 4 3" xfId="10593" xr:uid="{C8F459AD-6593-44FE-BFA4-2ADD76397153}"/>
    <cellStyle name="쉼표 [0] 2 19 4 2 5" xfId="5105" xr:uid="{00000000-0005-0000-0000-0000CA060000}"/>
    <cellStyle name="쉼표 [0] 2 19 4 2 5 2" xfId="12422" xr:uid="{F811C162-A6E3-4759-BA05-832B54F9C328}"/>
    <cellStyle name="쉼표 [0] 2 19 4 2 6" xfId="8763" xr:uid="{FF2B9E63-B72D-42B6-B2A5-7BE44CC59B66}"/>
    <cellStyle name="쉼표 [0] 2 19 4 3" xfId="916" xr:uid="{00000000-0005-0000-0000-0000CB060000}"/>
    <cellStyle name="쉼표 [0] 2 19 4 3 2" xfId="917" xr:uid="{00000000-0005-0000-0000-0000CC060000}"/>
    <cellStyle name="쉼표 [0] 2 19 4 3 2 2" xfId="3277" xr:uid="{00000000-0005-0000-0000-0000CD060000}"/>
    <cellStyle name="쉼표 [0] 2 19 4 3 2 2 2" xfId="6938" xr:uid="{00000000-0005-0000-0000-0000CE060000}"/>
    <cellStyle name="쉼표 [0] 2 19 4 3 2 2 2 2" xfId="14255" xr:uid="{DC3C5B23-937B-4DD2-BFAC-E37F99771EC0}"/>
    <cellStyle name="쉼표 [0] 2 19 4 3 2 2 3" xfId="10597" xr:uid="{693E524A-5BC0-4E1D-AC84-CBA58F5B79B3}"/>
    <cellStyle name="쉼표 [0] 2 19 4 3 2 3" xfId="5109" xr:uid="{00000000-0005-0000-0000-0000CF060000}"/>
    <cellStyle name="쉼표 [0] 2 19 4 3 2 3 2" xfId="12426" xr:uid="{420E1C64-66DE-45E5-A156-D355D2741B99}"/>
    <cellStyle name="쉼표 [0] 2 19 4 3 2 4" xfId="8767" xr:uid="{4FF95B7C-C320-4B06-A003-3A803CC844FC}"/>
    <cellStyle name="쉼표 [0] 2 19 4 3 3" xfId="918" xr:uid="{00000000-0005-0000-0000-0000D0060000}"/>
    <cellStyle name="쉼표 [0] 2 19 4 3 3 2" xfId="3278" xr:uid="{00000000-0005-0000-0000-0000D1060000}"/>
    <cellStyle name="쉼표 [0] 2 19 4 3 3 2 2" xfId="6939" xr:uid="{00000000-0005-0000-0000-0000D2060000}"/>
    <cellStyle name="쉼표 [0] 2 19 4 3 3 2 2 2" xfId="14256" xr:uid="{E30BFB22-A928-4DE5-B617-5AAC622A62BD}"/>
    <cellStyle name="쉼표 [0] 2 19 4 3 3 2 3" xfId="10598" xr:uid="{BEE23C46-45E3-4E69-8F2D-EC7F8690A611}"/>
    <cellStyle name="쉼표 [0] 2 19 4 3 3 3" xfId="5110" xr:uid="{00000000-0005-0000-0000-0000D3060000}"/>
    <cellStyle name="쉼표 [0] 2 19 4 3 3 3 2" xfId="12427" xr:uid="{B52AC733-4DAE-4A83-9A17-58F6447ACA19}"/>
    <cellStyle name="쉼표 [0] 2 19 4 3 3 4" xfId="8768" xr:uid="{1FC70321-EB5E-4DBD-BB15-DF362A20BE1F}"/>
    <cellStyle name="쉼표 [0] 2 19 4 3 4" xfId="3276" xr:uid="{00000000-0005-0000-0000-0000D4060000}"/>
    <cellStyle name="쉼표 [0] 2 19 4 3 4 2" xfId="6937" xr:uid="{00000000-0005-0000-0000-0000D5060000}"/>
    <cellStyle name="쉼표 [0] 2 19 4 3 4 2 2" xfId="14254" xr:uid="{F3F532D9-4FB2-4D7E-B92E-DCA4A7D600C3}"/>
    <cellStyle name="쉼표 [0] 2 19 4 3 4 3" xfId="10596" xr:uid="{F2CC324A-F0C6-4294-AEC6-C2FE8598D449}"/>
    <cellStyle name="쉼표 [0] 2 19 4 3 5" xfId="5108" xr:uid="{00000000-0005-0000-0000-0000D6060000}"/>
    <cellStyle name="쉼표 [0] 2 19 4 3 5 2" xfId="12425" xr:uid="{1C37051F-D228-4174-A7BF-513877D8874B}"/>
    <cellStyle name="쉼표 [0] 2 19 4 3 6" xfId="8766" xr:uid="{3CE86D1F-522C-4707-A46A-27F1B4C02047}"/>
    <cellStyle name="쉼표 [0] 2 19 4 4" xfId="919" xr:uid="{00000000-0005-0000-0000-0000D7060000}"/>
    <cellStyle name="쉼표 [0] 2 19 4 4 2" xfId="920" xr:uid="{00000000-0005-0000-0000-0000D8060000}"/>
    <cellStyle name="쉼표 [0] 2 19 4 4 2 2" xfId="3280" xr:uid="{00000000-0005-0000-0000-0000D9060000}"/>
    <cellStyle name="쉼표 [0] 2 19 4 4 2 2 2" xfId="6941" xr:uid="{00000000-0005-0000-0000-0000DA060000}"/>
    <cellStyle name="쉼표 [0] 2 19 4 4 2 2 2 2" xfId="14258" xr:uid="{CA6971D5-0CCB-4712-B98A-79491C2E1988}"/>
    <cellStyle name="쉼표 [0] 2 19 4 4 2 2 3" xfId="10600" xr:uid="{383D8EC3-52A9-4FD5-B877-09196DEDEB57}"/>
    <cellStyle name="쉼표 [0] 2 19 4 4 2 3" xfId="5112" xr:uid="{00000000-0005-0000-0000-0000DB060000}"/>
    <cellStyle name="쉼표 [0] 2 19 4 4 2 3 2" xfId="12429" xr:uid="{6EAAC146-9B99-4C8D-AC25-D16A37D88E5D}"/>
    <cellStyle name="쉼표 [0] 2 19 4 4 2 4" xfId="8770" xr:uid="{366C2CE7-B16D-485B-B413-4F8A417FD661}"/>
    <cellStyle name="쉼표 [0] 2 19 4 4 3" xfId="921" xr:uid="{00000000-0005-0000-0000-0000DC060000}"/>
    <cellStyle name="쉼표 [0] 2 19 4 4 3 2" xfId="3281" xr:uid="{00000000-0005-0000-0000-0000DD060000}"/>
    <cellStyle name="쉼표 [0] 2 19 4 4 3 2 2" xfId="6942" xr:uid="{00000000-0005-0000-0000-0000DE060000}"/>
    <cellStyle name="쉼표 [0] 2 19 4 4 3 2 2 2" xfId="14259" xr:uid="{4281E371-8483-4DAB-B8BA-11B54DABF785}"/>
    <cellStyle name="쉼표 [0] 2 19 4 4 3 2 3" xfId="10601" xr:uid="{A131A267-7594-4DE5-964B-70B6F4A14CBB}"/>
    <cellStyle name="쉼표 [0] 2 19 4 4 3 3" xfId="5113" xr:uid="{00000000-0005-0000-0000-0000DF060000}"/>
    <cellStyle name="쉼표 [0] 2 19 4 4 3 3 2" xfId="12430" xr:uid="{D778BC67-25D5-4196-8062-36745519CB57}"/>
    <cellStyle name="쉼표 [0] 2 19 4 4 3 4" xfId="8771" xr:uid="{50F25051-9144-4FBE-904F-AA5981ED4F79}"/>
    <cellStyle name="쉼표 [0] 2 19 4 4 4" xfId="3279" xr:uid="{00000000-0005-0000-0000-0000E0060000}"/>
    <cellStyle name="쉼표 [0] 2 19 4 4 4 2" xfId="6940" xr:uid="{00000000-0005-0000-0000-0000E1060000}"/>
    <cellStyle name="쉼표 [0] 2 19 4 4 4 2 2" xfId="14257" xr:uid="{2E2E707D-B08E-42C0-AF36-3894E30CE796}"/>
    <cellStyle name="쉼표 [0] 2 19 4 4 4 3" xfId="10599" xr:uid="{64B00C46-0AA1-4E15-9983-66B7E6B2C003}"/>
    <cellStyle name="쉼표 [0] 2 19 4 4 5" xfId="5111" xr:uid="{00000000-0005-0000-0000-0000E2060000}"/>
    <cellStyle name="쉼표 [0] 2 19 4 4 5 2" xfId="12428" xr:uid="{D322D107-E447-40E5-B256-9E38F6A3A916}"/>
    <cellStyle name="쉼표 [0] 2 19 4 4 6" xfId="8769" xr:uid="{3F403211-1DA8-47DD-B585-939718160EB8}"/>
    <cellStyle name="쉼표 [0] 2 19 4 5" xfId="922" xr:uid="{00000000-0005-0000-0000-0000E3060000}"/>
    <cellStyle name="쉼표 [0] 2 19 4 5 2" xfId="923" xr:uid="{00000000-0005-0000-0000-0000E4060000}"/>
    <cellStyle name="쉼표 [0] 2 19 4 5 2 2" xfId="3283" xr:uid="{00000000-0005-0000-0000-0000E5060000}"/>
    <cellStyle name="쉼표 [0] 2 19 4 5 2 2 2" xfId="6944" xr:uid="{00000000-0005-0000-0000-0000E6060000}"/>
    <cellStyle name="쉼표 [0] 2 19 4 5 2 2 2 2" xfId="14261" xr:uid="{92321115-FD59-49B0-8A02-113D801D14A9}"/>
    <cellStyle name="쉼표 [0] 2 19 4 5 2 2 3" xfId="10603" xr:uid="{A00FB21E-3247-4F51-85F3-9B0FA3D1015A}"/>
    <cellStyle name="쉼표 [0] 2 19 4 5 2 3" xfId="5115" xr:uid="{00000000-0005-0000-0000-0000E7060000}"/>
    <cellStyle name="쉼표 [0] 2 19 4 5 2 3 2" xfId="12432" xr:uid="{4EFA6D60-2CBF-4425-ABEC-ADF67C9A6A7A}"/>
    <cellStyle name="쉼표 [0] 2 19 4 5 2 4" xfId="8773" xr:uid="{B9756B1B-2A8C-4E0F-992E-17C5C36ECE15}"/>
    <cellStyle name="쉼표 [0] 2 19 4 5 3" xfId="924" xr:uid="{00000000-0005-0000-0000-0000E8060000}"/>
    <cellStyle name="쉼표 [0] 2 19 4 5 3 2" xfId="3284" xr:uid="{00000000-0005-0000-0000-0000E9060000}"/>
    <cellStyle name="쉼표 [0] 2 19 4 5 3 2 2" xfId="6945" xr:uid="{00000000-0005-0000-0000-0000EA060000}"/>
    <cellStyle name="쉼표 [0] 2 19 4 5 3 2 2 2" xfId="14262" xr:uid="{5E9A3095-3AE5-4237-BFD5-4FA6EC106685}"/>
    <cellStyle name="쉼표 [0] 2 19 4 5 3 2 3" xfId="10604" xr:uid="{FDC9E6C1-F76B-4990-A488-4624B9627ABB}"/>
    <cellStyle name="쉼표 [0] 2 19 4 5 3 3" xfId="5116" xr:uid="{00000000-0005-0000-0000-0000EB060000}"/>
    <cellStyle name="쉼표 [0] 2 19 4 5 3 3 2" xfId="12433" xr:uid="{D96ED582-C2EF-4088-A36A-F030FE4E4C8F}"/>
    <cellStyle name="쉼표 [0] 2 19 4 5 3 4" xfId="8774" xr:uid="{1CDCEA60-E732-4D29-9C08-0B4862E43134}"/>
    <cellStyle name="쉼표 [0] 2 19 4 5 4" xfId="3282" xr:uid="{00000000-0005-0000-0000-0000EC060000}"/>
    <cellStyle name="쉼표 [0] 2 19 4 5 4 2" xfId="6943" xr:uid="{00000000-0005-0000-0000-0000ED060000}"/>
    <cellStyle name="쉼표 [0] 2 19 4 5 4 2 2" xfId="14260" xr:uid="{66994FE2-D7A1-43D9-8B38-7E4F55B2DCFA}"/>
    <cellStyle name="쉼표 [0] 2 19 4 5 4 3" xfId="10602" xr:uid="{869A35BC-BF98-4A8E-BF7F-E3C724DFB4A5}"/>
    <cellStyle name="쉼표 [0] 2 19 4 5 5" xfId="5114" xr:uid="{00000000-0005-0000-0000-0000EE060000}"/>
    <cellStyle name="쉼표 [0] 2 19 4 5 5 2" xfId="12431" xr:uid="{16E40EF7-051D-46D1-BF81-3E190205172E}"/>
    <cellStyle name="쉼표 [0] 2 19 4 5 6" xfId="8772" xr:uid="{663F0A2F-745D-44BC-AC23-7D46E0BE5DE9}"/>
    <cellStyle name="쉼표 [0] 2 19 4 6" xfId="925" xr:uid="{00000000-0005-0000-0000-0000EF060000}"/>
    <cellStyle name="쉼표 [0] 2 19 4 6 2" xfId="926" xr:uid="{00000000-0005-0000-0000-0000F0060000}"/>
    <cellStyle name="쉼표 [0] 2 19 4 6 2 2" xfId="3286" xr:uid="{00000000-0005-0000-0000-0000F1060000}"/>
    <cellStyle name="쉼표 [0] 2 19 4 6 2 2 2" xfId="6947" xr:uid="{00000000-0005-0000-0000-0000F2060000}"/>
    <cellStyle name="쉼표 [0] 2 19 4 6 2 2 2 2" xfId="14264" xr:uid="{71461534-14EE-4281-935F-61520DC094CD}"/>
    <cellStyle name="쉼표 [0] 2 19 4 6 2 2 3" xfId="10606" xr:uid="{24653632-EBD5-4E5B-8784-5A3D2E26E410}"/>
    <cellStyle name="쉼표 [0] 2 19 4 6 2 3" xfId="5118" xr:uid="{00000000-0005-0000-0000-0000F3060000}"/>
    <cellStyle name="쉼표 [0] 2 19 4 6 2 3 2" xfId="12435" xr:uid="{5D8579F1-46A9-4827-9F3B-F3552BE3A470}"/>
    <cellStyle name="쉼표 [0] 2 19 4 6 2 4" xfId="8776" xr:uid="{F50DF42B-69EB-479F-97DD-51F487D7AAE9}"/>
    <cellStyle name="쉼표 [0] 2 19 4 6 3" xfId="927" xr:uid="{00000000-0005-0000-0000-0000F4060000}"/>
    <cellStyle name="쉼표 [0] 2 19 4 6 3 2" xfId="3287" xr:uid="{00000000-0005-0000-0000-0000F5060000}"/>
    <cellStyle name="쉼표 [0] 2 19 4 6 3 2 2" xfId="6948" xr:uid="{00000000-0005-0000-0000-0000F6060000}"/>
    <cellStyle name="쉼표 [0] 2 19 4 6 3 2 2 2" xfId="14265" xr:uid="{FBC6DD8A-DFA3-457B-BA22-D76DEF967406}"/>
    <cellStyle name="쉼표 [0] 2 19 4 6 3 2 3" xfId="10607" xr:uid="{4A72BA44-C1E7-4781-B204-210ED58BEB67}"/>
    <cellStyle name="쉼표 [0] 2 19 4 6 3 3" xfId="5119" xr:uid="{00000000-0005-0000-0000-0000F7060000}"/>
    <cellStyle name="쉼표 [0] 2 19 4 6 3 3 2" xfId="12436" xr:uid="{3C5E3A72-395A-4E62-A453-15EB66ADEA00}"/>
    <cellStyle name="쉼표 [0] 2 19 4 6 3 4" xfId="8777" xr:uid="{F5FE891B-B84E-4176-B8B8-A270B7EBCBA3}"/>
    <cellStyle name="쉼표 [0] 2 19 4 6 4" xfId="3285" xr:uid="{00000000-0005-0000-0000-0000F8060000}"/>
    <cellStyle name="쉼표 [0] 2 19 4 6 4 2" xfId="6946" xr:uid="{00000000-0005-0000-0000-0000F9060000}"/>
    <cellStyle name="쉼표 [0] 2 19 4 6 4 2 2" xfId="14263" xr:uid="{BD0C02DE-F4E3-4D0B-AEA7-0935C36A045D}"/>
    <cellStyle name="쉼표 [0] 2 19 4 6 4 3" xfId="10605" xr:uid="{6EA9E4F8-8C5E-4322-90E8-6C00AF64C8FB}"/>
    <cellStyle name="쉼표 [0] 2 19 4 6 5" xfId="5117" xr:uid="{00000000-0005-0000-0000-0000FA060000}"/>
    <cellStyle name="쉼표 [0] 2 19 4 6 5 2" xfId="12434" xr:uid="{29B034E1-8798-4A67-94C0-FDD5C6C8E35F}"/>
    <cellStyle name="쉼표 [0] 2 19 4 6 6" xfId="8775" xr:uid="{1859D2AD-DB23-4CF7-8CAB-AB5CFC5D0B18}"/>
    <cellStyle name="쉼표 [0] 2 19 4 7" xfId="928" xr:uid="{00000000-0005-0000-0000-0000FB060000}"/>
    <cellStyle name="쉼표 [0] 2 19 4 7 2" xfId="3288" xr:uid="{00000000-0005-0000-0000-0000FC060000}"/>
    <cellStyle name="쉼표 [0] 2 19 4 7 2 2" xfId="6949" xr:uid="{00000000-0005-0000-0000-0000FD060000}"/>
    <cellStyle name="쉼표 [0] 2 19 4 7 2 2 2" xfId="14266" xr:uid="{EA926354-173A-4FD8-AF98-3F0CD0E7817E}"/>
    <cellStyle name="쉼표 [0] 2 19 4 7 2 3" xfId="10608" xr:uid="{85027215-BA7E-4FB9-83B6-B5F5C743F179}"/>
    <cellStyle name="쉼표 [0] 2 19 4 7 3" xfId="5120" xr:uid="{00000000-0005-0000-0000-0000FE060000}"/>
    <cellStyle name="쉼표 [0] 2 19 4 7 3 2" xfId="12437" xr:uid="{191DDFF1-3F0F-44A7-B8DC-C24F3E53A9F0}"/>
    <cellStyle name="쉼표 [0] 2 19 4 7 4" xfId="8778" xr:uid="{E53ADE99-346F-47C6-B08A-45D51774E1BB}"/>
    <cellStyle name="쉼표 [0] 2 19 4 8" xfId="929" xr:uid="{00000000-0005-0000-0000-0000FF060000}"/>
    <cellStyle name="쉼표 [0] 2 19 4 8 2" xfId="3289" xr:uid="{00000000-0005-0000-0000-000000070000}"/>
    <cellStyle name="쉼표 [0] 2 19 4 8 2 2" xfId="6950" xr:uid="{00000000-0005-0000-0000-000001070000}"/>
    <cellStyle name="쉼표 [0] 2 19 4 8 2 2 2" xfId="14267" xr:uid="{48199E56-DFC0-4AA6-975A-1767780C14C9}"/>
    <cellStyle name="쉼표 [0] 2 19 4 8 2 3" xfId="10609" xr:uid="{4495875A-6B05-4FE1-8E1F-0C465BB5A56C}"/>
    <cellStyle name="쉼표 [0] 2 19 4 8 3" xfId="5121" xr:uid="{00000000-0005-0000-0000-000002070000}"/>
    <cellStyle name="쉼표 [0] 2 19 4 8 3 2" xfId="12438" xr:uid="{7B08B062-00E8-4E67-970B-D524ACB23485}"/>
    <cellStyle name="쉼표 [0] 2 19 4 8 4" xfId="8779" xr:uid="{EA195DF6-6DBB-48EE-97EE-92613928C125}"/>
    <cellStyle name="쉼표 [0] 2 19 4 9" xfId="930" xr:uid="{00000000-0005-0000-0000-000003070000}"/>
    <cellStyle name="쉼표 [0] 2 19 4 9 2" xfId="3290" xr:uid="{00000000-0005-0000-0000-000004070000}"/>
    <cellStyle name="쉼표 [0] 2 19 4 9 2 2" xfId="6951" xr:uid="{00000000-0005-0000-0000-000005070000}"/>
    <cellStyle name="쉼표 [0] 2 19 4 9 2 2 2" xfId="14268" xr:uid="{B3CAA2D1-41B8-42C4-8A1F-6499DC9A6C3F}"/>
    <cellStyle name="쉼표 [0] 2 19 4 9 2 3" xfId="10610" xr:uid="{0B0335D0-B7D5-4D5F-BFAD-4A61A15012B0}"/>
    <cellStyle name="쉼표 [0] 2 19 4 9 3" xfId="5122" xr:uid="{00000000-0005-0000-0000-000006070000}"/>
    <cellStyle name="쉼표 [0] 2 19 4 9 3 2" xfId="12439" xr:uid="{09559802-B070-4FBC-A0C8-E2C1A119A4A1}"/>
    <cellStyle name="쉼표 [0] 2 19 4 9 4" xfId="8780" xr:uid="{2E2E37C0-16D1-4681-B999-384009AB62DA}"/>
    <cellStyle name="쉼표 [0] 2 19 5" xfId="931" xr:uid="{00000000-0005-0000-0000-000007070000}"/>
    <cellStyle name="쉼표 [0] 2 19 5 10" xfId="5123" xr:uid="{00000000-0005-0000-0000-000008070000}"/>
    <cellStyle name="쉼표 [0] 2 19 5 10 2" xfId="12440" xr:uid="{A10172D5-46C5-416A-A5EB-2D3BAF28DB0D}"/>
    <cellStyle name="쉼표 [0] 2 19 5 11" xfId="8781" xr:uid="{1B95CA56-4876-478E-B321-AE8CE6C54B89}"/>
    <cellStyle name="쉼표 [0] 2 19 5 2" xfId="932" xr:uid="{00000000-0005-0000-0000-000009070000}"/>
    <cellStyle name="쉼표 [0] 2 19 5 2 2" xfId="933" xr:uid="{00000000-0005-0000-0000-00000A070000}"/>
    <cellStyle name="쉼표 [0] 2 19 5 2 2 2" xfId="3293" xr:uid="{00000000-0005-0000-0000-00000B070000}"/>
    <cellStyle name="쉼표 [0] 2 19 5 2 2 2 2" xfId="6954" xr:uid="{00000000-0005-0000-0000-00000C070000}"/>
    <cellStyle name="쉼표 [0] 2 19 5 2 2 2 2 2" xfId="14271" xr:uid="{B4621101-FC76-4EC5-890B-E71ADFA494BD}"/>
    <cellStyle name="쉼표 [0] 2 19 5 2 2 2 3" xfId="10613" xr:uid="{8839A189-7E63-4C48-B9FD-FD7CC459FE5E}"/>
    <cellStyle name="쉼표 [0] 2 19 5 2 2 3" xfId="5125" xr:uid="{00000000-0005-0000-0000-00000D070000}"/>
    <cellStyle name="쉼표 [0] 2 19 5 2 2 3 2" xfId="12442" xr:uid="{28D3565B-1C8A-410A-91A6-71EEC351877F}"/>
    <cellStyle name="쉼표 [0] 2 19 5 2 2 4" xfId="8783" xr:uid="{F0CF5E8A-37FA-4EEA-963C-849C981D1B98}"/>
    <cellStyle name="쉼표 [0] 2 19 5 2 3" xfId="934" xr:uid="{00000000-0005-0000-0000-00000E070000}"/>
    <cellStyle name="쉼표 [0] 2 19 5 2 3 2" xfId="3294" xr:uid="{00000000-0005-0000-0000-00000F070000}"/>
    <cellStyle name="쉼표 [0] 2 19 5 2 3 2 2" xfId="6955" xr:uid="{00000000-0005-0000-0000-000010070000}"/>
    <cellStyle name="쉼표 [0] 2 19 5 2 3 2 2 2" xfId="14272" xr:uid="{FBBF913D-273F-478E-A0A2-D83045BD4475}"/>
    <cellStyle name="쉼표 [0] 2 19 5 2 3 2 3" xfId="10614" xr:uid="{8C6CA171-67DC-42C2-9F1C-DEC60410CEBB}"/>
    <cellStyle name="쉼표 [0] 2 19 5 2 3 3" xfId="5126" xr:uid="{00000000-0005-0000-0000-000011070000}"/>
    <cellStyle name="쉼표 [0] 2 19 5 2 3 3 2" xfId="12443" xr:uid="{09CAF743-295F-4948-BB65-0190CDA1162C}"/>
    <cellStyle name="쉼표 [0] 2 19 5 2 3 4" xfId="8784" xr:uid="{772A7007-9A9A-4040-992B-DE6C1F7DBBAD}"/>
    <cellStyle name="쉼표 [0] 2 19 5 2 4" xfId="3292" xr:uid="{00000000-0005-0000-0000-000012070000}"/>
    <cellStyle name="쉼표 [0] 2 19 5 2 4 2" xfId="6953" xr:uid="{00000000-0005-0000-0000-000013070000}"/>
    <cellStyle name="쉼표 [0] 2 19 5 2 4 2 2" xfId="14270" xr:uid="{6CFBCDD6-1821-4EC8-90B4-E3E5DF9E3A10}"/>
    <cellStyle name="쉼표 [0] 2 19 5 2 4 3" xfId="10612" xr:uid="{BB3C1E69-4588-45B9-AC40-D3B45F861725}"/>
    <cellStyle name="쉼표 [0] 2 19 5 2 5" xfId="5124" xr:uid="{00000000-0005-0000-0000-000014070000}"/>
    <cellStyle name="쉼표 [0] 2 19 5 2 5 2" xfId="12441" xr:uid="{34488AD1-FA37-4B3D-814C-9C1E81C10E02}"/>
    <cellStyle name="쉼표 [0] 2 19 5 2 6" xfId="8782" xr:uid="{5C476EB2-6A70-455E-91AC-BD525FF8BC66}"/>
    <cellStyle name="쉼표 [0] 2 19 5 3" xfId="935" xr:uid="{00000000-0005-0000-0000-000015070000}"/>
    <cellStyle name="쉼표 [0] 2 19 5 3 2" xfId="936" xr:uid="{00000000-0005-0000-0000-000016070000}"/>
    <cellStyle name="쉼표 [0] 2 19 5 3 2 2" xfId="3296" xr:uid="{00000000-0005-0000-0000-000017070000}"/>
    <cellStyle name="쉼표 [0] 2 19 5 3 2 2 2" xfId="6957" xr:uid="{00000000-0005-0000-0000-000018070000}"/>
    <cellStyle name="쉼표 [0] 2 19 5 3 2 2 2 2" xfId="14274" xr:uid="{6214D5C7-1352-4722-A035-1ED3AC00775F}"/>
    <cellStyle name="쉼표 [0] 2 19 5 3 2 2 3" xfId="10616" xr:uid="{ECC29120-64F2-4B6F-A33F-A71143E3FA65}"/>
    <cellStyle name="쉼표 [0] 2 19 5 3 2 3" xfId="5128" xr:uid="{00000000-0005-0000-0000-000019070000}"/>
    <cellStyle name="쉼표 [0] 2 19 5 3 2 3 2" xfId="12445" xr:uid="{4E492241-319C-46A7-B0F9-B7142239A51B}"/>
    <cellStyle name="쉼표 [0] 2 19 5 3 2 4" xfId="8786" xr:uid="{FCB5F832-1B08-44D5-872A-EE326D71FD3F}"/>
    <cellStyle name="쉼표 [0] 2 19 5 3 3" xfId="937" xr:uid="{00000000-0005-0000-0000-00001A070000}"/>
    <cellStyle name="쉼표 [0] 2 19 5 3 3 2" xfId="3297" xr:uid="{00000000-0005-0000-0000-00001B070000}"/>
    <cellStyle name="쉼표 [0] 2 19 5 3 3 2 2" xfId="6958" xr:uid="{00000000-0005-0000-0000-00001C070000}"/>
    <cellStyle name="쉼표 [0] 2 19 5 3 3 2 2 2" xfId="14275" xr:uid="{7AB8601A-834A-42D0-B232-3607B5073CBA}"/>
    <cellStyle name="쉼표 [0] 2 19 5 3 3 2 3" xfId="10617" xr:uid="{30490BB7-E85C-47A2-B822-48BF788682B2}"/>
    <cellStyle name="쉼표 [0] 2 19 5 3 3 3" xfId="5129" xr:uid="{00000000-0005-0000-0000-00001D070000}"/>
    <cellStyle name="쉼표 [0] 2 19 5 3 3 3 2" xfId="12446" xr:uid="{AB4FA4E0-01CC-4A17-A73A-A66AAB12AA5A}"/>
    <cellStyle name="쉼표 [0] 2 19 5 3 3 4" xfId="8787" xr:uid="{D394C530-49A7-4750-9B61-BB4778E3E9EA}"/>
    <cellStyle name="쉼표 [0] 2 19 5 3 4" xfId="3295" xr:uid="{00000000-0005-0000-0000-00001E070000}"/>
    <cellStyle name="쉼표 [0] 2 19 5 3 4 2" xfId="6956" xr:uid="{00000000-0005-0000-0000-00001F070000}"/>
    <cellStyle name="쉼표 [0] 2 19 5 3 4 2 2" xfId="14273" xr:uid="{4CF2581D-9E94-43A5-B942-109C8EC09F60}"/>
    <cellStyle name="쉼표 [0] 2 19 5 3 4 3" xfId="10615" xr:uid="{7734AECF-88AD-4FF7-BCB0-74C36E1454C9}"/>
    <cellStyle name="쉼표 [0] 2 19 5 3 5" xfId="5127" xr:uid="{00000000-0005-0000-0000-000020070000}"/>
    <cellStyle name="쉼표 [0] 2 19 5 3 5 2" xfId="12444" xr:uid="{8C876686-FFC1-4E3D-A507-0B29D50A8C92}"/>
    <cellStyle name="쉼표 [0] 2 19 5 3 6" xfId="8785" xr:uid="{A33BCD30-FB36-4A50-BC07-F12475AD8D01}"/>
    <cellStyle name="쉼표 [0] 2 19 5 4" xfId="938" xr:uid="{00000000-0005-0000-0000-000021070000}"/>
    <cellStyle name="쉼표 [0] 2 19 5 4 2" xfId="939" xr:uid="{00000000-0005-0000-0000-000022070000}"/>
    <cellStyle name="쉼표 [0] 2 19 5 4 2 2" xfId="3299" xr:uid="{00000000-0005-0000-0000-000023070000}"/>
    <cellStyle name="쉼표 [0] 2 19 5 4 2 2 2" xfId="6960" xr:uid="{00000000-0005-0000-0000-000024070000}"/>
    <cellStyle name="쉼표 [0] 2 19 5 4 2 2 2 2" xfId="14277" xr:uid="{864F6B7D-AAE3-4D67-8C5A-A30E82C821D9}"/>
    <cellStyle name="쉼표 [0] 2 19 5 4 2 2 3" xfId="10619" xr:uid="{7A5AAF0F-1AE9-4C9E-9232-9E5A463F5F04}"/>
    <cellStyle name="쉼표 [0] 2 19 5 4 2 3" xfId="5131" xr:uid="{00000000-0005-0000-0000-000025070000}"/>
    <cellStyle name="쉼표 [0] 2 19 5 4 2 3 2" xfId="12448" xr:uid="{E65B7B32-E4B0-4092-A9CD-34AB012740FE}"/>
    <cellStyle name="쉼표 [0] 2 19 5 4 2 4" xfId="8789" xr:uid="{C17F3762-B5C3-48BC-BB5A-C77BF2F7C152}"/>
    <cellStyle name="쉼표 [0] 2 19 5 4 3" xfId="940" xr:uid="{00000000-0005-0000-0000-000026070000}"/>
    <cellStyle name="쉼표 [0] 2 19 5 4 3 2" xfId="3300" xr:uid="{00000000-0005-0000-0000-000027070000}"/>
    <cellStyle name="쉼표 [0] 2 19 5 4 3 2 2" xfId="6961" xr:uid="{00000000-0005-0000-0000-000028070000}"/>
    <cellStyle name="쉼표 [0] 2 19 5 4 3 2 2 2" xfId="14278" xr:uid="{8481E890-453A-4C30-91FC-C646FFFACEFE}"/>
    <cellStyle name="쉼표 [0] 2 19 5 4 3 2 3" xfId="10620" xr:uid="{ABBD46A3-AE1E-4D5F-8EA4-D532A1CF5D98}"/>
    <cellStyle name="쉼표 [0] 2 19 5 4 3 3" xfId="5132" xr:uid="{00000000-0005-0000-0000-000029070000}"/>
    <cellStyle name="쉼표 [0] 2 19 5 4 3 3 2" xfId="12449" xr:uid="{BE920804-4362-45A6-8B22-E8C9E2E610D6}"/>
    <cellStyle name="쉼표 [0] 2 19 5 4 3 4" xfId="8790" xr:uid="{AC90EE74-C0A8-4816-8CF2-AE7FF9E5411C}"/>
    <cellStyle name="쉼표 [0] 2 19 5 4 4" xfId="3298" xr:uid="{00000000-0005-0000-0000-00002A070000}"/>
    <cellStyle name="쉼표 [0] 2 19 5 4 4 2" xfId="6959" xr:uid="{00000000-0005-0000-0000-00002B070000}"/>
    <cellStyle name="쉼표 [0] 2 19 5 4 4 2 2" xfId="14276" xr:uid="{A46A5C7A-55FC-416E-8236-895C9AB9E70E}"/>
    <cellStyle name="쉼표 [0] 2 19 5 4 4 3" xfId="10618" xr:uid="{F23EA047-B153-4C75-A038-90CFBF97CCAA}"/>
    <cellStyle name="쉼표 [0] 2 19 5 4 5" xfId="5130" xr:uid="{00000000-0005-0000-0000-00002C070000}"/>
    <cellStyle name="쉼표 [0] 2 19 5 4 5 2" xfId="12447" xr:uid="{04778E7D-41BD-4C88-A001-B1182EAAD63D}"/>
    <cellStyle name="쉼표 [0] 2 19 5 4 6" xfId="8788" xr:uid="{D6116ADA-87CC-4E9E-8563-6E9EBB8F53D9}"/>
    <cellStyle name="쉼표 [0] 2 19 5 5" xfId="941" xr:uid="{00000000-0005-0000-0000-00002D070000}"/>
    <cellStyle name="쉼표 [0] 2 19 5 5 2" xfId="942" xr:uid="{00000000-0005-0000-0000-00002E070000}"/>
    <cellStyle name="쉼표 [0] 2 19 5 5 2 2" xfId="3302" xr:uid="{00000000-0005-0000-0000-00002F070000}"/>
    <cellStyle name="쉼표 [0] 2 19 5 5 2 2 2" xfId="6963" xr:uid="{00000000-0005-0000-0000-000030070000}"/>
    <cellStyle name="쉼표 [0] 2 19 5 5 2 2 2 2" xfId="14280" xr:uid="{111B2198-1802-47BB-9FAA-DA57EF3871EE}"/>
    <cellStyle name="쉼표 [0] 2 19 5 5 2 2 3" xfId="10622" xr:uid="{5BCA3C72-D0BF-471C-BDDA-507D70CCC30E}"/>
    <cellStyle name="쉼표 [0] 2 19 5 5 2 3" xfId="5134" xr:uid="{00000000-0005-0000-0000-000031070000}"/>
    <cellStyle name="쉼표 [0] 2 19 5 5 2 3 2" xfId="12451" xr:uid="{F19162A0-09C1-4503-9D7A-F1AF9BD79D74}"/>
    <cellStyle name="쉼표 [0] 2 19 5 5 2 4" xfId="8792" xr:uid="{F4CA6278-3216-461F-9571-99454A614371}"/>
    <cellStyle name="쉼표 [0] 2 19 5 5 3" xfId="943" xr:uid="{00000000-0005-0000-0000-000032070000}"/>
    <cellStyle name="쉼표 [0] 2 19 5 5 3 2" xfId="3303" xr:uid="{00000000-0005-0000-0000-000033070000}"/>
    <cellStyle name="쉼표 [0] 2 19 5 5 3 2 2" xfId="6964" xr:uid="{00000000-0005-0000-0000-000034070000}"/>
    <cellStyle name="쉼표 [0] 2 19 5 5 3 2 2 2" xfId="14281" xr:uid="{684D1E17-B5B4-457A-B5EE-B7A1A6A9B750}"/>
    <cellStyle name="쉼표 [0] 2 19 5 5 3 2 3" xfId="10623" xr:uid="{3B3C5402-5C4A-44F2-957E-012DE743CC17}"/>
    <cellStyle name="쉼표 [0] 2 19 5 5 3 3" xfId="5135" xr:uid="{00000000-0005-0000-0000-000035070000}"/>
    <cellStyle name="쉼표 [0] 2 19 5 5 3 3 2" xfId="12452" xr:uid="{91C14ABC-8C1B-45F9-A418-9A51FCC593A9}"/>
    <cellStyle name="쉼표 [0] 2 19 5 5 3 4" xfId="8793" xr:uid="{0BE196C5-B9DA-4F72-93DF-86475A43ABA0}"/>
    <cellStyle name="쉼표 [0] 2 19 5 5 4" xfId="3301" xr:uid="{00000000-0005-0000-0000-000036070000}"/>
    <cellStyle name="쉼표 [0] 2 19 5 5 4 2" xfId="6962" xr:uid="{00000000-0005-0000-0000-000037070000}"/>
    <cellStyle name="쉼표 [0] 2 19 5 5 4 2 2" xfId="14279" xr:uid="{7B868BEC-2E02-4679-B3FC-75D8874D5B13}"/>
    <cellStyle name="쉼표 [0] 2 19 5 5 4 3" xfId="10621" xr:uid="{5A0F3D16-CE82-4B01-B758-6C85B80A4DF5}"/>
    <cellStyle name="쉼표 [0] 2 19 5 5 5" xfId="5133" xr:uid="{00000000-0005-0000-0000-000038070000}"/>
    <cellStyle name="쉼표 [0] 2 19 5 5 5 2" xfId="12450" xr:uid="{CF3AACE0-6695-44C3-86A0-A390DDFAB980}"/>
    <cellStyle name="쉼표 [0] 2 19 5 5 6" xfId="8791" xr:uid="{EC01E523-DDCB-4FD7-8E58-00CD8B7864CE}"/>
    <cellStyle name="쉼표 [0] 2 19 5 6" xfId="944" xr:uid="{00000000-0005-0000-0000-000039070000}"/>
    <cellStyle name="쉼표 [0] 2 19 5 6 2" xfId="945" xr:uid="{00000000-0005-0000-0000-00003A070000}"/>
    <cellStyle name="쉼표 [0] 2 19 5 6 2 2" xfId="3305" xr:uid="{00000000-0005-0000-0000-00003B070000}"/>
    <cellStyle name="쉼표 [0] 2 19 5 6 2 2 2" xfId="6966" xr:uid="{00000000-0005-0000-0000-00003C070000}"/>
    <cellStyle name="쉼표 [0] 2 19 5 6 2 2 2 2" xfId="14283" xr:uid="{EDD1A131-9121-42AF-933B-9512E018AC6B}"/>
    <cellStyle name="쉼표 [0] 2 19 5 6 2 2 3" xfId="10625" xr:uid="{37A53B79-A289-4064-95B2-95774538E9C9}"/>
    <cellStyle name="쉼표 [0] 2 19 5 6 2 3" xfId="5137" xr:uid="{00000000-0005-0000-0000-00003D070000}"/>
    <cellStyle name="쉼표 [0] 2 19 5 6 2 3 2" xfId="12454" xr:uid="{0A83760A-C410-40F3-91F1-8DCE723941A6}"/>
    <cellStyle name="쉼표 [0] 2 19 5 6 2 4" xfId="8795" xr:uid="{2A5BB22C-CC11-4F76-8CC0-5DFD07D1A504}"/>
    <cellStyle name="쉼표 [0] 2 19 5 6 3" xfId="946" xr:uid="{00000000-0005-0000-0000-00003E070000}"/>
    <cellStyle name="쉼표 [0] 2 19 5 6 3 2" xfId="3306" xr:uid="{00000000-0005-0000-0000-00003F070000}"/>
    <cellStyle name="쉼표 [0] 2 19 5 6 3 2 2" xfId="6967" xr:uid="{00000000-0005-0000-0000-000040070000}"/>
    <cellStyle name="쉼표 [0] 2 19 5 6 3 2 2 2" xfId="14284" xr:uid="{FD18AE08-9459-4A4C-928A-198FB565E809}"/>
    <cellStyle name="쉼표 [0] 2 19 5 6 3 2 3" xfId="10626" xr:uid="{0A506561-26D3-4E08-9D7E-99CFFD424494}"/>
    <cellStyle name="쉼표 [0] 2 19 5 6 3 3" xfId="5138" xr:uid="{00000000-0005-0000-0000-000041070000}"/>
    <cellStyle name="쉼표 [0] 2 19 5 6 3 3 2" xfId="12455" xr:uid="{89591296-3585-4AD7-9D8F-FEA6E3EF5CEE}"/>
    <cellStyle name="쉼표 [0] 2 19 5 6 3 4" xfId="8796" xr:uid="{5629ABDE-E7DC-4E11-A9B7-7B6FD39EF4D9}"/>
    <cellStyle name="쉼표 [0] 2 19 5 6 4" xfId="3304" xr:uid="{00000000-0005-0000-0000-000042070000}"/>
    <cellStyle name="쉼표 [0] 2 19 5 6 4 2" xfId="6965" xr:uid="{00000000-0005-0000-0000-000043070000}"/>
    <cellStyle name="쉼표 [0] 2 19 5 6 4 2 2" xfId="14282" xr:uid="{E317B2A7-8A98-4C0F-93A7-201D16F53457}"/>
    <cellStyle name="쉼표 [0] 2 19 5 6 4 3" xfId="10624" xr:uid="{4CA8CB95-A687-44EA-BDAC-794598150A90}"/>
    <cellStyle name="쉼표 [0] 2 19 5 6 5" xfId="5136" xr:uid="{00000000-0005-0000-0000-000044070000}"/>
    <cellStyle name="쉼표 [0] 2 19 5 6 5 2" xfId="12453" xr:uid="{C424C6D3-E68A-4ED6-9C59-512C52333B40}"/>
    <cellStyle name="쉼표 [0] 2 19 5 6 6" xfId="8794" xr:uid="{EADAFC1D-134D-4ECA-81B9-11BBA5062C61}"/>
    <cellStyle name="쉼표 [0] 2 19 5 7" xfId="947" xr:uid="{00000000-0005-0000-0000-000045070000}"/>
    <cellStyle name="쉼표 [0] 2 19 5 7 2" xfId="3307" xr:uid="{00000000-0005-0000-0000-000046070000}"/>
    <cellStyle name="쉼표 [0] 2 19 5 7 2 2" xfId="6968" xr:uid="{00000000-0005-0000-0000-000047070000}"/>
    <cellStyle name="쉼표 [0] 2 19 5 7 2 2 2" xfId="14285" xr:uid="{861F6A83-27AC-4566-89D3-0B3A0D97A636}"/>
    <cellStyle name="쉼표 [0] 2 19 5 7 2 3" xfId="10627" xr:uid="{5BD0CE38-403C-44BB-B0B3-0D75E6E40B96}"/>
    <cellStyle name="쉼표 [0] 2 19 5 7 3" xfId="5139" xr:uid="{00000000-0005-0000-0000-000048070000}"/>
    <cellStyle name="쉼표 [0] 2 19 5 7 3 2" xfId="12456" xr:uid="{0D138A54-F4E5-4C16-8574-11602C306A76}"/>
    <cellStyle name="쉼표 [0] 2 19 5 7 4" xfId="8797" xr:uid="{352A50B9-EF93-4E02-B6BA-C7E242503E36}"/>
    <cellStyle name="쉼표 [0] 2 19 5 8" xfId="948" xr:uid="{00000000-0005-0000-0000-000049070000}"/>
    <cellStyle name="쉼표 [0] 2 19 5 8 2" xfId="3308" xr:uid="{00000000-0005-0000-0000-00004A070000}"/>
    <cellStyle name="쉼표 [0] 2 19 5 8 2 2" xfId="6969" xr:uid="{00000000-0005-0000-0000-00004B070000}"/>
    <cellStyle name="쉼표 [0] 2 19 5 8 2 2 2" xfId="14286" xr:uid="{D92BFC27-6369-449F-B0D9-AB3B0E3855E8}"/>
    <cellStyle name="쉼표 [0] 2 19 5 8 2 3" xfId="10628" xr:uid="{60E8B317-8AC0-4D9E-878B-137F69017C3E}"/>
    <cellStyle name="쉼표 [0] 2 19 5 8 3" xfId="5140" xr:uid="{00000000-0005-0000-0000-00004C070000}"/>
    <cellStyle name="쉼표 [0] 2 19 5 8 3 2" xfId="12457" xr:uid="{6F38C1CA-3454-4F68-8E28-77FBEFCB6F42}"/>
    <cellStyle name="쉼표 [0] 2 19 5 8 4" xfId="8798" xr:uid="{8E8DDEFC-0D2A-4418-8715-8E4D5D1FB8DE}"/>
    <cellStyle name="쉼표 [0] 2 19 5 9" xfId="3291" xr:uid="{00000000-0005-0000-0000-00004D070000}"/>
    <cellStyle name="쉼표 [0] 2 19 5 9 2" xfId="6952" xr:uid="{00000000-0005-0000-0000-00004E070000}"/>
    <cellStyle name="쉼표 [0] 2 19 5 9 2 2" xfId="14269" xr:uid="{20CE73B4-8155-4619-A902-E8616EB5AA1B}"/>
    <cellStyle name="쉼표 [0] 2 19 5 9 3" xfId="10611" xr:uid="{CA2F1750-D500-4360-BB39-A27EF39E632C}"/>
    <cellStyle name="쉼표 [0] 2 19 6" xfId="949" xr:uid="{00000000-0005-0000-0000-00004F070000}"/>
    <cellStyle name="쉼표 [0] 2 19 6 10" xfId="5141" xr:uid="{00000000-0005-0000-0000-000050070000}"/>
    <cellStyle name="쉼표 [0] 2 19 6 10 2" xfId="12458" xr:uid="{427D48A1-8766-43C4-9604-1CA50989515E}"/>
    <cellStyle name="쉼표 [0] 2 19 6 11" xfId="8799" xr:uid="{AF1CDC38-C74D-4B28-9CA9-494D3EFD52FA}"/>
    <cellStyle name="쉼표 [0] 2 19 6 2" xfId="950" xr:uid="{00000000-0005-0000-0000-000051070000}"/>
    <cellStyle name="쉼표 [0] 2 19 6 2 2" xfId="951" xr:uid="{00000000-0005-0000-0000-000052070000}"/>
    <cellStyle name="쉼표 [0] 2 19 6 2 2 2" xfId="3311" xr:uid="{00000000-0005-0000-0000-000053070000}"/>
    <cellStyle name="쉼표 [0] 2 19 6 2 2 2 2" xfId="6972" xr:uid="{00000000-0005-0000-0000-000054070000}"/>
    <cellStyle name="쉼표 [0] 2 19 6 2 2 2 2 2" xfId="14289" xr:uid="{640796CB-9541-4774-BFF6-DCBE04C5FB44}"/>
    <cellStyle name="쉼표 [0] 2 19 6 2 2 2 3" xfId="10631" xr:uid="{FD458422-3EC3-46B5-968E-85CE3CFE37BD}"/>
    <cellStyle name="쉼표 [0] 2 19 6 2 2 3" xfId="5143" xr:uid="{00000000-0005-0000-0000-000055070000}"/>
    <cellStyle name="쉼표 [0] 2 19 6 2 2 3 2" xfId="12460" xr:uid="{9DEDE939-C1F2-477B-BE34-75FBC8B0CBBD}"/>
    <cellStyle name="쉼표 [0] 2 19 6 2 2 4" xfId="8801" xr:uid="{669E81FF-9B59-46F3-87E6-6F89B447A97E}"/>
    <cellStyle name="쉼표 [0] 2 19 6 2 3" xfId="952" xr:uid="{00000000-0005-0000-0000-000056070000}"/>
    <cellStyle name="쉼표 [0] 2 19 6 2 3 2" xfId="3312" xr:uid="{00000000-0005-0000-0000-000057070000}"/>
    <cellStyle name="쉼표 [0] 2 19 6 2 3 2 2" xfId="6973" xr:uid="{00000000-0005-0000-0000-000058070000}"/>
    <cellStyle name="쉼표 [0] 2 19 6 2 3 2 2 2" xfId="14290" xr:uid="{3B9827B5-8FB0-458F-9714-43A2BA8ADA8E}"/>
    <cellStyle name="쉼표 [0] 2 19 6 2 3 2 3" xfId="10632" xr:uid="{351B8239-4A83-48C1-A93D-C906EBC4CEA5}"/>
    <cellStyle name="쉼표 [0] 2 19 6 2 3 3" xfId="5144" xr:uid="{00000000-0005-0000-0000-000059070000}"/>
    <cellStyle name="쉼표 [0] 2 19 6 2 3 3 2" xfId="12461" xr:uid="{F69A1AA7-9AB5-451A-A729-D07274F42AF5}"/>
    <cellStyle name="쉼표 [0] 2 19 6 2 3 4" xfId="8802" xr:uid="{6F871917-245C-419B-A677-427E676D8EAC}"/>
    <cellStyle name="쉼표 [0] 2 19 6 2 4" xfId="3310" xr:uid="{00000000-0005-0000-0000-00005A070000}"/>
    <cellStyle name="쉼표 [0] 2 19 6 2 4 2" xfId="6971" xr:uid="{00000000-0005-0000-0000-00005B070000}"/>
    <cellStyle name="쉼표 [0] 2 19 6 2 4 2 2" xfId="14288" xr:uid="{114CBAB2-167D-45DA-BC46-A8DB463CD42A}"/>
    <cellStyle name="쉼표 [0] 2 19 6 2 4 3" xfId="10630" xr:uid="{46DC8CA5-2A46-4C41-931B-D31C93918FED}"/>
    <cellStyle name="쉼표 [0] 2 19 6 2 5" xfId="5142" xr:uid="{00000000-0005-0000-0000-00005C070000}"/>
    <cellStyle name="쉼표 [0] 2 19 6 2 5 2" xfId="12459" xr:uid="{95412F8D-E733-491E-B0B3-FE837FA88C6B}"/>
    <cellStyle name="쉼표 [0] 2 19 6 2 6" xfId="8800" xr:uid="{12033173-2C4E-455D-A208-7DF0FAEFFAFC}"/>
    <cellStyle name="쉼표 [0] 2 19 6 3" xfId="953" xr:uid="{00000000-0005-0000-0000-00005D070000}"/>
    <cellStyle name="쉼표 [0] 2 19 6 3 2" xfId="954" xr:uid="{00000000-0005-0000-0000-00005E070000}"/>
    <cellStyle name="쉼표 [0] 2 19 6 3 2 2" xfId="3314" xr:uid="{00000000-0005-0000-0000-00005F070000}"/>
    <cellStyle name="쉼표 [0] 2 19 6 3 2 2 2" xfId="6975" xr:uid="{00000000-0005-0000-0000-000060070000}"/>
    <cellStyle name="쉼표 [0] 2 19 6 3 2 2 2 2" xfId="14292" xr:uid="{FF2E91CE-E8CB-4687-920B-303BBD0C0D3A}"/>
    <cellStyle name="쉼표 [0] 2 19 6 3 2 2 3" xfId="10634" xr:uid="{B72D732D-B66C-476D-A85F-55CB62A940F2}"/>
    <cellStyle name="쉼표 [0] 2 19 6 3 2 3" xfId="5146" xr:uid="{00000000-0005-0000-0000-000061070000}"/>
    <cellStyle name="쉼표 [0] 2 19 6 3 2 3 2" xfId="12463" xr:uid="{FC1CED47-08D5-4E1A-8156-877096C49708}"/>
    <cellStyle name="쉼표 [0] 2 19 6 3 2 4" xfId="8804" xr:uid="{70A5EF86-2D55-4DA9-B696-C2E0E6A55A72}"/>
    <cellStyle name="쉼표 [0] 2 19 6 3 3" xfId="955" xr:uid="{00000000-0005-0000-0000-000062070000}"/>
    <cellStyle name="쉼표 [0] 2 19 6 3 3 2" xfId="3315" xr:uid="{00000000-0005-0000-0000-000063070000}"/>
    <cellStyle name="쉼표 [0] 2 19 6 3 3 2 2" xfId="6976" xr:uid="{00000000-0005-0000-0000-000064070000}"/>
    <cellStyle name="쉼표 [0] 2 19 6 3 3 2 2 2" xfId="14293" xr:uid="{F0F9A9C5-C0E5-42D2-BFDB-BE8959E4C3FA}"/>
    <cellStyle name="쉼표 [0] 2 19 6 3 3 2 3" xfId="10635" xr:uid="{F8EB164C-53BB-4516-8E6C-6BCBBE57F78E}"/>
    <cellStyle name="쉼표 [0] 2 19 6 3 3 3" xfId="5147" xr:uid="{00000000-0005-0000-0000-000065070000}"/>
    <cellStyle name="쉼표 [0] 2 19 6 3 3 3 2" xfId="12464" xr:uid="{3F8EF70F-1469-48FE-884E-0F199D0F3EEE}"/>
    <cellStyle name="쉼표 [0] 2 19 6 3 3 4" xfId="8805" xr:uid="{45E068FB-39E1-4969-BB94-4EBF686C9057}"/>
    <cellStyle name="쉼표 [0] 2 19 6 3 4" xfId="3313" xr:uid="{00000000-0005-0000-0000-000066070000}"/>
    <cellStyle name="쉼표 [0] 2 19 6 3 4 2" xfId="6974" xr:uid="{00000000-0005-0000-0000-000067070000}"/>
    <cellStyle name="쉼표 [0] 2 19 6 3 4 2 2" xfId="14291" xr:uid="{4D279C83-7182-4734-8C11-87E7D8051D66}"/>
    <cellStyle name="쉼표 [0] 2 19 6 3 4 3" xfId="10633" xr:uid="{96A63DE1-079D-41BD-A42D-B8D408960517}"/>
    <cellStyle name="쉼표 [0] 2 19 6 3 5" xfId="5145" xr:uid="{00000000-0005-0000-0000-000068070000}"/>
    <cellStyle name="쉼표 [0] 2 19 6 3 5 2" xfId="12462" xr:uid="{E3EB3D62-0090-45E4-BCAE-9C317A31002C}"/>
    <cellStyle name="쉼표 [0] 2 19 6 3 6" xfId="8803" xr:uid="{04B54F98-EB3E-4BC1-99A6-AF75E35777CC}"/>
    <cellStyle name="쉼표 [0] 2 19 6 4" xfId="956" xr:uid="{00000000-0005-0000-0000-000069070000}"/>
    <cellStyle name="쉼표 [0] 2 19 6 4 2" xfId="957" xr:uid="{00000000-0005-0000-0000-00006A070000}"/>
    <cellStyle name="쉼표 [0] 2 19 6 4 2 2" xfId="3317" xr:uid="{00000000-0005-0000-0000-00006B070000}"/>
    <cellStyle name="쉼표 [0] 2 19 6 4 2 2 2" xfId="6978" xr:uid="{00000000-0005-0000-0000-00006C070000}"/>
    <cellStyle name="쉼표 [0] 2 19 6 4 2 2 2 2" xfId="14295" xr:uid="{0BB7F6BB-930E-4819-B919-F36443F6DA44}"/>
    <cellStyle name="쉼표 [0] 2 19 6 4 2 2 3" xfId="10637" xr:uid="{9CF18155-F752-4271-BE2D-80A69AC27D47}"/>
    <cellStyle name="쉼표 [0] 2 19 6 4 2 3" xfId="5149" xr:uid="{00000000-0005-0000-0000-00006D070000}"/>
    <cellStyle name="쉼표 [0] 2 19 6 4 2 3 2" xfId="12466" xr:uid="{9CC78B11-BB77-43A2-8535-479B049586E8}"/>
    <cellStyle name="쉼표 [0] 2 19 6 4 2 4" xfId="8807" xr:uid="{DC0D86E4-3B7A-4F67-8638-32B1BB79A135}"/>
    <cellStyle name="쉼표 [0] 2 19 6 4 3" xfId="958" xr:uid="{00000000-0005-0000-0000-00006E070000}"/>
    <cellStyle name="쉼표 [0] 2 19 6 4 3 2" xfId="3318" xr:uid="{00000000-0005-0000-0000-00006F070000}"/>
    <cellStyle name="쉼표 [0] 2 19 6 4 3 2 2" xfId="6979" xr:uid="{00000000-0005-0000-0000-000070070000}"/>
    <cellStyle name="쉼표 [0] 2 19 6 4 3 2 2 2" xfId="14296" xr:uid="{DEECFD29-EF79-41BA-AC55-1B2759D6F92B}"/>
    <cellStyle name="쉼표 [0] 2 19 6 4 3 2 3" xfId="10638" xr:uid="{F33ABEA8-B317-4385-B225-0DB30EAE765D}"/>
    <cellStyle name="쉼표 [0] 2 19 6 4 3 3" xfId="5150" xr:uid="{00000000-0005-0000-0000-000071070000}"/>
    <cellStyle name="쉼표 [0] 2 19 6 4 3 3 2" xfId="12467" xr:uid="{58EC38E0-71F7-466C-A335-B3F7F7DB93B9}"/>
    <cellStyle name="쉼표 [0] 2 19 6 4 3 4" xfId="8808" xr:uid="{74B2204A-24E2-428F-8714-D6BAA502D8E1}"/>
    <cellStyle name="쉼표 [0] 2 19 6 4 4" xfId="3316" xr:uid="{00000000-0005-0000-0000-000072070000}"/>
    <cellStyle name="쉼표 [0] 2 19 6 4 4 2" xfId="6977" xr:uid="{00000000-0005-0000-0000-000073070000}"/>
    <cellStyle name="쉼표 [0] 2 19 6 4 4 2 2" xfId="14294" xr:uid="{E4C05C15-290E-46CB-B21C-502854B61DCD}"/>
    <cellStyle name="쉼표 [0] 2 19 6 4 4 3" xfId="10636" xr:uid="{16254D00-45A9-4C02-AB51-0C4633EBD33E}"/>
    <cellStyle name="쉼표 [0] 2 19 6 4 5" xfId="5148" xr:uid="{00000000-0005-0000-0000-000074070000}"/>
    <cellStyle name="쉼표 [0] 2 19 6 4 5 2" xfId="12465" xr:uid="{0C391D5B-7B39-4D1F-9630-3E6AB6D41E4A}"/>
    <cellStyle name="쉼표 [0] 2 19 6 4 6" xfId="8806" xr:uid="{C11445A5-CE09-442F-94A3-42BCAFA55FAD}"/>
    <cellStyle name="쉼표 [0] 2 19 6 5" xfId="959" xr:uid="{00000000-0005-0000-0000-000075070000}"/>
    <cellStyle name="쉼표 [0] 2 19 6 5 2" xfId="960" xr:uid="{00000000-0005-0000-0000-000076070000}"/>
    <cellStyle name="쉼표 [0] 2 19 6 5 2 2" xfId="3320" xr:uid="{00000000-0005-0000-0000-000077070000}"/>
    <cellStyle name="쉼표 [0] 2 19 6 5 2 2 2" xfId="6981" xr:uid="{00000000-0005-0000-0000-000078070000}"/>
    <cellStyle name="쉼표 [0] 2 19 6 5 2 2 2 2" xfId="14298" xr:uid="{CA683CF3-E0EE-47B7-B4A1-82DCE7E7B20E}"/>
    <cellStyle name="쉼표 [0] 2 19 6 5 2 2 3" xfId="10640" xr:uid="{AAD3A5E0-9D19-4619-BF18-299450B6AF74}"/>
    <cellStyle name="쉼표 [0] 2 19 6 5 2 3" xfId="5152" xr:uid="{00000000-0005-0000-0000-000079070000}"/>
    <cellStyle name="쉼표 [0] 2 19 6 5 2 3 2" xfId="12469" xr:uid="{A9CDBC8B-A176-4A0D-9E92-49223A4D05B3}"/>
    <cellStyle name="쉼표 [0] 2 19 6 5 2 4" xfId="8810" xr:uid="{F69CE997-AB85-48F6-BD09-AB0C69D83003}"/>
    <cellStyle name="쉼표 [0] 2 19 6 5 3" xfId="961" xr:uid="{00000000-0005-0000-0000-00007A070000}"/>
    <cellStyle name="쉼표 [0] 2 19 6 5 3 2" xfId="3321" xr:uid="{00000000-0005-0000-0000-00007B070000}"/>
    <cellStyle name="쉼표 [0] 2 19 6 5 3 2 2" xfId="6982" xr:uid="{00000000-0005-0000-0000-00007C070000}"/>
    <cellStyle name="쉼표 [0] 2 19 6 5 3 2 2 2" xfId="14299" xr:uid="{C0860F37-55F9-4F5D-ADEB-9E4E10992884}"/>
    <cellStyle name="쉼표 [0] 2 19 6 5 3 2 3" xfId="10641" xr:uid="{FEAD8257-751A-457D-83F7-D6DE8FA83060}"/>
    <cellStyle name="쉼표 [0] 2 19 6 5 3 3" xfId="5153" xr:uid="{00000000-0005-0000-0000-00007D070000}"/>
    <cellStyle name="쉼표 [0] 2 19 6 5 3 3 2" xfId="12470" xr:uid="{9C1DF215-97FC-4A72-8440-00D7740DE842}"/>
    <cellStyle name="쉼표 [0] 2 19 6 5 3 4" xfId="8811" xr:uid="{91A0C476-37D3-4C73-B2E7-28AD05005216}"/>
    <cellStyle name="쉼표 [0] 2 19 6 5 4" xfId="3319" xr:uid="{00000000-0005-0000-0000-00007E070000}"/>
    <cellStyle name="쉼표 [0] 2 19 6 5 4 2" xfId="6980" xr:uid="{00000000-0005-0000-0000-00007F070000}"/>
    <cellStyle name="쉼표 [0] 2 19 6 5 4 2 2" xfId="14297" xr:uid="{515EA05E-FF6A-4FD9-8273-F835351B5C4F}"/>
    <cellStyle name="쉼표 [0] 2 19 6 5 4 3" xfId="10639" xr:uid="{11BA3EC3-DE2E-4E03-96EA-37A6D4993AFB}"/>
    <cellStyle name="쉼표 [0] 2 19 6 5 5" xfId="5151" xr:uid="{00000000-0005-0000-0000-000080070000}"/>
    <cellStyle name="쉼표 [0] 2 19 6 5 5 2" xfId="12468" xr:uid="{1D537A3D-3FC1-4370-AE87-751C120AB8B7}"/>
    <cellStyle name="쉼표 [0] 2 19 6 5 6" xfId="8809" xr:uid="{DBB93321-A231-4239-A774-43B3CCBF8076}"/>
    <cellStyle name="쉼표 [0] 2 19 6 6" xfId="962" xr:uid="{00000000-0005-0000-0000-000081070000}"/>
    <cellStyle name="쉼표 [0] 2 19 6 6 2" xfId="963" xr:uid="{00000000-0005-0000-0000-000082070000}"/>
    <cellStyle name="쉼표 [0] 2 19 6 6 2 2" xfId="3323" xr:uid="{00000000-0005-0000-0000-000083070000}"/>
    <cellStyle name="쉼표 [0] 2 19 6 6 2 2 2" xfId="6984" xr:uid="{00000000-0005-0000-0000-000084070000}"/>
    <cellStyle name="쉼표 [0] 2 19 6 6 2 2 2 2" xfId="14301" xr:uid="{C82C038C-6148-4BB6-9F4F-F685FF9213D0}"/>
    <cellStyle name="쉼표 [0] 2 19 6 6 2 2 3" xfId="10643" xr:uid="{FEEF3049-BFC8-4FBF-AB55-E0AFB91A79AE}"/>
    <cellStyle name="쉼표 [0] 2 19 6 6 2 3" xfId="5155" xr:uid="{00000000-0005-0000-0000-000085070000}"/>
    <cellStyle name="쉼표 [0] 2 19 6 6 2 3 2" xfId="12472" xr:uid="{F2BA3212-6DA0-4B36-9B24-BAC6D7D4D881}"/>
    <cellStyle name="쉼표 [0] 2 19 6 6 2 4" xfId="8813" xr:uid="{CF04FAD7-81EE-48F1-8EB4-92D6A781FFE6}"/>
    <cellStyle name="쉼표 [0] 2 19 6 6 3" xfId="964" xr:uid="{00000000-0005-0000-0000-000086070000}"/>
    <cellStyle name="쉼표 [0] 2 19 6 6 3 2" xfId="3324" xr:uid="{00000000-0005-0000-0000-000087070000}"/>
    <cellStyle name="쉼표 [0] 2 19 6 6 3 2 2" xfId="6985" xr:uid="{00000000-0005-0000-0000-000088070000}"/>
    <cellStyle name="쉼표 [0] 2 19 6 6 3 2 2 2" xfId="14302" xr:uid="{7877D9C2-D2F5-41F0-BDE4-5C1BB2BFC07F}"/>
    <cellStyle name="쉼표 [0] 2 19 6 6 3 2 3" xfId="10644" xr:uid="{980402B6-457F-4DED-AFD7-F027E3B1201C}"/>
    <cellStyle name="쉼표 [0] 2 19 6 6 3 3" xfId="5156" xr:uid="{00000000-0005-0000-0000-000089070000}"/>
    <cellStyle name="쉼표 [0] 2 19 6 6 3 3 2" xfId="12473" xr:uid="{A1A932CB-9988-4ED5-A72E-C6049993E532}"/>
    <cellStyle name="쉼표 [0] 2 19 6 6 3 4" xfId="8814" xr:uid="{92CFCA96-6CC9-4FCF-9D2C-2A2A2E98DA18}"/>
    <cellStyle name="쉼표 [0] 2 19 6 6 4" xfId="3322" xr:uid="{00000000-0005-0000-0000-00008A070000}"/>
    <cellStyle name="쉼표 [0] 2 19 6 6 4 2" xfId="6983" xr:uid="{00000000-0005-0000-0000-00008B070000}"/>
    <cellStyle name="쉼표 [0] 2 19 6 6 4 2 2" xfId="14300" xr:uid="{42446CA2-257D-49C6-A673-94881B3D037B}"/>
    <cellStyle name="쉼표 [0] 2 19 6 6 4 3" xfId="10642" xr:uid="{152F0575-F57E-4A48-AA56-30B8823EBFB4}"/>
    <cellStyle name="쉼표 [0] 2 19 6 6 5" xfId="5154" xr:uid="{00000000-0005-0000-0000-00008C070000}"/>
    <cellStyle name="쉼표 [0] 2 19 6 6 5 2" xfId="12471" xr:uid="{DED1FB86-B189-41AE-B137-D86E508A16AA}"/>
    <cellStyle name="쉼표 [0] 2 19 6 6 6" xfId="8812" xr:uid="{315F66F2-0D7E-43DA-89BD-ABBFF76A59D3}"/>
    <cellStyle name="쉼표 [0] 2 19 6 7" xfId="965" xr:uid="{00000000-0005-0000-0000-00008D070000}"/>
    <cellStyle name="쉼표 [0] 2 19 6 7 2" xfId="3325" xr:uid="{00000000-0005-0000-0000-00008E070000}"/>
    <cellStyle name="쉼표 [0] 2 19 6 7 2 2" xfId="6986" xr:uid="{00000000-0005-0000-0000-00008F070000}"/>
    <cellStyle name="쉼표 [0] 2 19 6 7 2 2 2" xfId="14303" xr:uid="{FB692CFE-9009-459B-8B67-28B0617A1BCC}"/>
    <cellStyle name="쉼표 [0] 2 19 6 7 2 3" xfId="10645" xr:uid="{F353FD3F-FB12-4689-9087-D7D22A4A2126}"/>
    <cellStyle name="쉼표 [0] 2 19 6 7 3" xfId="5157" xr:uid="{00000000-0005-0000-0000-000090070000}"/>
    <cellStyle name="쉼표 [0] 2 19 6 7 3 2" xfId="12474" xr:uid="{91F00AC2-CF20-4F04-8276-A251B332087E}"/>
    <cellStyle name="쉼표 [0] 2 19 6 7 4" xfId="8815" xr:uid="{B333D147-4B4E-4110-8C31-E91B0FD6CAA0}"/>
    <cellStyle name="쉼표 [0] 2 19 6 8" xfId="966" xr:uid="{00000000-0005-0000-0000-000091070000}"/>
    <cellStyle name="쉼표 [0] 2 19 6 8 2" xfId="3326" xr:uid="{00000000-0005-0000-0000-000092070000}"/>
    <cellStyle name="쉼표 [0] 2 19 6 8 2 2" xfId="6987" xr:uid="{00000000-0005-0000-0000-000093070000}"/>
    <cellStyle name="쉼표 [0] 2 19 6 8 2 2 2" xfId="14304" xr:uid="{5D053D05-9AF3-473D-81F5-AA857A5C3581}"/>
    <cellStyle name="쉼표 [0] 2 19 6 8 2 3" xfId="10646" xr:uid="{9E1C3DD3-E11C-4581-9EEF-23EE6D63F4FD}"/>
    <cellStyle name="쉼표 [0] 2 19 6 8 3" xfId="5158" xr:uid="{00000000-0005-0000-0000-000094070000}"/>
    <cellStyle name="쉼표 [0] 2 19 6 8 3 2" xfId="12475" xr:uid="{93EA3968-B9D0-46C5-86D0-FA5512EBAEA2}"/>
    <cellStyle name="쉼표 [0] 2 19 6 8 4" xfId="8816" xr:uid="{7A386215-78A0-4F41-BDDF-ABAE0F5D6D4C}"/>
    <cellStyle name="쉼표 [0] 2 19 6 9" xfId="3309" xr:uid="{00000000-0005-0000-0000-000095070000}"/>
    <cellStyle name="쉼표 [0] 2 19 6 9 2" xfId="6970" xr:uid="{00000000-0005-0000-0000-000096070000}"/>
    <cellStyle name="쉼표 [0] 2 19 6 9 2 2" xfId="14287" xr:uid="{5FD21FB3-41FE-4D58-A8EB-28F8AB9068CD}"/>
    <cellStyle name="쉼표 [0] 2 19 6 9 3" xfId="10629" xr:uid="{4DF7DCF2-DBF3-4AE1-92D3-9BE9A955C1E8}"/>
    <cellStyle name="쉼표 [0] 2 19 7" xfId="967" xr:uid="{00000000-0005-0000-0000-000097070000}"/>
    <cellStyle name="쉼표 [0] 2 19 7 2" xfId="968" xr:uid="{00000000-0005-0000-0000-000098070000}"/>
    <cellStyle name="쉼표 [0] 2 19 7 2 2" xfId="3328" xr:uid="{00000000-0005-0000-0000-000099070000}"/>
    <cellStyle name="쉼표 [0] 2 19 7 2 2 2" xfId="6989" xr:uid="{00000000-0005-0000-0000-00009A070000}"/>
    <cellStyle name="쉼표 [0] 2 19 7 2 2 2 2" xfId="14306" xr:uid="{1E3181AB-0187-447B-B113-9A8EDA47103D}"/>
    <cellStyle name="쉼표 [0] 2 19 7 2 2 3" xfId="10648" xr:uid="{5EF855D2-1B80-466E-A20B-BE5A8CBBA3F9}"/>
    <cellStyle name="쉼표 [0] 2 19 7 2 3" xfId="5160" xr:uid="{00000000-0005-0000-0000-00009B070000}"/>
    <cellStyle name="쉼표 [0] 2 19 7 2 3 2" xfId="12477" xr:uid="{5FB762E8-45C6-41EA-A6E5-F6C56636FD2D}"/>
    <cellStyle name="쉼표 [0] 2 19 7 2 4" xfId="8818" xr:uid="{910F6BEC-4D17-48C2-81B4-1BE5E42ACE08}"/>
    <cellStyle name="쉼표 [0] 2 19 7 3" xfId="969" xr:uid="{00000000-0005-0000-0000-00009C070000}"/>
    <cellStyle name="쉼표 [0] 2 19 7 3 2" xfId="3329" xr:uid="{00000000-0005-0000-0000-00009D070000}"/>
    <cellStyle name="쉼표 [0] 2 19 7 3 2 2" xfId="6990" xr:uid="{00000000-0005-0000-0000-00009E070000}"/>
    <cellStyle name="쉼표 [0] 2 19 7 3 2 2 2" xfId="14307" xr:uid="{813A8CCA-B342-431E-AA8F-0419EDC39989}"/>
    <cellStyle name="쉼표 [0] 2 19 7 3 2 3" xfId="10649" xr:uid="{A4034E90-7339-4CC9-B2EC-64A9F217A8B2}"/>
    <cellStyle name="쉼표 [0] 2 19 7 3 3" xfId="5161" xr:uid="{00000000-0005-0000-0000-00009F070000}"/>
    <cellStyle name="쉼표 [0] 2 19 7 3 3 2" xfId="12478" xr:uid="{FCB696A0-A4F1-4F7A-91CF-B81EBB619827}"/>
    <cellStyle name="쉼표 [0] 2 19 7 3 4" xfId="8819" xr:uid="{B8620415-9183-4C04-BA14-936FC2065B6E}"/>
    <cellStyle name="쉼표 [0] 2 19 7 4" xfId="3327" xr:uid="{00000000-0005-0000-0000-0000A0070000}"/>
    <cellStyle name="쉼표 [0] 2 19 7 4 2" xfId="6988" xr:uid="{00000000-0005-0000-0000-0000A1070000}"/>
    <cellStyle name="쉼표 [0] 2 19 7 4 2 2" xfId="14305" xr:uid="{F9275959-AE1B-41D4-B839-A87F760B647F}"/>
    <cellStyle name="쉼표 [0] 2 19 7 4 3" xfId="10647" xr:uid="{1FB729E5-42C4-4375-8A32-DEDDFD649465}"/>
    <cellStyle name="쉼표 [0] 2 19 7 5" xfId="5159" xr:uid="{00000000-0005-0000-0000-0000A2070000}"/>
    <cellStyle name="쉼표 [0] 2 19 7 5 2" xfId="12476" xr:uid="{C93EF8FE-2806-4067-B821-93C1F278FA80}"/>
    <cellStyle name="쉼표 [0] 2 19 7 6" xfId="8817" xr:uid="{3E873D55-FEA3-403F-8B31-A52115FB61D8}"/>
    <cellStyle name="쉼표 [0] 2 19 8" xfId="970" xr:uid="{00000000-0005-0000-0000-0000A3070000}"/>
    <cellStyle name="쉼표 [0] 2 19 8 2" xfId="971" xr:uid="{00000000-0005-0000-0000-0000A4070000}"/>
    <cellStyle name="쉼표 [0] 2 19 8 2 2" xfId="3331" xr:uid="{00000000-0005-0000-0000-0000A5070000}"/>
    <cellStyle name="쉼표 [0] 2 19 8 2 2 2" xfId="6992" xr:uid="{00000000-0005-0000-0000-0000A6070000}"/>
    <cellStyle name="쉼표 [0] 2 19 8 2 2 2 2" xfId="14309" xr:uid="{1FB69962-7A8D-45A8-9502-9EFC2D48A29D}"/>
    <cellStyle name="쉼표 [0] 2 19 8 2 2 3" xfId="10651" xr:uid="{F61D787B-6521-4460-9C82-989351B71674}"/>
    <cellStyle name="쉼표 [0] 2 19 8 2 3" xfId="5163" xr:uid="{00000000-0005-0000-0000-0000A7070000}"/>
    <cellStyle name="쉼표 [0] 2 19 8 2 3 2" xfId="12480" xr:uid="{9C7D879A-9DC1-443A-B509-D707BF6CD138}"/>
    <cellStyle name="쉼표 [0] 2 19 8 2 4" xfId="8821" xr:uid="{E9CEDDE8-32BE-4A22-902F-FBE6C21ADE08}"/>
    <cellStyle name="쉼표 [0] 2 19 8 3" xfId="972" xr:uid="{00000000-0005-0000-0000-0000A8070000}"/>
    <cellStyle name="쉼표 [0] 2 19 8 3 2" xfId="3332" xr:uid="{00000000-0005-0000-0000-0000A9070000}"/>
    <cellStyle name="쉼표 [0] 2 19 8 3 2 2" xfId="6993" xr:uid="{00000000-0005-0000-0000-0000AA070000}"/>
    <cellStyle name="쉼표 [0] 2 19 8 3 2 2 2" xfId="14310" xr:uid="{F39395D5-986E-4584-BF82-0A948B550D68}"/>
    <cellStyle name="쉼표 [0] 2 19 8 3 2 3" xfId="10652" xr:uid="{98AC2391-EA0E-476C-9390-376A712CF6B5}"/>
    <cellStyle name="쉼표 [0] 2 19 8 3 3" xfId="5164" xr:uid="{00000000-0005-0000-0000-0000AB070000}"/>
    <cellStyle name="쉼표 [0] 2 19 8 3 3 2" xfId="12481" xr:uid="{84BD800E-E879-485B-9045-9F73A94EA272}"/>
    <cellStyle name="쉼표 [0] 2 19 8 3 4" xfId="8822" xr:uid="{7CC402A6-439B-4D91-8F51-3EBBB6164B1A}"/>
    <cellStyle name="쉼표 [0] 2 19 8 4" xfId="3330" xr:uid="{00000000-0005-0000-0000-0000AC070000}"/>
    <cellStyle name="쉼표 [0] 2 19 8 4 2" xfId="6991" xr:uid="{00000000-0005-0000-0000-0000AD070000}"/>
    <cellStyle name="쉼표 [0] 2 19 8 4 2 2" xfId="14308" xr:uid="{48575334-9139-4361-AFAF-36B5255B717A}"/>
    <cellStyle name="쉼표 [0] 2 19 8 4 3" xfId="10650" xr:uid="{C1F7470E-F704-4D47-8B96-ACBD1C4DB8F4}"/>
    <cellStyle name="쉼표 [0] 2 19 8 5" xfId="5162" xr:uid="{00000000-0005-0000-0000-0000AE070000}"/>
    <cellStyle name="쉼표 [0] 2 19 8 5 2" xfId="12479" xr:uid="{4EC58CAC-11C1-4726-A83A-97F887F97AB9}"/>
    <cellStyle name="쉼표 [0] 2 19 8 6" xfId="8820" xr:uid="{3DB890C7-B9EC-4222-8B44-9203B2E7490F}"/>
    <cellStyle name="쉼표 [0] 2 19 9" xfId="973" xr:uid="{00000000-0005-0000-0000-0000AF070000}"/>
    <cellStyle name="쉼표 [0] 2 19 9 2" xfId="974" xr:uid="{00000000-0005-0000-0000-0000B0070000}"/>
    <cellStyle name="쉼표 [0] 2 19 9 2 2" xfId="3334" xr:uid="{00000000-0005-0000-0000-0000B1070000}"/>
    <cellStyle name="쉼표 [0] 2 19 9 2 2 2" xfId="6995" xr:uid="{00000000-0005-0000-0000-0000B2070000}"/>
    <cellStyle name="쉼표 [0] 2 19 9 2 2 2 2" xfId="14312" xr:uid="{A11EC789-029E-456B-A690-7188DE3A92D9}"/>
    <cellStyle name="쉼표 [0] 2 19 9 2 2 3" xfId="10654" xr:uid="{5098D24F-BCEF-42A3-B51B-55C3525B3486}"/>
    <cellStyle name="쉼표 [0] 2 19 9 2 3" xfId="5166" xr:uid="{00000000-0005-0000-0000-0000B3070000}"/>
    <cellStyle name="쉼표 [0] 2 19 9 2 3 2" xfId="12483" xr:uid="{5D2E46A8-9B53-4D93-B360-2646DCEBCAFF}"/>
    <cellStyle name="쉼표 [0] 2 19 9 2 4" xfId="8824" xr:uid="{931046B3-9EFB-4D70-96C3-6C2999DC1700}"/>
    <cellStyle name="쉼표 [0] 2 19 9 3" xfId="975" xr:uid="{00000000-0005-0000-0000-0000B4070000}"/>
    <cellStyle name="쉼표 [0] 2 19 9 3 2" xfId="3335" xr:uid="{00000000-0005-0000-0000-0000B5070000}"/>
    <cellStyle name="쉼표 [0] 2 19 9 3 2 2" xfId="6996" xr:uid="{00000000-0005-0000-0000-0000B6070000}"/>
    <cellStyle name="쉼표 [0] 2 19 9 3 2 2 2" xfId="14313" xr:uid="{14104A1C-9AAC-4D3F-BCF5-C1F0E72E5954}"/>
    <cellStyle name="쉼표 [0] 2 19 9 3 2 3" xfId="10655" xr:uid="{B6B56220-6945-4245-8E2D-86BB893389C0}"/>
    <cellStyle name="쉼표 [0] 2 19 9 3 3" xfId="5167" xr:uid="{00000000-0005-0000-0000-0000B7070000}"/>
    <cellStyle name="쉼표 [0] 2 19 9 3 3 2" xfId="12484" xr:uid="{FFAAEBEC-5C18-46D9-B1D5-5ED99766D212}"/>
    <cellStyle name="쉼표 [0] 2 19 9 3 4" xfId="8825" xr:uid="{56802BE8-5D2C-41DD-8DA0-7F6BBD554C8E}"/>
    <cellStyle name="쉼표 [0] 2 19 9 4" xfId="3333" xr:uid="{00000000-0005-0000-0000-0000B8070000}"/>
    <cellStyle name="쉼표 [0] 2 19 9 4 2" xfId="6994" xr:uid="{00000000-0005-0000-0000-0000B9070000}"/>
    <cellStyle name="쉼표 [0] 2 19 9 4 2 2" xfId="14311" xr:uid="{E89E49BF-E303-4CF7-A871-1B0A665F418A}"/>
    <cellStyle name="쉼표 [0] 2 19 9 4 3" xfId="10653" xr:uid="{06EAB159-D4E4-4ED7-B17D-FA55417AB7F9}"/>
    <cellStyle name="쉼표 [0] 2 19 9 5" xfId="5165" xr:uid="{00000000-0005-0000-0000-0000BA070000}"/>
    <cellStyle name="쉼표 [0] 2 19 9 5 2" xfId="12482" xr:uid="{89817FB3-FD14-43F9-A47D-DB06801A3E82}"/>
    <cellStyle name="쉼표 [0] 2 19 9 6" xfId="8823" xr:uid="{ED18DFDA-612A-4259-9777-0F00CDE2E372}"/>
    <cellStyle name="쉼표 [0] 2 2" xfId="976" xr:uid="{00000000-0005-0000-0000-0000BB070000}"/>
    <cellStyle name="쉼표 [0] 2 2 10" xfId="977" xr:uid="{00000000-0005-0000-0000-0000BC070000}"/>
    <cellStyle name="쉼표 [0] 2 2 11" xfId="978" xr:uid="{00000000-0005-0000-0000-0000BD070000}"/>
    <cellStyle name="쉼표 [0] 2 2 12" xfId="979" xr:uid="{00000000-0005-0000-0000-0000BE070000}"/>
    <cellStyle name="쉼표 [0] 2 2 12 2" xfId="980" xr:uid="{00000000-0005-0000-0000-0000BF070000}"/>
    <cellStyle name="쉼표 [0] 2 2 12 2 2" xfId="981" xr:uid="{00000000-0005-0000-0000-0000C0070000}"/>
    <cellStyle name="쉼표 [0] 2 2 12 2 2 2" xfId="3339" xr:uid="{00000000-0005-0000-0000-0000C1070000}"/>
    <cellStyle name="쉼표 [0] 2 2 12 2 2 2 2" xfId="7000" xr:uid="{00000000-0005-0000-0000-0000C2070000}"/>
    <cellStyle name="쉼표 [0] 2 2 12 2 2 2 2 2" xfId="14317" xr:uid="{FE664882-3E7A-41BC-9794-E7ACB13E1A75}"/>
    <cellStyle name="쉼표 [0] 2 2 12 2 2 2 3" xfId="10659" xr:uid="{ADC81ED1-EE65-4D87-85CE-2D2FDBB184C3}"/>
    <cellStyle name="쉼표 [0] 2 2 12 2 2 3" xfId="5171" xr:uid="{00000000-0005-0000-0000-0000C3070000}"/>
    <cellStyle name="쉼표 [0] 2 2 12 2 2 3 2" xfId="12488" xr:uid="{D2899F46-3E67-43E3-93E3-1D0143389330}"/>
    <cellStyle name="쉼표 [0] 2 2 12 2 2 4" xfId="8829" xr:uid="{73FBC012-4734-438B-9F55-7A945F63EC28}"/>
    <cellStyle name="쉼표 [0] 2 2 12 2 3" xfId="982" xr:uid="{00000000-0005-0000-0000-0000C4070000}"/>
    <cellStyle name="쉼표 [0] 2 2 12 2 3 2" xfId="3340" xr:uid="{00000000-0005-0000-0000-0000C5070000}"/>
    <cellStyle name="쉼표 [0] 2 2 12 2 3 2 2" xfId="7001" xr:uid="{00000000-0005-0000-0000-0000C6070000}"/>
    <cellStyle name="쉼표 [0] 2 2 12 2 3 2 2 2" xfId="14318" xr:uid="{7DC4011B-6F15-48B6-A030-555EFAD4C7C9}"/>
    <cellStyle name="쉼표 [0] 2 2 12 2 3 2 3" xfId="10660" xr:uid="{15B6DCDF-8D75-4D89-A187-2506DA635D12}"/>
    <cellStyle name="쉼표 [0] 2 2 12 2 3 3" xfId="5172" xr:uid="{00000000-0005-0000-0000-0000C7070000}"/>
    <cellStyle name="쉼표 [0] 2 2 12 2 3 3 2" xfId="12489" xr:uid="{F2D250F6-1842-407C-B0A8-C51ECD58557A}"/>
    <cellStyle name="쉼표 [0] 2 2 12 2 3 4" xfId="8830" xr:uid="{1493D004-EC49-4649-BB41-E2E2B205A48E}"/>
    <cellStyle name="쉼표 [0] 2 2 12 2 4" xfId="983" xr:uid="{00000000-0005-0000-0000-0000C8070000}"/>
    <cellStyle name="쉼표 [0] 2 2 12 2 4 2" xfId="3341" xr:uid="{00000000-0005-0000-0000-0000C9070000}"/>
    <cellStyle name="쉼표 [0] 2 2 12 2 4 2 2" xfId="7002" xr:uid="{00000000-0005-0000-0000-0000CA070000}"/>
    <cellStyle name="쉼표 [0] 2 2 12 2 4 2 2 2" xfId="14319" xr:uid="{8AABDA73-0B85-44B9-A237-98E0E7FB2215}"/>
    <cellStyle name="쉼표 [0] 2 2 12 2 4 2 3" xfId="10661" xr:uid="{B5219FCB-0434-47A9-9018-ABA87693CC99}"/>
    <cellStyle name="쉼표 [0] 2 2 12 2 4 3" xfId="5173" xr:uid="{00000000-0005-0000-0000-0000CB070000}"/>
    <cellStyle name="쉼표 [0] 2 2 12 2 4 3 2" xfId="12490" xr:uid="{88D963B1-8A19-475C-BD7A-CF643FD677CE}"/>
    <cellStyle name="쉼표 [0] 2 2 12 2 4 4" xfId="8831" xr:uid="{FFF27FFA-4F4D-414E-8575-62F3854CECE3}"/>
    <cellStyle name="쉼표 [0] 2 2 12 2 5" xfId="3338" xr:uid="{00000000-0005-0000-0000-0000CC070000}"/>
    <cellStyle name="쉼표 [0] 2 2 12 2 5 2" xfId="6999" xr:uid="{00000000-0005-0000-0000-0000CD070000}"/>
    <cellStyle name="쉼표 [0] 2 2 12 2 5 2 2" xfId="14316" xr:uid="{DEC39CDE-31CD-4806-8C02-35B82B06058C}"/>
    <cellStyle name="쉼표 [0] 2 2 12 2 5 3" xfId="10658" xr:uid="{8A0AD985-0BAB-434D-B4FB-43AAC46356FF}"/>
    <cellStyle name="쉼표 [0] 2 2 12 2 6" xfId="5170" xr:uid="{00000000-0005-0000-0000-0000CE070000}"/>
    <cellStyle name="쉼표 [0] 2 2 12 2 6 2" xfId="12487" xr:uid="{0B78FE7F-F4B6-4877-8975-0741AB65DADD}"/>
    <cellStyle name="쉼표 [0] 2 2 12 2 7" xfId="8828" xr:uid="{E8DE4F45-854F-4226-82C9-B5CD183FDC3E}"/>
    <cellStyle name="쉼표 [0] 2 2 12 3" xfId="984" xr:uid="{00000000-0005-0000-0000-0000CF070000}"/>
    <cellStyle name="쉼표 [0] 2 2 12 3 2" xfId="3342" xr:uid="{00000000-0005-0000-0000-0000D0070000}"/>
    <cellStyle name="쉼표 [0] 2 2 12 3 2 2" xfId="7003" xr:uid="{00000000-0005-0000-0000-0000D1070000}"/>
    <cellStyle name="쉼표 [0] 2 2 12 3 2 2 2" xfId="14320" xr:uid="{F1188AC0-13CA-4800-A12B-2467750B2A17}"/>
    <cellStyle name="쉼표 [0] 2 2 12 3 2 3" xfId="10662" xr:uid="{C0F7F8DC-1D09-4D23-BB1D-92992164115C}"/>
    <cellStyle name="쉼표 [0] 2 2 12 3 3" xfId="5174" xr:uid="{00000000-0005-0000-0000-0000D2070000}"/>
    <cellStyle name="쉼표 [0] 2 2 12 3 3 2" xfId="12491" xr:uid="{B0257D3C-FF52-4B4D-9E39-661561A1AF52}"/>
    <cellStyle name="쉼표 [0] 2 2 12 3 4" xfId="8832" xr:uid="{BA9B8255-E923-41FA-965B-B4F48A3EEF87}"/>
    <cellStyle name="쉼표 [0] 2 2 12 4" xfId="985" xr:uid="{00000000-0005-0000-0000-0000D3070000}"/>
    <cellStyle name="쉼표 [0] 2 2 12 4 2" xfId="3343" xr:uid="{00000000-0005-0000-0000-0000D4070000}"/>
    <cellStyle name="쉼표 [0] 2 2 12 4 2 2" xfId="7004" xr:uid="{00000000-0005-0000-0000-0000D5070000}"/>
    <cellStyle name="쉼표 [0] 2 2 12 4 2 2 2" xfId="14321" xr:uid="{9873DDA1-45DE-43CC-8AEA-C1FE35A4ECAA}"/>
    <cellStyle name="쉼표 [0] 2 2 12 4 2 3" xfId="10663" xr:uid="{4BC0BB65-ED46-4603-A4FA-E4ABCD9B377F}"/>
    <cellStyle name="쉼표 [0] 2 2 12 4 3" xfId="5175" xr:uid="{00000000-0005-0000-0000-0000D6070000}"/>
    <cellStyle name="쉼표 [0] 2 2 12 4 3 2" xfId="12492" xr:uid="{93393C41-9260-411D-90AE-C1AAC3FE07AF}"/>
    <cellStyle name="쉼표 [0] 2 2 12 4 4" xfId="8833" xr:uid="{98FC8498-4B8F-419B-B114-3C5871ACEB78}"/>
    <cellStyle name="쉼표 [0] 2 2 12 5" xfId="986" xr:uid="{00000000-0005-0000-0000-0000D7070000}"/>
    <cellStyle name="쉼표 [0] 2 2 12 5 2" xfId="3344" xr:uid="{00000000-0005-0000-0000-0000D8070000}"/>
    <cellStyle name="쉼표 [0] 2 2 12 5 2 2" xfId="7005" xr:uid="{00000000-0005-0000-0000-0000D9070000}"/>
    <cellStyle name="쉼표 [0] 2 2 12 5 2 2 2" xfId="14322" xr:uid="{76D55906-361F-42B1-B4B1-3F5A59DA1C1E}"/>
    <cellStyle name="쉼표 [0] 2 2 12 5 2 3" xfId="10664" xr:uid="{C2CA81DE-5636-4BD5-8148-4FD165B0FFC0}"/>
    <cellStyle name="쉼표 [0] 2 2 12 5 3" xfId="5176" xr:uid="{00000000-0005-0000-0000-0000DA070000}"/>
    <cellStyle name="쉼표 [0] 2 2 12 5 3 2" xfId="12493" xr:uid="{8DD6DD95-908D-41F0-AF29-2D01591B5020}"/>
    <cellStyle name="쉼표 [0] 2 2 12 5 4" xfId="8834" xr:uid="{4644D3AB-A987-456B-A1CE-2E4FB1C100C7}"/>
    <cellStyle name="쉼표 [0] 2 2 12 6" xfId="3337" xr:uid="{00000000-0005-0000-0000-0000DB070000}"/>
    <cellStyle name="쉼표 [0] 2 2 12 6 2" xfId="6998" xr:uid="{00000000-0005-0000-0000-0000DC070000}"/>
    <cellStyle name="쉼표 [0] 2 2 12 6 2 2" xfId="14315" xr:uid="{C175A9BC-AF36-4DEB-B241-52C63224F383}"/>
    <cellStyle name="쉼표 [0] 2 2 12 6 3" xfId="10657" xr:uid="{8FF0B055-DCEA-4259-87EF-42BB94784230}"/>
    <cellStyle name="쉼표 [0] 2 2 12 7" xfId="5169" xr:uid="{00000000-0005-0000-0000-0000DD070000}"/>
    <cellStyle name="쉼표 [0] 2 2 12 7 2" xfId="12486" xr:uid="{D75AB6E7-D003-41E0-AF1F-351AF72F31B7}"/>
    <cellStyle name="쉼표 [0] 2 2 12 8" xfId="8827" xr:uid="{2579CF06-BBEA-4733-B8BF-6F60598CCB2C}"/>
    <cellStyle name="쉼표 [0] 2 2 13" xfId="987" xr:uid="{00000000-0005-0000-0000-0000DE070000}"/>
    <cellStyle name="쉼표 [0] 2 2 13 2" xfId="988" xr:uid="{00000000-0005-0000-0000-0000DF070000}"/>
    <cellStyle name="쉼표 [0] 2 2 13 2 2" xfId="989" xr:uid="{00000000-0005-0000-0000-0000E0070000}"/>
    <cellStyle name="쉼표 [0] 2 2 13 2 2 2" xfId="3347" xr:uid="{00000000-0005-0000-0000-0000E1070000}"/>
    <cellStyle name="쉼표 [0] 2 2 13 2 2 2 2" xfId="7008" xr:uid="{00000000-0005-0000-0000-0000E2070000}"/>
    <cellStyle name="쉼표 [0] 2 2 13 2 2 2 2 2" xfId="14325" xr:uid="{1937E0A3-54BB-4598-89AB-2AFC91060961}"/>
    <cellStyle name="쉼표 [0] 2 2 13 2 2 2 3" xfId="10667" xr:uid="{9906C81B-384F-4995-BE8F-43F0B38FD2D4}"/>
    <cellStyle name="쉼표 [0] 2 2 13 2 2 3" xfId="5179" xr:uid="{00000000-0005-0000-0000-0000E3070000}"/>
    <cellStyle name="쉼표 [0] 2 2 13 2 2 3 2" xfId="12496" xr:uid="{1EA62B2B-12B3-4D25-AA55-50F4004338CC}"/>
    <cellStyle name="쉼표 [0] 2 2 13 2 2 4" xfId="8837" xr:uid="{EBB4EF2C-D59D-4992-8503-5D5FBD660434}"/>
    <cellStyle name="쉼표 [0] 2 2 13 2 3" xfId="990" xr:uid="{00000000-0005-0000-0000-0000E4070000}"/>
    <cellStyle name="쉼표 [0] 2 2 13 2 3 2" xfId="3348" xr:uid="{00000000-0005-0000-0000-0000E5070000}"/>
    <cellStyle name="쉼표 [0] 2 2 13 2 3 2 2" xfId="7009" xr:uid="{00000000-0005-0000-0000-0000E6070000}"/>
    <cellStyle name="쉼표 [0] 2 2 13 2 3 2 2 2" xfId="14326" xr:uid="{0E8D06E8-CCDD-4796-A6CF-13D97DE2E0B0}"/>
    <cellStyle name="쉼표 [0] 2 2 13 2 3 2 3" xfId="10668" xr:uid="{7690010C-D564-4C6B-A76F-EF8B2F9F3FF5}"/>
    <cellStyle name="쉼표 [0] 2 2 13 2 3 3" xfId="5180" xr:uid="{00000000-0005-0000-0000-0000E7070000}"/>
    <cellStyle name="쉼표 [0] 2 2 13 2 3 3 2" xfId="12497" xr:uid="{37F0457E-EEFD-406C-B354-8CFC21AE23AB}"/>
    <cellStyle name="쉼표 [0] 2 2 13 2 3 4" xfId="8838" xr:uid="{38426D82-CA8E-459A-A638-9F37FD02C5B2}"/>
    <cellStyle name="쉼표 [0] 2 2 13 2 4" xfId="991" xr:uid="{00000000-0005-0000-0000-0000E8070000}"/>
    <cellStyle name="쉼표 [0] 2 2 13 2 4 2" xfId="3349" xr:uid="{00000000-0005-0000-0000-0000E9070000}"/>
    <cellStyle name="쉼표 [0] 2 2 13 2 4 2 2" xfId="7010" xr:uid="{00000000-0005-0000-0000-0000EA070000}"/>
    <cellStyle name="쉼표 [0] 2 2 13 2 4 2 2 2" xfId="14327" xr:uid="{56CB3F34-3BDF-4292-A26D-4DFEAF094EAA}"/>
    <cellStyle name="쉼표 [0] 2 2 13 2 4 2 3" xfId="10669" xr:uid="{9FD68B0E-0DA7-4457-948E-1245982BDCB7}"/>
    <cellStyle name="쉼표 [0] 2 2 13 2 4 3" xfId="5181" xr:uid="{00000000-0005-0000-0000-0000EB070000}"/>
    <cellStyle name="쉼표 [0] 2 2 13 2 4 3 2" xfId="12498" xr:uid="{14803F06-830B-44DF-8738-9A262DCF102B}"/>
    <cellStyle name="쉼표 [0] 2 2 13 2 4 4" xfId="8839" xr:uid="{93FBB4E5-F259-40D8-9EFF-1552E624FDAC}"/>
    <cellStyle name="쉼표 [0] 2 2 13 2 5" xfId="3346" xr:uid="{00000000-0005-0000-0000-0000EC070000}"/>
    <cellStyle name="쉼표 [0] 2 2 13 2 5 2" xfId="7007" xr:uid="{00000000-0005-0000-0000-0000ED070000}"/>
    <cellStyle name="쉼표 [0] 2 2 13 2 5 2 2" xfId="14324" xr:uid="{BF6BB875-F496-4834-86CE-7C439A448DED}"/>
    <cellStyle name="쉼표 [0] 2 2 13 2 5 3" xfId="10666" xr:uid="{B30E5BE2-16B1-4F74-8D60-DD761EAFD4C5}"/>
    <cellStyle name="쉼표 [0] 2 2 13 2 6" xfId="5178" xr:uid="{00000000-0005-0000-0000-0000EE070000}"/>
    <cellStyle name="쉼표 [0] 2 2 13 2 6 2" xfId="12495" xr:uid="{242C3EB4-19D9-468A-B22B-4EE49670CDF5}"/>
    <cellStyle name="쉼표 [0] 2 2 13 2 7" xfId="8836" xr:uid="{EC3559B5-F1AD-460D-98B0-C96E950F759A}"/>
    <cellStyle name="쉼표 [0] 2 2 13 3" xfId="992" xr:uid="{00000000-0005-0000-0000-0000EF070000}"/>
    <cellStyle name="쉼표 [0] 2 2 13 3 2" xfId="3350" xr:uid="{00000000-0005-0000-0000-0000F0070000}"/>
    <cellStyle name="쉼표 [0] 2 2 13 3 2 2" xfId="7011" xr:uid="{00000000-0005-0000-0000-0000F1070000}"/>
    <cellStyle name="쉼표 [0] 2 2 13 3 2 2 2" xfId="14328" xr:uid="{C8C513FF-A917-487A-8A79-A5159C70A060}"/>
    <cellStyle name="쉼표 [0] 2 2 13 3 2 3" xfId="10670" xr:uid="{B170B9AD-8B80-4C66-8EFE-AB181CB11746}"/>
    <cellStyle name="쉼표 [0] 2 2 13 3 3" xfId="5182" xr:uid="{00000000-0005-0000-0000-0000F2070000}"/>
    <cellStyle name="쉼표 [0] 2 2 13 3 3 2" xfId="12499" xr:uid="{A1524B89-F80A-4CCA-83D0-DA91859C136E}"/>
    <cellStyle name="쉼표 [0] 2 2 13 3 4" xfId="8840" xr:uid="{B0708E99-A824-4773-998D-2C6036352A06}"/>
    <cellStyle name="쉼표 [0] 2 2 13 4" xfId="993" xr:uid="{00000000-0005-0000-0000-0000F3070000}"/>
    <cellStyle name="쉼표 [0] 2 2 13 4 2" xfId="3351" xr:uid="{00000000-0005-0000-0000-0000F4070000}"/>
    <cellStyle name="쉼표 [0] 2 2 13 4 2 2" xfId="7012" xr:uid="{00000000-0005-0000-0000-0000F5070000}"/>
    <cellStyle name="쉼표 [0] 2 2 13 4 2 2 2" xfId="14329" xr:uid="{25E75340-C232-4267-BFE6-033DF6DBEB65}"/>
    <cellStyle name="쉼표 [0] 2 2 13 4 2 3" xfId="10671" xr:uid="{3B8F1F92-DEBF-446A-BF72-7EFF0363725E}"/>
    <cellStyle name="쉼표 [0] 2 2 13 4 3" xfId="5183" xr:uid="{00000000-0005-0000-0000-0000F6070000}"/>
    <cellStyle name="쉼표 [0] 2 2 13 4 3 2" xfId="12500" xr:uid="{09DDC0B9-7940-4CF1-8C80-90CC51D659F3}"/>
    <cellStyle name="쉼표 [0] 2 2 13 4 4" xfId="8841" xr:uid="{18B619CE-5A6F-4797-B2F3-30B1CEBEB2AF}"/>
    <cellStyle name="쉼표 [0] 2 2 13 5" xfId="994" xr:uid="{00000000-0005-0000-0000-0000F7070000}"/>
    <cellStyle name="쉼표 [0] 2 2 13 5 2" xfId="3352" xr:uid="{00000000-0005-0000-0000-0000F8070000}"/>
    <cellStyle name="쉼표 [0] 2 2 13 5 2 2" xfId="7013" xr:uid="{00000000-0005-0000-0000-0000F9070000}"/>
    <cellStyle name="쉼표 [0] 2 2 13 5 2 2 2" xfId="14330" xr:uid="{8766C385-C7B2-4932-A14E-CF9538243A75}"/>
    <cellStyle name="쉼표 [0] 2 2 13 5 2 3" xfId="10672" xr:uid="{3DDA2AC2-39E5-4F80-B7A7-6C5F12472FE8}"/>
    <cellStyle name="쉼표 [0] 2 2 13 5 3" xfId="5184" xr:uid="{00000000-0005-0000-0000-0000FA070000}"/>
    <cellStyle name="쉼표 [0] 2 2 13 5 3 2" xfId="12501" xr:uid="{63C4FBED-ADDD-4B02-92E6-C7353BCA257A}"/>
    <cellStyle name="쉼표 [0] 2 2 13 5 4" xfId="8842" xr:uid="{E9E784D9-02FA-4E88-9025-5B43EFBB6DEE}"/>
    <cellStyle name="쉼표 [0] 2 2 13 6" xfId="3345" xr:uid="{00000000-0005-0000-0000-0000FB070000}"/>
    <cellStyle name="쉼표 [0] 2 2 13 6 2" xfId="7006" xr:uid="{00000000-0005-0000-0000-0000FC070000}"/>
    <cellStyle name="쉼표 [0] 2 2 13 6 2 2" xfId="14323" xr:uid="{475FA272-F49E-468F-8571-0AC5422E0327}"/>
    <cellStyle name="쉼표 [0] 2 2 13 6 3" xfId="10665" xr:uid="{2378D3C6-77EC-4C5E-AD5B-49DFFC777552}"/>
    <cellStyle name="쉼표 [0] 2 2 13 7" xfId="5177" xr:uid="{00000000-0005-0000-0000-0000FD070000}"/>
    <cellStyle name="쉼표 [0] 2 2 13 7 2" xfId="12494" xr:uid="{76BB9759-8825-4DD1-A30B-7E3AFD283F4F}"/>
    <cellStyle name="쉼표 [0] 2 2 13 8" xfId="8835" xr:uid="{5D06A784-DC35-4488-9A6A-DE254ADD2DD0}"/>
    <cellStyle name="쉼표 [0] 2 2 14" xfId="995" xr:uid="{00000000-0005-0000-0000-0000FE070000}"/>
    <cellStyle name="쉼표 [0] 2 2 14 2" xfId="996" xr:uid="{00000000-0005-0000-0000-0000FF070000}"/>
    <cellStyle name="쉼표 [0] 2 2 14 2 2" xfId="997" xr:uid="{00000000-0005-0000-0000-000000080000}"/>
    <cellStyle name="쉼표 [0] 2 2 14 2 2 2" xfId="3355" xr:uid="{00000000-0005-0000-0000-000001080000}"/>
    <cellStyle name="쉼표 [0] 2 2 14 2 2 2 2" xfId="7016" xr:uid="{00000000-0005-0000-0000-000002080000}"/>
    <cellStyle name="쉼표 [0] 2 2 14 2 2 2 2 2" xfId="14333" xr:uid="{FDC09FCC-FE32-4ACB-A996-C18290A88E2F}"/>
    <cellStyle name="쉼표 [0] 2 2 14 2 2 2 3" xfId="10675" xr:uid="{C33CD7CA-6329-4716-ADCC-926C181847EB}"/>
    <cellStyle name="쉼표 [0] 2 2 14 2 2 3" xfId="5187" xr:uid="{00000000-0005-0000-0000-000003080000}"/>
    <cellStyle name="쉼표 [0] 2 2 14 2 2 3 2" xfId="12504" xr:uid="{AEB4304C-475A-4633-AFEF-3C678D43A3BC}"/>
    <cellStyle name="쉼표 [0] 2 2 14 2 2 4" xfId="8845" xr:uid="{2C84217A-E39E-48A6-9A64-9937150F7336}"/>
    <cellStyle name="쉼표 [0] 2 2 14 2 3" xfId="998" xr:uid="{00000000-0005-0000-0000-000004080000}"/>
    <cellStyle name="쉼표 [0] 2 2 14 2 3 2" xfId="3356" xr:uid="{00000000-0005-0000-0000-000005080000}"/>
    <cellStyle name="쉼표 [0] 2 2 14 2 3 2 2" xfId="7017" xr:uid="{00000000-0005-0000-0000-000006080000}"/>
    <cellStyle name="쉼표 [0] 2 2 14 2 3 2 2 2" xfId="14334" xr:uid="{9C7A24BE-036B-443E-A1B5-9745E9AF1B9E}"/>
    <cellStyle name="쉼표 [0] 2 2 14 2 3 2 3" xfId="10676" xr:uid="{D4166016-8EDD-43A8-BCFB-20483F111A04}"/>
    <cellStyle name="쉼표 [0] 2 2 14 2 3 3" xfId="5188" xr:uid="{00000000-0005-0000-0000-000007080000}"/>
    <cellStyle name="쉼표 [0] 2 2 14 2 3 3 2" xfId="12505" xr:uid="{B5A2A8FE-B98A-40F7-89FD-DDAF724C33D1}"/>
    <cellStyle name="쉼표 [0] 2 2 14 2 3 4" xfId="8846" xr:uid="{20C74141-471E-4323-BB0A-5A8DA7F83984}"/>
    <cellStyle name="쉼표 [0] 2 2 14 2 4" xfId="999" xr:uid="{00000000-0005-0000-0000-000008080000}"/>
    <cellStyle name="쉼표 [0] 2 2 14 2 4 2" xfId="3357" xr:uid="{00000000-0005-0000-0000-000009080000}"/>
    <cellStyle name="쉼표 [0] 2 2 14 2 4 2 2" xfId="7018" xr:uid="{00000000-0005-0000-0000-00000A080000}"/>
    <cellStyle name="쉼표 [0] 2 2 14 2 4 2 2 2" xfId="14335" xr:uid="{B479DE17-B157-46E2-B7B5-C44EFD1614DF}"/>
    <cellStyle name="쉼표 [0] 2 2 14 2 4 2 3" xfId="10677" xr:uid="{7C6A29C1-B412-4B50-AC3E-88CE096F4017}"/>
    <cellStyle name="쉼표 [0] 2 2 14 2 4 3" xfId="5189" xr:uid="{00000000-0005-0000-0000-00000B080000}"/>
    <cellStyle name="쉼표 [0] 2 2 14 2 4 3 2" xfId="12506" xr:uid="{367BDF08-0C24-4673-BC94-6F41152DED50}"/>
    <cellStyle name="쉼표 [0] 2 2 14 2 4 4" xfId="8847" xr:uid="{37CABBA8-B7EA-483A-9778-8D8993991826}"/>
    <cellStyle name="쉼표 [0] 2 2 14 2 5" xfId="3354" xr:uid="{00000000-0005-0000-0000-00000C080000}"/>
    <cellStyle name="쉼표 [0] 2 2 14 2 5 2" xfId="7015" xr:uid="{00000000-0005-0000-0000-00000D080000}"/>
    <cellStyle name="쉼표 [0] 2 2 14 2 5 2 2" xfId="14332" xr:uid="{E6963C1D-85F6-4D06-94EE-9C5DBC6BCF59}"/>
    <cellStyle name="쉼표 [0] 2 2 14 2 5 3" xfId="10674" xr:uid="{60A82F16-367C-45C0-8896-DB36F690DC3B}"/>
    <cellStyle name="쉼표 [0] 2 2 14 2 6" xfId="5186" xr:uid="{00000000-0005-0000-0000-00000E080000}"/>
    <cellStyle name="쉼표 [0] 2 2 14 2 6 2" xfId="12503" xr:uid="{95B20C70-3776-43E1-83F3-554B60864158}"/>
    <cellStyle name="쉼표 [0] 2 2 14 2 7" xfId="8844" xr:uid="{1BC0CB08-1947-4B5E-B5C0-4BE7594B1A3C}"/>
    <cellStyle name="쉼표 [0] 2 2 14 3" xfId="1000" xr:uid="{00000000-0005-0000-0000-00000F080000}"/>
    <cellStyle name="쉼표 [0] 2 2 14 3 2" xfId="3358" xr:uid="{00000000-0005-0000-0000-000010080000}"/>
    <cellStyle name="쉼표 [0] 2 2 14 3 2 2" xfId="7019" xr:uid="{00000000-0005-0000-0000-000011080000}"/>
    <cellStyle name="쉼표 [0] 2 2 14 3 2 2 2" xfId="14336" xr:uid="{144F29D2-D54C-4AAA-91E7-FD39218DA286}"/>
    <cellStyle name="쉼표 [0] 2 2 14 3 2 3" xfId="10678" xr:uid="{7D93D6E2-4990-434C-8CB9-485E739EC4DB}"/>
    <cellStyle name="쉼표 [0] 2 2 14 3 3" xfId="5190" xr:uid="{00000000-0005-0000-0000-000012080000}"/>
    <cellStyle name="쉼표 [0] 2 2 14 3 3 2" xfId="12507" xr:uid="{497A8A68-DE98-4291-AF4B-05222DEFE1CA}"/>
    <cellStyle name="쉼표 [0] 2 2 14 3 4" xfId="8848" xr:uid="{711C49B0-0B39-47D5-A606-7FAFBEC06192}"/>
    <cellStyle name="쉼표 [0] 2 2 14 4" xfId="1001" xr:uid="{00000000-0005-0000-0000-000013080000}"/>
    <cellStyle name="쉼표 [0] 2 2 14 4 2" xfId="3359" xr:uid="{00000000-0005-0000-0000-000014080000}"/>
    <cellStyle name="쉼표 [0] 2 2 14 4 2 2" xfId="7020" xr:uid="{00000000-0005-0000-0000-000015080000}"/>
    <cellStyle name="쉼표 [0] 2 2 14 4 2 2 2" xfId="14337" xr:uid="{ECCAC15A-EC06-42B5-8F09-E964A969124C}"/>
    <cellStyle name="쉼표 [0] 2 2 14 4 2 3" xfId="10679" xr:uid="{E084A440-F623-431E-9F34-92DB0E52F3D4}"/>
    <cellStyle name="쉼표 [0] 2 2 14 4 3" xfId="5191" xr:uid="{00000000-0005-0000-0000-000016080000}"/>
    <cellStyle name="쉼표 [0] 2 2 14 4 3 2" xfId="12508" xr:uid="{A46E90DD-D4C9-4216-942C-0FA2C509C302}"/>
    <cellStyle name="쉼표 [0] 2 2 14 4 4" xfId="8849" xr:uid="{BA32CFD9-CB28-4866-865E-950B7BA727E9}"/>
    <cellStyle name="쉼표 [0] 2 2 14 5" xfId="1002" xr:uid="{00000000-0005-0000-0000-000017080000}"/>
    <cellStyle name="쉼표 [0] 2 2 14 5 2" xfId="3360" xr:uid="{00000000-0005-0000-0000-000018080000}"/>
    <cellStyle name="쉼표 [0] 2 2 14 5 2 2" xfId="7021" xr:uid="{00000000-0005-0000-0000-000019080000}"/>
    <cellStyle name="쉼표 [0] 2 2 14 5 2 2 2" xfId="14338" xr:uid="{3F0412EB-5FD4-47D0-AF65-8982FCFC2B55}"/>
    <cellStyle name="쉼표 [0] 2 2 14 5 2 3" xfId="10680" xr:uid="{AACB036E-DBD4-404C-821D-ED77132C970F}"/>
    <cellStyle name="쉼표 [0] 2 2 14 5 3" xfId="5192" xr:uid="{00000000-0005-0000-0000-00001A080000}"/>
    <cellStyle name="쉼표 [0] 2 2 14 5 3 2" xfId="12509" xr:uid="{2D8DCCED-01D5-4454-BB30-14B2A5BF6C7E}"/>
    <cellStyle name="쉼표 [0] 2 2 14 5 4" xfId="8850" xr:uid="{EF32CC81-6861-4156-B41D-0CE306261B5F}"/>
    <cellStyle name="쉼표 [0] 2 2 14 6" xfId="3353" xr:uid="{00000000-0005-0000-0000-00001B080000}"/>
    <cellStyle name="쉼표 [0] 2 2 14 6 2" xfId="7014" xr:uid="{00000000-0005-0000-0000-00001C080000}"/>
    <cellStyle name="쉼표 [0] 2 2 14 6 2 2" xfId="14331" xr:uid="{4E4E59BA-C641-4C1B-BDB1-D78EEBDC9DCF}"/>
    <cellStyle name="쉼표 [0] 2 2 14 6 3" xfId="10673" xr:uid="{EB44F497-8716-4442-B3BA-9EB97359870D}"/>
    <cellStyle name="쉼표 [0] 2 2 14 7" xfId="5185" xr:uid="{00000000-0005-0000-0000-00001D080000}"/>
    <cellStyle name="쉼표 [0] 2 2 14 7 2" xfId="12502" xr:uid="{D5A61748-D4A3-433C-938E-795F28453EFE}"/>
    <cellStyle name="쉼표 [0] 2 2 14 8" xfId="8843" xr:uid="{A18E50E7-8956-44CD-BF84-ACC385111A57}"/>
    <cellStyle name="쉼표 [0] 2 2 15" xfId="1003" xr:uid="{00000000-0005-0000-0000-00001E080000}"/>
    <cellStyle name="쉼표 [0] 2 2 15 2" xfId="1004" xr:uid="{00000000-0005-0000-0000-00001F080000}"/>
    <cellStyle name="쉼표 [0] 2 2 15 2 2" xfId="1005" xr:uid="{00000000-0005-0000-0000-000020080000}"/>
    <cellStyle name="쉼표 [0] 2 2 15 2 2 2" xfId="3363" xr:uid="{00000000-0005-0000-0000-000021080000}"/>
    <cellStyle name="쉼표 [0] 2 2 15 2 2 2 2" xfId="7024" xr:uid="{00000000-0005-0000-0000-000022080000}"/>
    <cellStyle name="쉼표 [0] 2 2 15 2 2 2 2 2" xfId="14341" xr:uid="{2019CBB1-B9BF-4802-9ED7-2F53D93FE85D}"/>
    <cellStyle name="쉼표 [0] 2 2 15 2 2 2 3" xfId="10683" xr:uid="{DC76223F-0C6E-4267-A962-0AA6A4F9009D}"/>
    <cellStyle name="쉼표 [0] 2 2 15 2 2 3" xfId="5195" xr:uid="{00000000-0005-0000-0000-000023080000}"/>
    <cellStyle name="쉼표 [0] 2 2 15 2 2 3 2" xfId="12512" xr:uid="{BC4C859C-EFD4-4482-B19E-00B234D03ADC}"/>
    <cellStyle name="쉼표 [0] 2 2 15 2 2 4" xfId="8853" xr:uid="{CD98C068-0B9D-4103-8F8D-9FD5D60F78F5}"/>
    <cellStyle name="쉼표 [0] 2 2 15 2 3" xfId="1006" xr:uid="{00000000-0005-0000-0000-000024080000}"/>
    <cellStyle name="쉼표 [0] 2 2 15 2 3 2" xfId="3364" xr:uid="{00000000-0005-0000-0000-000025080000}"/>
    <cellStyle name="쉼표 [0] 2 2 15 2 3 2 2" xfId="7025" xr:uid="{00000000-0005-0000-0000-000026080000}"/>
    <cellStyle name="쉼표 [0] 2 2 15 2 3 2 2 2" xfId="14342" xr:uid="{C53A40D9-4D64-4C4C-B23E-E746488B4ED7}"/>
    <cellStyle name="쉼표 [0] 2 2 15 2 3 2 3" xfId="10684" xr:uid="{DDC674D8-B4E3-42BB-85B8-2CEEA8846E5D}"/>
    <cellStyle name="쉼표 [0] 2 2 15 2 3 3" xfId="5196" xr:uid="{00000000-0005-0000-0000-000027080000}"/>
    <cellStyle name="쉼표 [0] 2 2 15 2 3 3 2" xfId="12513" xr:uid="{B81AACFB-6510-4914-A0E6-3C74C39FEAA8}"/>
    <cellStyle name="쉼표 [0] 2 2 15 2 3 4" xfId="8854" xr:uid="{D93A5498-22A3-430F-BA8E-21F8C700E420}"/>
    <cellStyle name="쉼표 [0] 2 2 15 2 4" xfId="1007" xr:uid="{00000000-0005-0000-0000-000028080000}"/>
    <cellStyle name="쉼표 [0] 2 2 15 2 4 2" xfId="3365" xr:uid="{00000000-0005-0000-0000-000029080000}"/>
    <cellStyle name="쉼표 [0] 2 2 15 2 4 2 2" xfId="7026" xr:uid="{00000000-0005-0000-0000-00002A080000}"/>
    <cellStyle name="쉼표 [0] 2 2 15 2 4 2 2 2" xfId="14343" xr:uid="{0098A763-F32D-4AE3-979E-A0A1C1BEC12A}"/>
    <cellStyle name="쉼표 [0] 2 2 15 2 4 2 3" xfId="10685" xr:uid="{83778A5B-521F-4783-9EEC-17A2362D0E67}"/>
    <cellStyle name="쉼표 [0] 2 2 15 2 4 3" xfId="5197" xr:uid="{00000000-0005-0000-0000-00002B080000}"/>
    <cellStyle name="쉼표 [0] 2 2 15 2 4 3 2" xfId="12514" xr:uid="{04407A93-FC64-4DBF-AD4C-614DB1A12E63}"/>
    <cellStyle name="쉼표 [0] 2 2 15 2 4 4" xfId="8855" xr:uid="{92BF9B5D-1BEC-4A56-BB52-57C9B96EEE03}"/>
    <cellStyle name="쉼표 [0] 2 2 15 2 5" xfId="3362" xr:uid="{00000000-0005-0000-0000-00002C080000}"/>
    <cellStyle name="쉼표 [0] 2 2 15 2 5 2" xfId="7023" xr:uid="{00000000-0005-0000-0000-00002D080000}"/>
    <cellStyle name="쉼표 [0] 2 2 15 2 5 2 2" xfId="14340" xr:uid="{0F3F8786-33DA-444A-ABEC-C5279953604B}"/>
    <cellStyle name="쉼표 [0] 2 2 15 2 5 3" xfId="10682" xr:uid="{6A4A2762-3CCD-462F-B9C1-2E3D3910FF8F}"/>
    <cellStyle name="쉼표 [0] 2 2 15 2 6" xfId="5194" xr:uid="{00000000-0005-0000-0000-00002E080000}"/>
    <cellStyle name="쉼표 [0] 2 2 15 2 6 2" xfId="12511" xr:uid="{A6F29E7D-321B-4D49-A441-0167C0FD4DF5}"/>
    <cellStyle name="쉼표 [0] 2 2 15 2 7" xfId="8852" xr:uid="{89A678CA-191E-4558-9FAD-2B6CBD018670}"/>
    <cellStyle name="쉼표 [0] 2 2 15 3" xfId="1008" xr:uid="{00000000-0005-0000-0000-00002F080000}"/>
    <cellStyle name="쉼표 [0] 2 2 15 3 2" xfId="3366" xr:uid="{00000000-0005-0000-0000-000030080000}"/>
    <cellStyle name="쉼표 [0] 2 2 15 3 2 2" xfId="7027" xr:uid="{00000000-0005-0000-0000-000031080000}"/>
    <cellStyle name="쉼표 [0] 2 2 15 3 2 2 2" xfId="14344" xr:uid="{B5ED78B0-16BC-4D5F-8BBA-F41480F67AE0}"/>
    <cellStyle name="쉼표 [0] 2 2 15 3 2 3" xfId="10686" xr:uid="{2FFB5DCD-F8B8-4875-89C0-E58639524BCB}"/>
    <cellStyle name="쉼표 [0] 2 2 15 3 3" xfId="5198" xr:uid="{00000000-0005-0000-0000-000032080000}"/>
    <cellStyle name="쉼표 [0] 2 2 15 3 3 2" xfId="12515" xr:uid="{341E5678-E2B6-47C1-9BDF-159E7C9E0D56}"/>
    <cellStyle name="쉼표 [0] 2 2 15 3 4" xfId="8856" xr:uid="{B260734F-85CD-4E5D-9A04-AB6E4B3BEA11}"/>
    <cellStyle name="쉼표 [0] 2 2 15 4" xfId="1009" xr:uid="{00000000-0005-0000-0000-000033080000}"/>
    <cellStyle name="쉼표 [0] 2 2 15 4 2" xfId="3367" xr:uid="{00000000-0005-0000-0000-000034080000}"/>
    <cellStyle name="쉼표 [0] 2 2 15 4 2 2" xfId="7028" xr:uid="{00000000-0005-0000-0000-000035080000}"/>
    <cellStyle name="쉼표 [0] 2 2 15 4 2 2 2" xfId="14345" xr:uid="{83DA866C-38B0-4F57-AE17-A75EA283D1AE}"/>
    <cellStyle name="쉼표 [0] 2 2 15 4 2 3" xfId="10687" xr:uid="{DD9ED6CB-1447-4BBE-AA7C-081527658CDF}"/>
    <cellStyle name="쉼표 [0] 2 2 15 4 3" xfId="5199" xr:uid="{00000000-0005-0000-0000-000036080000}"/>
    <cellStyle name="쉼표 [0] 2 2 15 4 3 2" xfId="12516" xr:uid="{1EE84AE0-E4D1-4AB7-B639-2C4F3C3AD970}"/>
    <cellStyle name="쉼표 [0] 2 2 15 4 4" xfId="8857" xr:uid="{429B5245-C3DC-4FA7-B2F5-41AEEA35616E}"/>
    <cellStyle name="쉼표 [0] 2 2 15 5" xfId="1010" xr:uid="{00000000-0005-0000-0000-000037080000}"/>
    <cellStyle name="쉼표 [0] 2 2 15 5 2" xfId="3368" xr:uid="{00000000-0005-0000-0000-000038080000}"/>
    <cellStyle name="쉼표 [0] 2 2 15 5 2 2" xfId="7029" xr:uid="{00000000-0005-0000-0000-000039080000}"/>
    <cellStyle name="쉼표 [0] 2 2 15 5 2 2 2" xfId="14346" xr:uid="{E1CAD0F6-FE31-410C-A56C-5B4500A1B711}"/>
    <cellStyle name="쉼표 [0] 2 2 15 5 2 3" xfId="10688" xr:uid="{285EE670-53BA-44CC-B0AC-98987EEA1F1A}"/>
    <cellStyle name="쉼표 [0] 2 2 15 5 3" xfId="5200" xr:uid="{00000000-0005-0000-0000-00003A080000}"/>
    <cellStyle name="쉼표 [0] 2 2 15 5 3 2" xfId="12517" xr:uid="{184EC85D-A9E5-4627-9874-8BA269DD05A7}"/>
    <cellStyle name="쉼표 [0] 2 2 15 5 4" xfId="8858" xr:uid="{B6914ACB-D9A7-4D2C-83A4-F5C18BE130E4}"/>
    <cellStyle name="쉼표 [0] 2 2 15 6" xfId="3361" xr:uid="{00000000-0005-0000-0000-00003B080000}"/>
    <cellStyle name="쉼표 [0] 2 2 15 6 2" xfId="7022" xr:uid="{00000000-0005-0000-0000-00003C080000}"/>
    <cellStyle name="쉼표 [0] 2 2 15 6 2 2" xfId="14339" xr:uid="{CCB30FE1-8D2E-4951-8298-6F1EA67EF061}"/>
    <cellStyle name="쉼표 [0] 2 2 15 6 3" xfId="10681" xr:uid="{624BA7DC-3EFF-4DF8-A6DC-758F4483A633}"/>
    <cellStyle name="쉼표 [0] 2 2 15 7" xfId="5193" xr:uid="{00000000-0005-0000-0000-00003D080000}"/>
    <cellStyle name="쉼표 [0] 2 2 15 7 2" xfId="12510" xr:uid="{AAC02C40-E86D-49F3-B2AE-AF53D3374F17}"/>
    <cellStyle name="쉼표 [0] 2 2 15 8" xfId="8851" xr:uid="{2CA266FA-6969-4019-AC2D-3E335084D1F8}"/>
    <cellStyle name="쉼표 [0] 2 2 16" xfId="1011" xr:uid="{00000000-0005-0000-0000-00003E080000}"/>
    <cellStyle name="쉼표 [0] 2 2 16 2" xfId="1012" xr:uid="{00000000-0005-0000-0000-00003F080000}"/>
    <cellStyle name="쉼표 [0] 2 2 16 2 2" xfId="1013" xr:uid="{00000000-0005-0000-0000-000040080000}"/>
    <cellStyle name="쉼표 [0] 2 2 16 2 2 2" xfId="3371" xr:uid="{00000000-0005-0000-0000-000041080000}"/>
    <cellStyle name="쉼표 [0] 2 2 16 2 2 2 2" xfId="7032" xr:uid="{00000000-0005-0000-0000-000042080000}"/>
    <cellStyle name="쉼표 [0] 2 2 16 2 2 2 2 2" xfId="14349" xr:uid="{8658EA44-EC8D-47E9-AFAF-C93DD4D5D1E8}"/>
    <cellStyle name="쉼표 [0] 2 2 16 2 2 2 3" xfId="10691" xr:uid="{1553E3F0-074E-4B8D-A1E1-73153C2D22C9}"/>
    <cellStyle name="쉼표 [0] 2 2 16 2 2 3" xfId="5203" xr:uid="{00000000-0005-0000-0000-000043080000}"/>
    <cellStyle name="쉼표 [0] 2 2 16 2 2 3 2" xfId="12520" xr:uid="{C7D22559-DCD1-44C0-BAC9-459C6486AF2C}"/>
    <cellStyle name="쉼표 [0] 2 2 16 2 2 4" xfId="8861" xr:uid="{678491D1-0A58-4BB1-9BA8-09B847D1E6C0}"/>
    <cellStyle name="쉼표 [0] 2 2 16 2 3" xfId="1014" xr:uid="{00000000-0005-0000-0000-000044080000}"/>
    <cellStyle name="쉼표 [0] 2 2 16 2 3 2" xfId="3372" xr:uid="{00000000-0005-0000-0000-000045080000}"/>
    <cellStyle name="쉼표 [0] 2 2 16 2 3 2 2" xfId="7033" xr:uid="{00000000-0005-0000-0000-000046080000}"/>
    <cellStyle name="쉼표 [0] 2 2 16 2 3 2 2 2" xfId="14350" xr:uid="{35A50898-3741-4D5F-A9AA-472C04F1DC89}"/>
    <cellStyle name="쉼표 [0] 2 2 16 2 3 2 3" xfId="10692" xr:uid="{FDD973C9-3B1B-4906-9502-C3CA346EA3A1}"/>
    <cellStyle name="쉼표 [0] 2 2 16 2 3 3" xfId="5204" xr:uid="{00000000-0005-0000-0000-000047080000}"/>
    <cellStyle name="쉼표 [0] 2 2 16 2 3 3 2" xfId="12521" xr:uid="{772D0D39-89EF-4E83-9F98-7E56ED324364}"/>
    <cellStyle name="쉼표 [0] 2 2 16 2 3 4" xfId="8862" xr:uid="{3B0881AF-5346-4428-964A-88A0C87F129A}"/>
    <cellStyle name="쉼표 [0] 2 2 16 2 4" xfId="1015" xr:uid="{00000000-0005-0000-0000-000048080000}"/>
    <cellStyle name="쉼표 [0] 2 2 16 2 4 2" xfId="3373" xr:uid="{00000000-0005-0000-0000-000049080000}"/>
    <cellStyle name="쉼표 [0] 2 2 16 2 4 2 2" xfId="7034" xr:uid="{00000000-0005-0000-0000-00004A080000}"/>
    <cellStyle name="쉼표 [0] 2 2 16 2 4 2 2 2" xfId="14351" xr:uid="{69669014-7401-4110-8290-093A67032608}"/>
    <cellStyle name="쉼표 [0] 2 2 16 2 4 2 3" xfId="10693" xr:uid="{21FCF77D-43EC-4EC8-98F1-E5F92EB4F42F}"/>
    <cellStyle name="쉼표 [0] 2 2 16 2 4 3" xfId="5205" xr:uid="{00000000-0005-0000-0000-00004B080000}"/>
    <cellStyle name="쉼표 [0] 2 2 16 2 4 3 2" xfId="12522" xr:uid="{30ECF8FA-EDCD-47E8-993B-8D6D58B0E4A9}"/>
    <cellStyle name="쉼표 [0] 2 2 16 2 4 4" xfId="8863" xr:uid="{1BCED4A2-F313-435C-8BC8-339BC21B4D03}"/>
    <cellStyle name="쉼표 [0] 2 2 16 2 5" xfId="3370" xr:uid="{00000000-0005-0000-0000-00004C080000}"/>
    <cellStyle name="쉼표 [0] 2 2 16 2 5 2" xfId="7031" xr:uid="{00000000-0005-0000-0000-00004D080000}"/>
    <cellStyle name="쉼표 [0] 2 2 16 2 5 2 2" xfId="14348" xr:uid="{BEE5BA89-F72B-4C0E-BA19-F14F79D1BF3A}"/>
    <cellStyle name="쉼표 [0] 2 2 16 2 5 3" xfId="10690" xr:uid="{AF8FABE1-985B-48EA-A276-D5F625988F75}"/>
    <cellStyle name="쉼표 [0] 2 2 16 2 6" xfId="5202" xr:uid="{00000000-0005-0000-0000-00004E080000}"/>
    <cellStyle name="쉼표 [0] 2 2 16 2 6 2" xfId="12519" xr:uid="{BD1D3B06-862F-4586-BA17-3A58CD27A1D0}"/>
    <cellStyle name="쉼표 [0] 2 2 16 2 7" xfId="8860" xr:uid="{720A7256-8D3E-4D5A-8687-E5086FFCFF93}"/>
    <cellStyle name="쉼표 [0] 2 2 16 3" xfId="1016" xr:uid="{00000000-0005-0000-0000-00004F080000}"/>
    <cellStyle name="쉼표 [0] 2 2 16 3 2" xfId="3374" xr:uid="{00000000-0005-0000-0000-000050080000}"/>
    <cellStyle name="쉼표 [0] 2 2 16 3 2 2" xfId="7035" xr:uid="{00000000-0005-0000-0000-000051080000}"/>
    <cellStyle name="쉼표 [0] 2 2 16 3 2 2 2" xfId="14352" xr:uid="{9B8D459A-0E14-4CC8-81F7-57D7B4D31395}"/>
    <cellStyle name="쉼표 [0] 2 2 16 3 2 3" xfId="10694" xr:uid="{B1C280AD-37D2-47E0-B6EA-C4083CC43E76}"/>
    <cellStyle name="쉼표 [0] 2 2 16 3 3" xfId="5206" xr:uid="{00000000-0005-0000-0000-000052080000}"/>
    <cellStyle name="쉼표 [0] 2 2 16 3 3 2" xfId="12523" xr:uid="{683C9C82-FC7E-4766-A3FD-44F97D6D0E2A}"/>
    <cellStyle name="쉼표 [0] 2 2 16 3 4" xfId="8864" xr:uid="{3DE4317C-F236-4DCA-ABFE-48FCE63F6E9D}"/>
    <cellStyle name="쉼표 [0] 2 2 16 4" xfId="1017" xr:uid="{00000000-0005-0000-0000-000053080000}"/>
    <cellStyle name="쉼표 [0] 2 2 16 4 2" xfId="3375" xr:uid="{00000000-0005-0000-0000-000054080000}"/>
    <cellStyle name="쉼표 [0] 2 2 16 4 2 2" xfId="7036" xr:uid="{00000000-0005-0000-0000-000055080000}"/>
    <cellStyle name="쉼표 [0] 2 2 16 4 2 2 2" xfId="14353" xr:uid="{99106344-CD64-4E81-9AF3-FFBB9897CC9D}"/>
    <cellStyle name="쉼표 [0] 2 2 16 4 2 3" xfId="10695" xr:uid="{2E0BC64F-94FA-4A0C-85F6-C85D9329B7E4}"/>
    <cellStyle name="쉼표 [0] 2 2 16 4 3" xfId="5207" xr:uid="{00000000-0005-0000-0000-000056080000}"/>
    <cellStyle name="쉼표 [0] 2 2 16 4 3 2" xfId="12524" xr:uid="{8B110605-1C55-40A7-A821-BFF37EBF9BF6}"/>
    <cellStyle name="쉼표 [0] 2 2 16 4 4" xfId="8865" xr:uid="{E9926019-C8DE-429E-A091-A5285DAE1BB3}"/>
    <cellStyle name="쉼표 [0] 2 2 16 5" xfId="1018" xr:uid="{00000000-0005-0000-0000-000057080000}"/>
    <cellStyle name="쉼표 [0] 2 2 16 5 2" xfId="3376" xr:uid="{00000000-0005-0000-0000-000058080000}"/>
    <cellStyle name="쉼표 [0] 2 2 16 5 2 2" xfId="7037" xr:uid="{00000000-0005-0000-0000-000059080000}"/>
    <cellStyle name="쉼표 [0] 2 2 16 5 2 2 2" xfId="14354" xr:uid="{AD79B8E9-D418-4AA5-9667-5D0A3EB16357}"/>
    <cellStyle name="쉼표 [0] 2 2 16 5 2 3" xfId="10696" xr:uid="{C6FAF8C5-A228-473A-933E-9802E7756092}"/>
    <cellStyle name="쉼표 [0] 2 2 16 5 3" xfId="5208" xr:uid="{00000000-0005-0000-0000-00005A080000}"/>
    <cellStyle name="쉼표 [0] 2 2 16 5 3 2" xfId="12525" xr:uid="{66343118-49F5-473E-82CC-36A9F1C07EE2}"/>
    <cellStyle name="쉼표 [0] 2 2 16 5 4" xfId="8866" xr:uid="{D727570D-9D47-4D3A-B712-8C12210F47FB}"/>
    <cellStyle name="쉼표 [0] 2 2 16 6" xfId="3369" xr:uid="{00000000-0005-0000-0000-00005B080000}"/>
    <cellStyle name="쉼표 [0] 2 2 16 6 2" xfId="7030" xr:uid="{00000000-0005-0000-0000-00005C080000}"/>
    <cellStyle name="쉼표 [0] 2 2 16 6 2 2" xfId="14347" xr:uid="{C34FE8EC-CF06-44C4-82A5-F96DD9DC8689}"/>
    <cellStyle name="쉼표 [0] 2 2 16 6 3" xfId="10689" xr:uid="{73F1BBBE-09D3-4225-B83C-1935ACF8FC2A}"/>
    <cellStyle name="쉼표 [0] 2 2 16 7" xfId="5201" xr:uid="{00000000-0005-0000-0000-00005D080000}"/>
    <cellStyle name="쉼표 [0] 2 2 16 7 2" xfId="12518" xr:uid="{D95A41D6-55BE-4B04-A856-CC951319502C}"/>
    <cellStyle name="쉼표 [0] 2 2 16 8" xfId="8859" xr:uid="{81AAD30F-E579-405A-8990-FB984882D89A}"/>
    <cellStyle name="쉼표 [0] 2 2 17" xfId="1019" xr:uid="{00000000-0005-0000-0000-00005E080000}"/>
    <cellStyle name="쉼표 [0] 2 2 17 2" xfId="1020" xr:uid="{00000000-0005-0000-0000-00005F080000}"/>
    <cellStyle name="쉼표 [0] 2 2 17 2 2" xfId="3378" xr:uid="{00000000-0005-0000-0000-000060080000}"/>
    <cellStyle name="쉼표 [0] 2 2 17 2 2 2" xfId="7039" xr:uid="{00000000-0005-0000-0000-000061080000}"/>
    <cellStyle name="쉼표 [0] 2 2 17 2 2 2 2" xfId="14356" xr:uid="{A33CFC84-0F81-4B42-A41A-696C06D7AA3E}"/>
    <cellStyle name="쉼표 [0] 2 2 17 2 2 3" xfId="10698" xr:uid="{DBA71F6F-F6D7-45DF-82A8-E322A366A74E}"/>
    <cellStyle name="쉼표 [0] 2 2 17 2 3" xfId="5210" xr:uid="{00000000-0005-0000-0000-000062080000}"/>
    <cellStyle name="쉼표 [0] 2 2 17 2 3 2" xfId="12527" xr:uid="{7ABB81EF-DC45-4469-BEEA-6849C08477BF}"/>
    <cellStyle name="쉼표 [0] 2 2 17 2 4" xfId="8868" xr:uid="{844DB2C9-DA20-4920-949A-A763540087D5}"/>
    <cellStyle name="쉼표 [0] 2 2 17 3" xfId="1021" xr:uid="{00000000-0005-0000-0000-000063080000}"/>
    <cellStyle name="쉼표 [0] 2 2 17 3 2" xfId="3379" xr:uid="{00000000-0005-0000-0000-000064080000}"/>
    <cellStyle name="쉼표 [0] 2 2 17 3 2 2" xfId="7040" xr:uid="{00000000-0005-0000-0000-000065080000}"/>
    <cellStyle name="쉼표 [0] 2 2 17 3 2 2 2" xfId="14357" xr:uid="{7F51BC18-9D11-4F4F-A65B-7D62771611DD}"/>
    <cellStyle name="쉼표 [0] 2 2 17 3 2 3" xfId="10699" xr:uid="{4CC6D693-9FE2-423C-B447-963CEC6BC61C}"/>
    <cellStyle name="쉼표 [0] 2 2 17 3 3" xfId="5211" xr:uid="{00000000-0005-0000-0000-000066080000}"/>
    <cellStyle name="쉼표 [0] 2 2 17 3 3 2" xfId="12528" xr:uid="{48C308D2-959A-4143-9F75-CA28B142E358}"/>
    <cellStyle name="쉼표 [0] 2 2 17 3 4" xfId="8869" xr:uid="{579EA67A-C92E-4D43-9928-13582FEC54A8}"/>
    <cellStyle name="쉼표 [0] 2 2 17 4" xfId="1022" xr:uid="{00000000-0005-0000-0000-000067080000}"/>
    <cellStyle name="쉼표 [0] 2 2 17 4 2" xfId="3380" xr:uid="{00000000-0005-0000-0000-000068080000}"/>
    <cellStyle name="쉼표 [0] 2 2 17 4 2 2" xfId="7041" xr:uid="{00000000-0005-0000-0000-000069080000}"/>
    <cellStyle name="쉼표 [0] 2 2 17 4 2 2 2" xfId="14358" xr:uid="{6EF96106-B33B-46D2-983D-5D088CB45A10}"/>
    <cellStyle name="쉼표 [0] 2 2 17 4 2 3" xfId="10700" xr:uid="{024F2A64-6B02-4787-9F0D-9D42D8612147}"/>
    <cellStyle name="쉼표 [0] 2 2 17 4 3" xfId="5212" xr:uid="{00000000-0005-0000-0000-00006A080000}"/>
    <cellStyle name="쉼표 [0] 2 2 17 4 3 2" xfId="12529" xr:uid="{35CB1852-1FD9-422F-A187-53F64B08F9BA}"/>
    <cellStyle name="쉼표 [0] 2 2 17 4 4" xfId="8870" xr:uid="{5286E0AC-E99B-406A-AC82-CE9E3C9B86F3}"/>
    <cellStyle name="쉼표 [0] 2 2 17 5" xfId="3377" xr:uid="{00000000-0005-0000-0000-00006B080000}"/>
    <cellStyle name="쉼표 [0] 2 2 17 5 2" xfId="7038" xr:uid="{00000000-0005-0000-0000-00006C080000}"/>
    <cellStyle name="쉼표 [0] 2 2 17 5 2 2" xfId="14355" xr:uid="{7DB69A31-EAF2-4E72-A46E-833FCAC3574E}"/>
    <cellStyle name="쉼표 [0] 2 2 17 5 3" xfId="10697" xr:uid="{DA7CB358-300A-4FC9-932C-59D8F7C6FD17}"/>
    <cellStyle name="쉼표 [0] 2 2 17 6" xfId="5209" xr:uid="{00000000-0005-0000-0000-00006D080000}"/>
    <cellStyle name="쉼표 [0] 2 2 17 6 2" xfId="12526" xr:uid="{4C3290E8-A353-4FDF-8D78-134E85B2443B}"/>
    <cellStyle name="쉼표 [0] 2 2 17 7" xfId="8867" xr:uid="{415263B9-1741-49C9-812F-99E7418A60F7}"/>
    <cellStyle name="쉼표 [0] 2 2 18" xfId="1023" xr:uid="{00000000-0005-0000-0000-00006E080000}"/>
    <cellStyle name="쉼표 [0] 2 2 18 2" xfId="1024" xr:uid="{00000000-0005-0000-0000-00006F080000}"/>
    <cellStyle name="쉼표 [0] 2 2 18 2 2" xfId="3382" xr:uid="{00000000-0005-0000-0000-000070080000}"/>
    <cellStyle name="쉼표 [0] 2 2 18 2 2 2" xfId="7043" xr:uid="{00000000-0005-0000-0000-000071080000}"/>
    <cellStyle name="쉼표 [0] 2 2 18 2 2 2 2" xfId="14360" xr:uid="{FBF0D182-65A3-4382-8ECF-2FE856468960}"/>
    <cellStyle name="쉼표 [0] 2 2 18 2 2 3" xfId="10702" xr:uid="{4744A8BD-BEA2-49A5-B96B-CBD07B2DB9E6}"/>
    <cellStyle name="쉼표 [0] 2 2 18 2 3" xfId="5214" xr:uid="{00000000-0005-0000-0000-000072080000}"/>
    <cellStyle name="쉼표 [0] 2 2 18 2 3 2" xfId="12531" xr:uid="{00DA2812-F4D9-4E0F-A023-FBA59888AFBC}"/>
    <cellStyle name="쉼표 [0] 2 2 18 2 4" xfId="8872" xr:uid="{8BCD24E3-3E4C-47CF-9B9F-E89322B48A6C}"/>
    <cellStyle name="쉼표 [0] 2 2 18 3" xfId="3381" xr:uid="{00000000-0005-0000-0000-000073080000}"/>
    <cellStyle name="쉼표 [0] 2 2 18 3 2" xfId="7042" xr:uid="{00000000-0005-0000-0000-000074080000}"/>
    <cellStyle name="쉼표 [0] 2 2 18 3 2 2" xfId="14359" xr:uid="{1DCCDCDC-D101-4420-B263-3D883219E804}"/>
    <cellStyle name="쉼표 [0] 2 2 18 3 3" xfId="10701" xr:uid="{00D5F9DE-CD4A-4442-ADD2-F02385B3A35A}"/>
    <cellStyle name="쉼표 [0] 2 2 18 4" xfId="5213" xr:uid="{00000000-0005-0000-0000-000075080000}"/>
    <cellStyle name="쉼표 [0] 2 2 18 4 2" xfId="12530" xr:uid="{CD7F8A6D-C25E-48A9-B202-DF602412D3CA}"/>
    <cellStyle name="쉼표 [0] 2 2 18 5" xfId="8871" xr:uid="{7FD668A4-4A17-4C38-8326-797E3A977CF9}"/>
    <cellStyle name="쉼표 [0] 2 2 19" xfId="1025" xr:uid="{00000000-0005-0000-0000-000076080000}"/>
    <cellStyle name="쉼표 [0] 2 2 19 2" xfId="3383" xr:uid="{00000000-0005-0000-0000-000077080000}"/>
    <cellStyle name="쉼표 [0] 2 2 19 2 2" xfId="7044" xr:uid="{00000000-0005-0000-0000-000078080000}"/>
    <cellStyle name="쉼표 [0] 2 2 19 2 2 2" xfId="14361" xr:uid="{072B1AD2-B12F-4A86-8EEE-1897C5121BCE}"/>
    <cellStyle name="쉼표 [0] 2 2 19 2 3" xfId="10703" xr:uid="{AC265777-95B0-43C2-9F66-1FB5FA879A95}"/>
    <cellStyle name="쉼표 [0] 2 2 19 3" xfId="5215" xr:uid="{00000000-0005-0000-0000-000079080000}"/>
    <cellStyle name="쉼표 [0] 2 2 19 3 2" xfId="12532" xr:uid="{1D5AEAC8-D9A4-4DF4-A8AD-F21F627D3034}"/>
    <cellStyle name="쉼표 [0] 2 2 19 4" xfId="8873" xr:uid="{FA1EC48F-22D0-44E0-8EA0-37A47BDA5CAB}"/>
    <cellStyle name="쉼표 [0] 2 2 2" xfId="1026" xr:uid="{00000000-0005-0000-0000-00007A080000}"/>
    <cellStyle name="쉼표 [0] 2 2 2 10" xfId="3384" xr:uid="{00000000-0005-0000-0000-00007B080000}"/>
    <cellStyle name="쉼표 [0] 2 2 2 10 2" xfId="7045" xr:uid="{00000000-0005-0000-0000-00007C080000}"/>
    <cellStyle name="쉼표 [0] 2 2 2 10 2 2" xfId="14362" xr:uid="{EE97F567-92F6-452C-B3C4-CA9F8A42F0C4}"/>
    <cellStyle name="쉼표 [0] 2 2 2 10 3" xfId="10704" xr:uid="{6DAA0DE5-A44E-4A2C-88FB-5F8EA02CD1F8}"/>
    <cellStyle name="쉼표 [0] 2 2 2 11" xfId="5216" xr:uid="{00000000-0005-0000-0000-00007D080000}"/>
    <cellStyle name="쉼표 [0] 2 2 2 11 2" xfId="12533" xr:uid="{8C648370-A630-4B79-A1A7-6B2E619CF308}"/>
    <cellStyle name="쉼표 [0] 2 2 2 12" xfId="8874" xr:uid="{7C558F1F-D8AF-4A12-9006-FA9843E0026B}"/>
    <cellStyle name="쉼표 [0] 2 2 2 2" xfId="1027" xr:uid="{00000000-0005-0000-0000-00007E080000}"/>
    <cellStyle name="쉼표 [0] 2 2 2 3" xfId="1028" xr:uid="{00000000-0005-0000-0000-00007F080000}"/>
    <cellStyle name="쉼표 [0] 2 2 2 4" xfId="1029" xr:uid="{00000000-0005-0000-0000-000080080000}"/>
    <cellStyle name="쉼표 [0] 2 2 2 5" xfId="1030" xr:uid="{00000000-0005-0000-0000-000081080000}"/>
    <cellStyle name="쉼표 [0] 2 2 2 6" xfId="1031" xr:uid="{00000000-0005-0000-0000-000082080000}"/>
    <cellStyle name="쉼표 [0] 2 2 2 6 2" xfId="1032" xr:uid="{00000000-0005-0000-0000-000083080000}"/>
    <cellStyle name="쉼표 [0] 2 2 2 6 2 2" xfId="3386" xr:uid="{00000000-0005-0000-0000-000084080000}"/>
    <cellStyle name="쉼표 [0] 2 2 2 6 2 2 2" xfId="7047" xr:uid="{00000000-0005-0000-0000-000085080000}"/>
    <cellStyle name="쉼표 [0] 2 2 2 6 2 2 2 2" xfId="14364" xr:uid="{5143544A-C625-404C-93C8-5A5420C67C17}"/>
    <cellStyle name="쉼표 [0] 2 2 2 6 2 2 3" xfId="10706" xr:uid="{B8935D59-771A-4CBA-8E42-EE039D785573}"/>
    <cellStyle name="쉼표 [0] 2 2 2 6 2 3" xfId="5218" xr:uid="{00000000-0005-0000-0000-000086080000}"/>
    <cellStyle name="쉼표 [0] 2 2 2 6 2 3 2" xfId="12535" xr:uid="{E79EC7E6-9EA4-4780-BE30-26E650813C4B}"/>
    <cellStyle name="쉼표 [0] 2 2 2 6 2 4" xfId="8876" xr:uid="{611CF1CA-545E-4929-94E8-76C238144C29}"/>
    <cellStyle name="쉼표 [0] 2 2 2 6 3" xfId="1033" xr:uid="{00000000-0005-0000-0000-000087080000}"/>
    <cellStyle name="쉼표 [0] 2 2 2 6 3 2" xfId="3387" xr:uid="{00000000-0005-0000-0000-000088080000}"/>
    <cellStyle name="쉼표 [0] 2 2 2 6 3 2 2" xfId="7048" xr:uid="{00000000-0005-0000-0000-000089080000}"/>
    <cellStyle name="쉼표 [0] 2 2 2 6 3 2 2 2" xfId="14365" xr:uid="{82897255-CFE7-4760-9AE2-FC2FB22E3AD0}"/>
    <cellStyle name="쉼표 [0] 2 2 2 6 3 2 3" xfId="10707" xr:uid="{FE71E974-20B4-417E-B9DE-AF4BB5D5DB5E}"/>
    <cellStyle name="쉼표 [0] 2 2 2 6 3 3" xfId="5219" xr:uid="{00000000-0005-0000-0000-00008A080000}"/>
    <cellStyle name="쉼표 [0] 2 2 2 6 3 3 2" xfId="12536" xr:uid="{4625331D-A67A-4C4B-9B51-8BF3BA009740}"/>
    <cellStyle name="쉼표 [0] 2 2 2 6 3 4" xfId="8877" xr:uid="{A5A6428A-0DE8-4D08-AD2D-C6A0239A17A8}"/>
    <cellStyle name="쉼표 [0] 2 2 2 6 4" xfId="1034" xr:uid="{00000000-0005-0000-0000-00008B080000}"/>
    <cellStyle name="쉼표 [0] 2 2 2 6 4 2" xfId="3388" xr:uid="{00000000-0005-0000-0000-00008C080000}"/>
    <cellStyle name="쉼표 [0] 2 2 2 6 4 2 2" xfId="7049" xr:uid="{00000000-0005-0000-0000-00008D080000}"/>
    <cellStyle name="쉼표 [0] 2 2 2 6 4 2 2 2" xfId="14366" xr:uid="{2345F4A3-5D18-4F99-BFCF-3EE766DE1F1D}"/>
    <cellStyle name="쉼표 [0] 2 2 2 6 4 2 3" xfId="10708" xr:uid="{71A97BDB-4C17-4129-9E4F-5E32C1C6D12E}"/>
    <cellStyle name="쉼표 [0] 2 2 2 6 4 3" xfId="5220" xr:uid="{00000000-0005-0000-0000-00008E080000}"/>
    <cellStyle name="쉼표 [0] 2 2 2 6 4 3 2" xfId="12537" xr:uid="{53E6F665-02BA-4972-9457-E69D7EAD6134}"/>
    <cellStyle name="쉼표 [0] 2 2 2 6 4 4" xfId="8878" xr:uid="{5D9E2F9B-6999-4E89-A088-F65BF6BD7601}"/>
    <cellStyle name="쉼표 [0] 2 2 2 6 5" xfId="3385" xr:uid="{00000000-0005-0000-0000-00008F080000}"/>
    <cellStyle name="쉼표 [0] 2 2 2 6 5 2" xfId="7046" xr:uid="{00000000-0005-0000-0000-000090080000}"/>
    <cellStyle name="쉼표 [0] 2 2 2 6 5 2 2" xfId="14363" xr:uid="{57F11E05-BF05-4585-9611-312ACB964585}"/>
    <cellStyle name="쉼표 [0] 2 2 2 6 5 3" xfId="10705" xr:uid="{7BA54D3B-E029-4320-8B62-F9EEC3445CDA}"/>
    <cellStyle name="쉼표 [0] 2 2 2 6 6" xfId="5217" xr:uid="{00000000-0005-0000-0000-000091080000}"/>
    <cellStyle name="쉼표 [0] 2 2 2 6 6 2" xfId="12534" xr:uid="{00A2CB4B-171B-4195-B0B1-E5B899B774CD}"/>
    <cellStyle name="쉼표 [0] 2 2 2 6 7" xfId="8875" xr:uid="{F010775E-7B09-4D0B-980A-AB1582D4BC4A}"/>
    <cellStyle name="쉼표 [0] 2 2 2 7" xfId="1035" xr:uid="{00000000-0005-0000-0000-000092080000}"/>
    <cellStyle name="쉼표 [0] 2 2 2 7 2" xfId="1036" xr:uid="{00000000-0005-0000-0000-000093080000}"/>
    <cellStyle name="쉼표 [0] 2 2 2 7 2 2" xfId="3390" xr:uid="{00000000-0005-0000-0000-000094080000}"/>
    <cellStyle name="쉼표 [0] 2 2 2 7 2 2 2" xfId="7051" xr:uid="{00000000-0005-0000-0000-000095080000}"/>
    <cellStyle name="쉼표 [0] 2 2 2 7 2 2 2 2" xfId="14368" xr:uid="{CFCC600B-A9B0-46A9-9DB6-9A9693AFA9E6}"/>
    <cellStyle name="쉼표 [0] 2 2 2 7 2 2 3" xfId="10710" xr:uid="{315A9F1D-103F-4828-B7C5-A9508801D07E}"/>
    <cellStyle name="쉼표 [0] 2 2 2 7 2 3" xfId="5222" xr:uid="{00000000-0005-0000-0000-000096080000}"/>
    <cellStyle name="쉼표 [0] 2 2 2 7 2 3 2" xfId="12539" xr:uid="{556F6DC1-553F-4766-AB87-71988484D825}"/>
    <cellStyle name="쉼표 [0] 2 2 2 7 2 4" xfId="8880" xr:uid="{08E442D8-C6E5-4560-BC14-1F768042137E}"/>
    <cellStyle name="쉼표 [0] 2 2 2 7 3" xfId="3389" xr:uid="{00000000-0005-0000-0000-000097080000}"/>
    <cellStyle name="쉼표 [0] 2 2 2 7 3 2" xfId="7050" xr:uid="{00000000-0005-0000-0000-000098080000}"/>
    <cellStyle name="쉼표 [0] 2 2 2 7 3 2 2" xfId="14367" xr:uid="{4B21D151-A643-480E-B77B-4B1C5310E7F1}"/>
    <cellStyle name="쉼표 [0] 2 2 2 7 3 3" xfId="10709" xr:uid="{D59FC8CF-CDA3-4171-B1B8-61345430AE24}"/>
    <cellStyle name="쉼표 [0] 2 2 2 7 4" xfId="5221" xr:uid="{00000000-0005-0000-0000-000099080000}"/>
    <cellStyle name="쉼표 [0] 2 2 2 7 4 2" xfId="12538" xr:uid="{A551B22D-7B29-4F88-AF79-EC67EAC4608D}"/>
    <cellStyle name="쉼표 [0] 2 2 2 7 5" xfId="8879" xr:uid="{40EF85BC-7150-4111-8522-BB05826C7A29}"/>
    <cellStyle name="쉼표 [0] 2 2 2 8" xfId="1037" xr:uid="{00000000-0005-0000-0000-00009A080000}"/>
    <cellStyle name="쉼표 [0] 2 2 2 8 2" xfId="1038" xr:uid="{00000000-0005-0000-0000-00009B080000}"/>
    <cellStyle name="쉼표 [0] 2 2 2 8 2 2" xfId="3392" xr:uid="{00000000-0005-0000-0000-00009C080000}"/>
    <cellStyle name="쉼표 [0] 2 2 2 8 2 2 2" xfId="7053" xr:uid="{00000000-0005-0000-0000-00009D080000}"/>
    <cellStyle name="쉼표 [0] 2 2 2 8 2 2 2 2" xfId="14370" xr:uid="{6E71A9A2-5391-4054-8FE2-EFE9C7491C3C}"/>
    <cellStyle name="쉼표 [0] 2 2 2 8 2 2 3" xfId="10712" xr:uid="{B33276E9-8F67-4654-8CA1-9523483F7FE5}"/>
    <cellStyle name="쉼표 [0] 2 2 2 8 2 3" xfId="5224" xr:uid="{00000000-0005-0000-0000-00009E080000}"/>
    <cellStyle name="쉼표 [0] 2 2 2 8 2 3 2" xfId="12541" xr:uid="{86B06E49-577F-4747-A3D2-0A7114F90444}"/>
    <cellStyle name="쉼표 [0] 2 2 2 8 2 4" xfId="8882" xr:uid="{4B23CBA1-2583-40FA-877D-DC375D862AD8}"/>
    <cellStyle name="쉼표 [0] 2 2 2 8 3" xfId="3391" xr:uid="{00000000-0005-0000-0000-00009F080000}"/>
    <cellStyle name="쉼표 [0] 2 2 2 8 3 2" xfId="7052" xr:uid="{00000000-0005-0000-0000-0000A0080000}"/>
    <cellStyle name="쉼표 [0] 2 2 2 8 3 2 2" xfId="14369" xr:uid="{EAB9AE84-D578-4C3A-B336-E4D6C9893F08}"/>
    <cellStyle name="쉼표 [0] 2 2 2 8 3 3" xfId="10711" xr:uid="{BDD3C2BA-AB0D-40FD-B467-E82CF4213375}"/>
    <cellStyle name="쉼표 [0] 2 2 2 8 4" xfId="5223" xr:uid="{00000000-0005-0000-0000-0000A1080000}"/>
    <cellStyle name="쉼표 [0] 2 2 2 8 4 2" xfId="12540" xr:uid="{4BA95D2C-FDCE-48E6-9F51-8F052830D4A3}"/>
    <cellStyle name="쉼표 [0] 2 2 2 8 5" xfId="8881" xr:uid="{6DB8D471-B5ED-45D8-A33E-29FC8F2DFA3D}"/>
    <cellStyle name="쉼표 [0] 2 2 2 9" xfId="1039" xr:uid="{00000000-0005-0000-0000-0000A2080000}"/>
    <cellStyle name="쉼표 [0] 2 2 2 9 2" xfId="3393" xr:uid="{00000000-0005-0000-0000-0000A3080000}"/>
    <cellStyle name="쉼표 [0] 2 2 2 9 2 2" xfId="7054" xr:uid="{00000000-0005-0000-0000-0000A4080000}"/>
    <cellStyle name="쉼표 [0] 2 2 2 9 2 2 2" xfId="14371" xr:uid="{EDFBCB0E-6ED8-44B0-98C2-C1131CFD655F}"/>
    <cellStyle name="쉼표 [0] 2 2 2 9 2 3" xfId="10713" xr:uid="{D6A5B7EB-C64C-482B-9314-84F63A4B97D9}"/>
    <cellStyle name="쉼표 [0] 2 2 2 9 3" xfId="5225" xr:uid="{00000000-0005-0000-0000-0000A5080000}"/>
    <cellStyle name="쉼표 [0] 2 2 2 9 3 2" xfId="12542" xr:uid="{AF47BE17-9589-43D5-A163-7CBDE1B8B172}"/>
    <cellStyle name="쉼표 [0] 2 2 2 9 4" xfId="8883" xr:uid="{804DEF49-8BBC-4C9E-9B31-41EB02E7ED76}"/>
    <cellStyle name="쉼표 [0] 2 2 20" xfId="1040" xr:uid="{00000000-0005-0000-0000-0000A6080000}"/>
    <cellStyle name="쉼표 [0] 2 2 20 2" xfId="3394" xr:uid="{00000000-0005-0000-0000-0000A7080000}"/>
    <cellStyle name="쉼표 [0] 2 2 20 2 2" xfId="7055" xr:uid="{00000000-0005-0000-0000-0000A8080000}"/>
    <cellStyle name="쉼표 [0] 2 2 20 2 2 2" xfId="14372" xr:uid="{5CF85E38-AB28-4746-96E5-9A84796ED664}"/>
    <cellStyle name="쉼표 [0] 2 2 20 2 3" xfId="10714" xr:uid="{D003CC8C-F030-4C2B-BE81-71E40665B0E7}"/>
    <cellStyle name="쉼표 [0] 2 2 20 3" xfId="5226" xr:uid="{00000000-0005-0000-0000-0000A9080000}"/>
    <cellStyle name="쉼표 [0] 2 2 20 3 2" xfId="12543" xr:uid="{432E9D68-F678-49D4-B325-2A1E01A8F7B0}"/>
    <cellStyle name="쉼표 [0] 2 2 20 4" xfId="8884" xr:uid="{4502AAB0-DE33-4C41-9035-8820E0B49859}"/>
    <cellStyle name="쉼표 [0] 2 2 21" xfId="1041" xr:uid="{00000000-0005-0000-0000-0000AA080000}"/>
    <cellStyle name="쉼표 [0] 2 2 21 2" xfId="3395" xr:uid="{00000000-0005-0000-0000-0000AB080000}"/>
    <cellStyle name="쉼표 [0] 2 2 21 2 2" xfId="7056" xr:uid="{00000000-0005-0000-0000-0000AC080000}"/>
    <cellStyle name="쉼표 [0] 2 2 21 2 2 2" xfId="14373" xr:uid="{3B9314A7-DCE9-4F4E-A27D-39556F154480}"/>
    <cellStyle name="쉼표 [0] 2 2 21 2 3" xfId="10715" xr:uid="{74A50CE5-27A6-42BB-AC79-EAA4E05D9627}"/>
    <cellStyle name="쉼표 [0] 2 2 21 3" xfId="5227" xr:uid="{00000000-0005-0000-0000-0000AD080000}"/>
    <cellStyle name="쉼표 [0] 2 2 21 3 2" xfId="12544" xr:uid="{E2DC7E5F-F5AB-46E1-BD23-57EB664B704D}"/>
    <cellStyle name="쉼표 [0] 2 2 21 4" xfId="8885" xr:uid="{6110D084-25BF-4B0F-9018-B907BEF1A3E4}"/>
    <cellStyle name="쉼표 [0] 2 2 22" xfId="3336" xr:uid="{00000000-0005-0000-0000-0000AE080000}"/>
    <cellStyle name="쉼표 [0] 2 2 22 2" xfId="6997" xr:uid="{00000000-0005-0000-0000-0000AF080000}"/>
    <cellStyle name="쉼표 [0] 2 2 22 2 2" xfId="14314" xr:uid="{E5863130-A6F8-4982-8D04-9509B0B738D2}"/>
    <cellStyle name="쉼표 [0] 2 2 22 3" xfId="10656" xr:uid="{49BB3DA9-B7B9-49FD-8E67-09B2FE66E0EE}"/>
    <cellStyle name="쉼표 [0] 2 2 23" xfId="5168" xr:uid="{00000000-0005-0000-0000-0000B0080000}"/>
    <cellStyle name="쉼표 [0] 2 2 23 2" xfId="12485" xr:uid="{2AA47F1E-EB7A-4492-A32B-9826BCD033F5}"/>
    <cellStyle name="쉼표 [0] 2 2 24" xfId="8826" xr:uid="{73104DC3-8354-4B60-A85A-28E43D0F450F}"/>
    <cellStyle name="쉼표 [0] 2 2 3" xfId="1042" xr:uid="{00000000-0005-0000-0000-0000B1080000}"/>
    <cellStyle name="쉼표 [0] 2 2 4" xfId="1043" xr:uid="{00000000-0005-0000-0000-0000B2080000}"/>
    <cellStyle name="쉼표 [0] 2 2 4 2" xfId="1044" xr:uid="{00000000-0005-0000-0000-0000B3080000}"/>
    <cellStyle name="쉼표 [0] 2 2 4 2 2" xfId="1045" xr:uid="{00000000-0005-0000-0000-0000B4080000}"/>
    <cellStyle name="쉼표 [0] 2 2 4 2 2 2" xfId="1046" xr:uid="{00000000-0005-0000-0000-0000B5080000}"/>
    <cellStyle name="쉼표 [0] 2 2 4 2 2 2 2" xfId="3399" xr:uid="{00000000-0005-0000-0000-0000B6080000}"/>
    <cellStyle name="쉼표 [0] 2 2 4 2 2 2 2 2" xfId="7060" xr:uid="{00000000-0005-0000-0000-0000B7080000}"/>
    <cellStyle name="쉼표 [0] 2 2 4 2 2 2 2 2 2" xfId="14377" xr:uid="{C67B9A03-23C0-499A-82A4-4934913F0A80}"/>
    <cellStyle name="쉼표 [0] 2 2 4 2 2 2 2 3" xfId="10719" xr:uid="{F706B16B-B71D-45B5-BABA-B682989AEFD7}"/>
    <cellStyle name="쉼표 [0] 2 2 4 2 2 2 3" xfId="5231" xr:uid="{00000000-0005-0000-0000-0000B8080000}"/>
    <cellStyle name="쉼표 [0] 2 2 4 2 2 2 3 2" xfId="12548" xr:uid="{779E82F7-3637-4A55-9AF6-8DC89292E4B9}"/>
    <cellStyle name="쉼표 [0] 2 2 4 2 2 2 4" xfId="8889" xr:uid="{D3D7307F-D712-4C57-8DB2-EC74E53A218D}"/>
    <cellStyle name="쉼표 [0] 2 2 4 2 2 3" xfId="1047" xr:uid="{00000000-0005-0000-0000-0000B9080000}"/>
    <cellStyle name="쉼표 [0] 2 2 4 2 2 3 2" xfId="3400" xr:uid="{00000000-0005-0000-0000-0000BA080000}"/>
    <cellStyle name="쉼표 [0] 2 2 4 2 2 3 2 2" xfId="7061" xr:uid="{00000000-0005-0000-0000-0000BB080000}"/>
    <cellStyle name="쉼표 [0] 2 2 4 2 2 3 2 2 2" xfId="14378" xr:uid="{6C10C893-327F-4E84-BC25-125A9DA07A9D}"/>
    <cellStyle name="쉼표 [0] 2 2 4 2 2 3 2 3" xfId="10720" xr:uid="{17205A7F-5859-4B6C-BB22-A9829A36B66C}"/>
    <cellStyle name="쉼표 [0] 2 2 4 2 2 3 3" xfId="5232" xr:uid="{00000000-0005-0000-0000-0000BC080000}"/>
    <cellStyle name="쉼표 [0] 2 2 4 2 2 3 3 2" xfId="12549" xr:uid="{D1A0CB5E-6727-43C2-BC98-C404F7F8D297}"/>
    <cellStyle name="쉼표 [0] 2 2 4 2 2 3 4" xfId="8890" xr:uid="{795C7408-6E70-4BB9-9755-DD249535F660}"/>
    <cellStyle name="쉼표 [0] 2 2 4 2 2 4" xfId="1048" xr:uid="{00000000-0005-0000-0000-0000BD080000}"/>
    <cellStyle name="쉼표 [0] 2 2 4 2 2 4 2" xfId="3401" xr:uid="{00000000-0005-0000-0000-0000BE080000}"/>
    <cellStyle name="쉼표 [0] 2 2 4 2 2 4 2 2" xfId="7062" xr:uid="{00000000-0005-0000-0000-0000BF080000}"/>
    <cellStyle name="쉼표 [0] 2 2 4 2 2 4 2 2 2" xfId="14379" xr:uid="{7F6DC4FF-198C-430F-8D21-341FE9B97AE8}"/>
    <cellStyle name="쉼표 [0] 2 2 4 2 2 4 2 3" xfId="10721" xr:uid="{4434BFAD-5CDF-4BFA-A8B6-BF6A5769F952}"/>
    <cellStyle name="쉼표 [0] 2 2 4 2 2 4 3" xfId="5233" xr:uid="{00000000-0005-0000-0000-0000C0080000}"/>
    <cellStyle name="쉼표 [0] 2 2 4 2 2 4 3 2" xfId="12550" xr:uid="{7119CE92-A23E-4C38-B1A2-D88DBD2C140C}"/>
    <cellStyle name="쉼표 [0] 2 2 4 2 2 4 4" xfId="8891" xr:uid="{737EF841-857C-4579-BAC2-5451E26C921B}"/>
    <cellStyle name="쉼표 [0] 2 2 4 2 2 5" xfId="3398" xr:uid="{00000000-0005-0000-0000-0000C1080000}"/>
    <cellStyle name="쉼표 [0] 2 2 4 2 2 5 2" xfId="7059" xr:uid="{00000000-0005-0000-0000-0000C2080000}"/>
    <cellStyle name="쉼표 [0] 2 2 4 2 2 5 2 2" xfId="14376" xr:uid="{6C2C4CC5-AB56-4D5C-88D3-9CF10D1F93F3}"/>
    <cellStyle name="쉼표 [0] 2 2 4 2 2 5 3" xfId="10718" xr:uid="{25130E73-1075-4695-B1EF-CDBF3976BBAC}"/>
    <cellStyle name="쉼표 [0] 2 2 4 2 2 6" xfId="5230" xr:uid="{00000000-0005-0000-0000-0000C3080000}"/>
    <cellStyle name="쉼표 [0] 2 2 4 2 2 6 2" xfId="12547" xr:uid="{21471D81-AB62-4EE3-B622-B512EBCE3A1D}"/>
    <cellStyle name="쉼표 [0] 2 2 4 2 2 7" xfId="8888" xr:uid="{755C4132-BDAE-42E5-B0B3-C77CE5DBF2D6}"/>
    <cellStyle name="쉼표 [0] 2 2 4 2 3" xfId="1049" xr:uid="{00000000-0005-0000-0000-0000C4080000}"/>
    <cellStyle name="쉼표 [0] 2 2 4 2 3 2" xfId="3402" xr:uid="{00000000-0005-0000-0000-0000C5080000}"/>
    <cellStyle name="쉼표 [0] 2 2 4 2 3 2 2" xfId="7063" xr:uid="{00000000-0005-0000-0000-0000C6080000}"/>
    <cellStyle name="쉼표 [0] 2 2 4 2 3 2 2 2" xfId="14380" xr:uid="{214C2A75-3D88-49B4-88A4-7DA96F721C13}"/>
    <cellStyle name="쉼표 [0] 2 2 4 2 3 2 3" xfId="10722" xr:uid="{56D35533-86B8-45CB-B1C8-31A266D31A67}"/>
    <cellStyle name="쉼표 [0] 2 2 4 2 3 3" xfId="5234" xr:uid="{00000000-0005-0000-0000-0000C7080000}"/>
    <cellStyle name="쉼표 [0] 2 2 4 2 3 3 2" xfId="12551" xr:uid="{32D144E4-4EA5-4913-B39A-C2F240C81146}"/>
    <cellStyle name="쉼표 [0] 2 2 4 2 3 4" xfId="8892" xr:uid="{CA999544-21D5-4D43-A27D-32E7BCAB721B}"/>
    <cellStyle name="쉼표 [0] 2 2 4 2 4" xfId="1050" xr:uid="{00000000-0005-0000-0000-0000C8080000}"/>
    <cellStyle name="쉼표 [0] 2 2 4 2 4 2" xfId="3403" xr:uid="{00000000-0005-0000-0000-0000C9080000}"/>
    <cellStyle name="쉼표 [0] 2 2 4 2 4 2 2" xfId="7064" xr:uid="{00000000-0005-0000-0000-0000CA080000}"/>
    <cellStyle name="쉼표 [0] 2 2 4 2 4 2 2 2" xfId="14381" xr:uid="{70D68D2C-175F-45C7-96D9-0A6741C50F0E}"/>
    <cellStyle name="쉼표 [0] 2 2 4 2 4 2 3" xfId="10723" xr:uid="{1CFC1898-FB70-4E35-90A9-D0EA43F0466C}"/>
    <cellStyle name="쉼표 [0] 2 2 4 2 4 3" xfId="5235" xr:uid="{00000000-0005-0000-0000-0000CB080000}"/>
    <cellStyle name="쉼표 [0] 2 2 4 2 4 3 2" xfId="12552" xr:uid="{047AC795-1623-45E7-8285-15867E90E0D4}"/>
    <cellStyle name="쉼표 [0] 2 2 4 2 4 4" xfId="8893" xr:uid="{21B86ECF-2FC1-4B91-B8E9-EF5C5CB16CEF}"/>
    <cellStyle name="쉼표 [0] 2 2 4 2 5" xfId="1051" xr:uid="{00000000-0005-0000-0000-0000CC080000}"/>
    <cellStyle name="쉼표 [0] 2 2 4 2 5 2" xfId="3404" xr:uid="{00000000-0005-0000-0000-0000CD080000}"/>
    <cellStyle name="쉼표 [0] 2 2 4 2 5 2 2" xfId="7065" xr:uid="{00000000-0005-0000-0000-0000CE080000}"/>
    <cellStyle name="쉼표 [0] 2 2 4 2 5 2 2 2" xfId="14382" xr:uid="{FF0EBC1B-CCAC-4D67-AC15-7A673AB07753}"/>
    <cellStyle name="쉼표 [0] 2 2 4 2 5 2 3" xfId="10724" xr:uid="{E09E6E0D-893A-4E34-9E42-FB6C98DC47AD}"/>
    <cellStyle name="쉼표 [0] 2 2 4 2 5 3" xfId="5236" xr:uid="{00000000-0005-0000-0000-0000CF080000}"/>
    <cellStyle name="쉼표 [0] 2 2 4 2 5 3 2" xfId="12553" xr:uid="{0F2036F6-3353-44A4-A1EC-0915440E2A2E}"/>
    <cellStyle name="쉼표 [0] 2 2 4 2 5 4" xfId="8894" xr:uid="{89C43649-39DD-4107-95E5-5D07F7BA6493}"/>
    <cellStyle name="쉼표 [0] 2 2 4 2 6" xfId="3397" xr:uid="{00000000-0005-0000-0000-0000D0080000}"/>
    <cellStyle name="쉼표 [0] 2 2 4 2 6 2" xfId="7058" xr:uid="{00000000-0005-0000-0000-0000D1080000}"/>
    <cellStyle name="쉼표 [0] 2 2 4 2 6 2 2" xfId="14375" xr:uid="{50E79C2D-A97E-4E1F-8796-37C60A3E759E}"/>
    <cellStyle name="쉼표 [0] 2 2 4 2 6 3" xfId="10717" xr:uid="{5084562A-3F14-47DC-B3B3-8F6D20219A3A}"/>
    <cellStyle name="쉼표 [0] 2 2 4 2 7" xfId="5229" xr:uid="{00000000-0005-0000-0000-0000D2080000}"/>
    <cellStyle name="쉼표 [0] 2 2 4 2 7 2" xfId="12546" xr:uid="{6E89A722-A07A-42BE-95D3-9479E0B8F0EB}"/>
    <cellStyle name="쉼표 [0] 2 2 4 2 8" xfId="8887" xr:uid="{E7C10379-C238-4B79-8D15-B00EE13EAAA3}"/>
    <cellStyle name="쉼표 [0] 2 2 4 3" xfId="1052" xr:uid="{00000000-0005-0000-0000-0000D3080000}"/>
    <cellStyle name="쉼표 [0] 2 2 4 3 2" xfId="1053" xr:uid="{00000000-0005-0000-0000-0000D4080000}"/>
    <cellStyle name="쉼표 [0] 2 2 4 3 2 2" xfId="3406" xr:uid="{00000000-0005-0000-0000-0000D5080000}"/>
    <cellStyle name="쉼표 [0] 2 2 4 3 2 2 2" xfId="7067" xr:uid="{00000000-0005-0000-0000-0000D6080000}"/>
    <cellStyle name="쉼표 [0] 2 2 4 3 2 2 2 2" xfId="14384" xr:uid="{410491BF-136D-4806-88E7-C425602F1026}"/>
    <cellStyle name="쉼표 [0] 2 2 4 3 2 2 3" xfId="10726" xr:uid="{6249B73F-F99F-4B25-B82D-6F7F365D6B3B}"/>
    <cellStyle name="쉼표 [0] 2 2 4 3 2 3" xfId="5238" xr:uid="{00000000-0005-0000-0000-0000D7080000}"/>
    <cellStyle name="쉼표 [0] 2 2 4 3 2 3 2" xfId="12555" xr:uid="{B36EB4A1-4A89-45CE-AC0D-C23366FC8979}"/>
    <cellStyle name="쉼표 [0] 2 2 4 3 2 4" xfId="8896" xr:uid="{F6F9F95A-6D72-40B3-9FAD-45AF98B1DC86}"/>
    <cellStyle name="쉼표 [0] 2 2 4 3 3" xfId="1054" xr:uid="{00000000-0005-0000-0000-0000D8080000}"/>
    <cellStyle name="쉼표 [0] 2 2 4 3 3 2" xfId="3407" xr:uid="{00000000-0005-0000-0000-0000D9080000}"/>
    <cellStyle name="쉼표 [0] 2 2 4 3 3 2 2" xfId="7068" xr:uid="{00000000-0005-0000-0000-0000DA080000}"/>
    <cellStyle name="쉼표 [0] 2 2 4 3 3 2 2 2" xfId="14385" xr:uid="{BC9EE90F-BA7E-4A49-A58C-5EF38B91310D}"/>
    <cellStyle name="쉼표 [0] 2 2 4 3 3 2 3" xfId="10727" xr:uid="{8CAA683A-F066-42BF-8234-B0D4381F7383}"/>
    <cellStyle name="쉼표 [0] 2 2 4 3 3 3" xfId="5239" xr:uid="{00000000-0005-0000-0000-0000DB080000}"/>
    <cellStyle name="쉼표 [0] 2 2 4 3 3 3 2" xfId="12556" xr:uid="{1ED5E43F-D2FA-4DFE-A650-C087D12AD7C9}"/>
    <cellStyle name="쉼표 [0] 2 2 4 3 3 4" xfId="8897" xr:uid="{5880E59C-A98A-49C0-85C1-604DD1C0FB63}"/>
    <cellStyle name="쉼표 [0] 2 2 4 3 4" xfId="1055" xr:uid="{00000000-0005-0000-0000-0000DC080000}"/>
    <cellStyle name="쉼표 [0] 2 2 4 3 4 2" xfId="3408" xr:uid="{00000000-0005-0000-0000-0000DD080000}"/>
    <cellStyle name="쉼표 [0] 2 2 4 3 4 2 2" xfId="7069" xr:uid="{00000000-0005-0000-0000-0000DE080000}"/>
    <cellStyle name="쉼표 [0] 2 2 4 3 4 2 2 2" xfId="14386" xr:uid="{975C330E-F94B-49B5-8A7A-5721F2C6348C}"/>
    <cellStyle name="쉼표 [0] 2 2 4 3 4 2 3" xfId="10728" xr:uid="{EA5BA8D8-CB8A-4219-9D2D-0ABEAD342EED}"/>
    <cellStyle name="쉼표 [0] 2 2 4 3 4 3" xfId="5240" xr:uid="{00000000-0005-0000-0000-0000DF080000}"/>
    <cellStyle name="쉼표 [0] 2 2 4 3 4 3 2" xfId="12557" xr:uid="{C8E910CF-D11B-47E5-B9D3-53674CA718DB}"/>
    <cellStyle name="쉼표 [0] 2 2 4 3 4 4" xfId="8898" xr:uid="{7B0C880B-6481-418C-A08E-1EF583D5C163}"/>
    <cellStyle name="쉼표 [0] 2 2 4 3 5" xfId="3405" xr:uid="{00000000-0005-0000-0000-0000E0080000}"/>
    <cellStyle name="쉼표 [0] 2 2 4 3 5 2" xfId="7066" xr:uid="{00000000-0005-0000-0000-0000E1080000}"/>
    <cellStyle name="쉼표 [0] 2 2 4 3 5 2 2" xfId="14383" xr:uid="{47A1FCEC-F71B-4AB4-8800-010FA80CAFBE}"/>
    <cellStyle name="쉼표 [0] 2 2 4 3 5 3" xfId="10725" xr:uid="{BB48FC18-B5F6-4ECF-8556-CC8F99C55C4D}"/>
    <cellStyle name="쉼표 [0] 2 2 4 3 6" xfId="5237" xr:uid="{00000000-0005-0000-0000-0000E2080000}"/>
    <cellStyle name="쉼표 [0] 2 2 4 3 6 2" xfId="12554" xr:uid="{E91D1016-DC18-4C75-91CC-6DF7545C3075}"/>
    <cellStyle name="쉼표 [0] 2 2 4 3 7" xfId="8895" xr:uid="{8AAD141E-E1AA-47AC-9B2F-48FA978E609C}"/>
    <cellStyle name="쉼표 [0] 2 2 4 4" xfId="1056" xr:uid="{00000000-0005-0000-0000-0000E3080000}"/>
    <cellStyle name="쉼표 [0] 2 2 4 4 2" xfId="3409" xr:uid="{00000000-0005-0000-0000-0000E4080000}"/>
    <cellStyle name="쉼표 [0] 2 2 4 4 2 2" xfId="7070" xr:uid="{00000000-0005-0000-0000-0000E5080000}"/>
    <cellStyle name="쉼표 [0] 2 2 4 4 2 2 2" xfId="14387" xr:uid="{662A2BD8-F775-4030-967C-608F00B8915B}"/>
    <cellStyle name="쉼표 [0] 2 2 4 4 2 3" xfId="10729" xr:uid="{AED813FC-D17A-4500-A810-A83E56393530}"/>
    <cellStyle name="쉼표 [0] 2 2 4 4 3" xfId="5241" xr:uid="{00000000-0005-0000-0000-0000E6080000}"/>
    <cellStyle name="쉼표 [0] 2 2 4 4 3 2" xfId="12558" xr:uid="{D342469C-A55C-4BD6-8383-FB0CDA0D8434}"/>
    <cellStyle name="쉼표 [0] 2 2 4 4 4" xfId="8899" xr:uid="{AB701559-8717-4F32-A1DE-04BB3895AB53}"/>
    <cellStyle name="쉼표 [0] 2 2 4 5" xfId="1057" xr:uid="{00000000-0005-0000-0000-0000E7080000}"/>
    <cellStyle name="쉼표 [0] 2 2 4 5 2" xfId="3410" xr:uid="{00000000-0005-0000-0000-0000E8080000}"/>
    <cellStyle name="쉼표 [0] 2 2 4 5 2 2" xfId="7071" xr:uid="{00000000-0005-0000-0000-0000E9080000}"/>
    <cellStyle name="쉼표 [0] 2 2 4 5 2 2 2" xfId="14388" xr:uid="{917C6160-714D-42FA-90FD-77851FF9DFD3}"/>
    <cellStyle name="쉼표 [0] 2 2 4 5 2 3" xfId="10730" xr:uid="{A78679B4-67A3-46CE-908F-BFB499EA7149}"/>
    <cellStyle name="쉼표 [0] 2 2 4 5 3" xfId="5242" xr:uid="{00000000-0005-0000-0000-0000EA080000}"/>
    <cellStyle name="쉼표 [0] 2 2 4 5 3 2" xfId="12559" xr:uid="{161D1E4C-D140-41E1-B626-4E6004601D1E}"/>
    <cellStyle name="쉼표 [0] 2 2 4 5 4" xfId="8900" xr:uid="{9234113B-39D9-4D44-9D04-12BD6743EDBE}"/>
    <cellStyle name="쉼표 [0] 2 2 4 6" xfId="1058" xr:uid="{00000000-0005-0000-0000-0000EB080000}"/>
    <cellStyle name="쉼표 [0] 2 2 4 6 2" xfId="3411" xr:uid="{00000000-0005-0000-0000-0000EC080000}"/>
    <cellStyle name="쉼표 [0] 2 2 4 6 2 2" xfId="7072" xr:uid="{00000000-0005-0000-0000-0000ED080000}"/>
    <cellStyle name="쉼표 [0] 2 2 4 6 2 2 2" xfId="14389" xr:uid="{E8535860-7CB2-457C-BA81-7C7AA7AB4D99}"/>
    <cellStyle name="쉼표 [0] 2 2 4 6 2 3" xfId="10731" xr:uid="{161AF982-65D2-4283-82FD-05CC58C5CE87}"/>
    <cellStyle name="쉼표 [0] 2 2 4 6 3" xfId="5243" xr:uid="{00000000-0005-0000-0000-0000EE080000}"/>
    <cellStyle name="쉼표 [0] 2 2 4 6 3 2" xfId="12560" xr:uid="{03F400E3-EA1A-4A53-A725-4B709F44A23D}"/>
    <cellStyle name="쉼표 [0] 2 2 4 6 4" xfId="8901" xr:uid="{39BED808-F12E-4440-9B42-BF662E0F31F0}"/>
    <cellStyle name="쉼표 [0] 2 2 4 7" xfId="3396" xr:uid="{00000000-0005-0000-0000-0000EF080000}"/>
    <cellStyle name="쉼표 [0] 2 2 4 7 2" xfId="7057" xr:uid="{00000000-0005-0000-0000-0000F0080000}"/>
    <cellStyle name="쉼표 [0] 2 2 4 7 2 2" xfId="14374" xr:uid="{43824361-360A-419E-AF72-9198C9AB7AA4}"/>
    <cellStyle name="쉼표 [0] 2 2 4 7 3" xfId="10716" xr:uid="{5E8E126A-FF35-410A-8CA4-968018627AEB}"/>
    <cellStyle name="쉼표 [0] 2 2 4 8" xfId="5228" xr:uid="{00000000-0005-0000-0000-0000F1080000}"/>
    <cellStyle name="쉼표 [0] 2 2 4 8 2" xfId="12545" xr:uid="{7B5FFF0D-71E8-472F-9986-F6E178B9A55D}"/>
    <cellStyle name="쉼표 [0] 2 2 4 9" xfId="8886" xr:uid="{BAE6F340-3D42-4CB3-81AA-084E291217F4}"/>
    <cellStyle name="쉼표 [0] 2 2 5" xfId="1059" xr:uid="{00000000-0005-0000-0000-0000F2080000}"/>
    <cellStyle name="쉼표 [0] 2 2 5 2" xfId="1060" xr:uid="{00000000-0005-0000-0000-0000F3080000}"/>
    <cellStyle name="쉼표 [0] 2 2 5 2 2" xfId="1061" xr:uid="{00000000-0005-0000-0000-0000F4080000}"/>
    <cellStyle name="쉼표 [0] 2 2 5 2 2 2" xfId="3414" xr:uid="{00000000-0005-0000-0000-0000F5080000}"/>
    <cellStyle name="쉼표 [0] 2 2 5 2 2 2 2" xfId="7075" xr:uid="{00000000-0005-0000-0000-0000F6080000}"/>
    <cellStyle name="쉼표 [0] 2 2 5 2 2 2 2 2" xfId="14392" xr:uid="{C7C30463-051B-4874-9D14-E691574B8347}"/>
    <cellStyle name="쉼표 [0] 2 2 5 2 2 2 3" xfId="10734" xr:uid="{2922B354-5508-41FD-A2F3-C6B3A6EED9F3}"/>
    <cellStyle name="쉼표 [0] 2 2 5 2 2 3" xfId="5246" xr:uid="{00000000-0005-0000-0000-0000F7080000}"/>
    <cellStyle name="쉼표 [0] 2 2 5 2 2 3 2" xfId="12563" xr:uid="{0A8BE0E8-5BED-4FA3-A2C1-473A4A6EFF0D}"/>
    <cellStyle name="쉼표 [0] 2 2 5 2 2 4" xfId="8904" xr:uid="{0250CE22-64AF-47C4-8821-424075CB90A2}"/>
    <cellStyle name="쉼표 [0] 2 2 5 2 3" xfId="1062" xr:uid="{00000000-0005-0000-0000-0000F8080000}"/>
    <cellStyle name="쉼표 [0] 2 2 5 2 3 2" xfId="3415" xr:uid="{00000000-0005-0000-0000-0000F9080000}"/>
    <cellStyle name="쉼표 [0] 2 2 5 2 3 2 2" xfId="7076" xr:uid="{00000000-0005-0000-0000-0000FA080000}"/>
    <cellStyle name="쉼표 [0] 2 2 5 2 3 2 2 2" xfId="14393" xr:uid="{985031EE-F92D-4D3D-A502-FD5EF9817576}"/>
    <cellStyle name="쉼표 [0] 2 2 5 2 3 2 3" xfId="10735" xr:uid="{A0262DEC-924D-4A3F-BB99-82ED9D4F8055}"/>
    <cellStyle name="쉼표 [0] 2 2 5 2 3 3" xfId="5247" xr:uid="{00000000-0005-0000-0000-0000FB080000}"/>
    <cellStyle name="쉼표 [0] 2 2 5 2 3 3 2" xfId="12564" xr:uid="{C0214DA3-2ACC-445A-BE06-E7CD6ECDF883}"/>
    <cellStyle name="쉼표 [0] 2 2 5 2 3 4" xfId="8905" xr:uid="{2EF2A3CF-9E51-41DF-B4E0-962E1F249643}"/>
    <cellStyle name="쉼표 [0] 2 2 5 2 4" xfId="1063" xr:uid="{00000000-0005-0000-0000-0000FC080000}"/>
    <cellStyle name="쉼표 [0] 2 2 5 2 4 2" xfId="3416" xr:uid="{00000000-0005-0000-0000-0000FD080000}"/>
    <cellStyle name="쉼표 [0] 2 2 5 2 4 2 2" xfId="7077" xr:uid="{00000000-0005-0000-0000-0000FE080000}"/>
    <cellStyle name="쉼표 [0] 2 2 5 2 4 2 2 2" xfId="14394" xr:uid="{A07A49CE-27B2-4866-B6D0-32CEA2072B61}"/>
    <cellStyle name="쉼표 [0] 2 2 5 2 4 2 3" xfId="10736" xr:uid="{71FE16C7-ED64-4DEA-854C-F2A7A394A2EF}"/>
    <cellStyle name="쉼표 [0] 2 2 5 2 4 3" xfId="5248" xr:uid="{00000000-0005-0000-0000-0000FF080000}"/>
    <cellStyle name="쉼표 [0] 2 2 5 2 4 3 2" xfId="12565" xr:uid="{CCB29493-75CE-43C0-9219-44DAE31133AC}"/>
    <cellStyle name="쉼표 [0] 2 2 5 2 4 4" xfId="8906" xr:uid="{87E1119F-BB1B-4502-9FCB-A943478BE0CB}"/>
    <cellStyle name="쉼표 [0] 2 2 5 2 5" xfId="3413" xr:uid="{00000000-0005-0000-0000-000000090000}"/>
    <cellStyle name="쉼표 [0] 2 2 5 2 5 2" xfId="7074" xr:uid="{00000000-0005-0000-0000-000001090000}"/>
    <cellStyle name="쉼표 [0] 2 2 5 2 5 2 2" xfId="14391" xr:uid="{4B43B1D5-CFAD-42B7-99BE-A090DB28A716}"/>
    <cellStyle name="쉼표 [0] 2 2 5 2 5 3" xfId="10733" xr:uid="{ABB8A47B-8742-47E1-9049-1FB6F73E4F00}"/>
    <cellStyle name="쉼표 [0] 2 2 5 2 6" xfId="5245" xr:uid="{00000000-0005-0000-0000-000002090000}"/>
    <cellStyle name="쉼표 [0] 2 2 5 2 6 2" xfId="12562" xr:uid="{23C8C686-70A3-43D4-A378-18D2959F2D93}"/>
    <cellStyle name="쉼표 [0] 2 2 5 2 7" xfId="8903" xr:uid="{85D12481-BBBE-49B0-9AF8-8F01E4552466}"/>
    <cellStyle name="쉼표 [0] 2 2 5 3" xfId="1064" xr:uid="{00000000-0005-0000-0000-000003090000}"/>
    <cellStyle name="쉼표 [0] 2 2 5 3 2" xfId="3417" xr:uid="{00000000-0005-0000-0000-000004090000}"/>
    <cellStyle name="쉼표 [0] 2 2 5 3 2 2" xfId="7078" xr:uid="{00000000-0005-0000-0000-000005090000}"/>
    <cellStyle name="쉼표 [0] 2 2 5 3 2 2 2" xfId="14395" xr:uid="{A1C1637B-B5B9-40C5-B066-44C667662EDF}"/>
    <cellStyle name="쉼표 [0] 2 2 5 3 2 3" xfId="10737" xr:uid="{052635CB-675F-413C-AA42-D12845C86730}"/>
    <cellStyle name="쉼표 [0] 2 2 5 3 3" xfId="5249" xr:uid="{00000000-0005-0000-0000-000006090000}"/>
    <cellStyle name="쉼표 [0] 2 2 5 3 3 2" xfId="12566" xr:uid="{1662D9B3-919B-4A96-96C9-14362AB22147}"/>
    <cellStyle name="쉼표 [0] 2 2 5 3 4" xfId="8907" xr:uid="{59921C4A-0A5C-458B-A08B-0EEC050A4037}"/>
    <cellStyle name="쉼표 [0] 2 2 5 4" xfId="1065" xr:uid="{00000000-0005-0000-0000-000007090000}"/>
    <cellStyle name="쉼표 [0] 2 2 5 4 2" xfId="3418" xr:uid="{00000000-0005-0000-0000-000008090000}"/>
    <cellStyle name="쉼표 [0] 2 2 5 4 2 2" xfId="7079" xr:uid="{00000000-0005-0000-0000-000009090000}"/>
    <cellStyle name="쉼표 [0] 2 2 5 4 2 2 2" xfId="14396" xr:uid="{83ECD934-991D-4E94-8639-DBDF5850428B}"/>
    <cellStyle name="쉼표 [0] 2 2 5 4 2 3" xfId="10738" xr:uid="{69A13B63-B062-4545-B3F8-BBE85DF3ACE2}"/>
    <cellStyle name="쉼표 [0] 2 2 5 4 3" xfId="5250" xr:uid="{00000000-0005-0000-0000-00000A090000}"/>
    <cellStyle name="쉼표 [0] 2 2 5 4 3 2" xfId="12567" xr:uid="{9EB39965-0B1C-463F-A319-A8068646FEF2}"/>
    <cellStyle name="쉼표 [0] 2 2 5 4 4" xfId="8908" xr:uid="{D7DAEA86-DF2A-4F80-BB17-AD650A13F2D3}"/>
    <cellStyle name="쉼표 [0] 2 2 5 5" xfId="1066" xr:uid="{00000000-0005-0000-0000-00000B090000}"/>
    <cellStyle name="쉼표 [0] 2 2 5 5 2" xfId="3419" xr:uid="{00000000-0005-0000-0000-00000C090000}"/>
    <cellStyle name="쉼표 [0] 2 2 5 5 2 2" xfId="7080" xr:uid="{00000000-0005-0000-0000-00000D090000}"/>
    <cellStyle name="쉼표 [0] 2 2 5 5 2 2 2" xfId="14397" xr:uid="{93BD416C-63D4-4F63-A4F1-D8D5E5998D12}"/>
    <cellStyle name="쉼표 [0] 2 2 5 5 2 3" xfId="10739" xr:uid="{67B5037F-250B-438F-9AD1-A1092D50BA8F}"/>
    <cellStyle name="쉼표 [0] 2 2 5 5 3" xfId="5251" xr:uid="{00000000-0005-0000-0000-00000E090000}"/>
    <cellStyle name="쉼표 [0] 2 2 5 5 3 2" xfId="12568" xr:uid="{BAF313A2-D0BD-4416-A9A7-ABDC82394E0E}"/>
    <cellStyle name="쉼표 [0] 2 2 5 5 4" xfId="8909" xr:uid="{6F09F063-E5AE-48FB-95F1-D3531879F416}"/>
    <cellStyle name="쉼표 [0] 2 2 5 6" xfId="3412" xr:uid="{00000000-0005-0000-0000-00000F090000}"/>
    <cellStyle name="쉼표 [0] 2 2 5 6 2" xfId="7073" xr:uid="{00000000-0005-0000-0000-000010090000}"/>
    <cellStyle name="쉼표 [0] 2 2 5 6 2 2" xfId="14390" xr:uid="{5DE0F445-202A-43FE-B9D7-15085AC49519}"/>
    <cellStyle name="쉼표 [0] 2 2 5 6 3" xfId="10732" xr:uid="{DFAAA41A-F85C-439F-B767-A404314116D4}"/>
    <cellStyle name="쉼표 [0] 2 2 5 7" xfId="5244" xr:uid="{00000000-0005-0000-0000-000011090000}"/>
    <cellStyle name="쉼표 [0] 2 2 5 7 2" xfId="12561" xr:uid="{78074779-209E-4753-907F-627BE278CB55}"/>
    <cellStyle name="쉼표 [0] 2 2 5 8" xfId="8902" xr:uid="{2BC47D6E-774B-4515-8448-B847D23DDD3B}"/>
    <cellStyle name="쉼표 [0] 2 2 6" xfId="1067" xr:uid="{00000000-0005-0000-0000-000012090000}"/>
    <cellStyle name="쉼표 [0] 2 2 6 2" xfId="1068" xr:uid="{00000000-0005-0000-0000-000013090000}"/>
    <cellStyle name="쉼표 [0] 2 2 6 2 2" xfId="1069" xr:uid="{00000000-0005-0000-0000-000014090000}"/>
    <cellStyle name="쉼표 [0] 2 2 6 2 2 2" xfId="3422" xr:uid="{00000000-0005-0000-0000-000015090000}"/>
    <cellStyle name="쉼표 [0] 2 2 6 2 2 2 2" xfId="7083" xr:uid="{00000000-0005-0000-0000-000016090000}"/>
    <cellStyle name="쉼표 [0] 2 2 6 2 2 2 2 2" xfId="14400" xr:uid="{492DFAA3-F9FA-4287-B84D-91BCA175A108}"/>
    <cellStyle name="쉼표 [0] 2 2 6 2 2 2 3" xfId="10742" xr:uid="{F83F0EBF-9E86-4C7D-B9D5-68950C94B4C8}"/>
    <cellStyle name="쉼표 [0] 2 2 6 2 2 3" xfId="5254" xr:uid="{00000000-0005-0000-0000-000017090000}"/>
    <cellStyle name="쉼표 [0] 2 2 6 2 2 3 2" xfId="12571" xr:uid="{D0024A2E-2BE4-47B6-8392-0A3A46849F9A}"/>
    <cellStyle name="쉼표 [0] 2 2 6 2 2 4" xfId="8912" xr:uid="{8C361D38-87F9-4C52-8563-32BAC1BC1902}"/>
    <cellStyle name="쉼표 [0] 2 2 6 2 3" xfId="1070" xr:uid="{00000000-0005-0000-0000-000018090000}"/>
    <cellStyle name="쉼표 [0] 2 2 6 2 3 2" xfId="3423" xr:uid="{00000000-0005-0000-0000-000019090000}"/>
    <cellStyle name="쉼표 [0] 2 2 6 2 3 2 2" xfId="7084" xr:uid="{00000000-0005-0000-0000-00001A090000}"/>
    <cellStyle name="쉼표 [0] 2 2 6 2 3 2 2 2" xfId="14401" xr:uid="{E219D5F6-1ED8-4ADE-A49D-56BA6348E581}"/>
    <cellStyle name="쉼표 [0] 2 2 6 2 3 2 3" xfId="10743" xr:uid="{1A20C20E-F5A0-4273-A9BF-0D10CFCA5DBA}"/>
    <cellStyle name="쉼표 [0] 2 2 6 2 3 3" xfId="5255" xr:uid="{00000000-0005-0000-0000-00001B090000}"/>
    <cellStyle name="쉼표 [0] 2 2 6 2 3 3 2" xfId="12572" xr:uid="{539AAFCB-1297-4D5D-90AA-924946F856D4}"/>
    <cellStyle name="쉼표 [0] 2 2 6 2 3 4" xfId="8913" xr:uid="{F43557B7-08D2-453A-B230-6187498C5D20}"/>
    <cellStyle name="쉼표 [0] 2 2 6 2 4" xfId="1071" xr:uid="{00000000-0005-0000-0000-00001C090000}"/>
    <cellStyle name="쉼표 [0] 2 2 6 2 4 2" xfId="3424" xr:uid="{00000000-0005-0000-0000-00001D090000}"/>
    <cellStyle name="쉼표 [0] 2 2 6 2 4 2 2" xfId="7085" xr:uid="{00000000-0005-0000-0000-00001E090000}"/>
    <cellStyle name="쉼표 [0] 2 2 6 2 4 2 2 2" xfId="14402" xr:uid="{7D1FD6AB-63A9-41E8-B260-8D47FFA6E804}"/>
    <cellStyle name="쉼표 [0] 2 2 6 2 4 2 3" xfId="10744" xr:uid="{E00FA764-456E-45E5-9492-1C653819AD2B}"/>
    <cellStyle name="쉼표 [0] 2 2 6 2 4 3" xfId="5256" xr:uid="{00000000-0005-0000-0000-00001F090000}"/>
    <cellStyle name="쉼표 [0] 2 2 6 2 4 3 2" xfId="12573" xr:uid="{4D8A13CE-0A56-4821-AD36-6E99136AADE2}"/>
    <cellStyle name="쉼표 [0] 2 2 6 2 4 4" xfId="8914" xr:uid="{EE1D8640-B33E-4EF7-A936-24B8DB2B2BA8}"/>
    <cellStyle name="쉼표 [0] 2 2 6 2 5" xfId="3421" xr:uid="{00000000-0005-0000-0000-000020090000}"/>
    <cellStyle name="쉼표 [0] 2 2 6 2 5 2" xfId="7082" xr:uid="{00000000-0005-0000-0000-000021090000}"/>
    <cellStyle name="쉼표 [0] 2 2 6 2 5 2 2" xfId="14399" xr:uid="{D527149B-65CE-4242-9610-277A76F72788}"/>
    <cellStyle name="쉼표 [0] 2 2 6 2 5 3" xfId="10741" xr:uid="{2211535F-5250-4C22-9B23-D51160DB10E1}"/>
    <cellStyle name="쉼표 [0] 2 2 6 2 6" xfId="5253" xr:uid="{00000000-0005-0000-0000-000022090000}"/>
    <cellStyle name="쉼표 [0] 2 2 6 2 6 2" xfId="12570" xr:uid="{D348749C-550C-4AB7-B5A5-4DF409B24EC6}"/>
    <cellStyle name="쉼표 [0] 2 2 6 2 7" xfId="8911" xr:uid="{5EFCE0BD-34F5-486F-9BCD-1B8E5A971F79}"/>
    <cellStyle name="쉼표 [0] 2 2 6 3" xfId="1072" xr:uid="{00000000-0005-0000-0000-000023090000}"/>
    <cellStyle name="쉼표 [0] 2 2 6 3 2" xfId="3425" xr:uid="{00000000-0005-0000-0000-000024090000}"/>
    <cellStyle name="쉼표 [0] 2 2 6 3 2 2" xfId="7086" xr:uid="{00000000-0005-0000-0000-000025090000}"/>
    <cellStyle name="쉼표 [0] 2 2 6 3 2 2 2" xfId="14403" xr:uid="{3C30BDAB-32A4-4A64-A84C-F9FE1AAA1CCA}"/>
    <cellStyle name="쉼표 [0] 2 2 6 3 2 3" xfId="10745" xr:uid="{0B712072-82C3-40E0-B9C6-4A17455021FD}"/>
    <cellStyle name="쉼표 [0] 2 2 6 3 3" xfId="5257" xr:uid="{00000000-0005-0000-0000-000026090000}"/>
    <cellStyle name="쉼표 [0] 2 2 6 3 3 2" xfId="12574" xr:uid="{118E18E0-662B-44BB-B3AD-9042C1B17ACD}"/>
    <cellStyle name="쉼표 [0] 2 2 6 3 4" xfId="8915" xr:uid="{8E03D6B5-C0D9-4EB5-9578-CC97212BDA9D}"/>
    <cellStyle name="쉼표 [0] 2 2 6 4" xfId="1073" xr:uid="{00000000-0005-0000-0000-000027090000}"/>
    <cellStyle name="쉼표 [0] 2 2 6 4 2" xfId="3426" xr:uid="{00000000-0005-0000-0000-000028090000}"/>
    <cellStyle name="쉼표 [0] 2 2 6 4 2 2" xfId="7087" xr:uid="{00000000-0005-0000-0000-000029090000}"/>
    <cellStyle name="쉼표 [0] 2 2 6 4 2 2 2" xfId="14404" xr:uid="{157F9698-FECB-4742-937D-CE33E6C0F169}"/>
    <cellStyle name="쉼표 [0] 2 2 6 4 2 3" xfId="10746" xr:uid="{3A1625EA-7CD1-47F1-BCD3-8E8CBCE23DAC}"/>
    <cellStyle name="쉼표 [0] 2 2 6 4 3" xfId="5258" xr:uid="{00000000-0005-0000-0000-00002A090000}"/>
    <cellStyle name="쉼표 [0] 2 2 6 4 3 2" xfId="12575" xr:uid="{6BA305E7-2175-47DA-8B91-74C15F110785}"/>
    <cellStyle name="쉼표 [0] 2 2 6 4 4" xfId="8916" xr:uid="{52B7B4B7-4924-4AB2-B558-89A51F91731C}"/>
    <cellStyle name="쉼표 [0] 2 2 6 5" xfId="1074" xr:uid="{00000000-0005-0000-0000-00002B090000}"/>
    <cellStyle name="쉼표 [0] 2 2 6 5 2" xfId="3427" xr:uid="{00000000-0005-0000-0000-00002C090000}"/>
    <cellStyle name="쉼표 [0] 2 2 6 5 2 2" xfId="7088" xr:uid="{00000000-0005-0000-0000-00002D090000}"/>
    <cellStyle name="쉼표 [0] 2 2 6 5 2 2 2" xfId="14405" xr:uid="{5940EAC7-8E11-47C7-B333-BBF00568D0C7}"/>
    <cellStyle name="쉼표 [0] 2 2 6 5 2 3" xfId="10747" xr:uid="{1CEDE716-BA07-40B6-BCA7-74B08E19A92E}"/>
    <cellStyle name="쉼표 [0] 2 2 6 5 3" xfId="5259" xr:uid="{00000000-0005-0000-0000-00002E090000}"/>
    <cellStyle name="쉼표 [0] 2 2 6 5 3 2" xfId="12576" xr:uid="{BD7F507E-20B9-45FC-8867-4843A055ED28}"/>
    <cellStyle name="쉼표 [0] 2 2 6 5 4" xfId="8917" xr:uid="{8201BFB0-AAD4-4777-830A-F58556C51AAA}"/>
    <cellStyle name="쉼표 [0] 2 2 6 6" xfId="3420" xr:uid="{00000000-0005-0000-0000-00002F090000}"/>
    <cellStyle name="쉼표 [0] 2 2 6 6 2" xfId="7081" xr:uid="{00000000-0005-0000-0000-000030090000}"/>
    <cellStyle name="쉼표 [0] 2 2 6 6 2 2" xfId="14398" xr:uid="{D946860B-DE25-481C-95C8-20BAE81B1D05}"/>
    <cellStyle name="쉼표 [0] 2 2 6 6 3" xfId="10740" xr:uid="{2D72A001-BD2F-482B-A391-678D7A5F8EAE}"/>
    <cellStyle name="쉼표 [0] 2 2 6 7" xfId="5252" xr:uid="{00000000-0005-0000-0000-000031090000}"/>
    <cellStyle name="쉼표 [0] 2 2 6 7 2" xfId="12569" xr:uid="{E2721DC9-CD3C-4DC4-8B79-60522AB7E9A4}"/>
    <cellStyle name="쉼표 [0] 2 2 6 8" xfId="8910" xr:uid="{C5503971-9EA8-4E84-B0EF-96EDFD12173F}"/>
    <cellStyle name="쉼표 [0] 2 2 7" xfId="1075" xr:uid="{00000000-0005-0000-0000-000032090000}"/>
    <cellStyle name="쉼표 [0] 2 2 7 2" xfId="1076" xr:uid="{00000000-0005-0000-0000-000033090000}"/>
    <cellStyle name="쉼표 [0] 2 2 7 2 2" xfId="1077" xr:uid="{00000000-0005-0000-0000-000034090000}"/>
    <cellStyle name="쉼표 [0] 2 2 7 2 2 2" xfId="3430" xr:uid="{00000000-0005-0000-0000-000035090000}"/>
    <cellStyle name="쉼표 [0] 2 2 7 2 2 2 2" xfId="7091" xr:uid="{00000000-0005-0000-0000-000036090000}"/>
    <cellStyle name="쉼표 [0] 2 2 7 2 2 2 2 2" xfId="14408" xr:uid="{6ACCC4DE-8FA3-4561-ACF9-26EF7DE20249}"/>
    <cellStyle name="쉼표 [0] 2 2 7 2 2 2 3" xfId="10750" xr:uid="{4AC8C520-7AFA-46BF-A178-6D097C5A485E}"/>
    <cellStyle name="쉼표 [0] 2 2 7 2 2 3" xfId="5262" xr:uid="{00000000-0005-0000-0000-000037090000}"/>
    <cellStyle name="쉼표 [0] 2 2 7 2 2 3 2" xfId="12579" xr:uid="{996557CB-FCA6-44A3-AAC1-133C31BEEAD7}"/>
    <cellStyle name="쉼표 [0] 2 2 7 2 2 4" xfId="8920" xr:uid="{CAE07F21-294A-46FE-A476-65311EEB8284}"/>
    <cellStyle name="쉼표 [0] 2 2 7 2 3" xfId="1078" xr:uid="{00000000-0005-0000-0000-000038090000}"/>
    <cellStyle name="쉼표 [0] 2 2 7 2 3 2" xfId="3431" xr:uid="{00000000-0005-0000-0000-000039090000}"/>
    <cellStyle name="쉼표 [0] 2 2 7 2 3 2 2" xfId="7092" xr:uid="{00000000-0005-0000-0000-00003A090000}"/>
    <cellStyle name="쉼표 [0] 2 2 7 2 3 2 2 2" xfId="14409" xr:uid="{9A35428B-6875-4F9C-B59F-0A39621A000D}"/>
    <cellStyle name="쉼표 [0] 2 2 7 2 3 2 3" xfId="10751" xr:uid="{6CBBE203-3402-4CBE-B926-D64E963836CA}"/>
    <cellStyle name="쉼표 [0] 2 2 7 2 3 3" xfId="5263" xr:uid="{00000000-0005-0000-0000-00003B090000}"/>
    <cellStyle name="쉼표 [0] 2 2 7 2 3 3 2" xfId="12580" xr:uid="{760ED70A-BF91-49E8-AEBA-ECE73DEF093A}"/>
    <cellStyle name="쉼표 [0] 2 2 7 2 3 4" xfId="8921" xr:uid="{BC57F9A0-4A1F-4DD3-9AF4-2C804DEB3495}"/>
    <cellStyle name="쉼표 [0] 2 2 7 2 4" xfId="1079" xr:uid="{00000000-0005-0000-0000-00003C090000}"/>
    <cellStyle name="쉼표 [0] 2 2 7 2 4 2" xfId="3432" xr:uid="{00000000-0005-0000-0000-00003D090000}"/>
    <cellStyle name="쉼표 [0] 2 2 7 2 4 2 2" xfId="7093" xr:uid="{00000000-0005-0000-0000-00003E090000}"/>
    <cellStyle name="쉼표 [0] 2 2 7 2 4 2 2 2" xfId="14410" xr:uid="{0BD7AC7C-102E-4429-9468-7CA13F3B42D4}"/>
    <cellStyle name="쉼표 [0] 2 2 7 2 4 2 3" xfId="10752" xr:uid="{516ED3E8-4A38-4188-8931-02B5EE2542E0}"/>
    <cellStyle name="쉼표 [0] 2 2 7 2 4 3" xfId="5264" xr:uid="{00000000-0005-0000-0000-00003F090000}"/>
    <cellStyle name="쉼표 [0] 2 2 7 2 4 3 2" xfId="12581" xr:uid="{817060B8-4D6F-4245-AE60-B4AED0E44829}"/>
    <cellStyle name="쉼표 [0] 2 2 7 2 4 4" xfId="8922" xr:uid="{4590B257-843F-4FBB-AA8C-938C4D875E86}"/>
    <cellStyle name="쉼표 [0] 2 2 7 2 5" xfId="3429" xr:uid="{00000000-0005-0000-0000-000040090000}"/>
    <cellStyle name="쉼표 [0] 2 2 7 2 5 2" xfId="7090" xr:uid="{00000000-0005-0000-0000-000041090000}"/>
    <cellStyle name="쉼표 [0] 2 2 7 2 5 2 2" xfId="14407" xr:uid="{ABE74ADA-7CA0-4203-8FC8-A58381B9818C}"/>
    <cellStyle name="쉼표 [0] 2 2 7 2 5 3" xfId="10749" xr:uid="{F66EB4F0-45AF-4661-9CBD-C33311ABCCD1}"/>
    <cellStyle name="쉼표 [0] 2 2 7 2 6" xfId="5261" xr:uid="{00000000-0005-0000-0000-000042090000}"/>
    <cellStyle name="쉼표 [0] 2 2 7 2 6 2" xfId="12578" xr:uid="{529B1493-6C64-4FEA-AF7B-BC1061B5FBE6}"/>
    <cellStyle name="쉼표 [0] 2 2 7 2 7" xfId="8919" xr:uid="{8313EA1D-2ACA-40BC-98F3-C3FA13D79DFB}"/>
    <cellStyle name="쉼표 [0] 2 2 7 3" xfId="1080" xr:uid="{00000000-0005-0000-0000-000043090000}"/>
    <cellStyle name="쉼표 [0] 2 2 7 3 2" xfId="3433" xr:uid="{00000000-0005-0000-0000-000044090000}"/>
    <cellStyle name="쉼표 [0] 2 2 7 3 2 2" xfId="7094" xr:uid="{00000000-0005-0000-0000-000045090000}"/>
    <cellStyle name="쉼표 [0] 2 2 7 3 2 2 2" xfId="14411" xr:uid="{4B9C349E-3AD2-4411-B244-EBBED2C80A56}"/>
    <cellStyle name="쉼표 [0] 2 2 7 3 2 3" xfId="10753" xr:uid="{789DFDDA-3D32-4982-B35E-2280652A76E6}"/>
    <cellStyle name="쉼표 [0] 2 2 7 3 3" xfId="5265" xr:uid="{00000000-0005-0000-0000-000046090000}"/>
    <cellStyle name="쉼표 [0] 2 2 7 3 3 2" xfId="12582" xr:uid="{F52523E8-B81F-4CDC-AB7D-EBAF69E6A701}"/>
    <cellStyle name="쉼표 [0] 2 2 7 3 4" xfId="8923" xr:uid="{221C80F2-30B7-4DAE-AB7C-1CDDB2AC0D1B}"/>
    <cellStyle name="쉼표 [0] 2 2 7 4" xfId="1081" xr:uid="{00000000-0005-0000-0000-000047090000}"/>
    <cellStyle name="쉼표 [0] 2 2 7 4 2" xfId="3434" xr:uid="{00000000-0005-0000-0000-000048090000}"/>
    <cellStyle name="쉼표 [0] 2 2 7 4 2 2" xfId="7095" xr:uid="{00000000-0005-0000-0000-000049090000}"/>
    <cellStyle name="쉼표 [0] 2 2 7 4 2 2 2" xfId="14412" xr:uid="{F88DB03A-A139-4E40-8175-F7FCCA75604A}"/>
    <cellStyle name="쉼표 [0] 2 2 7 4 2 3" xfId="10754" xr:uid="{C4153BE6-388C-41A0-B76A-F3BEA062B9C9}"/>
    <cellStyle name="쉼표 [0] 2 2 7 4 3" xfId="5266" xr:uid="{00000000-0005-0000-0000-00004A090000}"/>
    <cellStyle name="쉼표 [0] 2 2 7 4 3 2" xfId="12583" xr:uid="{06047955-EE97-4656-9852-F3135C23EE20}"/>
    <cellStyle name="쉼표 [0] 2 2 7 4 4" xfId="8924" xr:uid="{E2689343-E43F-4164-BBFE-C8E8076F67ED}"/>
    <cellStyle name="쉼표 [0] 2 2 7 5" xfId="1082" xr:uid="{00000000-0005-0000-0000-00004B090000}"/>
    <cellStyle name="쉼표 [0] 2 2 7 5 2" xfId="3435" xr:uid="{00000000-0005-0000-0000-00004C090000}"/>
    <cellStyle name="쉼표 [0] 2 2 7 5 2 2" xfId="7096" xr:uid="{00000000-0005-0000-0000-00004D090000}"/>
    <cellStyle name="쉼표 [0] 2 2 7 5 2 2 2" xfId="14413" xr:uid="{B322CFEB-960C-4801-AAB3-C68C00180E49}"/>
    <cellStyle name="쉼표 [0] 2 2 7 5 2 3" xfId="10755" xr:uid="{E96E4D26-F88E-48DA-A822-CBE54DC915CC}"/>
    <cellStyle name="쉼표 [0] 2 2 7 5 3" xfId="5267" xr:uid="{00000000-0005-0000-0000-00004E090000}"/>
    <cellStyle name="쉼표 [0] 2 2 7 5 3 2" xfId="12584" xr:uid="{E9288C2B-4B23-4868-86B5-87D5BB9D5D20}"/>
    <cellStyle name="쉼표 [0] 2 2 7 5 4" xfId="8925" xr:uid="{06971057-DB59-4FBF-8876-203F6021AD2C}"/>
    <cellStyle name="쉼표 [0] 2 2 7 6" xfId="3428" xr:uid="{00000000-0005-0000-0000-00004F090000}"/>
    <cellStyle name="쉼표 [0] 2 2 7 6 2" xfId="7089" xr:uid="{00000000-0005-0000-0000-000050090000}"/>
    <cellStyle name="쉼표 [0] 2 2 7 6 2 2" xfId="14406" xr:uid="{51F791DE-31F2-4B94-99C3-3AA6BD42C463}"/>
    <cellStyle name="쉼표 [0] 2 2 7 6 3" xfId="10748" xr:uid="{61375E9A-9F77-4123-9E1E-6BDA25369ABA}"/>
    <cellStyle name="쉼표 [0] 2 2 7 7" xfId="5260" xr:uid="{00000000-0005-0000-0000-000051090000}"/>
    <cellStyle name="쉼표 [0] 2 2 7 7 2" xfId="12577" xr:uid="{AEF623B7-52DD-4C78-BFCB-F107C1920F43}"/>
    <cellStyle name="쉼표 [0] 2 2 7 8" xfId="8918" xr:uid="{6DEB4870-7417-4B1D-9892-EBA5FD4CDFF5}"/>
    <cellStyle name="쉼표 [0] 2 2 8" xfId="1083" xr:uid="{00000000-0005-0000-0000-000052090000}"/>
    <cellStyle name="쉼표 [0] 2 2 9" xfId="1084" xr:uid="{00000000-0005-0000-0000-000053090000}"/>
    <cellStyle name="쉼표 [0] 2 20" xfId="1085" xr:uid="{00000000-0005-0000-0000-000054090000}"/>
    <cellStyle name="쉼표 [0] 2 20 10" xfId="1086" xr:uid="{00000000-0005-0000-0000-000055090000}"/>
    <cellStyle name="쉼표 [0] 2 20 10 2" xfId="1087" xr:uid="{00000000-0005-0000-0000-000056090000}"/>
    <cellStyle name="쉼표 [0] 2 20 10 2 2" xfId="3438" xr:uid="{00000000-0005-0000-0000-000057090000}"/>
    <cellStyle name="쉼표 [0] 2 20 10 2 2 2" xfId="7099" xr:uid="{00000000-0005-0000-0000-000058090000}"/>
    <cellStyle name="쉼표 [0] 2 20 10 2 2 2 2" xfId="14416" xr:uid="{89984FBA-881D-4AA4-B97E-187979402932}"/>
    <cellStyle name="쉼표 [0] 2 20 10 2 2 3" xfId="10758" xr:uid="{3E57A0A2-0A75-49C1-BCBD-BA96DFAF6B2D}"/>
    <cellStyle name="쉼표 [0] 2 20 10 2 3" xfId="5270" xr:uid="{00000000-0005-0000-0000-000059090000}"/>
    <cellStyle name="쉼표 [0] 2 20 10 2 3 2" xfId="12587" xr:uid="{440703A5-7E6A-4833-BF40-93FA361A6D29}"/>
    <cellStyle name="쉼표 [0] 2 20 10 2 4" xfId="8928" xr:uid="{020C1A4E-F4D1-4422-8350-176063D03779}"/>
    <cellStyle name="쉼표 [0] 2 20 10 3" xfId="1088" xr:uid="{00000000-0005-0000-0000-00005A090000}"/>
    <cellStyle name="쉼표 [0] 2 20 10 3 2" xfId="3439" xr:uid="{00000000-0005-0000-0000-00005B090000}"/>
    <cellStyle name="쉼표 [0] 2 20 10 3 2 2" xfId="7100" xr:uid="{00000000-0005-0000-0000-00005C090000}"/>
    <cellStyle name="쉼표 [0] 2 20 10 3 2 2 2" xfId="14417" xr:uid="{FBE6115F-42AF-47A1-97EC-76CD1A10C805}"/>
    <cellStyle name="쉼표 [0] 2 20 10 3 2 3" xfId="10759" xr:uid="{398E0881-F952-4E73-95B5-652EDE615F6A}"/>
    <cellStyle name="쉼표 [0] 2 20 10 3 3" xfId="5271" xr:uid="{00000000-0005-0000-0000-00005D090000}"/>
    <cellStyle name="쉼표 [0] 2 20 10 3 3 2" xfId="12588" xr:uid="{B83CB467-3730-4EAB-BF93-9E0E98A305D1}"/>
    <cellStyle name="쉼표 [0] 2 20 10 3 4" xfId="8929" xr:uid="{CA66B22D-2181-410E-B0AB-D2BA0A69C10B}"/>
    <cellStyle name="쉼표 [0] 2 20 10 4" xfId="3437" xr:uid="{00000000-0005-0000-0000-00005E090000}"/>
    <cellStyle name="쉼표 [0] 2 20 10 4 2" xfId="7098" xr:uid="{00000000-0005-0000-0000-00005F090000}"/>
    <cellStyle name="쉼표 [0] 2 20 10 4 2 2" xfId="14415" xr:uid="{3D97344F-699D-45EF-B8B4-76A2B7DE481A}"/>
    <cellStyle name="쉼표 [0] 2 20 10 4 3" xfId="10757" xr:uid="{331672CE-C4EF-4B9E-A678-1465643F4D6E}"/>
    <cellStyle name="쉼표 [0] 2 20 10 5" xfId="5269" xr:uid="{00000000-0005-0000-0000-000060090000}"/>
    <cellStyle name="쉼표 [0] 2 20 10 5 2" xfId="12586" xr:uid="{B20F4B7D-57A2-4142-A356-6B054AEAECC2}"/>
    <cellStyle name="쉼표 [0] 2 20 10 6" xfId="8927" xr:uid="{2BD29ABB-071B-4FCA-B6FB-0592DA40DA2F}"/>
    <cellStyle name="쉼표 [0] 2 20 11" xfId="1089" xr:uid="{00000000-0005-0000-0000-000061090000}"/>
    <cellStyle name="쉼표 [0] 2 20 11 2" xfId="1090" xr:uid="{00000000-0005-0000-0000-000062090000}"/>
    <cellStyle name="쉼표 [0] 2 20 11 2 2" xfId="3441" xr:uid="{00000000-0005-0000-0000-000063090000}"/>
    <cellStyle name="쉼표 [0] 2 20 11 2 2 2" xfId="7102" xr:uid="{00000000-0005-0000-0000-000064090000}"/>
    <cellStyle name="쉼표 [0] 2 20 11 2 2 2 2" xfId="14419" xr:uid="{9E3B0454-835B-4EBC-9CF1-A0E2EC9E159B}"/>
    <cellStyle name="쉼표 [0] 2 20 11 2 2 3" xfId="10761" xr:uid="{B2AF40F1-80BD-4E17-AF9C-B3A1CCD9D2F5}"/>
    <cellStyle name="쉼표 [0] 2 20 11 2 3" xfId="5273" xr:uid="{00000000-0005-0000-0000-000065090000}"/>
    <cellStyle name="쉼표 [0] 2 20 11 2 3 2" xfId="12590" xr:uid="{E07FA705-6238-4F30-9501-E796542B87C9}"/>
    <cellStyle name="쉼표 [0] 2 20 11 2 4" xfId="8931" xr:uid="{0F538447-5B3F-451D-835E-48630C2D02C8}"/>
    <cellStyle name="쉼표 [0] 2 20 11 3" xfId="1091" xr:uid="{00000000-0005-0000-0000-000066090000}"/>
    <cellStyle name="쉼표 [0] 2 20 11 3 2" xfId="3442" xr:uid="{00000000-0005-0000-0000-000067090000}"/>
    <cellStyle name="쉼표 [0] 2 20 11 3 2 2" xfId="7103" xr:uid="{00000000-0005-0000-0000-000068090000}"/>
    <cellStyle name="쉼표 [0] 2 20 11 3 2 2 2" xfId="14420" xr:uid="{B4D95F7B-69A2-42C8-A8B8-8FACA363E5ED}"/>
    <cellStyle name="쉼표 [0] 2 20 11 3 2 3" xfId="10762" xr:uid="{3F3385C1-A037-4488-AF8F-0C819154B798}"/>
    <cellStyle name="쉼표 [0] 2 20 11 3 3" xfId="5274" xr:uid="{00000000-0005-0000-0000-000069090000}"/>
    <cellStyle name="쉼표 [0] 2 20 11 3 3 2" xfId="12591" xr:uid="{55375B6C-B6B4-47E9-9C1C-0C16AE4115F2}"/>
    <cellStyle name="쉼표 [0] 2 20 11 3 4" xfId="8932" xr:uid="{D8EDA4F6-4284-4454-A648-651CABC258C7}"/>
    <cellStyle name="쉼표 [0] 2 20 11 4" xfId="3440" xr:uid="{00000000-0005-0000-0000-00006A090000}"/>
    <cellStyle name="쉼표 [0] 2 20 11 4 2" xfId="7101" xr:uid="{00000000-0005-0000-0000-00006B090000}"/>
    <cellStyle name="쉼표 [0] 2 20 11 4 2 2" xfId="14418" xr:uid="{1010302C-B37D-4BA8-B32B-A52F9E03B828}"/>
    <cellStyle name="쉼표 [0] 2 20 11 4 3" xfId="10760" xr:uid="{872C1B6F-934F-40AC-B2EA-CA09F1D35F1D}"/>
    <cellStyle name="쉼표 [0] 2 20 11 5" xfId="5272" xr:uid="{00000000-0005-0000-0000-00006C090000}"/>
    <cellStyle name="쉼표 [0] 2 20 11 5 2" xfId="12589" xr:uid="{D4637E14-F299-48F6-A4B6-B11BF6A31FEC}"/>
    <cellStyle name="쉼표 [0] 2 20 11 6" xfId="8930" xr:uid="{1B85BEFD-4835-49A8-9A17-B5DD90C32C05}"/>
    <cellStyle name="쉼표 [0] 2 20 12" xfId="1092" xr:uid="{00000000-0005-0000-0000-00006D090000}"/>
    <cellStyle name="쉼표 [0] 2 20 13" xfId="1093" xr:uid="{00000000-0005-0000-0000-00006E090000}"/>
    <cellStyle name="쉼표 [0] 2 20 13 2" xfId="3443" xr:uid="{00000000-0005-0000-0000-00006F090000}"/>
    <cellStyle name="쉼표 [0] 2 20 13 2 2" xfId="7104" xr:uid="{00000000-0005-0000-0000-000070090000}"/>
    <cellStyle name="쉼표 [0] 2 20 13 2 2 2" xfId="14421" xr:uid="{E690BF7E-1184-4CCA-A119-78BE85CF37AD}"/>
    <cellStyle name="쉼표 [0] 2 20 13 2 3" xfId="10763" xr:uid="{C7EB1E4E-6C79-4A7C-83E7-9DF03EFC63FE}"/>
    <cellStyle name="쉼표 [0] 2 20 13 3" xfId="5275" xr:uid="{00000000-0005-0000-0000-000071090000}"/>
    <cellStyle name="쉼표 [0] 2 20 13 3 2" xfId="12592" xr:uid="{671F20F4-CE3A-4995-963B-5A21A1D6D7E7}"/>
    <cellStyle name="쉼표 [0] 2 20 13 4" xfId="8933" xr:uid="{1F730D00-45B9-4353-8ED2-3B34C4203404}"/>
    <cellStyle name="쉼표 [0] 2 20 14" xfId="1094" xr:uid="{00000000-0005-0000-0000-000072090000}"/>
    <cellStyle name="쉼표 [0] 2 20 14 2" xfId="3444" xr:uid="{00000000-0005-0000-0000-000073090000}"/>
    <cellStyle name="쉼표 [0] 2 20 14 2 2" xfId="7105" xr:uid="{00000000-0005-0000-0000-000074090000}"/>
    <cellStyle name="쉼표 [0] 2 20 14 2 2 2" xfId="14422" xr:uid="{B3528404-1EED-46A3-9376-44F80858978D}"/>
    <cellStyle name="쉼표 [0] 2 20 14 2 3" xfId="10764" xr:uid="{381EC528-D1A4-4746-A790-E7456C32B1C5}"/>
    <cellStyle name="쉼표 [0] 2 20 14 3" xfId="5276" xr:uid="{00000000-0005-0000-0000-000075090000}"/>
    <cellStyle name="쉼표 [0] 2 20 14 3 2" xfId="12593" xr:uid="{9BBD7902-D97B-4D32-8BB3-5931C5A47D6B}"/>
    <cellStyle name="쉼표 [0] 2 20 14 4" xfId="8934" xr:uid="{D55259EA-35C9-49BB-A330-A6909FC00A39}"/>
    <cellStyle name="쉼표 [0] 2 20 15" xfId="3436" xr:uid="{00000000-0005-0000-0000-000076090000}"/>
    <cellStyle name="쉼표 [0] 2 20 15 2" xfId="7097" xr:uid="{00000000-0005-0000-0000-000077090000}"/>
    <cellStyle name="쉼표 [0] 2 20 15 2 2" xfId="14414" xr:uid="{08C76903-E6A7-472E-A9EF-9FF05E312045}"/>
    <cellStyle name="쉼표 [0] 2 20 15 3" xfId="10756" xr:uid="{5F027949-AE65-449B-B511-B894C285C80F}"/>
    <cellStyle name="쉼표 [0] 2 20 16" xfId="5268" xr:uid="{00000000-0005-0000-0000-000078090000}"/>
    <cellStyle name="쉼표 [0] 2 20 16 2" xfId="12585" xr:uid="{D7FA21F0-1FEE-4120-9E9D-F2C71601A21F}"/>
    <cellStyle name="쉼표 [0] 2 20 17" xfId="8926" xr:uid="{BDE6CC0E-A936-48E0-809D-3A59B71F71C5}"/>
    <cellStyle name="쉼표 [0] 2 20 2" xfId="1095" xr:uid="{00000000-0005-0000-0000-000079090000}"/>
    <cellStyle name="쉼표 [0] 2 20 2 10" xfId="3445" xr:uid="{00000000-0005-0000-0000-00007A090000}"/>
    <cellStyle name="쉼표 [0] 2 20 2 10 2" xfId="7106" xr:uid="{00000000-0005-0000-0000-00007B090000}"/>
    <cellStyle name="쉼표 [0] 2 20 2 10 2 2" xfId="14423" xr:uid="{0D219953-015F-4F41-8626-EACDB6391B96}"/>
    <cellStyle name="쉼표 [0] 2 20 2 10 3" xfId="10765" xr:uid="{A84D83F3-BD38-4C37-AA57-D5C7A4B2DDF6}"/>
    <cellStyle name="쉼표 [0] 2 20 2 11" xfId="5277" xr:uid="{00000000-0005-0000-0000-00007C090000}"/>
    <cellStyle name="쉼표 [0] 2 20 2 11 2" xfId="12594" xr:uid="{EB592078-47EF-4D37-9F8C-8924356A6E75}"/>
    <cellStyle name="쉼표 [0] 2 20 2 12" xfId="8935" xr:uid="{5AF6C220-9D5A-4C03-BC03-16991AB49880}"/>
    <cellStyle name="쉼표 [0] 2 20 2 2" xfId="1096" xr:uid="{00000000-0005-0000-0000-00007D090000}"/>
    <cellStyle name="쉼표 [0] 2 20 2 2 10" xfId="5278" xr:uid="{00000000-0005-0000-0000-00007E090000}"/>
    <cellStyle name="쉼표 [0] 2 20 2 2 10 2" xfId="12595" xr:uid="{8DDF2100-D02A-47C7-B2CF-0D2E9F79D53F}"/>
    <cellStyle name="쉼표 [0] 2 20 2 2 11" xfId="8936" xr:uid="{2A167138-DA2B-4068-9339-A31035B9348E}"/>
    <cellStyle name="쉼표 [0] 2 20 2 2 2" xfId="1097" xr:uid="{00000000-0005-0000-0000-00007F090000}"/>
    <cellStyle name="쉼표 [0] 2 20 2 2 2 2" xfId="1098" xr:uid="{00000000-0005-0000-0000-000080090000}"/>
    <cellStyle name="쉼표 [0] 2 20 2 2 2 2 2" xfId="3448" xr:uid="{00000000-0005-0000-0000-000081090000}"/>
    <cellStyle name="쉼표 [0] 2 20 2 2 2 2 2 2" xfId="7109" xr:uid="{00000000-0005-0000-0000-000082090000}"/>
    <cellStyle name="쉼표 [0] 2 20 2 2 2 2 2 2 2" xfId="14426" xr:uid="{DFC8A873-99C8-4BB6-A730-C4BF317E0C18}"/>
    <cellStyle name="쉼표 [0] 2 20 2 2 2 2 2 3" xfId="10768" xr:uid="{00106455-A059-44CD-B0B8-7D84A84F9CC0}"/>
    <cellStyle name="쉼표 [0] 2 20 2 2 2 2 3" xfId="5280" xr:uid="{00000000-0005-0000-0000-000083090000}"/>
    <cellStyle name="쉼표 [0] 2 20 2 2 2 2 3 2" xfId="12597" xr:uid="{121C3B4F-509C-4D94-A44D-51429A745510}"/>
    <cellStyle name="쉼표 [0] 2 20 2 2 2 2 4" xfId="8938" xr:uid="{C67CB5C6-9B64-4DD9-8230-3FBE53955C18}"/>
    <cellStyle name="쉼표 [0] 2 20 2 2 2 3" xfId="1099" xr:uid="{00000000-0005-0000-0000-000084090000}"/>
    <cellStyle name="쉼표 [0] 2 20 2 2 2 3 2" xfId="3449" xr:uid="{00000000-0005-0000-0000-000085090000}"/>
    <cellStyle name="쉼표 [0] 2 20 2 2 2 3 2 2" xfId="7110" xr:uid="{00000000-0005-0000-0000-000086090000}"/>
    <cellStyle name="쉼표 [0] 2 20 2 2 2 3 2 2 2" xfId="14427" xr:uid="{B88ED415-4B7A-4855-A5AD-7AA1EC030CDC}"/>
    <cellStyle name="쉼표 [0] 2 20 2 2 2 3 2 3" xfId="10769" xr:uid="{7204F0AC-A161-41ED-8A93-21E9A32A6170}"/>
    <cellStyle name="쉼표 [0] 2 20 2 2 2 3 3" xfId="5281" xr:uid="{00000000-0005-0000-0000-000087090000}"/>
    <cellStyle name="쉼표 [0] 2 20 2 2 2 3 3 2" xfId="12598" xr:uid="{1761AC10-A1B4-4FD8-9E7B-BC93854FADC1}"/>
    <cellStyle name="쉼표 [0] 2 20 2 2 2 3 4" xfId="8939" xr:uid="{A6A6BFFB-0099-4FAC-AD31-D286761EAF65}"/>
    <cellStyle name="쉼표 [0] 2 20 2 2 2 4" xfId="3447" xr:uid="{00000000-0005-0000-0000-000088090000}"/>
    <cellStyle name="쉼표 [0] 2 20 2 2 2 4 2" xfId="7108" xr:uid="{00000000-0005-0000-0000-000089090000}"/>
    <cellStyle name="쉼표 [0] 2 20 2 2 2 4 2 2" xfId="14425" xr:uid="{834132A1-3793-4F21-AA00-93637F238FB9}"/>
    <cellStyle name="쉼표 [0] 2 20 2 2 2 4 3" xfId="10767" xr:uid="{57896E78-68BA-41DD-A709-605DC40723A8}"/>
    <cellStyle name="쉼표 [0] 2 20 2 2 2 5" xfId="5279" xr:uid="{00000000-0005-0000-0000-00008A090000}"/>
    <cellStyle name="쉼표 [0] 2 20 2 2 2 5 2" xfId="12596" xr:uid="{F68AF055-3B33-431C-B755-0131D03BD20B}"/>
    <cellStyle name="쉼표 [0] 2 20 2 2 2 6" xfId="8937" xr:uid="{EECB839D-DA5B-4A77-AA16-3F2E2CF83DA0}"/>
    <cellStyle name="쉼표 [0] 2 20 2 2 3" xfId="1100" xr:uid="{00000000-0005-0000-0000-00008B090000}"/>
    <cellStyle name="쉼표 [0] 2 20 2 2 3 2" xfId="1101" xr:uid="{00000000-0005-0000-0000-00008C090000}"/>
    <cellStyle name="쉼표 [0] 2 20 2 2 3 2 2" xfId="3451" xr:uid="{00000000-0005-0000-0000-00008D090000}"/>
    <cellStyle name="쉼표 [0] 2 20 2 2 3 2 2 2" xfId="7112" xr:uid="{00000000-0005-0000-0000-00008E090000}"/>
    <cellStyle name="쉼표 [0] 2 20 2 2 3 2 2 2 2" xfId="14429" xr:uid="{BA5A346A-84D6-4FC8-8014-FBAA79F9B0C8}"/>
    <cellStyle name="쉼표 [0] 2 20 2 2 3 2 2 3" xfId="10771" xr:uid="{C6ED06E2-E69B-49AF-A56D-0C8280B970B9}"/>
    <cellStyle name="쉼표 [0] 2 20 2 2 3 2 3" xfId="5283" xr:uid="{00000000-0005-0000-0000-00008F090000}"/>
    <cellStyle name="쉼표 [0] 2 20 2 2 3 2 3 2" xfId="12600" xr:uid="{525E34BA-6E49-4427-9B04-E6AE7BA581CA}"/>
    <cellStyle name="쉼표 [0] 2 20 2 2 3 2 4" xfId="8941" xr:uid="{FE09BB22-6071-4370-9371-8D1AA3440CE4}"/>
    <cellStyle name="쉼표 [0] 2 20 2 2 3 3" xfId="1102" xr:uid="{00000000-0005-0000-0000-000090090000}"/>
    <cellStyle name="쉼표 [0] 2 20 2 2 3 3 2" xfId="3452" xr:uid="{00000000-0005-0000-0000-000091090000}"/>
    <cellStyle name="쉼표 [0] 2 20 2 2 3 3 2 2" xfId="7113" xr:uid="{00000000-0005-0000-0000-000092090000}"/>
    <cellStyle name="쉼표 [0] 2 20 2 2 3 3 2 2 2" xfId="14430" xr:uid="{1EAA667E-823D-4FBA-AC05-EB63E934AB14}"/>
    <cellStyle name="쉼표 [0] 2 20 2 2 3 3 2 3" xfId="10772" xr:uid="{870C19CB-C002-40BF-B8F4-10CA2CB81CE0}"/>
    <cellStyle name="쉼표 [0] 2 20 2 2 3 3 3" xfId="5284" xr:uid="{00000000-0005-0000-0000-000093090000}"/>
    <cellStyle name="쉼표 [0] 2 20 2 2 3 3 3 2" xfId="12601" xr:uid="{2BBA154A-2954-4EC9-BA45-6D275F45BC76}"/>
    <cellStyle name="쉼표 [0] 2 20 2 2 3 3 4" xfId="8942" xr:uid="{7117C99C-1BE4-4D39-B9AF-1EB84C670EA8}"/>
    <cellStyle name="쉼표 [0] 2 20 2 2 3 4" xfId="3450" xr:uid="{00000000-0005-0000-0000-000094090000}"/>
    <cellStyle name="쉼표 [0] 2 20 2 2 3 4 2" xfId="7111" xr:uid="{00000000-0005-0000-0000-000095090000}"/>
    <cellStyle name="쉼표 [0] 2 20 2 2 3 4 2 2" xfId="14428" xr:uid="{D34CA9D4-B00A-41F1-B38A-8127018FD929}"/>
    <cellStyle name="쉼표 [0] 2 20 2 2 3 4 3" xfId="10770" xr:uid="{9AB1E9E1-E695-44F4-B3A6-CA0840C6224B}"/>
    <cellStyle name="쉼표 [0] 2 20 2 2 3 5" xfId="5282" xr:uid="{00000000-0005-0000-0000-000096090000}"/>
    <cellStyle name="쉼표 [0] 2 20 2 2 3 5 2" xfId="12599" xr:uid="{AD9C02F2-2956-4250-8FE3-65F510AC5BFE}"/>
    <cellStyle name="쉼표 [0] 2 20 2 2 3 6" xfId="8940" xr:uid="{21C64A4A-DDB0-4BD3-AB1C-C0F9C8DBA2E1}"/>
    <cellStyle name="쉼표 [0] 2 20 2 2 4" xfId="1103" xr:uid="{00000000-0005-0000-0000-000097090000}"/>
    <cellStyle name="쉼표 [0] 2 20 2 2 4 2" xfId="1104" xr:uid="{00000000-0005-0000-0000-000098090000}"/>
    <cellStyle name="쉼표 [0] 2 20 2 2 4 2 2" xfId="3454" xr:uid="{00000000-0005-0000-0000-000099090000}"/>
    <cellStyle name="쉼표 [0] 2 20 2 2 4 2 2 2" xfId="7115" xr:uid="{00000000-0005-0000-0000-00009A090000}"/>
    <cellStyle name="쉼표 [0] 2 20 2 2 4 2 2 2 2" xfId="14432" xr:uid="{6AA816F8-8A8A-4FBA-90FE-CA20FB8AECBF}"/>
    <cellStyle name="쉼표 [0] 2 20 2 2 4 2 2 3" xfId="10774" xr:uid="{6833D5FD-0C3F-4A76-A6EE-2F4907A0B84B}"/>
    <cellStyle name="쉼표 [0] 2 20 2 2 4 2 3" xfId="5286" xr:uid="{00000000-0005-0000-0000-00009B090000}"/>
    <cellStyle name="쉼표 [0] 2 20 2 2 4 2 3 2" xfId="12603" xr:uid="{57079994-F9A8-45F6-8BF1-BA9543FEE3B7}"/>
    <cellStyle name="쉼표 [0] 2 20 2 2 4 2 4" xfId="8944" xr:uid="{E781B64D-0BCA-4E71-99DB-976525CC6BAB}"/>
    <cellStyle name="쉼표 [0] 2 20 2 2 4 3" xfId="1105" xr:uid="{00000000-0005-0000-0000-00009C090000}"/>
    <cellStyle name="쉼표 [0] 2 20 2 2 4 3 2" xfId="3455" xr:uid="{00000000-0005-0000-0000-00009D090000}"/>
    <cellStyle name="쉼표 [0] 2 20 2 2 4 3 2 2" xfId="7116" xr:uid="{00000000-0005-0000-0000-00009E090000}"/>
    <cellStyle name="쉼표 [0] 2 20 2 2 4 3 2 2 2" xfId="14433" xr:uid="{ADB0EAAD-83C2-4744-A38C-5CE0BDFC3494}"/>
    <cellStyle name="쉼표 [0] 2 20 2 2 4 3 2 3" xfId="10775" xr:uid="{827E74DF-4F75-4C3B-A613-393A19B99B3C}"/>
    <cellStyle name="쉼표 [0] 2 20 2 2 4 3 3" xfId="5287" xr:uid="{00000000-0005-0000-0000-00009F090000}"/>
    <cellStyle name="쉼표 [0] 2 20 2 2 4 3 3 2" xfId="12604" xr:uid="{299CF3CA-E1E0-4418-9EE2-AE195A25FC65}"/>
    <cellStyle name="쉼표 [0] 2 20 2 2 4 3 4" xfId="8945" xr:uid="{F36521F5-0B41-46A8-BA55-4A7DE22CDE36}"/>
    <cellStyle name="쉼표 [0] 2 20 2 2 4 4" xfId="3453" xr:uid="{00000000-0005-0000-0000-0000A0090000}"/>
    <cellStyle name="쉼표 [0] 2 20 2 2 4 4 2" xfId="7114" xr:uid="{00000000-0005-0000-0000-0000A1090000}"/>
    <cellStyle name="쉼표 [0] 2 20 2 2 4 4 2 2" xfId="14431" xr:uid="{584CFF0E-D0E2-4508-BFE9-9B62C05623B7}"/>
    <cellStyle name="쉼표 [0] 2 20 2 2 4 4 3" xfId="10773" xr:uid="{11E0830F-1E7E-40EA-A65A-0D48A3F7387B}"/>
    <cellStyle name="쉼표 [0] 2 20 2 2 4 5" xfId="5285" xr:uid="{00000000-0005-0000-0000-0000A2090000}"/>
    <cellStyle name="쉼표 [0] 2 20 2 2 4 5 2" xfId="12602" xr:uid="{F25CBFE3-CE79-43A9-A151-65B70A9B304B}"/>
    <cellStyle name="쉼표 [0] 2 20 2 2 4 6" xfId="8943" xr:uid="{3CF87234-1595-4CC6-8639-B74529A43BE8}"/>
    <cellStyle name="쉼표 [0] 2 20 2 2 5" xfId="1106" xr:uid="{00000000-0005-0000-0000-0000A3090000}"/>
    <cellStyle name="쉼표 [0] 2 20 2 2 5 2" xfId="1107" xr:uid="{00000000-0005-0000-0000-0000A4090000}"/>
    <cellStyle name="쉼표 [0] 2 20 2 2 5 2 2" xfId="3457" xr:uid="{00000000-0005-0000-0000-0000A5090000}"/>
    <cellStyle name="쉼표 [0] 2 20 2 2 5 2 2 2" xfId="7118" xr:uid="{00000000-0005-0000-0000-0000A6090000}"/>
    <cellStyle name="쉼표 [0] 2 20 2 2 5 2 2 2 2" xfId="14435" xr:uid="{4B871F09-FA51-46FB-BA5D-9195062DFEAF}"/>
    <cellStyle name="쉼표 [0] 2 20 2 2 5 2 2 3" xfId="10777" xr:uid="{FF20F887-B59B-4B86-B933-FED3998DBA46}"/>
    <cellStyle name="쉼표 [0] 2 20 2 2 5 2 3" xfId="5289" xr:uid="{00000000-0005-0000-0000-0000A7090000}"/>
    <cellStyle name="쉼표 [0] 2 20 2 2 5 2 3 2" xfId="12606" xr:uid="{A197DC2F-E706-43CD-B4C6-E67837DE171F}"/>
    <cellStyle name="쉼표 [0] 2 20 2 2 5 2 4" xfId="8947" xr:uid="{881B8280-A5D1-4308-9203-7D98AA891AD5}"/>
    <cellStyle name="쉼표 [0] 2 20 2 2 5 3" xfId="1108" xr:uid="{00000000-0005-0000-0000-0000A8090000}"/>
    <cellStyle name="쉼표 [0] 2 20 2 2 5 3 2" xfId="3458" xr:uid="{00000000-0005-0000-0000-0000A9090000}"/>
    <cellStyle name="쉼표 [0] 2 20 2 2 5 3 2 2" xfId="7119" xr:uid="{00000000-0005-0000-0000-0000AA090000}"/>
    <cellStyle name="쉼표 [0] 2 20 2 2 5 3 2 2 2" xfId="14436" xr:uid="{C5861D6D-7507-4DCD-A787-A3AF9E87EEE4}"/>
    <cellStyle name="쉼표 [0] 2 20 2 2 5 3 2 3" xfId="10778" xr:uid="{05752600-C48C-441B-99EB-538E30F464CB}"/>
    <cellStyle name="쉼표 [0] 2 20 2 2 5 3 3" xfId="5290" xr:uid="{00000000-0005-0000-0000-0000AB090000}"/>
    <cellStyle name="쉼표 [0] 2 20 2 2 5 3 3 2" xfId="12607" xr:uid="{0F902F98-52E9-4761-9A01-754233A5F7A6}"/>
    <cellStyle name="쉼표 [0] 2 20 2 2 5 3 4" xfId="8948" xr:uid="{9B5FAEBF-7264-443E-9CBB-95DB9156DB23}"/>
    <cellStyle name="쉼표 [0] 2 20 2 2 5 4" xfId="3456" xr:uid="{00000000-0005-0000-0000-0000AC090000}"/>
    <cellStyle name="쉼표 [0] 2 20 2 2 5 4 2" xfId="7117" xr:uid="{00000000-0005-0000-0000-0000AD090000}"/>
    <cellStyle name="쉼표 [0] 2 20 2 2 5 4 2 2" xfId="14434" xr:uid="{E801D98B-5DE7-476A-9912-47784F81CCA5}"/>
    <cellStyle name="쉼표 [0] 2 20 2 2 5 4 3" xfId="10776" xr:uid="{9E13CDFD-98C3-4E06-B2FB-6BC8177554B3}"/>
    <cellStyle name="쉼표 [0] 2 20 2 2 5 5" xfId="5288" xr:uid="{00000000-0005-0000-0000-0000AE090000}"/>
    <cellStyle name="쉼표 [0] 2 20 2 2 5 5 2" xfId="12605" xr:uid="{70D20363-F764-4CD6-AAC8-5F4E21A7BE0F}"/>
    <cellStyle name="쉼표 [0] 2 20 2 2 5 6" xfId="8946" xr:uid="{8C002498-E324-438E-8D53-780178606E27}"/>
    <cellStyle name="쉼표 [0] 2 20 2 2 6" xfId="1109" xr:uid="{00000000-0005-0000-0000-0000AF090000}"/>
    <cellStyle name="쉼표 [0] 2 20 2 2 6 2" xfId="1110" xr:uid="{00000000-0005-0000-0000-0000B0090000}"/>
    <cellStyle name="쉼표 [0] 2 20 2 2 6 2 2" xfId="3460" xr:uid="{00000000-0005-0000-0000-0000B1090000}"/>
    <cellStyle name="쉼표 [0] 2 20 2 2 6 2 2 2" xfId="7121" xr:uid="{00000000-0005-0000-0000-0000B2090000}"/>
    <cellStyle name="쉼표 [0] 2 20 2 2 6 2 2 2 2" xfId="14438" xr:uid="{0F5A1C05-C8F9-486C-BFE8-AC36EA825023}"/>
    <cellStyle name="쉼표 [0] 2 20 2 2 6 2 2 3" xfId="10780" xr:uid="{202BC8D5-7AC7-4993-88AF-A18C29A824A5}"/>
    <cellStyle name="쉼표 [0] 2 20 2 2 6 2 3" xfId="5292" xr:uid="{00000000-0005-0000-0000-0000B3090000}"/>
    <cellStyle name="쉼표 [0] 2 20 2 2 6 2 3 2" xfId="12609" xr:uid="{066C5DA7-4974-4F04-A4A3-7D0E2C90AB8F}"/>
    <cellStyle name="쉼표 [0] 2 20 2 2 6 2 4" xfId="8950" xr:uid="{4AD6DBFB-8A4E-40DF-A011-E72C3F86D80D}"/>
    <cellStyle name="쉼표 [0] 2 20 2 2 6 3" xfId="1111" xr:uid="{00000000-0005-0000-0000-0000B4090000}"/>
    <cellStyle name="쉼표 [0] 2 20 2 2 6 3 2" xfId="3461" xr:uid="{00000000-0005-0000-0000-0000B5090000}"/>
    <cellStyle name="쉼표 [0] 2 20 2 2 6 3 2 2" xfId="7122" xr:uid="{00000000-0005-0000-0000-0000B6090000}"/>
    <cellStyle name="쉼표 [0] 2 20 2 2 6 3 2 2 2" xfId="14439" xr:uid="{C4FBFB75-6638-4E81-B836-2D079B30E157}"/>
    <cellStyle name="쉼표 [0] 2 20 2 2 6 3 2 3" xfId="10781" xr:uid="{70A9727C-A6EC-43A2-9677-4FA03CC70669}"/>
    <cellStyle name="쉼표 [0] 2 20 2 2 6 3 3" xfId="5293" xr:uid="{00000000-0005-0000-0000-0000B7090000}"/>
    <cellStyle name="쉼표 [0] 2 20 2 2 6 3 3 2" xfId="12610" xr:uid="{909AC454-81BF-4A4A-B117-A3BBAE2EAF53}"/>
    <cellStyle name="쉼표 [0] 2 20 2 2 6 3 4" xfId="8951" xr:uid="{61F83CB9-A874-4774-A6A6-B106693BA981}"/>
    <cellStyle name="쉼표 [0] 2 20 2 2 6 4" xfId="3459" xr:uid="{00000000-0005-0000-0000-0000B8090000}"/>
    <cellStyle name="쉼표 [0] 2 20 2 2 6 4 2" xfId="7120" xr:uid="{00000000-0005-0000-0000-0000B9090000}"/>
    <cellStyle name="쉼표 [0] 2 20 2 2 6 4 2 2" xfId="14437" xr:uid="{D1075C81-AD87-40A8-BCF9-5A5FA0A5EAD9}"/>
    <cellStyle name="쉼표 [0] 2 20 2 2 6 4 3" xfId="10779" xr:uid="{640E466F-044B-4D8E-9FA5-C7CCE67C2613}"/>
    <cellStyle name="쉼표 [0] 2 20 2 2 6 5" xfId="5291" xr:uid="{00000000-0005-0000-0000-0000BA090000}"/>
    <cellStyle name="쉼표 [0] 2 20 2 2 6 5 2" xfId="12608" xr:uid="{D4916ED7-43A1-406E-8E16-91B953E97236}"/>
    <cellStyle name="쉼표 [0] 2 20 2 2 6 6" xfId="8949" xr:uid="{447E2127-DAD9-429E-A2D7-F262950C146E}"/>
    <cellStyle name="쉼표 [0] 2 20 2 2 7" xfId="1112" xr:uid="{00000000-0005-0000-0000-0000BB090000}"/>
    <cellStyle name="쉼표 [0] 2 20 2 2 7 2" xfId="3462" xr:uid="{00000000-0005-0000-0000-0000BC090000}"/>
    <cellStyle name="쉼표 [0] 2 20 2 2 7 2 2" xfId="7123" xr:uid="{00000000-0005-0000-0000-0000BD090000}"/>
    <cellStyle name="쉼표 [0] 2 20 2 2 7 2 2 2" xfId="14440" xr:uid="{89E07289-859C-4AA2-84A7-BEE4EFF23C51}"/>
    <cellStyle name="쉼표 [0] 2 20 2 2 7 2 3" xfId="10782" xr:uid="{FCEA3106-1505-4088-882C-67A1A3F72E69}"/>
    <cellStyle name="쉼표 [0] 2 20 2 2 7 3" xfId="5294" xr:uid="{00000000-0005-0000-0000-0000BE090000}"/>
    <cellStyle name="쉼표 [0] 2 20 2 2 7 3 2" xfId="12611" xr:uid="{CB157CA6-0886-4849-8E96-4CA426FB2B36}"/>
    <cellStyle name="쉼표 [0] 2 20 2 2 7 4" xfId="8952" xr:uid="{2956BE60-803F-43C4-9230-924CD6FEA0A9}"/>
    <cellStyle name="쉼표 [0] 2 20 2 2 8" xfId="1113" xr:uid="{00000000-0005-0000-0000-0000BF090000}"/>
    <cellStyle name="쉼표 [0] 2 20 2 2 8 2" xfId="3463" xr:uid="{00000000-0005-0000-0000-0000C0090000}"/>
    <cellStyle name="쉼표 [0] 2 20 2 2 8 2 2" xfId="7124" xr:uid="{00000000-0005-0000-0000-0000C1090000}"/>
    <cellStyle name="쉼표 [0] 2 20 2 2 8 2 2 2" xfId="14441" xr:uid="{BF2BE9C5-AB2D-4A01-9016-13B8F94C8620}"/>
    <cellStyle name="쉼표 [0] 2 20 2 2 8 2 3" xfId="10783" xr:uid="{4FBEEB96-1EBF-4D9F-A815-EB2FD6CD2F3F}"/>
    <cellStyle name="쉼표 [0] 2 20 2 2 8 3" xfId="5295" xr:uid="{00000000-0005-0000-0000-0000C2090000}"/>
    <cellStyle name="쉼표 [0] 2 20 2 2 8 3 2" xfId="12612" xr:uid="{7B46B3F4-1B55-4DD3-8CD7-9214CDD986BE}"/>
    <cellStyle name="쉼표 [0] 2 20 2 2 8 4" xfId="8953" xr:uid="{33C66DF1-689F-4AC7-94AB-4ED386456A85}"/>
    <cellStyle name="쉼표 [0] 2 20 2 2 9" xfId="3446" xr:uid="{00000000-0005-0000-0000-0000C3090000}"/>
    <cellStyle name="쉼표 [0] 2 20 2 2 9 2" xfId="7107" xr:uid="{00000000-0005-0000-0000-0000C4090000}"/>
    <cellStyle name="쉼표 [0] 2 20 2 2 9 2 2" xfId="14424" xr:uid="{71A5E87F-D95B-4FFC-A913-B265DB393912}"/>
    <cellStyle name="쉼표 [0] 2 20 2 2 9 3" xfId="10766" xr:uid="{0C880433-5558-461E-BD01-6529F9A0742D}"/>
    <cellStyle name="쉼표 [0] 2 20 2 3" xfId="1114" xr:uid="{00000000-0005-0000-0000-0000C5090000}"/>
    <cellStyle name="쉼표 [0] 2 20 2 3 2" xfId="1115" xr:uid="{00000000-0005-0000-0000-0000C6090000}"/>
    <cellStyle name="쉼표 [0] 2 20 2 3 2 2" xfId="3465" xr:uid="{00000000-0005-0000-0000-0000C7090000}"/>
    <cellStyle name="쉼표 [0] 2 20 2 3 2 2 2" xfId="7126" xr:uid="{00000000-0005-0000-0000-0000C8090000}"/>
    <cellStyle name="쉼표 [0] 2 20 2 3 2 2 2 2" xfId="14443" xr:uid="{674667D5-02EC-4257-BFA1-750A295CC2DF}"/>
    <cellStyle name="쉼표 [0] 2 20 2 3 2 2 3" xfId="10785" xr:uid="{2FD71FEC-1DE1-4C41-88AA-D7AB21F4F997}"/>
    <cellStyle name="쉼표 [0] 2 20 2 3 2 3" xfId="5297" xr:uid="{00000000-0005-0000-0000-0000C9090000}"/>
    <cellStyle name="쉼표 [0] 2 20 2 3 2 3 2" xfId="12614" xr:uid="{2EE50534-415A-466B-BA8D-B2A9CB1C41AE}"/>
    <cellStyle name="쉼표 [0] 2 20 2 3 2 4" xfId="8955" xr:uid="{8816210F-F0DC-49A9-9D53-F1176AAB9838}"/>
    <cellStyle name="쉼표 [0] 2 20 2 3 3" xfId="1116" xr:uid="{00000000-0005-0000-0000-0000CA090000}"/>
    <cellStyle name="쉼표 [0] 2 20 2 3 3 2" xfId="3466" xr:uid="{00000000-0005-0000-0000-0000CB090000}"/>
    <cellStyle name="쉼표 [0] 2 20 2 3 3 2 2" xfId="7127" xr:uid="{00000000-0005-0000-0000-0000CC090000}"/>
    <cellStyle name="쉼표 [0] 2 20 2 3 3 2 2 2" xfId="14444" xr:uid="{8FFE8208-E4B5-497A-B542-EE8552E5F270}"/>
    <cellStyle name="쉼표 [0] 2 20 2 3 3 2 3" xfId="10786" xr:uid="{31D26771-3010-4411-ABE3-C99864B6F1C6}"/>
    <cellStyle name="쉼표 [0] 2 20 2 3 3 3" xfId="5298" xr:uid="{00000000-0005-0000-0000-0000CD090000}"/>
    <cellStyle name="쉼표 [0] 2 20 2 3 3 3 2" xfId="12615" xr:uid="{FF4303A2-B484-4526-BDC8-2CB17D8D2092}"/>
    <cellStyle name="쉼표 [0] 2 20 2 3 3 4" xfId="8956" xr:uid="{4445B6E6-3F46-4DA6-8FAC-5D33E50C0028}"/>
    <cellStyle name="쉼표 [0] 2 20 2 3 4" xfId="3464" xr:uid="{00000000-0005-0000-0000-0000CE090000}"/>
    <cellStyle name="쉼표 [0] 2 20 2 3 4 2" xfId="7125" xr:uid="{00000000-0005-0000-0000-0000CF090000}"/>
    <cellStyle name="쉼표 [0] 2 20 2 3 4 2 2" xfId="14442" xr:uid="{2F1945B5-E2E5-4243-BA9F-8FD8DFEC0C4B}"/>
    <cellStyle name="쉼표 [0] 2 20 2 3 4 3" xfId="10784" xr:uid="{84151A8D-0434-44E4-8F78-13315713D597}"/>
    <cellStyle name="쉼표 [0] 2 20 2 3 5" xfId="5296" xr:uid="{00000000-0005-0000-0000-0000D0090000}"/>
    <cellStyle name="쉼표 [0] 2 20 2 3 5 2" xfId="12613" xr:uid="{B81222AB-949C-4658-9BB4-65BA26BB6268}"/>
    <cellStyle name="쉼표 [0] 2 20 2 3 6" xfId="8954" xr:uid="{5D4AA8A5-8EEB-465C-9BD9-9265EE848130}"/>
    <cellStyle name="쉼표 [0] 2 20 2 4" xfId="1117" xr:uid="{00000000-0005-0000-0000-0000D1090000}"/>
    <cellStyle name="쉼표 [0] 2 20 2 4 2" xfId="1118" xr:uid="{00000000-0005-0000-0000-0000D2090000}"/>
    <cellStyle name="쉼표 [0] 2 20 2 4 2 2" xfId="3468" xr:uid="{00000000-0005-0000-0000-0000D3090000}"/>
    <cellStyle name="쉼표 [0] 2 20 2 4 2 2 2" xfId="7129" xr:uid="{00000000-0005-0000-0000-0000D4090000}"/>
    <cellStyle name="쉼표 [0] 2 20 2 4 2 2 2 2" xfId="14446" xr:uid="{4847BD45-CF72-4B40-9D40-CC63FAD0EC54}"/>
    <cellStyle name="쉼표 [0] 2 20 2 4 2 2 3" xfId="10788" xr:uid="{92455862-751F-4749-85F7-E26B9B7D80A3}"/>
    <cellStyle name="쉼표 [0] 2 20 2 4 2 3" xfId="5300" xr:uid="{00000000-0005-0000-0000-0000D5090000}"/>
    <cellStyle name="쉼표 [0] 2 20 2 4 2 3 2" xfId="12617" xr:uid="{7DB2B70D-F87D-42C0-9DD4-DE74482F0A53}"/>
    <cellStyle name="쉼표 [0] 2 20 2 4 2 4" xfId="8958" xr:uid="{7B877062-BD40-4C46-BBCB-CD2AD8BA01DA}"/>
    <cellStyle name="쉼표 [0] 2 20 2 4 3" xfId="1119" xr:uid="{00000000-0005-0000-0000-0000D6090000}"/>
    <cellStyle name="쉼표 [0] 2 20 2 4 3 2" xfId="3469" xr:uid="{00000000-0005-0000-0000-0000D7090000}"/>
    <cellStyle name="쉼표 [0] 2 20 2 4 3 2 2" xfId="7130" xr:uid="{00000000-0005-0000-0000-0000D8090000}"/>
    <cellStyle name="쉼표 [0] 2 20 2 4 3 2 2 2" xfId="14447" xr:uid="{3B9284D7-F6EC-4374-BB8E-CD23F72B2BF4}"/>
    <cellStyle name="쉼표 [0] 2 20 2 4 3 2 3" xfId="10789" xr:uid="{DEE580BD-ABDB-40EB-9F81-7514FF41A29B}"/>
    <cellStyle name="쉼표 [0] 2 20 2 4 3 3" xfId="5301" xr:uid="{00000000-0005-0000-0000-0000D9090000}"/>
    <cellStyle name="쉼표 [0] 2 20 2 4 3 3 2" xfId="12618" xr:uid="{51F5EC6F-AA22-4541-8A4A-91AA8641161A}"/>
    <cellStyle name="쉼표 [0] 2 20 2 4 3 4" xfId="8959" xr:uid="{A8B0A916-DD38-414F-9EE4-D92F95C20675}"/>
    <cellStyle name="쉼표 [0] 2 20 2 4 4" xfId="3467" xr:uid="{00000000-0005-0000-0000-0000DA090000}"/>
    <cellStyle name="쉼표 [0] 2 20 2 4 4 2" xfId="7128" xr:uid="{00000000-0005-0000-0000-0000DB090000}"/>
    <cellStyle name="쉼표 [0] 2 20 2 4 4 2 2" xfId="14445" xr:uid="{2CBFAA9B-FB6F-4F10-B51A-A5B53166B68D}"/>
    <cellStyle name="쉼표 [0] 2 20 2 4 4 3" xfId="10787" xr:uid="{A2140A78-082E-4DFC-AE86-DFB4D95DD184}"/>
    <cellStyle name="쉼표 [0] 2 20 2 4 5" xfId="5299" xr:uid="{00000000-0005-0000-0000-0000DC090000}"/>
    <cellStyle name="쉼표 [0] 2 20 2 4 5 2" xfId="12616" xr:uid="{A49E4F1C-A467-405A-83F8-668FCDC83CED}"/>
    <cellStyle name="쉼표 [0] 2 20 2 4 6" xfId="8957" xr:uid="{614F7A53-A52F-4C16-A2E8-1C7598E8A124}"/>
    <cellStyle name="쉼표 [0] 2 20 2 5" xfId="1120" xr:uid="{00000000-0005-0000-0000-0000DD090000}"/>
    <cellStyle name="쉼표 [0] 2 20 2 5 2" xfId="1121" xr:uid="{00000000-0005-0000-0000-0000DE090000}"/>
    <cellStyle name="쉼표 [0] 2 20 2 5 2 2" xfId="3471" xr:uid="{00000000-0005-0000-0000-0000DF090000}"/>
    <cellStyle name="쉼표 [0] 2 20 2 5 2 2 2" xfId="7132" xr:uid="{00000000-0005-0000-0000-0000E0090000}"/>
    <cellStyle name="쉼표 [0] 2 20 2 5 2 2 2 2" xfId="14449" xr:uid="{205FF333-4739-413B-9BB8-A8A18867B257}"/>
    <cellStyle name="쉼표 [0] 2 20 2 5 2 2 3" xfId="10791" xr:uid="{8F96D9A1-1878-4EF1-8648-005E8840E5E3}"/>
    <cellStyle name="쉼표 [0] 2 20 2 5 2 3" xfId="5303" xr:uid="{00000000-0005-0000-0000-0000E1090000}"/>
    <cellStyle name="쉼표 [0] 2 20 2 5 2 3 2" xfId="12620" xr:uid="{06912449-4969-49CC-9BC8-E9BA0BE63081}"/>
    <cellStyle name="쉼표 [0] 2 20 2 5 2 4" xfId="8961" xr:uid="{93E2B6F8-E11D-4D70-A26E-617160EE4DE7}"/>
    <cellStyle name="쉼표 [0] 2 20 2 5 3" xfId="1122" xr:uid="{00000000-0005-0000-0000-0000E2090000}"/>
    <cellStyle name="쉼표 [0] 2 20 2 5 3 2" xfId="3472" xr:uid="{00000000-0005-0000-0000-0000E3090000}"/>
    <cellStyle name="쉼표 [0] 2 20 2 5 3 2 2" xfId="7133" xr:uid="{00000000-0005-0000-0000-0000E4090000}"/>
    <cellStyle name="쉼표 [0] 2 20 2 5 3 2 2 2" xfId="14450" xr:uid="{E9D99B07-AE02-45A4-B41C-2F3BD3166BA4}"/>
    <cellStyle name="쉼표 [0] 2 20 2 5 3 2 3" xfId="10792" xr:uid="{2627A96C-8F1E-432B-A72C-F80CB99D45D6}"/>
    <cellStyle name="쉼표 [0] 2 20 2 5 3 3" xfId="5304" xr:uid="{00000000-0005-0000-0000-0000E5090000}"/>
    <cellStyle name="쉼표 [0] 2 20 2 5 3 3 2" xfId="12621" xr:uid="{E1651C95-0B6B-433C-8F96-658E30845F96}"/>
    <cellStyle name="쉼표 [0] 2 20 2 5 3 4" xfId="8962" xr:uid="{BAAA89EE-426B-4733-9000-E31B6F175E6E}"/>
    <cellStyle name="쉼표 [0] 2 20 2 5 4" xfId="3470" xr:uid="{00000000-0005-0000-0000-0000E6090000}"/>
    <cellStyle name="쉼표 [0] 2 20 2 5 4 2" xfId="7131" xr:uid="{00000000-0005-0000-0000-0000E7090000}"/>
    <cellStyle name="쉼표 [0] 2 20 2 5 4 2 2" xfId="14448" xr:uid="{7CA487CF-624D-45F8-BBC9-DBE7EEF1CC1A}"/>
    <cellStyle name="쉼표 [0] 2 20 2 5 4 3" xfId="10790" xr:uid="{7E37F575-FD6E-4831-8E35-CCF3195C22FD}"/>
    <cellStyle name="쉼표 [0] 2 20 2 5 5" xfId="5302" xr:uid="{00000000-0005-0000-0000-0000E8090000}"/>
    <cellStyle name="쉼표 [0] 2 20 2 5 5 2" xfId="12619" xr:uid="{B289E821-9820-4382-98DC-79CAAAF8739B}"/>
    <cellStyle name="쉼표 [0] 2 20 2 5 6" xfId="8960" xr:uid="{D4247FAD-3573-4BED-A155-71D99AAD7212}"/>
    <cellStyle name="쉼표 [0] 2 20 2 6" xfId="1123" xr:uid="{00000000-0005-0000-0000-0000E9090000}"/>
    <cellStyle name="쉼표 [0] 2 20 2 6 2" xfId="1124" xr:uid="{00000000-0005-0000-0000-0000EA090000}"/>
    <cellStyle name="쉼표 [0] 2 20 2 6 2 2" xfId="3474" xr:uid="{00000000-0005-0000-0000-0000EB090000}"/>
    <cellStyle name="쉼표 [0] 2 20 2 6 2 2 2" xfId="7135" xr:uid="{00000000-0005-0000-0000-0000EC090000}"/>
    <cellStyle name="쉼표 [0] 2 20 2 6 2 2 2 2" xfId="14452" xr:uid="{8FAC9B63-94ED-4A18-902D-923F3468EB3B}"/>
    <cellStyle name="쉼표 [0] 2 20 2 6 2 2 3" xfId="10794" xr:uid="{B5CF36AB-8E4D-4E5C-8FBD-6CDA936BB1A8}"/>
    <cellStyle name="쉼표 [0] 2 20 2 6 2 3" xfId="5306" xr:uid="{00000000-0005-0000-0000-0000ED090000}"/>
    <cellStyle name="쉼표 [0] 2 20 2 6 2 3 2" xfId="12623" xr:uid="{37DFD8DE-A56A-4C8F-96C3-2F0B8B044AF0}"/>
    <cellStyle name="쉼표 [0] 2 20 2 6 2 4" xfId="8964" xr:uid="{DAC51066-1D7A-47EB-86FA-D5A0F1AB4D86}"/>
    <cellStyle name="쉼표 [0] 2 20 2 6 3" xfId="1125" xr:uid="{00000000-0005-0000-0000-0000EE090000}"/>
    <cellStyle name="쉼표 [0] 2 20 2 6 3 2" xfId="3475" xr:uid="{00000000-0005-0000-0000-0000EF090000}"/>
    <cellStyle name="쉼표 [0] 2 20 2 6 3 2 2" xfId="7136" xr:uid="{00000000-0005-0000-0000-0000F0090000}"/>
    <cellStyle name="쉼표 [0] 2 20 2 6 3 2 2 2" xfId="14453" xr:uid="{A96AB9CB-B51A-4F3B-838C-07F4F847EC79}"/>
    <cellStyle name="쉼표 [0] 2 20 2 6 3 2 3" xfId="10795" xr:uid="{5A382BC4-6C7A-440B-A36F-0D5F50FFAC41}"/>
    <cellStyle name="쉼표 [0] 2 20 2 6 3 3" xfId="5307" xr:uid="{00000000-0005-0000-0000-0000F1090000}"/>
    <cellStyle name="쉼표 [0] 2 20 2 6 3 3 2" xfId="12624" xr:uid="{CA34A4BB-C479-4EBA-B10C-A14CB77BC519}"/>
    <cellStyle name="쉼표 [0] 2 20 2 6 3 4" xfId="8965" xr:uid="{4DF3AE5D-FB89-4C28-824D-111E0359BD3E}"/>
    <cellStyle name="쉼표 [0] 2 20 2 6 4" xfId="3473" xr:uid="{00000000-0005-0000-0000-0000F2090000}"/>
    <cellStyle name="쉼표 [0] 2 20 2 6 4 2" xfId="7134" xr:uid="{00000000-0005-0000-0000-0000F3090000}"/>
    <cellStyle name="쉼표 [0] 2 20 2 6 4 2 2" xfId="14451" xr:uid="{A4D0932D-384C-4D99-880C-C7A325994427}"/>
    <cellStyle name="쉼표 [0] 2 20 2 6 4 3" xfId="10793" xr:uid="{4E6253EC-1538-4AE5-B053-7822AB51D541}"/>
    <cellStyle name="쉼표 [0] 2 20 2 6 5" xfId="5305" xr:uid="{00000000-0005-0000-0000-0000F4090000}"/>
    <cellStyle name="쉼표 [0] 2 20 2 6 5 2" xfId="12622" xr:uid="{ADF0E452-ADAA-4A73-803C-BAA6B4EBC647}"/>
    <cellStyle name="쉼표 [0] 2 20 2 6 6" xfId="8963" xr:uid="{0C77EED8-ABC3-4E3A-951F-8C792FF5461B}"/>
    <cellStyle name="쉼표 [0] 2 20 2 7" xfId="1126" xr:uid="{00000000-0005-0000-0000-0000F5090000}"/>
    <cellStyle name="쉼표 [0] 2 20 2 7 2" xfId="1127" xr:uid="{00000000-0005-0000-0000-0000F6090000}"/>
    <cellStyle name="쉼표 [0] 2 20 2 7 2 2" xfId="3477" xr:uid="{00000000-0005-0000-0000-0000F7090000}"/>
    <cellStyle name="쉼표 [0] 2 20 2 7 2 2 2" xfId="7138" xr:uid="{00000000-0005-0000-0000-0000F8090000}"/>
    <cellStyle name="쉼표 [0] 2 20 2 7 2 2 2 2" xfId="14455" xr:uid="{AF6FA8BB-8E6B-42E9-BF3A-CBCDCAE24E6E}"/>
    <cellStyle name="쉼표 [0] 2 20 2 7 2 2 3" xfId="10797" xr:uid="{9A7315A1-70F0-4EA2-A230-D84715979143}"/>
    <cellStyle name="쉼표 [0] 2 20 2 7 2 3" xfId="5309" xr:uid="{00000000-0005-0000-0000-0000F9090000}"/>
    <cellStyle name="쉼표 [0] 2 20 2 7 2 3 2" xfId="12626" xr:uid="{136DC758-2D2D-4605-8ABA-033F390419AB}"/>
    <cellStyle name="쉼표 [0] 2 20 2 7 2 4" xfId="8967" xr:uid="{23F34AA0-304B-4C77-B8D5-F26E40832201}"/>
    <cellStyle name="쉼표 [0] 2 20 2 7 3" xfId="1128" xr:uid="{00000000-0005-0000-0000-0000FA090000}"/>
    <cellStyle name="쉼표 [0] 2 20 2 7 3 2" xfId="3478" xr:uid="{00000000-0005-0000-0000-0000FB090000}"/>
    <cellStyle name="쉼표 [0] 2 20 2 7 3 2 2" xfId="7139" xr:uid="{00000000-0005-0000-0000-0000FC090000}"/>
    <cellStyle name="쉼표 [0] 2 20 2 7 3 2 2 2" xfId="14456" xr:uid="{B700C74C-821F-4244-B398-2F0FAE3D988D}"/>
    <cellStyle name="쉼표 [0] 2 20 2 7 3 2 3" xfId="10798" xr:uid="{E5B02FBF-ACCF-4AC3-9DD3-48FC18617CF6}"/>
    <cellStyle name="쉼표 [0] 2 20 2 7 3 3" xfId="5310" xr:uid="{00000000-0005-0000-0000-0000FD090000}"/>
    <cellStyle name="쉼표 [0] 2 20 2 7 3 3 2" xfId="12627" xr:uid="{D8242813-B571-4746-85BC-C3EF988897F8}"/>
    <cellStyle name="쉼표 [0] 2 20 2 7 3 4" xfId="8968" xr:uid="{79682551-A97B-47B1-AD58-113D4E62DFF0}"/>
    <cellStyle name="쉼표 [0] 2 20 2 7 4" xfId="3476" xr:uid="{00000000-0005-0000-0000-0000FE090000}"/>
    <cellStyle name="쉼표 [0] 2 20 2 7 4 2" xfId="7137" xr:uid="{00000000-0005-0000-0000-0000FF090000}"/>
    <cellStyle name="쉼표 [0] 2 20 2 7 4 2 2" xfId="14454" xr:uid="{8EB7C09A-FF71-4BF7-95D3-025E08FD77B6}"/>
    <cellStyle name="쉼표 [0] 2 20 2 7 4 3" xfId="10796" xr:uid="{9175F7A9-46D6-4320-B7E0-00DD965773CD}"/>
    <cellStyle name="쉼표 [0] 2 20 2 7 5" xfId="5308" xr:uid="{00000000-0005-0000-0000-0000000A0000}"/>
    <cellStyle name="쉼표 [0] 2 20 2 7 5 2" xfId="12625" xr:uid="{A3FC58BE-6101-48A6-A98B-73B534567DD4}"/>
    <cellStyle name="쉼표 [0] 2 20 2 7 6" xfId="8966" xr:uid="{AD0CE992-FBC2-4ED2-BE1F-559763B6F9F5}"/>
    <cellStyle name="쉼표 [0] 2 20 2 8" xfId="1129" xr:uid="{00000000-0005-0000-0000-0000010A0000}"/>
    <cellStyle name="쉼표 [0] 2 20 2 8 2" xfId="3479" xr:uid="{00000000-0005-0000-0000-0000020A0000}"/>
    <cellStyle name="쉼표 [0] 2 20 2 8 2 2" xfId="7140" xr:uid="{00000000-0005-0000-0000-0000030A0000}"/>
    <cellStyle name="쉼표 [0] 2 20 2 8 2 2 2" xfId="14457" xr:uid="{1628AB02-15D7-4644-8810-EA32DD475C3F}"/>
    <cellStyle name="쉼표 [0] 2 20 2 8 2 3" xfId="10799" xr:uid="{9108DFBF-BBE1-4E31-B953-9A69773C3592}"/>
    <cellStyle name="쉼표 [0] 2 20 2 8 3" xfId="5311" xr:uid="{00000000-0005-0000-0000-0000040A0000}"/>
    <cellStyle name="쉼표 [0] 2 20 2 8 3 2" xfId="12628" xr:uid="{A597DA1F-ED25-4CEF-9405-D3626463210E}"/>
    <cellStyle name="쉼표 [0] 2 20 2 8 4" xfId="8969" xr:uid="{E9EA6B90-AF7A-4443-A8D7-36F5C50036D4}"/>
    <cellStyle name="쉼표 [0] 2 20 2 9" xfId="1130" xr:uid="{00000000-0005-0000-0000-0000050A0000}"/>
    <cellStyle name="쉼표 [0] 2 20 2 9 2" xfId="3480" xr:uid="{00000000-0005-0000-0000-0000060A0000}"/>
    <cellStyle name="쉼표 [0] 2 20 2 9 2 2" xfId="7141" xr:uid="{00000000-0005-0000-0000-0000070A0000}"/>
    <cellStyle name="쉼표 [0] 2 20 2 9 2 2 2" xfId="14458" xr:uid="{D30040DB-8A2A-4A33-AA4B-6506E7B6D5E1}"/>
    <cellStyle name="쉼표 [0] 2 20 2 9 2 3" xfId="10800" xr:uid="{D259B672-9FB3-46E3-BB4B-86187DAEACE6}"/>
    <cellStyle name="쉼표 [0] 2 20 2 9 3" xfId="5312" xr:uid="{00000000-0005-0000-0000-0000080A0000}"/>
    <cellStyle name="쉼표 [0] 2 20 2 9 3 2" xfId="12629" xr:uid="{63B4C419-FD4A-44AF-B1DB-8E4A07ADA69A}"/>
    <cellStyle name="쉼표 [0] 2 20 2 9 4" xfId="8970" xr:uid="{821664AF-50A4-4C99-A155-0C08776A0D61}"/>
    <cellStyle name="쉼표 [0] 2 20 3" xfId="1131" xr:uid="{00000000-0005-0000-0000-0000090A0000}"/>
    <cellStyle name="쉼표 [0] 2 20 3 10" xfId="3481" xr:uid="{00000000-0005-0000-0000-00000A0A0000}"/>
    <cellStyle name="쉼표 [0] 2 20 3 10 2" xfId="7142" xr:uid="{00000000-0005-0000-0000-00000B0A0000}"/>
    <cellStyle name="쉼표 [0] 2 20 3 10 2 2" xfId="14459" xr:uid="{125EB176-7B0C-4FEE-B07A-27C5754E84E1}"/>
    <cellStyle name="쉼표 [0] 2 20 3 10 3" xfId="10801" xr:uid="{5435C3D1-6A00-49BF-85CB-4CD167201933}"/>
    <cellStyle name="쉼표 [0] 2 20 3 11" xfId="5313" xr:uid="{00000000-0005-0000-0000-00000C0A0000}"/>
    <cellStyle name="쉼표 [0] 2 20 3 11 2" xfId="12630" xr:uid="{0C05A53E-D008-47F9-9B89-B5045768520B}"/>
    <cellStyle name="쉼표 [0] 2 20 3 12" xfId="8971" xr:uid="{D51269B7-E5DA-408E-B5A5-1B569D44D4E8}"/>
    <cellStyle name="쉼표 [0] 2 20 3 2" xfId="1132" xr:uid="{00000000-0005-0000-0000-00000D0A0000}"/>
    <cellStyle name="쉼표 [0] 2 20 3 2 10" xfId="5314" xr:uid="{00000000-0005-0000-0000-00000E0A0000}"/>
    <cellStyle name="쉼표 [0] 2 20 3 2 10 2" xfId="12631" xr:uid="{D94A3BA0-5816-4C29-9D20-9D3DC46B8586}"/>
    <cellStyle name="쉼표 [0] 2 20 3 2 11" xfId="8972" xr:uid="{1E490225-EF5B-4625-8E83-3D56D864CB0C}"/>
    <cellStyle name="쉼표 [0] 2 20 3 2 2" xfId="1133" xr:uid="{00000000-0005-0000-0000-00000F0A0000}"/>
    <cellStyle name="쉼표 [0] 2 20 3 2 2 2" xfId="1134" xr:uid="{00000000-0005-0000-0000-0000100A0000}"/>
    <cellStyle name="쉼표 [0] 2 20 3 2 2 2 2" xfId="3484" xr:uid="{00000000-0005-0000-0000-0000110A0000}"/>
    <cellStyle name="쉼표 [0] 2 20 3 2 2 2 2 2" xfId="7145" xr:uid="{00000000-0005-0000-0000-0000120A0000}"/>
    <cellStyle name="쉼표 [0] 2 20 3 2 2 2 2 2 2" xfId="14462" xr:uid="{F9B3FC2A-58DA-4B36-8CBD-2D1AC35C3949}"/>
    <cellStyle name="쉼표 [0] 2 20 3 2 2 2 2 3" xfId="10804" xr:uid="{88879664-7C45-4553-B268-AC5EEF59E6E5}"/>
    <cellStyle name="쉼표 [0] 2 20 3 2 2 2 3" xfId="5316" xr:uid="{00000000-0005-0000-0000-0000130A0000}"/>
    <cellStyle name="쉼표 [0] 2 20 3 2 2 2 3 2" xfId="12633" xr:uid="{5E9F53A8-D515-4B49-9728-66A948D91640}"/>
    <cellStyle name="쉼표 [0] 2 20 3 2 2 2 4" xfId="8974" xr:uid="{7073BBCA-80E4-47F6-88CA-7433453CC35D}"/>
    <cellStyle name="쉼표 [0] 2 20 3 2 2 3" xfId="1135" xr:uid="{00000000-0005-0000-0000-0000140A0000}"/>
    <cellStyle name="쉼표 [0] 2 20 3 2 2 3 2" xfId="3485" xr:uid="{00000000-0005-0000-0000-0000150A0000}"/>
    <cellStyle name="쉼표 [0] 2 20 3 2 2 3 2 2" xfId="7146" xr:uid="{00000000-0005-0000-0000-0000160A0000}"/>
    <cellStyle name="쉼표 [0] 2 20 3 2 2 3 2 2 2" xfId="14463" xr:uid="{20DB254E-64C4-4479-A794-49ECA3713B55}"/>
    <cellStyle name="쉼표 [0] 2 20 3 2 2 3 2 3" xfId="10805" xr:uid="{35EF6D9D-1296-4A71-9B3C-4EBD88485926}"/>
    <cellStyle name="쉼표 [0] 2 20 3 2 2 3 3" xfId="5317" xr:uid="{00000000-0005-0000-0000-0000170A0000}"/>
    <cellStyle name="쉼표 [0] 2 20 3 2 2 3 3 2" xfId="12634" xr:uid="{BA28D15E-2703-4C31-A6CC-22CCD0BCF067}"/>
    <cellStyle name="쉼표 [0] 2 20 3 2 2 3 4" xfId="8975" xr:uid="{03137441-D16C-4CFE-9500-CF661E841758}"/>
    <cellStyle name="쉼표 [0] 2 20 3 2 2 4" xfId="3483" xr:uid="{00000000-0005-0000-0000-0000180A0000}"/>
    <cellStyle name="쉼표 [0] 2 20 3 2 2 4 2" xfId="7144" xr:uid="{00000000-0005-0000-0000-0000190A0000}"/>
    <cellStyle name="쉼표 [0] 2 20 3 2 2 4 2 2" xfId="14461" xr:uid="{30BE2D62-30E0-466C-82E9-EFA4C2652977}"/>
    <cellStyle name="쉼표 [0] 2 20 3 2 2 4 3" xfId="10803" xr:uid="{8F69770F-F32D-4557-BF6B-FF6C6A75F83E}"/>
    <cellStyle name="쉼표 [0] 2 20 3 2 2 5" xfId="5315" xr:uid="{00000000-0005-0000-0000-00001A0A0000}"/>
    <cellStyle name="쉼표 [0] 2 20 3 2 2 5 2" xfId="12632" xr:uid="{1515A31F-1071-45AA-9B8B-10298190CA2D}"/>
    <cellStyle name="쉼표 [0] 2 20 3 2 2 6" xfId="8973" xr:uid="{541B7B24-3199-41AC-8E7B-B3C9B14284A2}"/>
    <cellStyle name="쉼표 [0] 2 20 3 2 3" xfId="1136" xr:uid="{00000000-0005-0000-0000-00001B0A0000}"/>
    <cellStyle name="쉼표 [0] 2 20 3 2 3 2" xfId="1137" xr:uid="{00000000-0005-0000-0000-00001C0A0000}"/>
    <cellStyle name="쉼표 [0] 2 20 3 2 3 2 2" xfId="3487" xr:uid="{00000000-0005-0000-0000-00001D0A0000}"/>
    <cellStyle name="쉼표 [0] 2 20 3 2 3 2 2 2" xfId="7148" xr:uid="{00000000-0005-0000-0000-00001E0A0000}"/>
    <cellStyle name="쉼표 [0] 2 20 3 2 3 2 2 2 2" xfId="14465" xr:uid="{1AF78092-3137-43A6-857F-18198126A801}"/>
    <cellStyle name="쉼표 [0] 2 20 3 2 3 2 2 3" xfId="10807" xr:uid="{5ACF2EA9-BCC4-4CEB-B320-A06D31363827}"/>
    <cellStyle name="쉼표 [0] 2 20 3 2 3 2 3" xfId="5319" xr:uid="{00000000-0005-0000-0000-00001F0A0000}"/>
    <cellStyle name="쉼표 [0] 2 20 3 2 3 2 3 2" xfId="12636" xr:uid="{FD316204-8367-4247-BC31-FDDAC83B7FE4}"/>
    <cellStyle name="쉼표 [0] 2 20 3 2 3 2 4" xfId="8977" xr:uid="{9FA524F4-4012-4CDF-BFF2-14DDE48D02B1}"/>
    <cellStyle name="쉼표 [0] 2 20 3 2 3 3" xfId="1138" xr:uid="{00000000-0005-0000-0000-0000200A0000}"/>
    <cellStyle name="쉼표 [0] 2 20 3 2 3 3 2" xfId="3488" xr:uid="{00000000-0005-0000-0000-0000210A0000}"/>
    <cellStyle name="쉼표 [0] 2 20 3 2 3 3 2 2" xfId="7149" xr:uid="{00000000-0005-0000-0000-0000220A0000}"/>
    <cellStyle name="쉼표 [0] 2 20 3 2 3 3 2 2 2" xfId="14466" xr:uid="{BF44FA81-EB50-4DE3-A7CE-6E764DE7A12A}"/>
    <cellStyle name="쉼표 [0] 2 20 3 2 3 3 2 3" xfId="10808" xr:uid="{0C233C68-5CC2-4141-8192-02C176BC3465}"/>
    <cellStyle name="쉼표 [0] 2 20 3 2 3 3 3" xfId="5320" xr:uid="{00000000-0005-0000-0000-0000230A0000}"/>
    <cellStyle name="쉼표 [0] 2 20 3 2 3 3 3 2" xfId="12637" xr:uid="{88A6A92E-97F9-485E-ADD1-EDD37BEBB515}"/>
    <cellStyle name="쉼표 [0] 2 20 3 2 3 3 4" xfId="8978" xr:uid="{1D497E2F-F25E-499E-90E9-4B01135324BD}"/>
    <cellStyle name="쉼표 [0] 2 20 3 2 3 4" xfId="3486" xr:uid="{00000000-0005-0000-0000-0000240A0000}"/>
    <cellStyle name="쉼표 [0] 2 20 3 2 3 4 2" xfId="7147" xr:uid="{00000000-0005-0000-0000-0000250A0000}"/>
    <cellStyle name="쉼표 [0] 2 20 3 2 3 4 2 2" xfId="14464" xr:uid="{5E03BC20-5401-43E2-B491-3277F3DEE55A}"/>
    <cellStyle name="쉼표 [0] 2 20 3 2 3 4 3" xfId="10806" xr:uid="{17B05183-10D8-46C0-9D16-3BCEDE43C25B}"/>
    <cellStyle name="쉼표 [0] 2 20 3 2 3 5" xfId="5318" xr:uid="{00000000-0005-0000-0000-0000260A0000}"/>
    <cellStyle name="쉼표 [0] 2 20 3 2 3 5 2" xfId="12635" xr:uid="{7795A9A1-C93B-46D8-96FC-5AB5BA6BDFD5}"/>
    <cellStyle name="쉼표 [0] 2 20 3 2 3 6" xfId="8976" xr:uid="{CE676ADC-1157-42CA-BA8F-C3C6EE8E2E4A}"/>
    <cellStyle name="쉼표 [0] 2 20 3 2 4" xfId="1139" xr:uid="{00000000-0005-0000-0000-0000270A0000}"/>
    <cellStyle name="쉼표 [0] 2 20 3 2 4 2" xfId="1140" xr:uid="{00000000-0005-0000-0000-0000280A0000}"/>
    <cellStyle name="쉼표 [0] 2 20 3 2 4 2 2" xfId="3490" xr:uid="{00000000-0005-0000-0000-0000290A0000}"/>
    <cellStyle name="쉼표 [0] 2 20 3 2 4 2 2 2" xfId="7151" xr:uid="{00000000-0005-0000-0000-00002A0A0000}"/>
    <cellStyle name="쉼표 [0] 2 20 3 2 4 2 2 2 2" xfId="14468" xr:uid="{BB6CFA48-D583-42A4-A3CF-81C8C751A06E}"/>
    <cellStyle name="쉼표 [0] 2 20 3 2 4 2 2 3" xfId="10810" xr:uid="{C81D1D79-FDFD-44C8-BC88-2C774E9C2A52}"/>
    <cellStyle name="쉼표 [0] 2 20 3 2 4 2 3" xfId="5322" xr:uid="{00000000-0005-0000-0000-00002B0A0000}"/>
    <cellStyle name="쉼표 [0] 2 20 3 2 4 2 3 2" xfId="12639" xr:uid="{CD68D582-7479-4D61-B955-06286CA2CD03}"/>
    <cellStyle name="쉼표 [0] 2 20 3 2 4 2 4" xfId="8980" xr:uid="{AC8D2DE0-F30B-474A-8B1E-B1575129DDE2}"/>
    <cellStyle name="쉼표 [0] 2 20 3 2 4 3" xfId="1141" xr:uid="{00000000-0005-0000-0000-00002C0A0000}"/>
    <cellStyle name="쉼표 [0] 2 20 3 2 4 3 2" xfId="3491" xr:uid="{00000000-0005-0000-0000-00002D0A0000}"/>
    <cellStyle name="쉼표 [0] 2 20 3 2 4 3 2 2" xfId="7152" xr:uid="{00000000-0005-0000-0000-00002E0A0000}"/>
    <cellStyle name="쉼표 [0] 2 20 3 2 4 3 2 2 2" xfId="14469" xr:uid="{D47330AC-13DC-4773-8692-4BE0A5DFD881}"/>
    <cellStyle name="쉼표 [0] 2 20 3 2 4 3 2 3" xfId="10811" xr:uid="{CF1D1DBD-E916-4BC3-B7B4-216E574A03E2}"/>
    <cellStyle name="쉼표 [0] 2 20 3 2 4 3 3" xfId="5323" xr:uid="{00000000-0005-0000-0000-00002F0A0000}"/>
    <cellStyle name="쉼표 [0] 2 20 3 2 4 3 3 2" xfId="12640" xr:uid="{5C0212B4-E22A-4782-8EDD-5C409A9D0418}"/>
    <cellStyle name="쉼표 [0] 2 20 3 2 4 3 4" xfId="8981" xr:uid="{8CB38C30-912E-449F-A03F-9BF78B39FF94}"/>
    <cellStyle name="쉼표 [0] 2 20 3 2 4 4" xfId="3489" xr:uid="{00000000-0005-0000-0000-0000300A0000}"/>
    <cellStyle name="쉼표 [0] 2 20 3 2 4 4 2" xfId="7150" xr:uid="{00000000-0005-0000-0000-0000310A0000}"/>
    <cellStyle name="쉼표 [0] 2 20 3 2 4 4 2 2" xfId="14467" xr:uid="{30594B18-2690-4761-BC98-D603E74A9D0A}"/>
    <cellStyle name="쉼표 [0] 2 20 3 2 4 4 3" xfId="10809" xr:uid="{9807C7CF-54D9-4BD8-A8A5-35735282A60B}"/>
    <cellStyle name="쉼표 [0] 2 20 3 2 4 5" xfId="5321" xr:uid="{00000000-0005-0000-0000-0000320A0000}"/>
    <cellStyle name="쉼표 [0] 2 20 3 2 4 5 2" xfId="12638" xr:uid="{5D316E18-8709-42ED-95C5-54C4C9465CE6}"/>
    <cellStyle name="쉼표 [0] 2 20 3 2 4 6" xfId="8979" xr:uid="{81DF3528-FCEE-4F3D-B369-43524982FE1E}"/>
    <cellStyle name="쉼표 [0] 2 20 3 2 5" xfId="1142" xr:uid="{00000000-0005-0000-0000-0000330A0000}"/>
    <cellStyle name="쉼표 [0] 2 20 3 2 5 2" xfId="1143" xr:uid="{00000000-0005-0000-0000-0000340A0000}"/>
    <cellStyle name="쉼표 [0] 2 20 3 2 5 2 2" xfId="3493" xr:uid="{00000000-0005-0000-0000-0000350A0000}"/>
    <cellStyle name="쉼표 [0] 2 20 3 2 5 2 2 2" xfId="7154" xr:uid="{00000000-0005-0000-0000-0000360A0000}"/>
    <cellStyle name="쉼표 [0] 2 20 3 2 5 2 2 2 2" xfId="14471" xr:uid="{154CA94C-4BA2-4253-9C59-378E2669375E}"/>
    <cellStyle name="쉼표 [0] 2 20 3 2 5 2 2 3" xfId="10813" xr:uid="{11BADF27-9405-4D16-BCE1-F52C92BDA9F0}"/>
    <cellStyle name="쉼표 [0] 2 20 3 2 5 2 3" xfId="5325" xr:uid="{00000000-0005-0000-0000-0000370A0000}"/>
    <cellStyle name="쉼표 [0] 2 20 3 2 5 2 3 2" xfId="12642" xr:uid="{678E5172-927C-4B27-93F9-A73BDCF72B98}"/>
    <cellStyle name="쉼표 [0] 2 20 3 2 5 2 4" xfId="8983" xr:uid="{2B03B827-275C-49A6-BB6A-A280EF287731}"/>
    <cellStyle name="쉼표 [0] 2 20 3 2 5 3" xfId="1144" xr:uid="{00000000-0005-0000-0000-0000380A0000}"/>
    <cellStyle name="쉼표 [0] 2 20 3 2 5 3 2" xfId="3494" xr:uid="{00000000-0005-0000-0000-0000390A0000}"/>
    <cellStyle name="쉼표 [0] 2 20 3 2 5 3 2 2" xfId="7155" xr:uid="{00000000-0005-0000-0000-00003A0A0000}"/>
    <cellStyle name="쉼표 [0] 2 20 3 2 5 3 2 2 2" xfId="14472" xr:uid="{4D66EF99-BF16-437D-ADEC-67A87A7E72B0}"/>
    <cellStyle name="쉼표 [0] 2 20 3 2 5 3 2 3" xfId="10814" xr:uid="{3DBC8A75-5464-48C6-A710-5F36C6A4DD92}"/>
    <cellStyle name="쉼표 [0] 2 20 3 2 5 3 3" xfId="5326" xr:uid="{00000000-0005-0000-0000-00003B0A0000}"/>
    <cellStyle name="쉼표 [0] 2 20 3 2 5 3 3 2" xfId="12643" xr:uid="{E504F810-A0E5-4B7D-9E7A-889F05D042DD}"/>
    <cellStyle name="쉼표 [0] 2 20 3 2 5 3 4" xfId="8984" xr:uid="{0525145E-C269-49A9-BFB6-13E3B83F5A3C}"/>
    <cellStyle name="쉼표 [0] 2 20 3 2 5 4" xfId="3492" xr:uid="{00000000-0005-0000-0000-00003C0A0000}"/>
    <cellStyle name="쉼표 [0] 2 20 3 2 5 4 2" xfId="7153" xr:uid="{00000000-0005-0000-0000-00003D0A0000}"/>
    <cellStyle name="쉼표 [0] 2 20 3 2 5 4 2 2" xfId="14470" xr:uid="{5458B2BD-185D-4397-9D35-B6A1B340D9AB}"/>
    <cellStyle name="쉼표 [0] 2 20 3 2 5 4 3" xfId="10812" xr:uid="{9D143A4F-2B1D-4C0C-8399-93FE24389294}"/>
    <cellStyle name="쉼표 [0] 2 20 3 2 5 5" xfId="5324" xr:uid="{00000000-0005-0000-0000-00003E0A0000}"/>
    <cellStyle name="쉼표 [0] 2 20 3 2 5 5 2" xfId="12641" xr:uid="{BBD68BDF-C317-4690-A5EE-92659AB69E8D}"/>
    <cellStyle name="쉼표 [0] 2 20 3 2 5 6" xfId="8982" xr:uid="{018C140F-A923-4407-BA40-91C361F14666}"/>
    <cellStyle name="쉼표 [0] 2 20 3 2 6" xfId="1145" xr:uid="{00000000-0005-0000-0000-00003F0A0000}"/>
    <cellStyle name="쉼표 [0] 2 20 3 2 6 2" xfId="1146" xr:uid="{00000000-0005-0000-0000-0000400A0000}"/>
    <cellStyle name="쉼표 [0] 2 20 3 2 6 2 2" xfId="3496" xr:uid="{00000000-0005-0000-0000-0000410A0000}"/>
    <cellStyle name="쉼표 [0] 2 20 3 2 6 2 2 2" xfId="7157" xr:uid="{00000000-0005-0000-0000-0000420A0000}"/>
    <cellStyle name="쉼표 [0] 2 20 3 2 6 2 2 2 2" xfId="14474" xr:uid="{0CDF9E04-B7F3-4089-AAC7-EB4A3AAA87D5}"/>
    <cellStyle name="쉼표 [0] 2 20 3 2 6 2 2 3" xfId="10816" xr:uid="{1BD7DF8C-8E89-4FBE-9D9D-B137FAC6F589}"/>
    <cellStyle name="쉼표 [0] 2 20 3 2 6 2 3" xfId="5328" xr:uid="{00000000-0005-0000-0000-0000430A0000}"/>
    <cellStyle name="쉼표 [0] 2 20 3 2 6 2 3 2" xfId="12645" xr:uid="{6D09128B-B9D8-439D-AC54-DE6BCF0D40C8}"/>
    <cellStyle name="쉼표 [0] 2 20 3 2 6 2 4" xfId="8986" xr:uid="{9160BAB4-4E9E-4B63-B4EA-123E4AC5F0C5}"/>
    <cellStyle name="쉼표 [0] 2 20 3 2 6 3" xfId="1147" xr:uid="{00000000-0005-0000-0000-0000440A0000}"/>
    <cellStyle name="쉼표 [0] 2 20 3 2 6 3 2" xfId="3497" xr:uid="{00000000-0005-0000-0000-0000450A0000}"/>
    <cellStyle name="쉼표 [0] 2 20 3 2 6 3 2 2" xfId="7158" xr:uid="{00000000-0005-0000-0000-0000460A0000}"/>
    <cellStyle name="쉼표 [0] 2 20 3 2 6 3 2 2 2" xfId="14475" xr:uid="{C492FB55-D778-411C-822B-716CCEDD952A}"/>
    <cellStyle name="쉼표 [0] 2 20 3 2 6 3 2 3" xfId="10817" xr:uid="{6620E795-33E3-44CB-9BFD-63B031975760}"/>
    <cellStyle name="쉼표 [0] 2 20 3 2 6 3 3" xfId="5329" xr:uid="{00000000-0005-0000-0000-0000470A0000}"/>
    <cellStyle name="쉼표 [0] 2 20 3 2 6 3 3 2" xfId="12646" xr:uid="{E7A43244-3172-47A8-B85F-BFFCF6AE6A7B}"/>
    <cellStyle name="쉼표 [0] 2 20 3 2 6 3 4" xfId="8987" xr:uid="{8718148F-E5F0-4797-AB81-B53B58642B9A}"/>
    <cellStyle name="쉼표 [0] 2 20 3 2 6 4" xfId="3495" xr:uid="{00000000-0005-0000-0000-0000480A0000}"/>
    <cellStyle name="쉼표 [0] 2 20 3 2 6 4 2" xfId="7156" xr:uid="{00000000-0005-0000-0000-0000490A0000}"/>
    <cellStyle name="쉼표 [0] 2 20 3 2 6 4 2 2" xfId="14473" xr:uid="{0D9A834F-19D6-4593-B7C1-C7D2DE0306A2}"/>
    <cellStyle name="쉼표 [0] 2 20 3 2 6 4 3" xfId="10815" xr:uid="{0F4B95EC-221F-431D-8E39-41E44684FBA7}"/>
    <cellStyle name="쉼표 [0] 2 20 3 2 6 5" xfId="5327" xr:uid="{00000000-0005-0000-0000-00004A0A0000}"/>
    <cellStyle name="쉼표 [0] 2 20 3 2 6 5 2" xfId="12644" xr:uid="{4F5BEA24-BF04-4FB0-AA7A-2BDBEE3C8AE4}"/>
    <cellStyle name="쉼표 [0] 2 20 3 2 6 6" xfId="8985" xr:uid="{D71AEC4F-4B4A-42A8-A542-F8217B9E353D}"/>
    <cellStyle name="쉼표 [0] 2 20 3 2 7" xfId="1148" xr:uid="{00000000-0005-0000-0000-00004B0A0000}"/>
    <cellStyle name="쉼표 [0] 2 20 3 2 7 2" xfId="3498" xr:uid="{00000000-0005-0000-0000-00004C0A0000}"/>
    <cellStyle name="쉼표 [0] 2 20 3 2 7 2 2" xfId="7159" xr:uid="{00000000-0005-0000-0000-00004D0A0000}"/>
    <cellStyle name="쉼표 [0] 2 20 3 2 7 2 2 2" xfId="14476" xr:uid="{693B899E-9E63-4C09-A05E-766F94FD377E}"/>
    <cellStyle name="쉼표 [0] 2 20 3 2 7 2 3" xfId="10818" xr:uid="{3E158225-160E-4CB5-8AC6-0275A7CC9CCD}"/>
    <cellStyle name="쉼표 [0] 2 20 3 2 7 3" xfId="5330" xr:uid="{00000000-0005-0000-0000-00004E0A0000}"/>
    <cellStyle name="쉼표 [0] 2 20 3 2 7 3 2" xfId="12647" xr:uid="{783B22B1-88BD-48DB-8CAC-64CA7B96C059}"/>
    <cellStyle name="쉼표 [0] 2 20 3 2 7 4" xfId="8988" xr:uid="{802773F3-1F76-4979-BAE7-EBE9E86A9F0D}"/>
    <cellStyle name="쉼표 [0] 2 20 3 2 8" xfId="1149" xr:uid="{00000000-0005-0000-0000-00004F0A0000}"/>
    <cellStyle name="쉼표 [0] 2 20 3 2 8 2" xfId="3499" xr:uid="{00000000-0005-0000-0000-0000500A0000}"/>
    <cellStyle name="쉼표 [0] 2 20 3 2 8 2 2" xfId="7160" xr:uid="{00000000-0005-0000-0000-0000510A0000}"/>
    <cellStyle name="쉼표 [0] 2 20 3 2 8 2 2 2" xfId="14477" xr:uid="{7D63E67F-81B9-4FE6-B1EF-B324C7EA91D4}"/>
    <cellStyle name="쉼표 [0] 2 20 3 2 8 2 3" xfId="10819" xr:uid="{5626ED81-DEA7-460F-92DE-14D2BAC91862}"/>
    <cellStyle name="쉼표 [0] 2 20 3 2 8 3" xfId="5331" xr:uid="{00000000-0005-0000-0000-0000520A0000}"/>
    <cellStyle name="쉼표 [0] 2 20 3 2 8 3 2" xfId="12648" xr:uid="{A4C1CA47-59E0-4878-8E9B-7B695113202E}"/>
    <cellStyle name="쉼표 [0] 2 20 3 2 8 4" xfId="8989" xr:uid="{E4343FCB-F58C-4220-A99F-06F0992EFA9D}"/>
    <cellStyle name="쉼표 [0] 2 20 3 2 9" xfId="3482" xr:uid="{00000000-0005-0000-0000-0000530A0000}"/>
    <cellStyle name="쉼표 [0] 2 20 3 2 9 2" xfId="7143" xr:uid="{00000000-0005-0000-0000-0000540A0000}"/>
    <cellStyle name="쉼표 [0] 2 20 3 2 9 2 2" xfId="14460" xr:uid="{39B53170-CE0A-4C82-BB82-BBC19CE8251C}"/>
    <cellStyle name="쉼표 [0] 2 20 3 2 9 3" xfId="10802" xr:uid="{EEB73696-C31A-4021-B120-42575AE04E7C}"/>
    <cellStyle name="쉼표 [0] 2 20 3 3" xfId="1150" xr:uid="{00000000-0005-0000-0000-0000550A0000}"/>
    <cellStyle name="쉼표 [0] 2 20 3 3 2" xfId="1151" xr:uid="{00000000-0005-0000-0000-0000560A0000}"/>
    <cellStyle name="쉼표 [0] 2 20 3 3 2 2" xfId="3501" xr:uid="{00000000-0005-0000-0000-0000570A0000}"/>
    <cellStyle name="쉼표 [0] 2 20 3 3 2 2 2" xfId="7162" xr:uid="{00000000-0005-0000-0000-0000580A0000}"/>
    <cellStyle name="쉼표 [0] 2 20 3 3 2 2 2 2" xfId="14479" xr:uid="{E7DA56A1-C173-4A68-8CE1-16C0691D57F1}"/>
    <cellStyle name="쉼표 [0] 2 20 3 3 2 2 3" xfId="10821" xr:uid="{2B1D13B1-D72E-4F7B-90DB-386A609C1DCC}"/>
    <cellStyle name="쉼표 [0] 2 20 3 3 2 3" xfId="5333" xr:uid="{00000000-0005-0000-0000-0000590A0000}"/>
    <cellStyle name="쉼표 [0] 2 20 3 3 2 3 2" xfId="12650" xr:uid="{5DF6DEA3-08C4-40B2-AE5F-673220875DA9}"/>
    <cellStyle name="쉼표 [0] 2 20 3 3 2 4" xfId="8991" xr:uid="{514D9255-4130-44F7-9279-182B14F00510}"/>
    <cellStyle name="쉼표 [0] 2 20 3 3 3" xfId="1152" xr:uid="{00000000-0005-0000-0000-00005A0A0000}"/>
    <cellStyle name="쉼표 [0] 2 20 3 3 3 2" xfId="3502" xr:uid="{00000000-0005-0000-0000-00005B0A0000}"/>
    <cellStyle name="쉼표 [0] 2 20 3 3 3 2 2" xfId="7163" xr:uid="{00000000-0005-0000-0000-00005C0A0000}"/>
    <cellStyle name="쉼표 [0] 2 20 3 3 3 2 2 2" xfId="14480" xr:uid="{C2008FF9-6333-4086-9198-AE5F9831C143}"/>
    <cellStyle name="쉼표 [0] 2 20 3 3 3 2 3" xfId="10822" xr:uid="{1C5B9A06-C507-4D41-AC72-6099D8B7D7F6}"/>
    <cellStyle name="쉼표 [0] 2 20 3 3 3 3" xfId="5334" xr:uid="{00000000-0005-0000-0000-00005D0A0000}"/>
    <cellStyle name="쉼표 [0] 2 20 3 3 3 3 2" xfId="12651" xr:uid="{CB97B429-31D8-4E2D-A020-6DD31FBFBA4C}"/>
    <cellStyle name="쉼표 [0] 2 20 3 3 3 4" xfId="8992" xr:uid="{1E6B4BB5-7C7D-4156-AA9F-BD508D64C90D}"/>
    <cellStyle name="쉼표 [0] 2 20 3 3 4" xfId="3500" xr:uid="{00000000-0005-0000-0000-00005E0A0000}"/>
    <cellStyle name="쉼표 [0] 2 20 3 3 4 2" xfId="7161" xr:uid="{00000000-0005-0000-0000-00005F0A0000}"/>
    <cellStyle name="쉼표 [0] 2 20 3 3 4 2 2" xfId="14478" xr:uid="{4ABA1A9F-9719-4A57-9A56-910EC4C4833F}"/>
    <cellStyle name="쉼표 [0] 2 20 3 3 4 3" xfId="10820" xr:uid="{850559DA-816F-47BE-8984-D6E642173686}"/>
    <cellStyle name="쉼표 [0] 2 20 3 3 5" xfId="5332" xr:uid="{00000000-0005-0000-0000-0000600A0000}"/>
    <cellStyle name="쉼표 [0] 2 20 3 3 5 2" xfId="12649" xr:uid="{F51D0C53-64C0-4F7F-B1B6-DE7507790967}"/>
    <cellStyle name="쉼표 [0] 2 20 3 3 6" xfId="8990" xr:uid="{BC6778D9-DFA1-4B7B-8550-D606B2A361B9}"/>
    <cellStyle name="쉼표 [0] 2 20 3 4" xfId="1153" xr:uid="{00000000-0005-0000-0000-0000610A0000}"/>
    <cellStyle name="쉼표 [0] 2 20 3 4 2" xfId="1154" xr:uid="{00000000-0005-0000-0000-0000620A0000}"/>
    <cellStyle name="쉼표 [0] 2 20 3 4 2 2" xfId="3504" xr:uid="{00000000-0005-0000-0000-0000630A0000}"/>
    <cellStyle name="쉼표 [0] 2 20 3 4 2 2 2" xfId="7165" xr:uid="{00000000-0005-0000-0000-0000640A0000}"/>
    <cellStyle name="쉼표 [0] 2 20 3 4 2 2 2 2" xfId="14482" xr:uid="{DCCFEAF8-F0B6-4662-AB26-D31CDB95349D}"/>
    <cellStyle name="쉼표 [0] 2 20 3 4 2 2 3" xfId="10824" xr:uid="{899F464B-4558-4CE0-AEE9-0E7333E7E462}"/>
    <cellStyle name="쉼표 [0] 2 20 3 4 2 3" xfId="5336" xr:uid="{00000000-0005-0000-0000-0000650A0000}"/>
    <cellStyle name="쉼표 [0] 2 20 3 4 2 3 2" xfId="12653" xr:uid="{DF61988A-79BD-47DA-B047-8084456D68D5}"/>
    <cellStyle name="쉼표 [0] 2 20 3 4 2 4" xfId="8994" xr:uid="{88CFEF30-0F0F-4E1A-9674-10BC811E276C}"/>
    <cellStyle name="쉼표 [0] 2 20 3 4 3" xfId="1155" xr:uid="{00000000-0005-0000-0000-0000660A0000}"/>
    <cellStyle name="쉼표 [0] 2 20 3 4 3 2" xfId="3505" xr:uid="{00000000-0005-0000-0000-0000670A0000}"/>
    <cellStyle name="쉼표 [0] 2 20 3 4 3 2 2" xfId="7166" xr:uid="{00000000-0005-0000-0000-0000680A0000}"/>
    <cellStyle name="쉼표 [0] 2 20 3 4 3 2 2 2" xfId="14483" xr:uid="{7F7B83E9-0F74-440D-92EF-4D16A6E32555}"/>
    <cellStyle name="쉼표 [0] 2 20 3 4 3 2 3" xfId="10825" xr:uid="{C5654DDF-2902-46AF-826E-D194B2DE9FC6}"/>
    <cellStyle name="쉼표 [0] 2 20 3 4 3 3" xfId="5337" xr:uid="{00000000-0005-0000-0000-0000690A0000}"/>
    <cellStyle name="쉼표 [0] 2 20 3 4 3 3 2" xfId="12654" xr:uid="{1DB50BEC-92F5-48DD-BCDA-01DC958487B0}"/>
    <cellStyle name="쉼표 [0] 2 20 3 4 3 4" xfId="8995" xr:uid="{E2FDB44C-0068-476D-9DBA-9FF5732DCA0F}"/>
    <cellStyle name="쉼표 [0] 2 20 3 4 4" xfId="3503" xr:uid="{00000000-0005-0000-0000-00006A0A0000}"/>
    <cellStyle name="쉼표 [0] 2 20 3 4 4 2" xfId="7164" xr:uid="{00000000-0005-0000-0000-00006B0A0000}"/>
    <cellStyle name="쉼표 [0] 2 20 3 4 4 2 2" xfId="14481" xr:uid="{40BBE334-9CA7-40EF-A3AB-1AB683865992}"/>
    <cellStyle name="쉼표 [0] 2 20 3 4 4 3" xfId="10823" xr:uid="{3AC2AE97-8F0D-47AD-93EF-2DF2CDFF5835}"/>
    <cellStyle name="쉼표 [0] 2 20 3 4 5" xfId="5335" xr:uid="{00000000-0005-0000-0000-00006C0A0000}"/>
    <cellStyle name="쉼표 [0] 2 20 3 4 5 2" xfId="12652" xr:uid="{86558F98-0BE3-4C51-B464-B764249F658C}"/>
    <cellStyle name="쉼표 [0] 2 20 3 4 6" xfId="8993" xr:uid="{DDCF9AC7-6A5A-496D-887D-416C92B5FD01}"/>
    <cellStyle name="쉼표 [0] 2 20 3 5" xfId="1156" xr:uid="{00000000-0005-0000-0000-00006D0A0000}"/>
    <cellStyle name="쉼표 [0] 2 20 3 5 2" xfId="1157" xr:uid="{00000000-0005-0000-0000-00006E0A0000}"/>
    <cellStyle name="쉼표 [0] 2 20 3 5 2 2" xfId="3507" xr:uid="{00000000-0005-0000-0000-00006F0A0000}"/>
    <cellStyle name="쉼표 [0] 2 20 3 5 2 2 2" xfId="7168" xr:uid="{00000000-0005-0000-0000-0000700A0000}"/>
    <cellStyle name="쉼표 [0] 2 20 3 5 2 2 2 2" xfId="14485" xr:uid="{481F968E-A380-4728-A9FB-960C4D984BC1}"/>
    <cellStyle name="쉼표 [0] 2 20 3 5 2 2 3" xfId="10827" xr:uid="{957A9143-D802-4A6D-A478-43AE020675AE}"/>
    <cellStyle name="쉼표 [0] 2 20 3 5 2 3" xfId="5339" xr:uid="{00000000-0005-0000-0000-0000710A0000}"/>
    <cellStyle name="쉼표 [0] 2 20 3 5 2 3 2" xfId="12656" xr:uid="{8E433376-6291-4046-ABEB-37B95F6820BF}"/>
    <cellStyle name="쉼표 [0] 2 20 3 5 2 4" xfId="8997" xr:uid="{981E31E5-2FBA-4D2E-AF71-FDA9359529EB}"/>
    <cellStyle name="쉼표 [0] 2 20 3 5 3" xfId="1158" xr:uid="{00000000-0005-0000-0000-0000720A0000}"/>
    <cellStyle name="쉼표 [0] 2 20 3 5 3 2" xfId="3508" xr:uid="{00000000-0005-0000-0000-0000730A0000}"/>
    <cellStyle name="쉼표 [0] 2 20 3 5 3 2 2" xfId="7169" xr:uid="{00000000-0005-0000-0000-0000740A0000}"/>
    <cellStyle name="쉼표 [0] 2 20 3 5 3 2 2 2" xfId="14486" xr:uid="{DDCAEEF9-6F7D-461D-BFC7-BE3A718982F3}"/>
    <cellStyle name="쉼표 [0] 2 20 3 5 3 2 3" xfId="10828" xr:uid="{C320835C-3738-47FB-9A96-DDD2F1AD9D7A}"/>
    <cellStyle name="쉼표 [0] 2 20 3 5 3 3" xfId="5340" xr:uid="{00000000-0005-0000-0000-0000750A0000}"/>
    <cellStyle name="쉼표 [0] 2 20 3 5 3 3 2" xfId="12657" xr:uid="{772701A8-ECD8-4195-9D1E-1B03984490AC}"/>
    <cellStyle name="쉼표 [0] 2 20 3 5 3 4" xfId="8998" xr:uid="{A25DCEBF-5E2C-41B0-A14F-C9234A2344BD}"/>
    <cellStyle name="쉼표 [0] 2 20 3 5 4" xfId="3506" xr:uid="{00000000-0005-0000-0000-0000760A0000}"/>
    <cellStyle name="쉼표 [0] 2 20 3 5 4 2" xfId="7167" xr:uid="{00000000-0005-0000-0000-0000770A0000}"/>
    <cellStyle name="쉼표 [0] 2 20 3 5 4 2 2" xfId="14484" xr:uid="{06AEC148-1905-4F8B-BBF6-B260C86B3827}"/>
    <cellStyle name="쉼표 [0] 2 20 3 5 4 3" xfId="10826" xr:uid="{287F74DC-C43C-44DB-B03C-A6C4FE7A9B32}"/>
    <cellStyle name="쉼표 [0] 2 20 3 5 5" xfId="5338" xr:uid="{00000000-0005-0000-0000-0000780A0000}"/>
    <cellStyle name="쉼표 [0] 2 20 3 5 5 2" xfId="12655" xr:uid="{094D4427-742C-4189-B5DB-93CAF5281E01}"/>
    <cellStyle name="쉼표 [0] 2 20 3 5 6" xfId="8996" xr:uid="{3B581D85-6822-4BF4-88BD-1E113C87D93D}"/>
    <cellStyle name="쉼표 [0] 2 20 3 6" xfId="1159" xr:uid="{00000000-0005-0000-0000-0000790A0000}"/>
    <cellStyle name="쉼표 [0] 2 20 3 6 2" xfId="1160" xr:uid="{00000000-0005-0000-0000-00007A0A0000}"/>
    <cellStyle name="쉼표 [0] 2 20 3 6 2 2" xfId="3510" xr:uid="{00000000-0005-0000-0000-00007B0A0000}"/>
    <cellStyle name="쉼표 [0] 2 20 3 6 2 2 2" xfId="7171" xr:uid="{00000000-0005-0000-0000-00007C0A0000}"/>
    <cellStyle name="쉼표 [0] 2 20 3 6 2 2 2 2" xfId="14488" xr:uid="{3B2D6A06-E8C9-48C1-8C4C-BC5123725CA3}"/>
    <cellStyle name="쉼표 [0] 2 20 3 6 2 2 3" xfId="10830" xr:uid="{C19B7E7C-CF8D-45BE-A4E2-775A8EDC43D2}"/>
    <cellStyle name="쉼표 [0] 2 20 3 6 2 3" xfId="5342" xr:uid="{00000000-0005-0000-0000-00007D0A0000}"/>
    <cellStyle name="쉼표 [0] 2 20 3 6 2 3 2" xfId="12659" xr:uid="{7902FADA-A4B4-483D-BB72-5299474DF2E4}"/>
    <cellStyle name="쉼표 [0] 2 20 3 6 2 4" xfId="9000" xr:uid="{774F8691-56CC-4062-A6CB-07AE94B46FFC}"/>
    <cellStyle name="쉼표 [0] 2 20 3 6 3" xfId="1161" xr:uid="{00000000-0005-0000-0000-00007E0A0000}"/>
    <cellStyle name="쉼표 [0] 2 20 3 6 3 2" xfId="3511" xr:uid="{00000000-0005-0000-0000-00007F0A0000}"/>
    <cellStyle name="쉼표 [0] 2 20 3 6 3 2 2" xfId="7172" xr:uid="{00000000-0005-0000-0000-0000800A0000}"/>
    <cellStyle name="쉼표 [0] 2 20 3 6 3 2 2 2" xfId="14489" xr:uid="{99DEBF3A-6985-4B4B-BF54-2D5D7E4AFC36}"/>
    <cellStyle name="쉼표 [0] 2 20 3 6 3 2 3" xfId="10831" xr:uid="{E8940915-13A6-43FE-8191-57AB1889A0A8}"/>
    <cellStyle name="쉼표 [0] 2 20 3 6 3 3" xfId="5343" xr:uid="{00000000-0005-0000-0000-0000810A0000}"/>
    <cellStyle name="쉼표 [0] 2 20 3 6 3 3 2" xfId="12660" xr:uid="{F6AB952A-43FB-4485-A3B1-6269D64932F1}"/>
    <cellStyle name="쉼표 [0] 2 20 3 6 3 4" xfId="9001" xr:uid="{ECC006A1-0706-4F8C-BE52-83AF0A0C4FF6}"/>
    <cellStyle name="쉼표 [0] 2 20 3 6 4" xfId="3509" xr:uid="{00000000-0005-0000-0000-0000820A0000}"/>
    <cellStyle name="쉼표 [0] 2 20 3 6 4 2" xfId="7170" xr:uid="{00000000-0005-0000-0000-0000830A0000}"/>
    <cellStyle name="쉼표 [0] 2 20 3 6 4 2 2" xfId="14487" xr:uid="{1E976E4B-A16B-4F80-AC93-BEF41A594339}"/>
    <cellStyle name="쉼표 [0] 2 20 3 6 4 3" xfId="10829" xr:uid="{F126285F-3F49-49D6-BB36-EB09DB786AA4}"/>
    <cellStyle name="쉼표 [0] 2 20 3 6 5" xfId="5341" xr:uid="{00000000-0005-0000-0000-0000840A0000}"/>
    <cellStyle name="쉼표 [0] 2 20 3 6 5 2" xfId="12658" xr:uid="{AC3C2034-4268-4D4C-A4C2-61D38D7F84F0}"/>
    <cellStyle name="쉼표 [0] 2 20 3 6 6" xfId="8999" xr:uid="{A9792835-0227-4724-93DA-6E0FC465F10B}"/>
    <cellStyle name="쉼표 [0] 2 20 3 7" xfId="1162" xr:uid="{00000000-0005-0000-0000-0000850A0000}"/>
    <cellStyle name="쉼표 [0] 2 20 3 7 2" xfId="1163" xr:uid="{00000000-0005-0000-0000-0000860A0000}"/>
    <cellStyle name="쉼표 [0] 2 20 3 7 2 2" xfId="3513" xr:uid="{00000000-0005-0000-0000-0000870A0000}"/>
    <cellStyle name="쉼표 [0] 2 20 3 7 2 2 2" xfId="7174" xr:uid="{00000000-0005-0000-0000-0000880A0000}"/>
    <cellStyle name="쉼표 [0] 2 20 3 7 2 2 2 2" xfId="14491" xr:uid="{197D568C-F050-46FE-84C4-26A333DE4D1C}"/>
    <cellStyle name="쉼표 [0] 2 20 3 7 2 2 3" xfId="10833" xr:uid="{C5E1DFFF-7259-4A5C-9B88-D20D7E63F2E6}"/>
    <cellStyle name="쉼표 [0] 2 20 3 7 2 3" xfId="5345" xr:uid="{00000000-0005-0000-0000-0000890A0000}"/>
    <cellStyle name="쉼표 [0] 2 20 3 7 2 3 2" xfId="12662" xr:uid="{F95391A8-5A8C-4DD0-A9E0-D268FE23A6B5}"/>
    <cellStyle name="쉼표 [0] 2 20 3 7 2 4" xfId="9003" xr:uid="{2DF7B250-63C1-4B1E-91A3-0F8E7FFAB498}"/>
    <cellStyle name="쉼표 [0] 2 20 3 7 3" xfId="1164" xr:uid="{00000000-0005-0000-0000-00008A0A0000}"/>
    <cellStyle name="쉼표 [0] 2 20 3 7 3 2" xfId="3514" xr:uid="{00000000-0005-0000-0000-00008B0A0000}"/>
    <cellStyle name="쉼표 [0] 2 20 3 7 3 2 2" xfId="7175" xr:uid="{00000000-0005-0000-0000-00008C0A0000}"/>
    <cellStyle name="쉼표 [0] 2 20 3 7 3 2 2 2" xfId="14492" xr:uid="{F064DB1F-C573-47D5-B34D-EBC0CF969EB2}"/>
    <cellStyle name="쉼표 [0] 2 20 3 7 3 2 3" xfId="10834" xr:uid="{A3BF30EC-8541-4AC4-B294-78B8EAD1296B}"/>
    <cellStyle name="쉼표 [0] 2 20 3 7 3 3" xfId="5346" xr:uid="{00000000-0005-0000-0000-00008D0A0000}"/>
    <cellStyle name="쉼표 [0] 2 20 3 7 3 3 2" xfId="12663" xr:uid="{83BABF4A-9F11-4B97-B315-704D8C8C2FFC}"/>
    <cellStyle name="쉼표 [0] 2 20 3 7 3 4" xfId="9004" xr:uid="{39FBF8C0-D0F5-4132-ADC4-E3AFFC7C68F1}"/>
    <cellStyle name="쉼표 [0] 2 20 3 7 4" xfId="3512" xr:uid="{00000000-0005-0000-0000-00008E0A0000}"/>
    <cellStyle name="쉼표 [0] 2 20 3 7 4 2" xfId="7173" xr:uid="{00000000-0005-0000-0000-00008F0A0000}"/>
    <cellStyle name="쉼표 [0] 2 20 3 7 4 2 2" xfId="14490" xr:uid="{B1C0524F-3570-4939-9F97-34D6FBC354A1}"/>
    <cellStyle name="쉼표 [0] 2 20 3 7 4 3" xfId="10832" xr:uid="{F9C1B9D7-F022-48F8-A957-4ACB708D3D2E}"/>
    <cellStyle name="쉼표 [0] 2 20 3 7 5" xfId="5344" xr:uid="{00000000-0005-0000-0000-0000900A0000}"/>
    <cellStyle name="쉼표 [0] 2 20 3 7 5 2" xfId="12661" xr:uid="{DBB5CD00-2654-4EA3-98E7-F4E66BA7808D}"/>
    <cellStyle name="쉼표 [0] 2 20 3 7 6" xfId="9002" xr:uid="{6C20B57A-C7A2-4E64-B8FD-31DBBBBDCECD}"/>
    <cellStyle name="쉼표 [0] 2 20 3 8" xfId="1165" xr:uid="{00000000-0005-0000-0000-0000910A0000}"/>
    <cellStyle name="쉼표 [0] 2 20 3 8 2" xfId="3515" xr:uid="{00000000-0005-0000-0000-0000920A0000}"/>
    <cellStyle name="쉼표 [0] 2 20 3 8 2 2" xfId="7176" xr:uid="{00000000-0005-0000-0000-0000930A0000}"/>
    <cellStyle name="쉼표 [0] 2 20 3 8 2 2 2" xfId="14493" xr:uid="{45B4F5B2-3B79-4FF7-AF89-F22A27A97523}"/>
    <cellStyle name="쉼표 [0] 2 20 3 8 2 3" xfId="10835" xr:uid="{F1E3D395-9010-4480-A290-0B0ACBEFD4E0}"/>
    <cellStyle name="쉼표 [0] 2 20 3 8 3" xfId="5347" xr:uid="{00000000-0005-0000-0000-0000940A0000}"/>
    <cellStyle name="쉼표 [0] 2 20 3 8 3 2" xfId="12664" xr:uid="{4F6F7D6E-58D4-43FD-8422-A1F8659E40CD}"/>
    <cellStyle name="쉼표 [0] 2 20 3 8 4" xfId="9005" xr:uid="{CF1264D8-D58E-47B7-8458-D8B4ADFD6B65}"/>
    <cellStyle name="쉼표 [0] 2 20 3 9" xfId="1166" xr:uid="{00000000-0005-0000-0000-0000950A0000}"/>
    <cellStyle name="쉼표 [0] 2 20 3 9 2" xfId="3516" xr:uid="{00000000-0005-0000-0000-0000960A0000}"/>
    <cellStyle name="쉼표 [0] 2 20 3 9 2 2" xfId="7177" xr:uid="{00000000-0005-0000-0000-0000970A0000}"/>
    <cellStyle name="쉼표 [0] 2 20 3 9 2 2 2" xfId="14494" xr:uid="{A2EB4828-A6DE-424C-93A0-92FA8B8BB22A}"/>
    <cellStyle name="쉼표 [0] 2 20 3 9 2 3" xfId="10836" xr:uid="{4F98C17A-9AE0-4906-A7E4-D2CED71DA2B2}"/>
    <cellStyle name="쉼표 [0] 2 20 3 9 3" xfId="5348" xr:uid="{00000000-0005-0000-0000-0000980A0000}"/>
    <cellStyle name="쉼표 [0] 2 20 3 9 3 2" xfId="12665" xr:uid="{D82E8791-D549-4BDD-B7A8-C3034A3B5E13}"/>
    <cellStyle name="쉼표 [0] 2 20 3 9 4" xfId="9006" xr:uid="{6E4EE39F-9433-4651-9B5F-3D95B19CC31A}"/>
    <cellStyle name="쉼표 [0] 2 20 4" xfId="1167" xr:uid="{00000000-0005-0000-0000-0000990A0000}"/>
    <cellStyle name="쉼표 [0] 2 20 4 10" xfId="5349" xr:uid="{00000000-0005-0000-0000-00009A0A0000}"/>
    <cellStyle name="쉼표 [0] 2 20 4 10 2" xfId="12666" xr:uid="{8D629AAA-E98E-4588-850C-3135BFEE0D1E}"/>
    <cellStyle name="쉼표 [0] 2 20 4 11" xfId="9007" xr:uid="{C92B2C67-AB79-4FC6-B02D-BE140F0215BE}"/>
    <cellStyle name="쉼표 [0] 2 20 4 2" xfId="1168" xr:uid="{00000000-0005-0000-0000-00009B0A0000}"/>
    <cellStyle name="쉼표 [0] 2 20 4 2 2" xfId="1169" xr:uid="{00000000-0005-0000-0000-00009C0A0000}"/>
    <cellStyle name="쉼표 [0] 2 20 4 2 2 2" xfId="3519" xr:uid="{00000000-0005-0000-0000-00009D0A0000}"/>
    <cellStyle name="쉼표 [0] 2 20 4 2 2 2 2" xfId="7180" xr:uid="{00000000-0005-0000-0000-00009E0A0000}"/>
    <cellStyle name="쉼표 [0] 2 20 4 2 2 2 2 2" xfId="14497" xr:uid="{E06C45B6-A9F7-487A-B693-728A32FB38B1}"/>
    <cellStyle name="쉼표 [0] 2 20 4 2 2 2 3" xfId="10839" xr:uid="{16CFB901-03F4-407D-A2B5-80F805DC670F}"/>
    <cellStyle name="쉼표 [0] 2 20 4 2 2 3" xfId="5351" xr:uid="{00000000-0005-0000-0000-00009F0A0000}"/>
    <cellStyle name="쉼표 [0] 2 20 4 2 2 3 2" xfId="12668" xr:uid="{550DCE4A-775B-417A-9F1A-B6846B154809}"/>
    <cellStyle name="쉼표 [0] 2 20 4 2 2 4" xfId="9009" xr:uid="{1F48032A-B728-4665-907F-DA0427E9D9C4}"/>
    <cellStyle name="쉼표 [0] 2 20 4 2 3" xfId="1170" xr:uid="{00000000-0005-0000-0000-0000A00A0000}"/>
    <cellStyle name="쉼표 [0] 2 20 4 2 3 2" xfId="3520" xr:uid="{00000000-0005-0000-0000-0000A10A0000}"/>
    <cellStyle name="쉼표 [0] 2 20 4 2 3 2 2" xfId="7181" xr:uid="{00000000-0005-0000-0000-0000A20A0000}"/>
    <cellStyle name="쉼표 [0] 2 20 4 2 3 2 2 2" xfId="14498" xr:uid="{29C00278-7A5F-4808-BCE5-CCD554A2B48A}"/>
    <cellStyle name="쉼표 [0] 2 20 4 2 3 2 3" xfId="10840" xr:uid="{9C84ABD0-2CEB-4478-86F9-8CE9311A4256}"/>
    <cellStyle name="쉼표 [0] 2 20 4 2 3 3" xfId="5352" xr:uid="{00000000-0005-0000-0000-0000A30A0000}"/>
    <cellStyle name="쉼표 [0] 2 20 4 2 3 3 2" xfId="12669" xr:uid="{C786B8B4-61A3-4640-8CAC-C53A46B44D42}"/>
    <cellStyle name="쉼표 [0] 2 20 4 2 3 4" xfId="9010" xr:uid="{98B33E1E-A08D-4728-A08B-22F4098038E6}"/>
    <cellStyle name="쉼표 [0] 2 20 4 2 4" xfId="3518" xr:uid="{00000000-0005-0000-0000-0000A40A0000}"/>
    <cellStyle name="쉼표 [0] 2 20 4 2 4 2" xfId="7179" xr:uid="{00000000-0005-0000-0000-0000A50A0000}"/>
    <cellStyle name="쉼표 [0] 2 20 4 2 4 2 2" xfId="14496" xr:uid="{A777AA3F-2893-4A70-99D7-5CDD7CC31E3D}"/>
    <cellStyle name="쉼표 [0] 2 20 4 2 4 3" xfId="10838" xr:uid="{E5CE530B-C42D-467C-B0CB-979DFB0BF2DB}"/>
    <cellStyle name="쉼표 [0] 2 20 4 2 5" xfId="5350" xr:uid="{00000000-0005-0000-0000-0000A60A0000}"/>
    <cellStyle name="쉼표 [0] 2 20 4 2 5 2" xfId="12667" xr:uid="{774DF2D8-6A41-49AE-9BD7-5AE10CA8F61B}"/>
    <cellStyle name="쉼표 [0] 2 20 4 2 6" xfId="9008" xr:uid="{1970628A-F8A1-4A7B-BADE-E45629A43F88}"/>
    <cellStyle name="쉼표 [0] 2 20 4 3" xfId="1171" xr:uid="{00000000-0005-0000-0000-0000A70A0000}"/>
    <cellStyle name="쉼표 [0] 2 20 4 3 2" xfId="1172" xr:uid="{00000000-0005-0000-0000-0000A80A0000}"/>
    <cellStyle name="쉼표 [0] 2 20 4 3 2 2" xfId="3522" xr:uid="{00000000-0005-0000-0000-0000A90A0000}"/>
    <cellStyle name="쉼표 [0] 2 20 4 3 2 2 2" xfId="7183" xr:uid="{00000000-0005-0000-0000-0000AA0A0000}"/>
    <cellStyle name="쉼표 [0] 2 20 4 3 2 2 2 2" xfId="14500" xr:uid="{7D001028-B7D1-4ED0-858C-631F97DFFA60}"/>
    <cellStyle name="쉼표 [0] 2 20 4 3 2 2 3" xfId="10842" xr:uid="{7AE07835-9864-4D11-BBCA-3F666DDDF711}"/>
    <cellStyle name="쉼표 [0] 2 20 4 3 2 3" xfId="5354" xr:uid="{00000000-0005-0000-0000-0000AB0A0000}"/>
    <cellStyle name="쉼표 [0] 2 20 4 3 2 3 2" xfId="12671" xr:uid="{E9E2929A-3561-48CF-AAF9-3D6989F7D527}"/>
    <cellStyle name="쉼표 [0] 2 20 4 3 2 4" xfId="9012" xr:uid="{A46D9C37-8ADD-4207-847F-AE04DC3B3C3C}"/>
    <cellStyle name="쉼표 [0] 2 20 4 3 3" xfId="1173" xr:uid="{00000000-0005-0000-0000-0000AC0A0000}"/>
    <cellStyle name="쉼표 [0] 2 20 4 3 3 2" xfId="3523" xr:uid="{00000000-0005-0000-0000-0000AD0A0000}"/>
    <cellStyle name="쉼표 [0] 2 20 4 3 3 2 2" xfId="7184" xr:uid="{00000000-0005-0000-0000-0000AE0A0000}"/>
    <cellStyle name="쉼표 [0] 2 20 4 3 3 2 2 2" xfId="14501" xr:uid="{19F9F562-703A-4352-8E32-9D7B644E4863}"/>
    <cellStyle name="쉼표 [0] 2 20 4 3 3 2 3" xfId="10843" xr:uid="{D2EE0854-469D-43EE-87F5-6CE782391E0D}"/>
    <cellStyle name="쉼표 [0] 2 20 4 3 3 3" xfId="5355" xr:uid="{00000000-0005-0000-0000-0000AF0A0000}"/>
    <cellStyle name="쉼표 [0] 2 20 4 3 3 3 2" xfId="12672" xr:uid="{A2304E2C-5A64-4D1E-B9DD-923C8EE31AF0}"/>
    <cellStyle name="쉼표 [0] 2 20 4 3 3 4" xfId="9013" xr:uid="{F0A11125-5C75-4807-BA54-0FFA2FD42381}"/>
    <cellStyle name="쉼표 [0] 2 20 4 3 4" xfId="3521" xr:uid="{00000000-0005-0000-0000-0000B00A0000}"/>
    <cellStyle name="쉼표 [0] 2 20 4 3 4 2" xfId="7182" xr:uid="{00000000-0005-0000-0000-0000B10A0000}"/>
    <cellStyle name="쉼표 [0] 2 20 4 3 4 2 2" xfId="14499" xr:uid="{98D87D8B-BD64-4FEE-BB7A-1D074E9B481A}"/>
    <cellStyle name="쉼표 [0] 2 20 4 3 4 3" xfId="10841" xr:uid="{D275307C-076A-4919-B3AB-B2C8D8279029}"/>
    <cellStyle name="쉼표 [0] 2 20 4 3 5" xfId="5353" xr:uid="{00000000-0005-0000-0000-0000B20A0000}"/>
    <cellStyle name="쉼표 [0] 2 20 4 3 5 2" xfId="12670" xr:uid="{9AB44F70-8D42-414F-BE35-2C182470C2EF}"/>
    <cellStyle name="쉼표 [0] 2 20 4 3 6" xfId="9011" xr:uid="{926B88C9-49C4-4EDA-A922-6B4ABEEF23C5}"/>
    <cellStyle name="쉼표 [0] 2 20 4 4" xfId="1174" xr:uid="{00000000-0005-0000-0000-0000B30A0000}"/>
    <cellStyle name="쉼표 [0] 2 20 4 4 2" xfId="1175" xr:uid="{00000000-0005-0000-0000-0000B40A0000}"/>
    <cellStyle name="쉼표 [0] 2 20 4 4 2 2" xfId="3525" xr:uid="{00000000-0005-0000-0000-0000B50A0000}"/>
    <cellStyle name="쉼표 [0] 2 20 4 4 2 2 2" xfId="7186" xr:uid="{00000000-0005-0000-0000-0000B60A0000}"/>
    <cellStyle name="쉼표 [0] 2 20 4 4 2 2 2 2" xfId="14503" xr:uid="{6F377844-8AFB-4B4C-A94E-A9F01117BC71}"/>
    <cellStyle name="쉼표 [0] 2 20 4 4 2 2 3" xfId="10845" xr:uid="{D99E5CC7-7A04-40F1-BDC0-952929A0C7B2}"/>
    <cellStyle name="쉼표 [0] 2 20 4 4 2 3" xfId="5357" xr:uid="{00000000-0005-0000-0000-0000B70A0000}"/>
    <cellStyle name="쉼표 [0] 2 20 4 4 2 3 2" xfId="12674" xr:uid="{7E0E9D60-3988-485A-AC5E-15C455F574D7}"/>
    <cellStyle name="쉼표 [0] 2 20 4 4 2 4" xfId="9015" xr:uid="{1F186362-2170-497A-987C-E4A035480FF0}"/>
    <cellStyle name="쉼표 [0] 2 20 4 4 3" xfId="1176" xr:uid="{00000000-0005-0000-0000-0000B80A0000}"/>
    <cellStyle name="쉼표 [0] 2 20 4 4 3 2" xfId="3526" xr:uid="{00000000-0005-0000-0000-0000B90A0000}"/>
    <cellStyle name="쉼표 [0] 2 20 4 4 3 2 2" xfId="7187" xr:uid="{00000000-0005-0000-0000-0000BA0A0000}"/>
    <cellStyle name="쉼표 [0] 2 20 4 4 3 2 2 2" xfId="14504" xr:uid="{289F0113-4178-4D45-83DC-4F183C6AFB3A}"/>
    <cellStyle name="쉼표 [0] 2 20 4 4 3 2 3" xfId="10846" xr:uid="{31D25EBD-0EA2-4C54-8799-BD82A1744FB0}"/>
    <cellStyle name="쉼표 [0] 2 20 4 4 3 3" xfId="5358" xr:uid="{00000000-0005-0000-0000-0000BB0A0000}"/>
    <cellStyle name="쉼표 [0] 2 20 4 4 3 3 2" xfId="12675" xr:uid="{3F43D70E-73D0-4C2A-ACCD-4E72568FD0A7}"/>
    <cellStyle name="쉼표 [0] 2 20 4 4 3 4" xfId="9016" xr:uid="{48BFCD91-461A-4A2D-928D-DFED43503742}"/>
    <cellStyle name="쉼표 [0] 2 20 4 4 4" xfId="3524" xr:uid="{00000000-0005-0000-0000-0000BC0A0000}"/>
    <cellStyle name="쉼표 [0] 2 20 4 4 4 2" xfId="7185" xr:uid="{00000000-0005-0000-0000-0000BD0A0000}"/>
    <cellStyle name="쉼표 [0] 2 20 4 4 4 2 2" xfId="14502" xr:uid="{9E8C4D88-F063-472D-8068-F3195CCB5C1D}"/>
    <cellStyle name="쉼표 [0] 2 20 4 4 4 3" xfId="10844" xr:uid="{D4755C4F-AEF4-4E97-8A15-63B86AE05596}"/>
    <cellStyle name="쉼표 [0] 2 20 4 4 5" xfId="5356" xr:uid="{00000000-0005-0000-0000-0000BE0A0000}"/>
    <cellStyle name="쉼표 [0] 2 20 4 4 5 2" xfId="12673" xr:uid="{4040FC99-876D-477B-9E30-35D3E7059C11}"/>
    <cellStyle name="쉼표 [0] 2 20 4 4 6" xfId="9014" xr:uid="{FB177FAD-40D5-46F2-A531-BE7EC5CD0F5D}"/>
    <cellStyle name="쉼표 [0] 2 20 4 5" xfId="1177" xr:uid="{00000000-0005-0000-0000-0000BF0A0000}"/>
    <cellStyle name="쉼표 [0] 2 20 4 5 2" xfId="1178" xr:uid="{00000000-0005-0000-0000-0000C00A0000}"/>
    <cellStyle name="쉼표 [0] 2 20 4 5 2 2" xfId="3528" xr:uid="{00000000-0005-0000-0000-0000C10A0000}"/>
    <cellStyle name="쉼표 [0] 2 20 4 5 2 2 2" xfId="7189" xr:uid="{00000000-0005-0000-0000-0000C20A0000}"/>
    <cellStyle name="쉼표 [0] 2 20 4 5 2 2 2 2" xfId="14506" xr:uid="{143968D7-00F5-41CD-AAE4-3BBF191DD8D8}"/>
    <cellStyle name="쉼표 [0] 2 20 4 5 2 2 3" xfId="10848" xr:uid="{B62F59DA-1E26-4A75-9232-83DBBA0922A9}"/>
    <cellStyle name="쉼표 [0] 2 20 4 5 2 3" xfId="5360" xr:uid="{00000000-0005-0000-0000-0000C30A0000}"/>
    <cellStyle name="쉼표 [0] 2 20 4 5 2 3 2" xfId="12677" xr:uid="{C5E94892-7B51-4DB7-B69A-CC78CD2D2139}"/>
    <cellStyle name="쉼표 [0] 2 20 4 5 2 4" xfId="9018" xr:uid="{17FE3DCE-5406-4939-B95F-3316DD540719}"/>
    <cellStyle name="쉼표 [0] 2 20 4 5 3" xfId="1179" xr:uid="{00000000-0005-0000-0000-0000C40A0000}"/>
    <cellStyle name="쉼표 [0] 2 20 4 5 3 2" xfId="3529" xr:uid="{00000000-0005-0000-0000-0000C50A0000}"/>
    <cellStyle name="쉼표 [0] 2 20 4 5 3 2 2" xfId="7190" xr:uid="{00000000-0005-0000-0000-0000C60A0000}"/>
    <cellStyle name="쉼표 [0] 2 20 4 5 3 2 2 2" xfId="14507" xr:uid="{CBABD18E-96BE-438D-83C4-FB0BC8FA1156}"/>
    <cellStyle name="쉼표 [0] 2 20 4 5 3 2 3" xfId="10849" xr:uid="{70905983-0005-463B-A1AE-497B5B136B46}"/>
    <cellStyle name="쉼표 [0] 2 20 4 5 3 3" xfId="5361" xr:uid="{00000000-0005-0000-0000-0000C70A0000}"/>
    <cellStyle name="쉼표 [0] 2 20 4 5 3 3 2" xfId="12678" xr:uid="{6F4EFE3E-6E5A-4417-9E3E-68B9F4B5B316}"/>
    <cellStyle name="쉼표 [0] 2 20 4 5 3 4" xfId="9019" xr:uid="{04DA466B-0F6A-45EC-90C5-AEF1CDA852BE}"/>
    <cellStyle name="쉼표 [0] 2 20 4 5 4" xfId="3527" xr:uid="{00000000-0005-0000-0000-0000C80A0000}"/>
    <cellStyle name="쉼표 [0] 2 20 4 5 4 2" xfId="7188" xr:uid="{00000000-0005-0000-0000-0000C90A0000}"/>
    <cellStyle name="쉼표 [0] 2 20 4 5 4 2 2" xfId="14505" xr:uid="{DA1D46C1-E1D8-46B2-92D5-584944F547CA}"/>
    <cellStyle name="쉼표 [0] 2 20 4 5 4 3" xfId="10847" xr:uid="{FD610584-7A85-42DF-AA35-9A66C6A1CBB4}"/>
    <cellStyle name="쉼표 [0] 2 20 4 5 5" xfId="5359" xr:uid="{00000000-0005-0000-0000-0000CA0A0000}"/>
    <cellStyle name="쉼표 [0] 2 20 4 5 5 2" xfId="12676" xr:uid="{278E0B52-EE76-457A-813F-9C5174661145}"/>
    <cellStyle name="쉼표 [0] 2 20 4 5 6" xfId="9017" xr:uid="{9F437E71-4F32-4F50-8B2C-392AA42175E1}"/>
    <cellStyle name="쉼표 [0] 2 20 4 6" xfId="1180" xr:uid="{00000000-0005-0000-0000-0000CB0A0000}"/>
    <cellStyle name="쉼표 [0] 2 20 4 6 2" xfId="1181" xr:uid="{00000000-0005-0000-0000-0000CC0A0000}"/>
    <cellStyle name="쉼표 [0] 2 20 4 6 2 2" xfId="3531" xr:uid="{00000000-0005-0000-0000-0000CD0A0000}"/>
    <cellStyle name="쉼표 [0] 2 20 4 6 2 2 2" xfId="7192" xr:uid="{00000000-0005-0000-0000-0000CE0A0000}"/>
    <cellStyle name="쉼표 [0] 2 20 4 6 2 2 2 2" xfId="14509" xr:uid="{A2032F7C-887B-4527-84DB-FBBE16B74392}"/>
    <cellStyle name="쉼표 [0] 2 20 4 6 2 2 3" xfId="10851" xr:uid="{5E0A99AD-22C9-4689-995A-C3D4F7A93176}"/>
    <cellStyle name="쉼표 [0] 2 20 4 6 2 3" xfId="5363" xr:uid="{00000000-0005-0000-0000-0000CF0A0000}"/>
    <cellStyle name="쉼표 [0] 2 20 4 6 2 3 2" xfId="12680" xr:uid="{0A52BC86-11F3-4549-9136-F0E1F5E5B0AC}"/>
    <cellStyle name="쉼표 [0] 2 20 4 6 2 4" xfId="9021" xr:uid="{12184F48-BC56-4B6F-9F2F-285E0437B8A1}"/>
    <cellStyle name="쉼표 [0] 2 20 4 6 3" xfId="1182" xr:uid="{00000000-0005-0000-0000-0000D00A0000}"/>
    <cellStyle name="쉼표 [0] 2 20 4 6 3 2" xfId="3532" xr:uid="{00000000-0005-0000-0000-0000D10A0000}"/>
    <cellStyle name="쉼표 [0] 2 20 4 6 3 2 2" xfId="7193" xr:uid="{00000000-0005-0000-0000-0000D20A0000}"/>
    <cellStyle name="쉼표 [0] 2 20 4 6 3 2 2 2" xfId="14510" xr:uid="{7C789643-65EF-402D-A81A-BB6329C7135C}"/>
    <cellStyle name="쉼표 [0] 2 20 4 6 3 2 3" xfId="10852" xr:uid="{9D70CF47-B257-4828-9D4D-81F1706C237D}"/>
    <cellStyle name="쉼표 [0] 2 20 4 6 3 3" xfId="5364" xr:uid="{00000000-0005-0000-0000-0000D30A0000}"/>
    <cellStyle name="쉼표 [0] 2 20 4 6 3 3 2" xfId="12681" xr:uid="{01B66FED-522C-4539-A84E-E154999480B8}"/>
    <cellStyle name="쉼표 [0] 2 20 4 6 3 4" xfId="9022" xr:uid="{1CCEB90D-6FCE-4F63-82AA-DC933E675FC2}"/>
    <cellStyle name="쉼표 [0] 2 20 4 6 4" xfId="3530" xr:uid="{00000000-0005-0000-0000-0000D40A0000}"/>
    <cellStyle name="쉼표 [0] 2 20 4 6 4 2" xfId="7191" xr:uid="{00000000-0005-0000-0000-0000D50A0000}"/>
    <cellStyle name="쉼표 [0] 2 20 4 6 4 2 2" xfId="14508" xr:uid="{68811513-76E3-4787-936B-90950BCD1CFF}"/>
    <cellStyle name="쉼표 [0] 2 20 4 6 4 3" xfId="10850" xr:uid="{3750DD81-8E00-4805-AC83-01D4CD256155}"/>
    <cellStyle name="쉼표 [0] 2 20 4 6 5" xfId="5362" xr:uid="{00000000-0005-0000-0000-0000D60A0000}"/>
    <cellStyle name="쉼표 [0] 2 20 4 6 5 2" xfId="12679" xr:uid="{3466C91C-A743-44CA-B879-D74F9F4E46DE}"/>
    <cellStyle name="쉼표 [0] 2 20 4 6 6" xfId="9020" xr:uid="{B8F8041E-C538-4942-9591-0CF93F5B9559}"/>
    <cellStyle name="쉼표 [0] 2 20 4 7" xfId="1183" xr:uid="{00000000-0005-0000-0000-0000D70A0000}"/>
    <cellStyle name="쉼표 [0] 2 20 4 7 2" xfId="3533" xr:uid="{00000000-0005-0000-0000-0000D80A0000}"/>
    <cellStyle name="쉼표 [0] 2 20 4 7 2 2" xfId="7194" xr:uid="{00000000-0005-0000-0000-0000D90A0000}"/>
    <cellStyle name="쉼표 [0] 2 20 4 7 2 2 2" xfId="14511" xr:uid="{6A168886-EEFC-437C-BA8E-D4F174840BAE}"/>
    <cellStyle name="쉼표 [0] 2 20 4 7 2 3" xfId="10853" xr:uid="{E80BEAAD-3C77-43E1-A2D1-FB58373621A5}"/>
    <cellStyle name="쉼표 [0] 2 20 4 7 3" xfId="5365" xr:uid="{00000000-0005-0000-0000-0000DA0A0000}"/>
    <cellStyle name="쉼표 [0] 2 20 4 7 3 2" xfId="12682" xr:uid="{A3D54C30-1512-49E6-BD15-51517947C3A5}"/>
    <cellStyle name="쉼표 [0] 2 20 4 7 4" xfId="9023" xr:uid="{F576A5E2-3E54-49F1-9ACF-4640AA67D76B}"/>
    <cellStyle name="쉼표 [0] 2 20 4 8" xfId="1184" xr:uid="{00000000-0005-0000-0000-0000DB0A0000}"/>
    <cellStyle name="쉼표 [0] 2 20 4 8 2" xfId="3534" xr:uid="{00000000-0005-0000-0000-0000DC0A0000}"/>
    <cellStyle name="쉼표 [0] 2 20 4 8 2 2" xfId="7195" xr:uid="{00000000-0005-0000-0000-0000DD0A0000}"/>
    <cellStyle name="쉼표 [0] 2 20 4 8 2 2 2" xfId="14512" xr:uid="{18F7F43D-0768-4E32-B713-98FE49E0750B}"/>
    <cellStyle name="쉼표 [0] 2 20 4 8 2 3" xfId="10854" xr:uid="{361AFCA8-AF55-4E7B-BB6C-D8BC1A92CB49}"/>
    <cellStyle name="쉼표 [0] 2 20 4 8 3" xfId="5366" xr:uid="{00000000-0005-0000-0000-0000DE0A0000}"/>
    <cellStyle name="쉼표 [0] 2 20 4 8 3 2" xfId="12683" xr:uid="{335E0A80-5714-4E83-ACB1-BB61869D0335}"/>
    <cellStyle name="쉼표 [0] 2 20 4 8 4" xfId="9024" xr:uid="{E20B8A9D-9D6B-4904-8BF5-B954B37A57EE}"/>
    <cellStyle name="쉼표 [0] 2 20 4 9" xfId="3517" xr:uid="{00000000-0005-0000-0000-0000DF0A0000}"/>
    <cellStyle name="쉼표 [0] 2 20 4 9 2" xfId="7178" xr:uid="{00000000-0005-0000-0000-0000E00A0000}"/>
    <cellStyle name="쉼표 [0] 2 20 4 9 2 2" xfId="14495" xr:uid="{BC7F2296-9611-4435-9134-7723265DA6EE}"/>
    <cellStyle name="쉼표 [0] 2 20 4 9 3" xfId="10837" xr:uid="{6EFEE376-9E04-497F-AF79-F32D01EA75EB}"/>
    <cellStyle name="쉼표 [0] 2 20 5" xfId="1185" xr:uid="{00000000-0005-0000-0000-0000E10A0000}"/>
    <cellStyle name="쉼표 [0] 2 20 5 10" xfId="5367" xr:uid="{00000000-0005-0000-0000-0000E20A0000}"/>
    <cellStyle name="쉼표 [0] 2 20 5 10 2" xfId="12684" xr:uid="{AAFF9156-81C0-43C2-81C0-9343EB12D64E}"/>
    <cellStyle name="쉼표 [0] 2 20 5 11" xfId="9025" xr:uid="{6E994D19-8530-44C8-88A6-19F0021A8EB5}"/>
    <cellStyle name="쉼표 [0] 2 20 5 2" xfId="1186" xr:uid="{00000000-0005-0000-0000-0000E30A0000}"/>
    <cellStyle name="쉼표 [0] 2 20 5 2 2" xfId="1187" xr:uid="{00000000-0005-0000-0000-0000E40A0000}"/>
    <cellStyle name="쉼표 [0] 2 20 5 2 2 2" xfId="3537" xr:uid="{00000000-0005-0000-0000-0000E50A0000}"/>
    <cellStyle name="쉼표 [0] 2 20 5 2 2 2 2" xfId="7198" xr:uid="{00000000-0005-0000-0000-0000E60A0000}"/>
    <cellStyle name="쉼표 [0] 2 20 5 2 2 2 2 2" xfId="14515" xr:uid="{6B384E6F-C5C5-44D8-ADF3-80686CEA5CBE}"/>
    <cellStyle name="쉼표 [0] 2 20 5 2 2 2 3" xfId="10857" xr:uid="{04FE061A-3608-4E78-90FB-BC5E2D10821C}"/>
    <cellStyle name="쉼표 [0] 2 20 5 2 2 3" xfId="5369" xr:uid="{00000000-0005-0000-0000-0000E70A0000}"/>
    <cellStyle name="쉼표 [0] 2 20 5 2 2 3 2" xfId="12686" xr:uid="{EAF34FC2-8717-4C82-B167-A2F5F774FE15}"/>
    <cellStyle name="쉼표 [0] 2 20 5 2 2 4" xfId="9027" xr:uid="{5441FBAF-8A3D-4294-BB4D-650101C322A6}"/>
    <cellStyle name="쉼표 [0] 2 20 5 2 3" xfId="1188" xr:uid="{00000000-0005-0000-0000-0000E80A0000}"/>
    <cellStyle name="쉼표 [0] 2 20 5 2 3 2" xfId="3538" xr:uid="{00000000-0005-0000-0000-0000E90A0000}"/>
    <cellStyle name="쉼표 [0] 2 20 5 2 3 2 2" xfId="7199" xr:uid="{00000000-0005-0000-0000-0000EA0A0000}"/>
    <cellStyle name="쉼표 [0] 2 20 5 2 3 2 2 2" xfId="14516" xr:uid="{46106F24-5F37-4B9B-B7A4-8E98DE2E91F3}"/>
    <cellStyle name="쉼표 [0] 2 20 5 2 3 2 3" xfId="10858" xr:uid="{55615A4A-5C83-4931-B59A-F3F54E53C8B1}"/>
    <cellStyle name="쉼표 [0] 2 20 5 2 3 3" xfId="5370" xr:uid="{00000000-0005-0000-0000-0000EB0A0000}"/>
    <cellStyle name="쉼표 [0] 2 20 5 2 3 3 2" xfId="12687" xr:uid="{70B13520-842F-4AC4-99B3-EFF8F599D506}"/>
    <cellStyle name="쉼표 [0] 2 20 5 2 3 4" xfId="9028" xr:uid="{FCE2B01A-DB0D-4B36-9E47-34E21E57226C}"/>
    <cellStyle name="쉼표 [0] 2 20 5 2 4" xfId="3536" xr:uid="{00000000-0005-0000-0000-0000EC0A0000}"/>
    <cellStyle name="쉼표 [0] 2 20 5 2 4 2" xfId="7197" xr:uid="{00000000-0005-0000-0000-0000ED0A0000}"/>
    <cellStyle name="쉼표 [0] 2 20 5 2 4 2 2" xfId="14514" xr:uid="{176B5E55-D4D8-4F07-867F-1BCC5763D964}"/>
    <cellStyle name="쉼표 [0] 2 20 5 2 4 3" xfId="10856" xr:uid="{70606526-1484-4575-88A8-FA0967B9A3D7}"/>
    <cellStyle name="쉼표 [0] 2 20 5 2 5" xfId="5368" xr:uid="{00000000-0005-0000-0000-0000EE0A0000}"/>
    <cellStyle name="쉼표 [0] 2 20 5 2 5 2" xfId="12685" xr:uid="{70F3160C-0A27-4A8B-A665-C3E7759BE667}"/>
    <cellStyle name="쉼표 [0] 2 20 5 2 6" xfId="9026" xr:uid="{683D4727-D656-414E-98F3-273AFDAD740A}"/>
    <cellStyle name="쉼표 [0] 2 20 5 3" xfId="1189" xr:uid="{00000000-0005-0000-0000-0000EF0A0000}"/>
    <cellStyle name="쉼표 [0] 2 20 5 3 2" xfId="1190" xr:uid="{00000000-0005-0000-0000-0000F00A0000}"/>
    <cellStyle name="쉼표 [0] 2 20 5 3 2 2" xfId="3540" xr:uid="{00000000-0005-0000-0000-0000F10A0000}"/>
    <cellStyle name="쉼표 [0] 2 20 5 3 2 2 2" xfId="7201" xr:uid="{00000000-0005-0000-0000-0000F20A0000}"/>
    <cellStyle name="쉼표 [0] 2 20 5 3 2 2 2 2" xfId="14518" xr:uid="{03AD0B98-9435-419C-A43F-4AED5484DCE5}"/>
    <cellStyle name="쉼표 [0] 2 20 5 3 2 2 3" xfId="10860" xr:uid="{DE6812B1-7B0E-46AD-A73D-22ABD8323F56}"/>
    <cellStyle name="쉼표 [0] 2 20 5 3 2 3" xfId="5372" xr:uid="{00000000-0005-0000-0000-0000F30A0000}"/>
    <cellStyle name="쉼표 [0] 2 20 5 3 2 3 2" xfId="12689" xr:uid="{0B69F1E6-0645-45BA-B12F-D71103EA397B}"/>
    <cellStyle name="쉼표 [0] 2 20 5 3 2 4" xfId="9030" xr:uid="{50F3C56C-F200-4225-8446-457451010A1B}"/>
    <cellStyle name="쉼표 [0] 2 20 5 3 3" xfId="1191" xr:uid="{00000000-0005-0000-0000-0000F40A0000}"/>
    <cellStyle name="쉼표 [0] 2 20 5 3 3 2" xfId="3541" xr:uid="{00000000-0005-0000-0000-0000F50A0000}"/>
    <cellStyle name="쉼표 [0] 2 20 5 3 3 2 2" xfId="7202" xr:uid="{00000000-0005-0000-0000-0000F60A0000}"/>
    <cellStyle name="쉼표 [0] 2 20 5 3 3 2 2 2" xfId="14519" xr:uid="{A26EAEBD-192F-4C2C-A01A-B92348FF823C}"/>
    <cellStyle name="쉼표 [0] 2 20 5 3 3 2 3" xfId="10861" xr:uid="{DEC1E018-6A62-4CDA-AE41-8F59994E5FFB}"/>
    <cellStyle name="쉼표 [0] 2 20 5 3 3 3" xfId="5373" xr:uid="{00000000-0005-0000-0000-0000F70A0000}"/>
    <cellStyle name="쉼표 [0] 2 20 5 3 3 3 2" xfId="12690" xr:uid="{6CCAD2C0-7AD5-4FC0-A0B3-A369CD256B8F}"/>
    <cellStyle name="쉼표 [0] 2 20 5 3 3 4" xfId="9031" xr:uid="{D88F7F29-D9F4-44A2-8C76-9F247D3AC754}"/>
    <cellStyle name="쉼표 [0] 2 20 5 3 4" xfId="3539" xr:uid="{00000000-0005-0000-0000-0000F80A0000}"/>
    <cellStyle name="쉼표 [0] 2 20 5 3 4 2" xfId="7200" xr:uid="{00000000-0005-0000-0000-0000F90A0000}"/>
    <cellStyle name="쉼표 [0] 2 20 5 3 4 2 2" xfId="14517" xr:uid="{1B4A3D08-99F9-4136-AB8D-7FA7F5A67EAB}"/>
    <cellStyle name="쉼표 [0] 2 20 5 3 4 3" xfId="10859" xr:uid="{32D0AC5D-9FD9-4176-B01C-B10389DE012F}"/>
    <cellStyle name="쉼표 [0] 2 20 5 3 5" xfId="5371" xr:uid="{00000000-0005-0000-0000-0000FA0A0000}"/>
    <cellStyle name="쉼표 [0] 2 20 5 3 5 2" xfId="12688" xr:uid="{549758AC-06E8-4752-AD1C-922307BD0D44}"/>
    <cellStyle name="쉼표 [0] 2 20 5 3 6" xfId="9029" xr:uid="{F42D044E-D7FD-4E46-8DD2-E6048101A8E3}"/>
    <cellStyle name="쉼표 [0] 2 20 5 4" xfId="1192" xr:uid="{00000000-0005-0000-0000-0000FB0A0000}"/>
    <cellStyle name="쉼표 [0] 2 20 5 4 2" xfId="1193" xr:uid="{00000000-0005-0000-0000-0000FC0A0000}"/>
    <cellStyle name="쉼표 [0] 2 20 5 4 2 2" xfId="3543" xr:uid="{00000000-0005-0000-0000-0000FD0A0000}"/>
    <cellStyle name="쉼표 [0] 2 20 5 4 2 2 2" xfId="7204" xr:uid="{00000000-0005-0000-0000-0000FE0A0000}"/>
    <cellStyle name="쉼표 [0] 2 20 5 4 2 2 2 2" xfId="14521" xr:uid="{E2A55C52-62E7-4195-928F-3468C21A1E41}"/>
    <cellStyle name="쉼표 [0] 2 20 5 4 2 2 3" xfId="10863" xr:uid="{172ED56C-8D13-46E1-97CB-277C37E02D7B}"/>
    <cellStyle name="쉼표 [0] 2 20 5 4 2 3" xfId="5375" xr:uid="{00000000-0005-0000-0000-0000FF0A0000}"/>
    <cellStyle name="쉼표 [0] 2 20 5 4 2 3 2" xfId="12692" xr:uid="{5E16FA41-276B-4FD5-A005-5B2C7556DA61}"/>
    <cellStyle name="쉼표 [0] 2 20 5 4 2 4" xfId="9033" xr:uid="{76290DA9-E97C-4B05-9DD2-1CB78BD68A82}"/>
    <cellStyle name="쉼표 [0] 2 20 5 4 3" xfId="1194" xr:uid="{00000000-0005-0000-0000-0000000B0000}"/>
    <cellStyle name="쉼표 [0] 2 20 5 4 3 2" xfId="3544" xr:uid="{00000000-0005-0000-0000-0000010B0000}"/>
    <cellStyle name="쉼표 [0] 2 20 5 4 3 2 2" xfId="7205" xr:uid="{00000000-0005-0000-0000-0000020B0000}"/>
    <cellStyle name="쉼표 [0] 2 20 5 4 3 2 2 2" xfId="14522" xr:uid="{F8A6A5B6-1004-4746-BD7A-9DF9E65EB4EC}"/>
    <cellStyle name="쉼표 [0] 2 20 5 4 3 2 3" xfId="10864" xr:uid="{5384A560-FBD0-4A42-8779-32BF74878AFA}"/>
    <cellStyle name="쉼표 [0] 2 20 5 4 3 3" xfId="5376" xr:uid="{00000000-0005-0000-0000-0000030B0000}"/>
    <cellStyle name="쉼표 [0] 2 20 5 4 3 3 2" xfId="12693" xr:uid="{BD733B31-088F-435B-BC89-A2CF7A282BFA}"/>
    <cellStyle name="쉼표 [0] 2 20 5 4 3 4" xfId="9034" xr:uid="{53C83595-B993-47C3-9F7B-4628BFFEAF71}"/>
    <cellStyle name="쉼표 [0] 2 20 5 4 4" xfId="3542" xr:uid="{00000000-0005-0000-0000-0000040B0000}"/>
    <cellStyle name="쉼표 [0] 2 20 5 4 4 2" xfId="7203" xr:uid="{00000000-0005-0000-0000-0000050B0000}"/>
    <cellStyle name="쉼표 [0] 2 20 5 4 4 2 2" xfId="14520" xr:uid="{1099BA18-2F14-427F-93CA-60DE269C7601}"/>
    <cellStyle name="쉼표 [0] 2 20 5 4 4 3" xfId="10862" xr:uid="{3E20C073-C845-4495-A00E-F36AE675C9A9}"/>
    <cellStyle name="쉼표 [0] 2 20 5 4 5" xfId="5374" xr:uid="{00000000-0005-0000-0000-0000060B0000}"/>
    <cellStyle name="쉼표 [0] 2 20 5 4 5 2" xfId="12691" xr:uid="{195F4CE7-98A4-47A4-AEEC-ACB6DBE8B68E}"/>
    <cellStyle name="쉼표 [0] 2 20 5 4 6" xfId="9032" xr:uid="{436E41FA-FB53-46FD-8C9D-1A3346F6636F}"/>
    <cellStyle name="쉼표 [0] 2 20 5 5" xfId="1195" xr:uid="{00000000-0005-0000-0000-0000070B0000}"/>
    <cellStyle name="쉼표 [0] 2 20 5 5 2" xfId="1196" xr:uid="{00000000-0005-0000-0000-0000080B0000}"/>
    <cellStyle name="쉼표 [0] 2 20 5 5 2 2" xfId="3546" xr:uid="{00000000-0005-0000-0000-0000090B0000}"/>
    <cellStyle name="쉼표 [0] 2 20 5 5 2 2 2" xfId="7207" xr:uid="{00000000-0005-0000-0000-00000A0B0000}"/>
    <cellStyle name="쉼표 [0] 2 20 5 5 2 2 2 2" xfId="14524" xr:uid="{F8A7680B-ED99-400A-A386-315636900A91}"/>
    <cellStyle name="쉼표 [0] 2 20 5 5 2 2 3" xfId="10866" xr:uid="{C7312BFE-7960-49E7-9EDA-0DA5A9B11193}"/>
    <cellStyle name="쉼표 [0] 2 20 5 5 2 3" xfId="5378" xr:uid="{00000000-0005-0000-0000-00000B0B0000}"/>
    <cellStyle name="쉼표 [0] 2 20 5 5 2 3 2" xfId="12695" xr:uid="{7B66DF68-4675-4A2A-A080-E1F98FB15775}"/>
    <cellStyle name="쉼표 [0] 2 20 5 5 2 4" xfId="9036" xr:uid="{B16E5F82-AFB6-4BC6-B863-93AC3261413D}"/>
    <cellStyle name="쉼표 [0] 2 20 5 5 3" xfId="1197" xr:uid="{00000000-0005-0000-0000-00000C0B0000}"/>
    <cellStyle name="쉼표 [0] 2 20 5 5 3 2" xfId="3547" xr:uid="{00000000-0005-0000-0000-00000D0B0000}"/>
    <cellStyle name="쉼표 [0] 2 20 5 5 3 2 2" xfId="7208" xr:uid="{00000000-0005-0000-0000-00000E0B0000}"/>
    <cellStyle name="쉼표 [0] 2 20 5 5 3 2 2 2" xfId="14525" xr:uid="{56EF6426-1615-401D-884D-A21B8A4591CC}"/>
    <cellStyle name="쉼표 [0] 2 20 5 5 3 2 3" xfId="10867" xr:uid="{6D40B989-FCBF-40B9-8F0E-18D4CD95EE96}"/>
    <cellStyle name="쉼표 [0] 2 20 5 5 3 3" xfId="5379" xr:uid="{00000000-0005-0000-0000-00000F0B0000}"/>
    <cellStyle name="쉼표 [0] 2 20 5 5 3 3 2" xfId="12696" xr:uid="{9B14560C-7D06-4932-B007-C04A53A39A84}"/>
    <cellStyle name="쉼표 [0] 2 20 5 5 3 4" xfId="9037" xr:uid="{2BCB93E1-8A2E-4005-A6E7-576DA09469CA}"/>
    <cellStyle name="쉼표 [0] 2 20 5 5 4" xfId="3545" xr:uid="{00000000-0005-0000-0000-0000100B0000}"/>
    <cellStyle name="쉼표 [0] 2 20 5 5 4 2" xfId="7206" xr:uid="{00000000-0005-0000-0000-0000110B0000}"/>
    <cellStyle name="쉼표 [0] 2 20 5 5 4 2 2" xfId="14523" xr:uid="{C84CFCE3-41B9-4E1F-A65D-29ADEC124CF7}"/>
    <cellStyle name="쉼표 [0] 2 20 5 5 4 3" xfId="10865" xr:uid="{1619F0E6-721D-4C3E-BC12-64C6341845C2}"/>
    <cellStyle name="쉼표 [0] 2 20 5 5 5" xfId="5377" xr:uid="{00000000-0005-0000-0000-0000120B0000}"/>
    <cellStyle name="쉼표 [0] 2 20 5 5 5 2" xfId="12694" xr:uid="{7EAF6B6F-11E5-409F-9237-4E587053BC2C}"/>
    <cellStyle name="쉼표 [0] 2 20 5 5 6" xfId="9035" xr:uid="{CB6885C3-DBCF-4F4E-992A-42782AF52DE0}"/>
    <cellStyle name="쉼표 [0] 2 20 5 6" xfId="1198" xr:uid="{00000000-0005-0000-0000-0000130B0000}"/>
    <cellStyle name="쉼표 [0] 2 20 5 6 2" xfId="1199" xr:uid="{00000000-0005-0000-0000-0000140B0000}"/>
    <cellStyle name="쉼표 [0] 2 20 5 6 2 2" xfId="3549" xr:uid="{00000000-0005-0000-0000-0000150B0000}"/>
    <cellStyle name="쉼표 [0] 2 20 5 6 2 2 2" xfId="7210" xr:uid="{00000000-0005-0000-0000-0000160B0000}"/>
    <cellStyle name="쉼표 [0] 2 20 5 6 2 2 2 2" xfId="14527" xr:uid="{A601C97F-067F-4FF7-9972-5C0E2FDA76F3}"/>
    <cellStyle name="쉼표 [0] 2 20 5 6 2 2 3" xfId="10869" xr:uid="{5E6D1D72-0BDB-413B-878D-DFD9496D12B3}"/>
    <cellStyle name="쉼표 [0] 2 20 5 6 2 3" xfId="5381" xr:uid="{00000000-0005-0000-0000-0000170B0000}"/>
    <cellStyle name="쉼표 [0] 2 20 5 6 2 3 2" xfId="12698" xr:uid="{9B6C42A8-44C1-4206-BB53-DB41B507AB0A}"/>
    <cellStyle name="쉼표 [0] 2 20 5 6 2 4" xfId="9039" xr:uid="{01AE7C5A-AEF7-4B05-9350-5BB82B5DA6F4}"/>
    <cellStyle name="쉼표 [0] 2 20 5 6 3" xfId="1200" xr:uid="{00000000-0005-0000-0000-0000180B0000}"/>
    <cellStyle name="쉼표 [0] 2 20 5 6 3 2" xfId="3550" xr:uid="{00000000-0005-0000-0000-0000190B0000}"/>
    <cellStyle name="쉼표 [0] 2 20 5 6 3 2 2" xfId="7211" xr:uid="{00000000-0005-0000-0000-00001A0B0000}"/>
    <cellStyle name="쉼표 [0] 2 20 5 6 3 2 2 2" xfId="14528" xr:uid="{C8A81848-4435-4F1B-BA43-00AF80EC0AC9}"/>
    <cellStyle name="쉼표 [0] 2 20 5 6 3 2 3" xfId="10870" xr:uid="{F0695F59-CFC4-451D-8CC5-31B4414A03A3}"/>
    <cellStyle name="쉼표 [0] 2 20 5 6 3 3" xfId="5382" xr:uid="{00000000-0005-0000-0000-00001B0B0000}"/>
    <cellStyle name="쉼표 [0] 2 20 5 6 3 3 2" xfId="12699" xr:uid="{E1A8E388-959F-4D17-815E-2AA9C6CBE1F7}"/>
    <cellStyle name="쉼표 [0] 2 20 5 6 3 4" xfId="9040" xr:uid="{1DF113EE-656B-4088-A28C-49D4E440619F}"/>
    <cellStyle name="쉼표 [0] 2 20 5 6 4" xfId="3548" xr:uid="{00000000-0005-0000-0000-00001C0B0000}"/>
    <cellStyle name="쉼표 [0] 2 20 5 6 4 2" xfId="7209" xr:uid="{00000000-0005-0000-0000-00001D0B0000}"/>
    <cellStyle name="쉼표 [0] 2 20 5 6 4 2 2" xfId="14526" xr:uid="{CD4030C0-B039-4040-B6AC-0C816C800DF0}"/>
    <cellStyle name="쉼표 [0] 2 20 5 6 4 3" xfId="10868" xr:uid="{32D72D24-D8B4-4058-896B-51ED29FCA6F8}"/>
    <cellStyle name="쉼표 [0] 2 20 5 6 5" xfId="5380" xr:uid="{00000000-0005-0000-0000-00001E0B0000}"/>
    <cellStyle name="쉼표 [0] 2 20 5 6 5 2" xfId="12697" xr:uid="{DE38C783-F73A-44B7-942D-F3F2A7006E27}"/>
    <cellStyle name="쉼표 [0] 2 20 5 6 6" xfId="9038" xr:uid="{1496BECA-82A3-49B3-8432-D356F032C13A}"/>
    <cellStyle name="쉼표 [0] 2 20 5 7" xfId="1201" xr:uid="{00000000-0005-0000-0000-00001F0B0000}"/>
    <cellStyle name="쉼표 [0] 2 20 5 7 2" xfId="3551" xr:uid="{00000000-0005-0000-0000-0000200B0000}"/>
    <cellStyle name="쉼표 [0] 2 20 5 7 2 2" xfId="7212" xr:uid="{00000000-0005-0000-0000-0000210B0000}"/>
    <cellStyle name="쉼표 [0] 2 20 5 7 2 2 2" xfId="14529" xr:uid="{028F42EA-0654-40A6-9C5F-718E21410EE6}"/>
    <cellStyle name="쉼표 [0] 2 20 5 7 2 3" xfId="10871" xr:uid="{67B7E8BB-5C2A-47D6-92D6-8B0F5C775652}"/>
    <cellStyle name="쉼표 [0] 2 20 5 7 3" xfId="5383" xr:uid="{00000000-0005-0000-0000-0000220B0000}"/>
    <cellStyle name="쉼표 [0] 2 20 5 7 3 2" xfId="12700" xr:uid="{40CBE184-F04C-4A46-8A50-D95D903B160E}"/>
    <cellStyle name="쉼표 [0] 2 20 5 7 4" xfId="9041" xr:uid="{0A22870A-275A-4EF1-8B72-7F2CF3749A5F}"/>
    <cellStyle name="쉼표 [0] 2 20 5 8" xfId="1202" xr:uid="{00000000-0005-0000-0000-0000230B0000}"/>
    <cellStyle name="쉼표 [0] 2 20 5 8 2" xfId="3552" xr:uid="{00000000-0005-0000-0000-0000240B0000}"/>
    <cellStyle name="쉼표 [0] 2 20 5 8 2 2" xfId="7213" xr:uid="{00000000-0005-0000-0000-0000250B0000}"/>
    <cellStyle name="쉼표 [0] 2 20 5 8 2 2 2" xfId="14530" xr:uid="{71A76158-0FC0-4999-A796-2904A07FF355}"/>
    <cellStyle name="쉼표 [0] 2 20 5 8 2 3" xfId="10872" xr:uid="{466EFA0C-6138-43DA-8C61-F18EFBDEDDD1}"/>
    <cellStyle name="쉼표 [0] 2 20 5 8 3" xfId="5384" xr:uid="{00000000-0005-0000-0000-0000260B0000}"/>
    <cellStyle name="쉼표 [0] 2 20 5 8 3 2" xfId="12701" xr:uid="{7EF59C46-93A8-426A-95CF-BCEBB6201D7B}"/>
    <cellStyle name="쉼표 [0] 2 20 5 8 4" xfId="9042" xr:uid="{72917B9C-3B84-4E87-98FE-B51FAB697CFC}"/>
    <cellStyle name="쉼표 [0] 2 20 5 9" xfId="3535" xr:uid="{00000000-0005-0000-0000-0000270B0000}"/>
    <cellStyle name="쉼표 [0] 2 20 5 9 2" xfId="7196" xr:uid="{00000000-0005-0000-0000-0000280B0000}"/>
    <cellStyle name="쉼표 [0] 2 20 5 9 2 2" xfId="14513" xr:uid="{5C39ACE4-06A7-4A98-B509-18382761E506}"/>
    <cellStyle name="쉼표 [0] 2 20 5 9 3" xfId="10855" xr:uid="{F2C594DC-74BC-4338-B87E-87A18902BC1D}"/>
    <cellStyle name="쉼표 [0] 2 20 6" xfId="1203" xr:uid="{00000000-0005-0000-0000-0000290B0000}"/>
    <cellStyle name="쉼표 [0] 2 20 6 10" xfId="5385" xr:uid="{00000000-0005-0000-0000-00002A0B0000}"/>
    <cellStyle name="쉼표 [0] 2 20 6 10 2" xfId="12702" xr:uid="{C4D19028-987A-43DC-A1BB-8DDBDF962976}"/>
    <cellStyle name="쉼표 [0] 2 20 6 11" xfId="9043" xr:uid="{167BBADF-27A5-4E43-B05F-CDA7A9C00EA4}"/>
    <cellStyle name="쉼표 [0] 2 20 6 2" xfId="1204" xr:uid="{00000000-0005-0000-0000-00002B0B0000}"/>
    <cellStyle name="쉼표 [0] 2 20 6 2 2" xfId="1205" xr:uid="{00000000-0005-0000-0000-00002C0B0000}"/>
    <cellStyle name="쉼표 [0] 2 20 6 2 2 2" xfId="3555" xr:uid="{00000000-0005-0000-0000-00002D0B0000}"/>
    <cellStyle name="쉼표 [0] 2 20 6 2 2 2 2" xfId="7216" xr:uid="{00000000-0005-0000-0000-00002E0B0000}"/>
    <cellStyle name="쉼표 [0] 2 20 6 2 2 2 2 2" xfId="14533" xr:uid="{435C652C-590E-4AF1-B14F-3C128F98187C}"/>
    <cellStyle name="쉼표 [0] 2 20 6 2 2 2 3" xfId="10875" xr:uid="{A13C338D-AEB7-4B39-9438-622A56C79478}"/>
    <cellStyle name="쉼표 [0] 2 20 6 2 2 3" xfId="5387" xr:uid="{00000000-0005-0000-0000-00002F0B0000}"/>
    <cellStyle name="쉼표 [0] 2 20 6 2 2 3 2" xfId="12704" xr:uid="{79D0EBAF-1B0C-4B6A-8126-2FDF9D917C9A}"/>
    <cellStyle name="쉼표 [0] 2 20 6 2 2 4" xfId="9045" xr:uid="{1A0099B8-C9E6-4FEB-849F-62697A30252A}"/>
    <cellStyle name="쉼표 [0] 2 20 6 2 3" xfId="1206" xr:uid="{00000000-0005-0000-0000-0000300B0000}"/>
    <cellStyle name="쉼표 [0] 2 20 6 2 3 2" xfId="3556" xr:uid="{00000000-0005-0000-0000-0000310B0000}"/>
    <cellStyle name="쉼표 [0] 2 20 6 2 3 2 2" xfId="7217" xr:uid="{00000000-0005-0000-0000-0000320B0000}"/>
    <cellStyle name="쉼표 [0] 2 20 6 2 3 2 2 2" xfId="14534" xr:uid="{E3005B9C-36CE-4012-926A-0B5817CC3DF2}"/>
    <cellStyle name="쉼표 [0] 2 20 6 2 3 2 3" xfId="10876" xr:uid="{8D704275-FAFD-44D2-B84C-135F7EC76EBB}"/>
    <cellStyle name="쉼표 [0] 2 20 6 2 3 3" xfId="5388" xr:uid="{00000000-0005-0000-0000-0000330B0000}"/>
    <cellStyle name="쉼표 [0] 2 20 6 2 3 3 2" xfId="12705" xr:uid="{5918723C-700D-4CB5-B6DA-BF0F36960981}"/>
    <cellStyle name="쉼표 [0] 2 20 6 2 3 4" xfId="9046" xr:uid="{593EB49D-6ED5-47D3-9792-772DD235DB33}"/>
    <cellStyle name="쉼표 [0] 2 20 6 2 4" xfId="3554" xr:uid="{00000000-0005-0000-0000-0000340B0000}"/>
    <cellStyle name="쉼표 [0] 2 20 6 2 4 2" xfId="7215" xr:uid="{00000000-0005-0000-0000-0000350B0000}"/>
    <cellStyle name="쉼표 [0] 2 20 6 2 4 2 2" xfId="14532" xr:uid="{09E4C29E-BF62-490D-A7B4-20658797ECF5}"/>
    <cellStyle name="쉼표 [0] 2 20 6 2 4 3" xfId="10874" xr:uid="{99DC4DE5-9F71-4309-BCB5-D5B6F7DD8FB3}"/>
    <cellStyle name="쉼표 [0] 2 20 6 2 5" xfId="5386" xr:uid="{00000000-0005-0000-0000-0000360B0000}"/>
    <cellStyle name="쉼표 [0] 2 20 6 2 5 2" xfId="12703" xr:uid="{E5BFF883-DBA4-4B3E-902A-1A39FEE0A93F}"/>
    <cellStyle name="쉼표 [0] 2 20 6 2 6" xfId="9044" xr:uid="{BF8BAE16-CF11-4EEF-AC54-630E7716619E}"/>
    <cellStyle name="쉼표 [0] 2 20 6 3" xfId="1207" xr:uid="{00000000-0005-0000-0000-0000370B0000}"/>
    <cellStyle name="쉼표 [0] 2 20 6 3 2" xfId="1208" xr:uid="{00000000-0005-0000-0000-0000380B0000}"/>
    <cellStyle name="쉼표 [0] 2 20 6 3 2 2" xfId="3558" xr:uid="{00000000-0005-0000-0000-0000390B0000}"/>
    <cellStyle name="쉼표 [0] 2 20 6 3 2 2 2" xfId="7219" xr:uid="{00000000-0005-0000-0000-00003A0B0000}"/>
    <cellStyle name="쉼표 [0] 2 20 6 3 2 2 2 2" xfId="14536" xr:uid="{A965EE91-B492-4991-9AED-EEC283F1079F}"/>
    <cellStyle name="쉼표 [0] 2 20 6 3 2 2 3" xfId="10878" xr:uid="{E8310B7E-CC6B-4C3A-BD9A-64335504880B}"/>
    <cellStyle name="쉼표 [0] 2 20 6 3 2 3" xfId="5390" xr:uid="{00000000-0005-0000-0000-00003B0B0000}"/>
    <cellStyle name="쉼표 [0] 2 20 6 3 2 3 2" xfId="12707" xr:uid="{4546B120-33D4-46BE-9301-23FB5E9EDC6B}"/>
    <cellStyle name="쉼표 [0] 2 20 6 3 2 4" xfId="9048" xr:uid="{9959B3CB-4FC6-403A-A48E-C4A6C5B9D497}"/>
    <cellStyle name="쉼표 [0] 2 20 6 3 3" xfId="1209" xr:uid="{00000000-0005-0000-0000-00003C0B0000}"/>
    <cellStyle name="쉼표 [0] 2 20 6 3 3 2" xfId="3559" xr:uid="{00000000-0005-0000-0000-00003D0B0000}"/>
    <cellStyle name="쉼표 [0] 2 20 6 3 3 2 2" xfId="7220" xr:uid="{00000000-0005-0000-0000-00003E0B0000}"/>
    <cellStyle name="쉼표 [0] 2 20 6 3 3 2 2 2" xfId="14537" xr:uid="{131027E1-08D0-4D8C-84BF-1B347BC3D3CC}"/>
    <cellStyle name="쉼표 [0] 2 20 6 3 3 2 3" xfId="10879" xr:uid="{A0764080-B7C1-485B-9D9C-FA3F136D100E}"/>
    <cellStyle name="쉼표 [0] 2 20 6 3 3 3" xfId="5391" xr:uid="{00000000-0005-0000-0000-00003F0B0000}"/>
    <cellStyle name="쉼표 [0] 2 20 6 3 3 3 2" xfId="12708" xr:uid="{33BA40B3-F0A5-40B4-B4F4-189D9098F67E}"/>
    <cellStyle name="쉼표 [0] 2 20 6 3 3 4" xfId="9049" xr:uid="{E5CCA86B-588F-4960-B904-F769920DE041}"/>
    <cellStyle name="쉼표 [0] 2 20 6 3 4" xfId="3557" xr:uid="{00000000-0005-0000-0000-0000400B0000}"/>
    <cellStyle name="쉼표 [0] 2 20 6 3 4 2" xfId="7218" xr:uid="{00000000-0005-0000-0000-0000410B0000}"/>
    <cellStyle name="쉼표 [0] 2 20 6 3 4 2 2" xfId="14535" xr:uid="{8EEAE174-8304-4431-A0BA-709053EB4DAD}"/>
    <cellStyle name="쉼표 [0] 2 20 6 3 4 3" xfId="10877" xr:uid="{9F54D783-CA4F-4BFC-BB42-8ABA7C569A46}"/>
    <cellStyle name="쉼표 [0] 2 20 6 3 5" xfId="5389" xr:uid="{00000000-0005-0000-0000-0000420B0000}"/>
    <cellStyle name="쉼표 [0] 2 20 6 3 5 2" xfId="12706" xr:uid="{3AE6FD80-AE08-4C50-B047-8E2845DB22C1}"/>
    <cellStyle name="쉼표 [0] 2 20 6 3 6" xfId="9047" xr:uid="{B90E2D7F-29A6-4295-8A3C-5C7BB0914309}"/>
    <cellStyle name="쉼표 [0] 2 20 6 4" xfId="1210" xr:uid="{00000000-0005-0000-0000-0000430B0000}"/>
    <cellStyle name="쉼표 [0] 2 20 6 4 2" xfId="1211" xr:uid="{00000000-0005-0000-0000-0000440B0000}"/>
    <cellStyle name="쉼표 [0] 2 20 6 4 2 2" xfId="3561" xr:uid="{00000000-0005-0000-0000-0000450B0000}"/>
    <cellStyle name="쉼표 [0] 2 20 6 4 2 2 2" xfId="7222" xr:uid="{00000000-0005-0000-0000-0000460B0000}"/>
    <cellStyle name="쉼표 [0] 2 20 6 4 2 2 2 2" xfId="14539" xr:uid="{C2B79D0A-FE1F-4448-803F-7AE6554C07A1}"/>
    <cellStyle name="쉼표 [0] 2 20 6 4 2 2 3" xfId="10881" xr:uid="{BBD46FEF-4A1A-4BD1-9402-124726F14F3F}"/>
    <cellStyle name="쉼표 [0] 2 20 6 4 2 3" xfId="5393" xr:uid="{00000000-0005-0000-0000-0000470B0000}"/>
    <cellStyle name="쉼표 [0] 2 20 6 4 2 3 2" xfId="12710" xr:uid="{472E21F9-81DF-44E2-A420-A3BCADCF6177}"/>
    <cellStyle name="쉼표 [0] 2 20 6 4 2 4" xfId="9051" xr:uid="{3455B197-E54A-4549-B4F0-A9AD152BC0C7}"/>
    <cellStyle name="쉼표 [0] 2 20 6 4 3" xfId="1212" xr:uid="{00000000-0005-0000-0000-0000480B0000}"/>
    <cellStyle name="쉼표 [0] 2 20 6 4 3 2" xfId="3562" xr:uid="{00000000-0005-0000-0000-0000490B0000}"/>
    <cellStyle name="쉼표 [0] 2 20 6 4 3 2 2" xfId="7223" xr:uid="{00000000-0005-0000-0000-00004A0B0000}"/>
    <cellStyle name="쉼표 [0] 2 20 6 4 3 2 2 2" xfId="14540" xr:uid="{DEDAD74B-F68B-4E50-942C-4317A699F909}"/>
    <cellStyle name="쉼표 [0] 2 20 6 4 3 2 3" xfId="10882" xr:uid="{3027AE12-67B2-4E77-AFF2-061D63E10F25}"/>
    <cellStyle name="쉼표 [0] 2 20 6 4 3 3" xfId="5394" xr:uid="{00000000-0005-0000-0000-00004B0B0000}"/>
    <cellStyle name="쉼표 [0] 2 20 6 4 3 3 2" xfId="12711" xr:uid="{5CBF3033-23A3-41AD-8FF4-EC1C5962364C}"/>
    <cellStyle name="쉼표 [0] 2 20 6 4 3 4" xfId="9052" xr:uid="{48CB8203-22D9-43CF-AB43-2F1247A32FBA}"/>
    <cellStyle name="쉼표 [0] 2 20 6 4 4" xfId="3560" xr:uid="{00000000-0005-0000-0000-00004C0B0000}"/>
    <cellStyle name="쉼표 [0] 2 20 6 4 4 2" xfId="7221" xr:uid="{00000000-0005-0000-0000-00004D0B0000}"/>
    <cellStyle name="쉼표 [0] 2 20 6 4 4 2 2" xfId="14538" xr:uid="{B6AB937E-5D88-43AB-88C7-0F602187289F}"/>
    <cellStyle name="쉼표 [0] 2 20 6 4 4 3" xfId="10880" xr:uid="{9D07F26A-C1A5-48BF-96E7-DE8296939EB6}"/>
    <cellStyle name="쉼표 [0] 2 20 6 4 5" xfId="5392" xr:uid="{00000000-0005-0000-0000-00004E0B0000}"/>
    <cellStyle name="쉼표 [0] 2 20 6 4 5 2" xfId="12709" xr:uid="{75A3D8C0-B002-4C0F-917C-9C4374C3E0FA}"/>
    <cellStyle name="쉼표 [0] 2 20 6 4 6" xfId="9050" xr:uid="{36EEA3F6-B16E-4172-B368-6BAD11E0A07C}"/>
    <cellStyle name="쉼표 [0] 2 20 6 5" xfId="1213" xr:uid="{00000000-0005-0000-0000-00004F0B0000}"/>
    <cellStyle name="쉼표 [0] 2 20 6 5 2" xfId="1214" xr:uid="{00000000-0005-0000-0000-0000500B0000}"/>
    <cellStyle name="쉼표 [0] 2 20 6 5 2 2" xfId="3564" xr:uid="{00000000-0005-0000-0000-0000510B0000}"/>
    <cellStyle name="쉼표 [0] 2 20 6 5 2 2 2" xfId="7225" xr:uid="{00000000-0005-0000-0000-0000520B0000}"/>
    <cellStyle name="쉼표 [0] 2 20 6 5 2 2 2 2" xfId="14542" xr:uid="{1E67917C-E7A7-4F32-9250-0A2A0F16A268}"/>
    <cellStyle name="쉼표 [0] 2 20 6 5 2 2 3" xfId="10884" xr:uid="{5F9FA442-3821-4DE0-90C7-398BFBE243AE}"/>
    <cellStyle name="쉼표 [0] 2 20 6 5 2 3" xfId="5396" xr:uid="{00000000-0005-0000-0000-0000530B0000}"/>
    <cellStyle name="쉼표 [0] 2 20 6 5 2 3 2" xfId="12713" xr:uid="{A06001D3-CB23-4305-AE3E-46F0836E1A83}"/>
    <cellStyle name="쉼표 [0] 2 20 6 5 2 4" xfId="9054" xr:uid="{DAF9303D-820D-473D-B4A7-3007478625E1}"/>
    <cellStyle name="쉼표 [0] 2 20 6 5 3" xfId="1215" xr:uid="{00000000-0005-0000-0000-0000540B0000}"/>
    <cellStyle name="쉼표 [0] 2 20 6 5 3 2" xfId="3565" xr:uid="{00000000-0005-0000-0000-0000550B0000}"/>
    <cellStyle name="쉼표 [0] 2 20 6 5 3 2 2" xfId="7226" xr:uid="{00000000-0005-0000-0000-0000560B0000}"/>
    <cellStyle name="쉼표 [0] 2 20 6 5 3 2 2 2" xfId="14543" xr:uid="{2CB23BAF-5B4E-4BA1-8449-F35C5A625340}"/>
    <cellStyle name="쉼표 [0] 2 20 6 5 3 2 3" xfId="10885" xr:uid="{9EBA2CED-F4CC-4B89-A68F-CA72DAAD59E5}"/>
    <cellStyle name="쉼표 [0] 2 20 6 5 3 3" xfId="5397" xr:uid="{00000000-0005-0000-0000-0000570B0000}"/>
    <cellStyle name="쉼표 [0] 2 20 6 5 3 3 2" xfId="12714" xr:uid="{FBEE8441-8F51-4169-AD91-77559F9DAFD7}"/>
    <cellStyle name="쉼표 [0] 2 20 6 5 3 4" xfId="9055" xr:uid="{68DD13E8-22A9-4277-A7F9-86E95014CFD3}"/>
    <cellStyle name="쉼표 [0] 2 20 6 5 4" xfId="3563" xr:uid="{00000000-0005-0000-0000-0000580B0000}"/>
    <cellStyle name="쉼표 [0] 2 20 6 5 4 2" xfId="7224" xr:uid="{00000000-0005-0000-0000-0000590B0000}"/>
    <cellStyle name="쉼표 [0] 2 20 6 5 4 2 2" xfId="14541" xr:uid="{AB31CACF-CA16-4CE6-B984-3B578E8E19DB}"/>
    <cellStyle name="쉼표 [0] 2 20 6 5 4 3" xfId="10883" xr:uid="{BF2C9448-A551-4327-BB0C-EBF9B6831DAB}"/>
    <cellStyle name="쉼표 [0] 2 20 6 5 5" xfId="5395" xr:uid="{00000000-0005-0000-0000-00005A0B0000}"/>
    <cellStyle name="쉼표 [0] 2 20 6 5 5 2" xfId="12712" xr:uid="{31B611AB-9224-4084-87B6-9AFAFD1F38DD}"/>
    <cellStyle name="쉼표 [0] 2 20 6 5 6" xfId="9053" xr:uid="{EC82B944-71E5-4D07-A79B-CB77DD482767}"/>
    <cellStyle name="쉼표 [0] 2 20 6 6" xfId="1216" xr:uid="{00000000-0005-0000-0000-00005B0B0000}"/>
    <cellStyle name="쉼표 [0] 2 20 6 6 2" xfId="1217" xr:uid="{00000000-0005-0000-0000-00005C0B0000}"/>
    <cellStyle name="쉼표 [0] 2 20 6 6 2 2" xfId="3567" xr:uid="{00000000-0005-0000-0000-00005D0B0000}"/>
    <cellStyle name="쉼표 [0] 2 20 6 6 2 2 2" xfId="7228" xr:uid="{00000000-0005-0000-0000-00005E0B0000}"/>
    <cellStyle name="쉼표 [0] 2 20 6 6 2 2 2 2" xfId="14545" xr:uid="{4FB43831-42F5-4B37-B9E9-0B6458CB9567}"/>
    <cellStyle name="쉼표 [0] 2 20 6 6 2 2 3" xfId="10887" xr:uid="{7F793DC0-F63B-468B-85EE-C6676B50EDBB}"/>
    <cellStyle name="쉼표 [0] 2 20 6 6 2 3" xfId="5399" xr:uid="{00000000-0005-0000-0000-00005F0B0000}"/>
    <cellStyle name="쉼표 [0] 2 20 6 6 2 3 2" xfId="12716" xr:uid="{97806C1E-0DB2-480A-9E9C-9C005ADFE4F8}"/>
    <cellStyle name="쉼표 [0] 2 20 6 6 2 4" xfId="9057" xr:uid="{70F38A56-7EC2-4713-A510-FCFA5322C485}"/>
    <cellStyle name="쉼표 [0] 2 20 6 6 3" xfId="1218" xr:uid="{00000000-0005-0000-0000-0000600B0000}"/>
    <cellStyle name="쉼표 [0] 2 20 6 6 3 2" xfId="3568" xr:uid="{00000000-0005-0000-0000-0000610B0000}"/>
    <cellStyle name="쉼표 [0] 2 20 6 6 3 2 2" xfId="7229" xr:uid="{00000000-0005-0000-0000-0000620B0000}"/>
    <cellStyle name="쉼표 [0] 2 20 6 6 3 2 2 2" xfId="14546" xr:uid="{7A75A52C-7067-4114-88B3-AAB4AAB2A86A}"/>
    <cellStyle name="쉼표 [0] 2 20 6 6 3 2 3" xfId="10888" xr:uid="{4832500D-6E04-4645-81A1-D2D03EC1D8B2}"/>
    <cellStyle name="쉼표 [0] 2 20 6 6 3 3" xfId="5400" xr:uid="{00000000-0005-0000-0000-0000630B0000}"/>
    <cellStyle name="쉼표 [0] 2 20 6 6 3 3 2" xfId="12717" xr:uid="{DDCBD7B1-662B-456B-BAD6-8A0B60B5BC98}"/>
    <cellStyle name="쉼표 [0] 2 20 6 6 3 4" xfId="9058" xr:uid="{2910FF8A-622F-41E4-9BE1-347BD4952912}"/>
    <cellStyle name="쉼표 [0] 2 20 6 6 4" xfId="3566" xr:uid="{00000000-0005-0000-0000-0000640B0000}"/>
    <cellStyle name="쉼표 [0] 2 20 6 6 4 2" xfId="7227" xr:uid="{00000000-0005-0000-0000-0000650B0000}"/>
    <cellStyle name="쉼표 [0] 2 20 6 6 4 2 2" xfId="14544" xr:uid="{58B935DE-6178-48D9-8BCB-0E7D50248E4F}"/>
    <cellStyle name="쉼표 [0] 2 20 6 6 4 3" xfId="10886" xr:uid="{4ABA3B93-722D-4164-B492-3F1846212FF0}"/>
    <cellStyle name="쉼표 [0] 2 20 6 6 5" xfId="5398" xr:uid="{00000000-0005-0000-0000-0000660B0000}"/>
    <cellStyle name="쉼표 [0] 2 20 6 6 5 2" xfId="12715" xr:uid="{94A36232-046D-49F2-B932-45B79B1B88C7}"/>
    <cellStyle name="쉼표 [0] 2 20 6 6 6" xfId="9056" xr:uid="{25195EC0-93B4-4439-AB44-0CE7EFDF3DD5}"/>
    <cellStyle name="쉼표 [0] 2 20 6 7" xfId="1219" xr:uid="{00000000-0005-0000-0000-0000670B0000}"/>
    <cellStyle name="쉼표 [0] 2 20 6 7 2" xfId="3569" xr:uid="{00000000-0005-0000-0000-0000680B0000}"/>
    <cellStyle name="쉼표 [0] 2 20 6 7 2 2" xfId="7230" xr:uid="{00000000-0005-0000-0000-0000690B0000}"/>
    <cellStyle name="쉼표 [0] 2 20 6 7 2 2 2" xfId="14547" xr:uid="{010C0394-778F-4469-AD28-8F51B82A2D64}"/>
    <cellStyle name="쉼표 [0] 2 20 6 7 2 3" xfId="10889" xr:uid="{5CD523A1-8D13-444A-8C2D-43761153A78C}"/>
    <cellStyle name="쉼표 [0] 2 20 6 7 3" xfId="5401" xr:uid="{00000000-0005-0000-0000-00006A0B0000}"/>
    <cellStyle name="쉼표 [0] 2 20 6 7 3 2" xfId="12718" xr:uid="{95460961-BAF3-416E-9B42-208347D28E4F}"/>
    <cellStyle name="쉼표 [0] 2 20 6 7 4" xfId="9059" xr:uid="{E8755E69-4560-46CC-8DB6-97F3A0340109}"/>
    <cellStyle name="쉼표 [0] 2 20 6 8" xfId="1220" xr:uid="{00000000-0005-0000-0000-00006B0B0000}"/>
    <cellStyle name="쉼표 [0] 2 20 6 8 2" xfId="3570" xr:uid="{00000000-0005-0000-0000-00006C0B0000}"/>
    <cellStyle name="쉼표 [0] 2 20 6 8 2 2" xfId="7231" xr:uid="{00000000-0005-0000-0000-00006D0B0000}"/>
    <cellStyle name="쉼표 [0] 2 20 6 8 2 2 2" xfId="14548" xr:uid="{8AD46C79-94C8-41EF-B18F-BC412AEC5DEE}"/>
    <cellStyle name="쉼표 [0] 2 20 6 8 2 3" xfId="10890" xr:uid="{1E833073-611E-44AE-9010-703A31B89EF6}"/>
    <cellStyle name="쉼표 [0] 2 20 6 8 3" xfId="5402" xr:uid="{00000000-0005-0000-0000-00006E0B0000}"/>
    <cellStyle name="쉼표 [0] 2 20 6 8 3 2" xfId="12719" xr:uid="{DCB56C86-B997-49EA-873E-4BD6825BE0A4}"/>
    <cellStyle name="쉼표 [0] 2 20 6 8 4" xfId="9060" xr:uid="{4B417CB8-1CDF-4709-B043-1503863DADA8}"/>
    <cellStyle name="쉼표 [0] 2 20 6 9" xfId="3553" xr:uid="{00000000-0005-0000-0000-00006F0B0000}"/>
    <cellStyle name="쉼표 [0] 2 20 6 9 2" xfId="7214" xr:uid="{00000000-0005-0000-0000-0000700B0000}"/>
    <cellStyle name="쉼표 [0] 2 20 6 9 2 2" xfId="14531" xr:uid="{D0056B70-B392-4138-8577-5000E49AB309}"/>
    <cellStyle name="쉼표 [0] 2 20 6 9 3" xfId="10873" xr:uid="{FC337BA2-C077-4B65-841B-26FA87555A27}"/>
    <cellStyle name="쉼표 [0] 2 20 7" xfId="1221" xr:uid="{00000000-0005-0000-0000-0000710B0000}"/>
    <cellStyle name="쉼표 [0] 2 20 7 2" xfId="1222" xr:uid="{00000000-0005-0000-0000-0000720B0000}"/>
    <cellStyle name="쉼표 [0] 2 20 7 2 2" xfId="3572" xr:uid="{00000000-0005-0000-0000-0000730B0000}"/>
    <cellStyle name="쉼표 [0] 2 20 7 2 2 2" xfId="7233" xr:uid="{00000000-0005-0000-0000-0000740B0000}"/>
    <cellStyle name="쉼표 [0] 2 20 7 2 2 2 2" xfId="14550" xr:uid="{F7DA49DC-E22A-4E1E-94FB-9CA561214BBE}"/>
    <cellStyle name="쉼표 [0] 2 20 7 2 2 3" xfId="10892" xr:uid="{77EB1D48-819C-4CB2-AE1F-F2DC2827DD97}"/>
    <cellStyle name="쉼표 [0] 2 20 7 2 3" xfId="5404" xr:uid="{00000000-0005-0000-0000-0000750B0000}"/>
    <cellStyle name="쉼표 [0] 2 20 7 2 3 2" xfId="12721" xr:uid="{B3ADCFF3-189C-42ED-B7E7-F99D88067600}"/>
    <cellStyle name="쉼표 [0] 2 20 7 2 4" xfId="9062" xr:uid="{B9000725-BC1E-449E-9409-2D3D0A4B03A4}"/>
    <cellStyle name="쉼표 [0] 2 20 7 3" xfId="1223" xr:uid="{00000000-0005-0000-0000-0000760B0000}"/>
    <cellStyle name="쉼표 [0] 2 20 7 3 2" xfId="3573" xr:uid="{00000000-0005-0000-0000-0000770B0000}"/>
    <cellStyle name="쉼표 [0] 2 20 7 3 2 2" xfId="7234" xr:uid="{00000000-0005-0000-0000-0000780B0000}"/>
    <cellStyle name="쉼표 [0] 2 20 7 3 2 2 2" xfId="14551" xr:uid="{0CE6FB65-B252-4891-BAE2-42FCAC177F13}"/>
    <cellStyle name="쉼표 [0] 2 20 7 3 2 3" xfId="10893" xr:uid="{C0C1AA0F-0A21-4097-9F5C-DBCBE9297EAF}"/>
    <cellStyle name="쉼표 [0] 2 20 7 3 3" xfId="5405" xr:uid="{00000000-0005-0000-0000-0000790B0000}"/>
    <cellStyle name="쉼표 [0] 2 20 7 3 3 2" xfId="12722" xr:uid="{4EB596E5-6EF4-4A50-A2F4-B7BCD7F443E0}"/>
    <cellStyle name="쉼표 [0] 2 20 7 3 4" xfId="9063" xr:uid="{92F87DE1-D644-43A2-94B7-2357B7B1601F}"/>
    <cellStyle name="쉼표 [0] 2 20 7 4" xfId="3571" xr:uid="{00000000-0005-0000-0000-00007A0B0000}"/>
    <cellStyle name="쉼표 [0] 2 20 7 4 2" xfId="7232" xr:uid="{00000000-0005-0000-0000-00007B0B0000}"/>
    <cellStyle name="쉼표 [0] 2 20 7 4 2 2" xfId="14549" xr:uid="{AA5D065C-CC05-4B0E-BAED-F5BD9AC44403}"/>
    <cellStyle name="쉼표 [0] 2 20 7 4 3" xfId="10891" xr:uid="{797ACBD9-EFE1-4EEF-B175-0C1F668281D5}"/>
    <cellStyle name="쉼표 [0] 2 20 7 5" xfId="5403" xr:uid="{00000000-0005-0000-0000-00007C0B0000}"/>
    <cellStyle name="쉼표 [0] 2 20 7 5 2" xfId="12720" xr:uid="{281A789E-7691-4FDD-851C-01ABDA2389E0}"/>
    <cellStyle name="쉼표 [0] 2 20 7 6" xfId="9061" xr:uid="{F1A1C0EB-6A25-4551-84ED-EC5374DC3AB7}"/>
    <cellStyle name="쉼표 [0] 2 20 8" xfId="1224" xr:uid="{00000000-0005-0000-0000-00007D0B0000}"/>
    <cellStyle name="쉼표 [0] 2 20 8 2" xfId="1225" xr:uid="{00000000-0005-0000-0000-00007E0B0000}"/>
    <cellStyle name="쉼표 [0] 2 20 8 2 2" xfId="3575" xr:uid="{00000000-0005-0000-0000-00007F0B0000}"/>
    <cellStyle name="쉼표 [0] 2 20 8 2 2 2" xfId="7236" xr:uid="{00000000-0005-0000-0000-0000800B0000}"/>
    <cellStyle name="쉼표 [0] 2 20 8 2 2 2 2" xfId="14553" xr:uid="{C43D1609-6393-4C39-8B9C-925CA4B5DD5F}"/>
    <cellStyle name="쉼표 [0] 2 20 8 2 2 3" xfId="10895" xr:uid="{B1375883-6799-4C6B-8176-3550DD26C5D3}"/>
    <cellStyle name="쉼표 [0] 2 20 8 2 3" xfId="5407" xr:uid="{00000000-0005-0000-0000-0000810B0000}"/>
    <cellStyle name="쉼표 [0] 2 20 8 2 3 2" xfId="12724" xr:uid="{03DA2BBC-ADB8-44AF-BEA5-3F02C33D8E17}"/>
    <cellStyle name="쉼표 [0] 2 20 8 2 4" xfId="9065" xr:uid="{78DA6C3A-0B02-46A7-8136-CCE09C15D330}"/>
    <cellStyle name="쉼표 [0] 2 20 8 3" xfId="1226" xr:uid="{00000000-0005-0000-0000-0000820B0000}"/>
    <cellStyle name="쉼표 [0] 2 20 8 3 2" xfId="3576" xr:uid="{00000000-0005-0000-0000-0000830B0000}"/>
    <cellStyle name="쉼표 [0] 2 20 8 3 2 2" xfId="7237" xr:uid="{00000000-0005-0000-0000-0000840B0000}"/>
    <cellStyle name="쉼표 [0] 2 20 8 3 2 2 2" xfId="14554" xr:uid="{16107A92-5257-44FB-884C-15FD1B09A6AC}"/>
    <cellStyle name="쉼표 [0] 2 20 8 3 2 3" xfId="10896" xr:uid="{E05A6539-65B1-4DD8-974C-3379EE09FF77}"/>
    <cellStyle name="쉼표 [0] 2 20 8 3 3" xfId="5408" xr:uid="{00000000-0005-0000-0000-0000850B0000}"/>
    <cellStyle name="쉼표 [0] 2 20 8 3 3 2" xfId="12725" xr:uid="{6B832BC7-1FDE-4505-BA11-F13739257026}"/>
    <cellStyle name="쉼표 [0] 2 20 8 3 4" xfId="9066" xr:uid="{00E48FF3-9E8E-4447-A14D-9B493B3E1350}"/>
    <cellStyle name="쉼표 [0] 2 20 8 4" xfId="3574" xr:uid="{00000000-0005-0000-0000-0000860B0000}"/>
    <cellStyle name="쉼표 [0] 2 20 8 4 2" xfId="7235" xr:uid="{00000000-0005-0000-0000-0000870B0000}"/>
    <cellStyle name="쉼표 [0] 2 20 8 4 2 2" xfId="14552" xr:uid="{83193F25-5FC9-4053-BB7E-8FA87029990B}"/>
    <cellStyle name="쉼표 [0] 2 20 8 4 3" xfId="10894" xr:uid="{BB0F05C1-3FD3-42B4-A633-0C928DC12CB7}"/>
    <cellStyle name="쉼표 [0] 2 20 8 5" xfId="5406" xr:uid="{00000000-0005-0000-0000-0000880B0000}"/>
    <cellStyle name="쉼표 [0] 2 20 8 5 2" xfId="12723" xr:uid="{32DE8E3D-B2CD-4A9C-BB61-2C0E5226EEC2}"/>
    <cellStyle name="쉼표 [0] 2 20 8 6" xfId="9064" xr:uid="{98EA73A1-93A9-4568-8650-397B5DE23994}"/>
    <cellStyle name="쉼표 [0] 2 20 9" xfId="1227" xr:uid="{00000000-0005-0000-0000-0000890B0000}"/>
    <cellStyle name="쉼표 [0] 2 20 9 2" xfId="1228" xr:uid="{00000000-0005-0000-0000-00008A0B0000}"/>
    <cellStyle name="쉼표 [0] 2 20 9 2 2" xfId="3578" xr:uid="{00000000-0005-0000-0000-00008B0B0000}"/>
    <cellStyle name="쉼표 [0] 2 20 9 2 2 2" xfId="7239" xr:uid="{00000000-0005-0000-0000-00008C0B0000}"/>
    <cellStyle name="쉼표 [0] 2 20 9 2 2 2 2" xfId="14556" xr:uid="{531574ED-C77D-4609-8DA8-53AD29EB94DC}"/>
    <cellStyle name="쉼표 [0] 2 20 9 2 2 3" xfId="10898" xr:uid="{18F92B54-D2D4-4A7E-8950-2ED93616E18A}"/>
    <cellStyle name="쉼표 [0] 2 20 9 2 3" xfId="5410" xr:uid="{00000000-0005-0000-0000-00008D0B0000}"/>
    <cellStyle name="쉼표 [0] 2 20 9 2 3 2" xfId="12727" xr:uid="{C75676AA-21D0-42DF-AD58-DDC7E2120114}"/>
    <cellStyle name="쉼표 [0] 2 20 9 2 4" xfId="9068" xr:uid="{A7E65EB7-EC0B-49AC-9033-0FE64B272E90}"/>
    <cellStyle name="쉼표 [0] 2 20 9 3" xfId="1229" xr:uid="{00000000-0005-0000-0000-00008E0B0000}"/>
    <cellStyle name="쉼표 [0] 2 20 9 3 2" xfId="3579" xr:uid="{00000000-0005-0000-0000-00008F0B0000}"/>
    <cellStyle name="쉼표 [0] 2 20 9 3 2 2" xfId="7240" xr:uid="{00000000-0005-0000-0000-0000900B0000}"/>
    <cellStyle name="쉼표 [0] 2 20 9 3 2 2 2" xfId="14557" xr:uid="{0E055AFF-E407-4374-9EB1-00442B202BEF}"/>
    <cellStyle name="쉼표 [0] 2 20 9 3 2 3" xfId="10899" xr:uid="{A7944746-0A5D-4451-8DA0-562D032FBDE5}"/>
    <cellStyle name="쉼표 [0] 2 20 9 3 3" xfId="5411" xr:uid="{00000000-0005-0000-0000-0000910B0000}"/>
    <cellStyle name="쉼표 [0] 2 20 9 3 3 2" xfId="12728" xr:uid="{9053D1D6-519D-4249-A2CA-B4D5A826C0CF}"/>
    <cellStyle name="쉼표 [0] 2 20 9 3 4" xfId="9069" xr:uid="{0AC08C14-6107-48F2-A446-B2ADE04B051F}"/>
    <cellStyle name="쉼표 [0] 2 20 9 4" xfId="3577" xr:uid="{00000000-0005-0000-0000-0000920B0000}"/>
    <cellStyle name="쉼표 [0] 2 20 9 4 2" xfId="7238" xr:uid="{00000000-0005-0000-0000-0000930B0000}"/>
    <cellStyle name="쉼표 [0] 2 20 9 4 2 2" xfId="14555" xr:uid="{7CB704E3-B294-456A-9625-53713DECEFAA}"/>
    <cellStyle name="쉼표 [0] 2 20 9 4 3" xfId="10897" xr:uid="{3E13CC0A-4657-4ED9-828A-8AB2A9207327}"/>
    <cellStyle name="쉼표 [0] 2 20 9 5" xfId="5409" xr:uid="{00000000-0005-0000-0000-0000940B0000}"/>
    <cellStyle name="쉼표 [0] 2 20 9 5 2" xfId="12726" xr:uid="{E9213824-D105-4255-8A78-C8D24D295B65}"/>
    <cellStyle name="쉼표 [0] 2 20 9 6" xfId="9067" xr:uid="{7D2DA5A4-5683-4CCA-94E7-78DF16ACF495}"/>
    <cellStyle name="쉼표 [0] 2 21" xfId="1230" xr:uid="{00000000-0005-0000-0000-0000950B0000}"/>
    <cellStyle name="쉼표 [0] 2 21 10" xfId="1231" xr:uid="{00000000-0005-0000-0000-0000960B0000}"/>
    <cellStyle name="쉼표 [0] 2 21 10 2" xfId="1232" xr:uid="{00000000-0005-0000-0000-0000970B0000}"/>
    <cellStyle name="쉼표 [0] 2 21 10 2 2" xfId="3582" xr:uid="{00000000-0005-0000-0000-0000980B0000}"/>
    <cellStyle name="쉼표 [0] 2 21 10 2 2 2" xfId="7243" xr:uid="{00000000-0005-0000-0000-0000990B0000}"/>
    <cellStyle name="쉼표 [0] 2 21 10 2 2 2 2" xfId="14560" xr:uid="{DD6DA0BF-9D50-4E2D-8BC1-7AD678C9A736}"/>
    <cellStyle name="쉼표 [0] 2 21 10 2 2 3" xfId="10902" xr:uid="{C2549BA2-4A76-47FC-8B80-B36B344F2D12}"/>
    <cellStyle name="쉼표 [0] 2 21 10 2 3" xfId="5414" xr:uid="{00000000-0005-0000-0000-00009A0B0000}"/>
    <cellStyle name="쉼표 [0] 2 21 10 2 3 2" xfId="12731" xr:uid="{8F94475C-9D80-4B87-A736-975587BB431E}"/>
    <cellStyle name="쉼표 [0] 2 21 10 2 4" xfId="9072" xr:uid="{14D6871F-7AC0-4943-8EA0-2421E4FD861E}"/>
    <cellStyle name="쉼표 [0] 2 21 10 3" xfId="1233" xr:uid="{00000000-0005-0000-0000-00009B0B0000}"/>
    <cellStyle name="쉼표 [0] 2 21 10 3 2" xfId="3583" xr:uid="{00000000-0005-0000-0000-00009C0B0000}"/>
    <cellStyle name="쉼표 [0] 2 21 10 3 2 2" xfId="7244" xr:uid="{00000000-0005-0000-0000-00009D0B0000}"/>
    <cellStyle name="쉼표 [0] 2 21 10 3 2 2 2" xfId="14561" xr:uid="{7C572926-2E24-4C20-AC6B-B648AEB96705}"/>
    <cellStyle name="쉼표 [0] 2 21 10 3 2 3" xfId="10903" xr:uid="{F11DD379-344E-46E2-811D-CDACF671BAA6}"/>
    <cellStyle name="쉼표 [0] 2 21 10 3 3" xfId="5415" xr:uid="{00000000-0005-0000-0000-00009E0B0000}"/>
    <cellStyle name="쉼표 [0] 2 21 10 3 3 2" xfId="12732" xr:uid="{1F6AFFA3-D63B-4C14-8662-C160004F835B}"/>
    <cellStyle name="쉼표 [0] 2 21 10 3 4" xfId="9073" xr:uid="{1498A3BF-B6D0-42AF-9C4A-41C45EE87663}"/>
    <cellStyle name="쉼표 [0] 2 21 10 4" xfId="3581" xr:uid="{00000000-0005-0000-0000-00009F0B0000}"/>
    <cellStyle name="쉼표 [0] 2 21 10 4 2" xfId="7242" xr:uid="{00000000-0005-0000-0000-0000A00B0000}"/>
    <cellStyle name="쉼표 [0] 2 21 10 4 2 2" xfId="14559" xr:uid="{5070C4C0-B995-46F6-9C01-DA54620BB013}"/>
    <cellStyle name="쉼표 [0] 2 21 10 4 3" xfId="10901" xr:uid="{24BC40AF-D8BB-4329-A609-A734C62EF6E2}"/>
    <cellStyle name="쉼표 [0] 2 21 10 5" xfId="5413" xr:uid="{00000000-0005-0000-0000-0000A10B0000}"/>
    <cellStyle name="쉼표 [0] 2 21 10 5 2" xfId="12730" xr:uid="{9D2ECCB0-353D-4F97-A447-348CE0372A98}"/>
    <cellStyle name="쉼표 [0] 2 21 10 6" xfId="9071" xr:uid="{1E283B23-67C7-410A-B624-7C7BF1DE8172}"/>
    <cellStyle name="쉼표 [0] 2 21 11" xfId="1234" xr:uid="{00000000-0005-0000-0000-0000A20B0000}"/>
    <cellStyle name="쉼표 [0] 2 21 11 2" xfId="1235" xr:uid="{00000000-0005-0000-0000-0000A30B0000}"/>
    <cellStyle name="쉼표 [0] 2 21 11 2 2" xfId="3585" xr:uid="{00000000-0005-0000-0000-0000A40B0000}"/>
    <cellStyle name="쉼표 [0] 2 21 11 2 2 2" xfId="7246" xr:uid="{00000000-0005-0000-0000-0000A50B0000}"/>
    <cellStyle name="쉼표 [0] 2 21 11 2 2 2 2" xfId="14563" xr:uid="{4862D921-AF6F-48A9-9068-9DEFDD71F58C}"/>
    <cellStyle name="쉼표 [0] 2 21 11 2 2 3" xfId="10905" xr:uid="{62A0F0D5-7263-4BD0-9988-E88DAE5C1E7A}"/>
    <cellStyle name="쉼표 [0] 2 21 11 2 3" xfId="5417" xr:uid="{00000000-0005-0000-0000-0000A60B0000}"/>
    <cellStyle name="쉼표 [0] 2 21 11 2 3 2" xfId="12734" xr:uid="{9F61BC01-9475-4502-ACAC-843A9E83F9F8}"/>
    <cellStyle name="쉼표 [0] 2 21 11 2 4" xfId="9075" xr:uid="{44204524-C391-4527-ACD5-450CB3BE944E}"/>
    <cellStyle name="쉼표 [0] 2 21 11 3" xfId="1236" xr:uid="{00000000-0005-0000-0000-0000A70B0000}"/>
    <cellStyle name="쉼표 [0] 2 21 11 3 2" xfId="3586" xr:uid="{00000000-0005-0000-0000-0000A80B0000}"/>
    <cellStyle name="쉼표 [0] 2 21 11 3 2 2" xfId="7247" xr:uid="{00000000-0005-0000-0000-0000A90B0000}"/>
    <cellStyle name="쉼표 [0] 2 21 11 3 2 2 2" xfId="14564" xr:uid="{B26D95BD-8CA5-4462-ADCD-062E3447F69A}"/>
    <cellStyle name="쉼표 [0] 2 21 11 3 2 3" xfId="10906" xr:uid="{BDB73C5F-CDD3-4129-BBFE-67CD5709D423}"/>
    <cellStyle name="쉼표 [0] 2 21 11 3 3" xfId="5418" xr:uid="{00000000-0005-0000-0000-0000AA0B0000}"/>
    <cellStyle name="쉼표 [0] 2 21 11 3 3 2" xfId="12735" xr:uid="{0C9DB7DE-335F-43CD-A0C8-F9774239A7C8}"/>
    <cellStyle name="쉼표 [0] 2 21 11 3 4" xfId="9076" xr:uid="{19913F0D-6353-428D-A9F4-FFADCF5ABBD4}"/>
    <cellStyle name="쉼표 [0] 2 21 11 4" xfId="3584" xr:uid="{00000000-0005-0000-0000-0000AB0B0000}"/>
    <cellStyle name="쉼표 [0] 2 21 11 4 2" xfId="7245" xr:uid="{00000000-0005-0000-0000-0000AC0B0000}"/>
    <cellStyle name="쉼표 [0] 2 21 11 4 2 2" xfId="14562" xr:uid="{6D1138C8-D534-4F72-A98C-5A825234709F}"/>
    <cellStyle name="쉼표 [0] 2 21 11 4 3" xfId="10904" xr:uid="{7C49C3F2-DD65-4BDB-ACDC-E6B9C9248710}"/>
    <cellStyle name="쉼표 [0] 2 21 11 5" xfId="5416" xr:uid="{00000000-0005-0000-0000-0000AD0B0000}"/>
    <cellStyle name="쉼표 [0] 2 21 11 5 2" xfId="12733" xr:uid="{4F5E305D-880F-4635-99D7-8D66BBA9D30D}"/>
    <cellStyle name="쉼표 [0] 2 21 11 6" xfId="9074" xr:uid="{5375DCC7-EEBF-4D66-9856-076E1F7DC4A6}"/>
    <cellStyle name="쉼표 [0] 2 21 12" xfId="1237" xr:uid="{00000000-0005-0000-0000-0000AE0B0000}"/>
    <cellStyle name="쉼표 [0] 2 21 13" xfId="1238" xr:uid="{00000000-0005-0000-0000-0000AF0B0000}"/>
    <cellStyle name="쉼표 [0] 2 21 13 2" xfId="3587" xr:uid="{00000000-0005-0000-0000-0000B00B0000}"/>
    <cellStyle name="쉼표 [0] 2 21 13 2 2" xfId="7248" xr:uid="{00000000-0005-0000-0000-0000B10B0000}"/>
    <cellStyle name="쉼표 [0] 2 21 13 2 2 2" xfId="14565" xr:uid="{5E234ADF-FA72-417F-9710-E5FD66143496}"/>
    <cellStyle name="쉼표 [0] 2 21 13 2 3" xfId="10907" xr:uid="{C9940DF8-EC72-4172-AA9F-8FDDCCE6441B}"/>
    <cellStyle name="쉼표 [0] 2 21 13 3" xfId="5419" xr:uid="{00000000-0005-0000-0000-0000B20B0000}"/>
    <cellStyle name="쉼표 [0] 2 21 13 3 2" xfId="12736" xr:uid="{A06F093E-A2CD-488F-A8F2-CEEB537E247D}"/>
    <cellStyle name="쉼표 [0] 2 21 13 4" xfId="9077" xr:uid="{00943A4A-9A28-4A2E-895A-019173D05E1B}"/>
    <cellStyle name="쉼표 [0] 2 21 14" xfId="1239" xr:uid="{00000000-0005-0000-0000-0000B30B0000}"/>
    <cellStyle name="쉼표 [0] 2 21 14 2" xfId="3588" xr:uid="{00000000-0005-0000-0000-0000B40B0000}"/>
    <cellStyle name="쉼표 [0] 2 21 14 2 2" xfId="7249" xr:uid="{00000000-0005-0000-0000-0000B50B0000}"/>
    <cellStyle name="쉼표 [0] 2 21 14 2 2 2" xfId="14566" xr:uid="{7B522D9E-01E9-45F7-83BB-FB9D894A57DC}"/>
    <cellStyle name="쉼표 [0] 2 21 14 2 3" xfId="10908" xr:uid="{D2B676B8-C08C-4D08-A64B-DCCEF125F9F2}"/>
    <cellStyle name="쉼표 [0] 2 21 14 3" xfId="5420" xr:uid="{00000000-0005-0000-0000-0000B60B0000}"/>
    <cellStyle name="쉼표 [0] 2 21 14 3 2" xfId="12737" xr:uid="{AE4BD5BF-938C-4ED1-953D-A4C6951981A2}"/>
    <cellStyle name="쉼표 [0] 2 21 14 4" xfId="9078" xr:uid="{6E4B42D1-84B9-4211-9774-C911434F3022}"/>
    <cellStyle name="쉼표 [0] 2 21 15" xfId="3580" xr:uid="{00000000-0005-0000-0000-0000B70B0000}"/>
    <cellStyle name="쉼표 [0] 2 21 15 2" xfId="7241" xr:uid="{00000000-0005-0000-0000-0000B80B0000}"/>
    <cellStyle name="쉼표 [0] 2 21 15 2 2" xfId="14558" xr:uid="{508A4538-A797-4C01-A430-0045E7A49538}"/>
    <cellStyle name="쉼표 [0] 2 21 15 3" xfId="10900" xr:uid="{98B7C563-566B-4AAA-BD86-B8A0D10C390F}"/>
    <cellStyle name="쉼표 [0] 2 21 16" xfId="5412" xr:uid="{00000000-0005-0000-0000-0000B90B0000}"/>
    <cellStyle name="쉼표 [0] 2 21 16 2" xfId="12729" xr:uid="{D1B92C96-5D1F-4418-9F48-9EFD6C1EE367}"/>
    <cellStyle name="쉼표 [0] 2 21 17" xfId="9070" xr:uid="{FFA9294A-6BB5-45CB-BF4C-F0DD86B402AC}"/>
    <cellStyle name="쉼표 [0] 2 21 2" xfId="1240" xr:uid="{00000000-0005-0000-0000-0000BA0B0000}"/>
    <cellStyle name="쉼표 [0] 2 21 2 10" xfId="3589" xr:uid="{00000000-0005-0000-0000-0000BB0B0000}"/>
    <cellStyle name="쉼표 [0] 2 21 2 10 2" xfId="7250" xr:uid="{00000000-0005-0000-0000-0000BC0B0000}"/>
    <cellStyle name="쉼표 [0] 2 21 2 10 2 2" xfId="14567" xr:uid="{38527146-570F-4652-A140-2B929C91B3CA}"/>
    <cellStyle name="쉼표 [0] 2 21 2 10 3" xfId="10909" xr:uid="{C1E314EF-FFF2-44E7-9672-AC4A4220C1D5}"/>
    <cellStyle name="쉼표 [0] 2 21 2 11" xfId="5421" xr:uid="{00000000-0005-0000-0000-0000BD0B0000}"/>
    <cellStyle name="쉼표 [0] 2 21 2 11 2" xfId="12738" xr:uid="{9F54FDA2-43AC-451E-AD12-9DADA77B7932}"/>
    <cellStyle name="쉼표 [0] 2 21 2 12" xfId="9079" xr:uid="{6C90D578-0FD2-4AD6-B4BA-8406F0E2F022}"/>
    <cellStyle name="쉼표 [0] 2 21 2 2" xfId="1241" xr:uid="{00000000-0005-0000-0000-0000BE0B0000}"/>
    <cellStyle name="쉼표 [0] 2 21 2 2 10" xfId="5422" xr:uid="{00000000-0005-0000-0000-0000BF0B0000}"/>
    <cellStyle name="쉼표 [0] 2 21 2 2 10 2" xfId="12739" xr:uid="{2CF5A610-A886-42D5-9A5D-4214FAC59440}"/>
    <cellStyle name="쉼표 [0] 2 21 2 2 11" xfId="9080" xr:uid="{0320B0D0-2A25-450E-8FA8-DA5820057544}"/>
    <cellStyle name="쉼표 [0] 2 21 2 2 2" xfId="1242" xr:uid="{00000000-0005-0000-0000-0000C00B0000}"/>
    <cellStyle name="쉼표 [0] 2 21 2 2 2 2" xfId="1243" xr:uid="{00000000-0005-0000-0000-0000C10B0000}"/>
    <cellStyle name="쉼표 [0] 2 21 2 2 2 2 2" xfId="3592" xr:uid="{00000000-0005-0000-0000-0000C20B0000}"/>
    <cellStyle name="쉼표 [0] 2 21 2 2 2 2 2 2" xfId="7253" xr:uid="{00000000-0005-0000-0000-0000C30B0000}"/>
    <cellStyle name="쉼표 [0] 2 21 2 2 2 2 2 2 2" xfId="14570" xr:uid="{74AA21FF-2D5F-47D3-85D8-BE515234EFD7}"/>
    <cellStyle name="쉼표 [0] 2 21 2 2 2 2 2 3" xfId="10912" xr:uid="{A39CCF18-A9F4-46FD-A5DC-1087476CE1C1}"/>
    <cellStyle name="쉼표 [0] 2 21 2 2 2 2 3" xfId="5424" xr:uid="{00000000-0005-0000-0000-0000C40B0000}"/>
    <cellStyle name="쉼표 [0] 2 21 2 2 2 2 3 2" xfId="12741" xr:uid="{7ECB1E7D-3CB3-4258-A171-FF602A7C1421}"/>
    <cellStyle name="쉼표 [0] 2 21 2 2 2 2 4" xfId="9082" xr:uid="{CBC9CC24-AA15-4220-ACC5-C68936DA3D65}"/>
    <cellStyle name="쉼표 [0] 2 21 2 2 2 3" xfId="1244" xr:uid="{00000000-0005-0000-0000-0000C50B0000}"/>
    <cellStyle name="쉼표 [0] 2 21 2 2 2 3 2" xfId="3593" xr:uid="{00000000-0005-0000-0000-0000C60B0000}"/>
    <cellStyle name="쉼표 [0] 2 21 2 2 2 3 2 2" xfId="7254" xr:uid="{00000000-0005-0000-0000-0000C70B0000}"/>
    <cellStyle name="쉼표 [0] 2 21 2 2 2 3 2 2 2" xfId="14571" xr:uid="{99C7E4BA-8B8B-45A9-AEA7-12220ACDEDD1}"/>
    <cellStyle name="쉼표 [0] 2 21 2 2 2 3 2 3" xfId="10913" xr:uid="{34B861B0-FCAB-4575-87E8-1AE8871A2B7C}"/>
    <cellStyle name="쉼표 [0] 2 21 2 2 2 3 3" xfId="5425" xr:uid="{00000000-0005-0000-0000-0000C80B0000}"/>
    <cellStyle name="쉼표 [0] 2 21 2 2 2 3 3 2" xfId="12742" xr:uid="{2224F72E-F1DC-4848-A141-5B4E8264E354}"/>
    <cellStyle name="쉼표 [0] 2 21 2 2 2 3 4" xfId="9083" xr:uid="{B1967AD7-EE57-44DE-A345-F9F03B5AB01F}"/>
    <cellStyle name="쉼표 [0] 2 21 2 2 2 4" xfId="3591" xr:uid="{00000000-0005-0000-0000-0000C90B0000}"/>
    <cellStyle name="쉼표 [0] 2 21 2 2 2 4 2" xfId="7252" xr:uid="{00000000-0005-0000-0000-0000CA0B0000}"/>
    <cellStyle name="쉼표 [0] 2 21 2 2 2 4 2 2" xfId="14569" xr:uid="{8276C273-1B62-4D25-86A0-7E1F64D107D9}"/>
    <cellStyle name="쉼표 [0] 2 21 2 2 2 4 3" xfId="10911" xr:uid="{3953B42C-DA17-43F5-B4C7-0E2D392D9C76}"/>
    <cellStyle name="쉼표 [0] 2 21 2 2 2 5" xfId="5423" xr:uid="{00000000-0005-0000-0000-0000CB0B0000}"/>
    <cellStyle name="쉼표 [0] 2 21 2 2 2 5 2" xfId="12740" xr:uid="{F1215452-AE14-4E20-9502-F10BF1B86A56}"/>
    <cellStyle name="쉼표 [0] 2 21 2 2 2 6" xfId="9081" xr:uid="{3070CF26-93A2-4356-903F-49FA35FC32BA}"/>
    <cellStyle name="쉼표 [0] 2 21 2 2 3" xfId="1245" xr:uid="{00000000-0005-0000-0000-0000CC0B0000}"/>
    <cellStyle name="쉼표 [0] 2 21 2 2 3 2" xfId="1246" xr:uid="{00000000-0005-0000-0000-0000CD0B0000}"/>
    <cellStyle name="쉼표 [0] 2 21 2 2 3 2 2" xfId="3595" xr:uid="{00000000-0005-0000-0000-0000CE0B0000}"/>
    <cellStyle name="쉼표 [0] 2 21 2 2 3 2 2 2" xfId="7256" xr:uid="{00000000-0005-0000-0000-0000CF0B0000}"/>
    <cellStyle name="쉼표 [0] 2 21 2 2 3 2 2 2 2" xfId="14573" xr:uid="{C53C031A-0448-456D-9A4E-BC9DB15525B6}"/>
    <cellStyle name="쉼표 [0] 2 21 2 2 3 2 2 3" xfId="10915" xr:uid="{AC0DD5D1-4A0E-4199-96E8-F7ADC0D116A5}"/>
    <cellStyle name="쉼표 [0] 2 21 2 2 3 2 3" xfId="5427" xr:uid="{00000000-0005-0000-0000-0000D00B0000}"/>
    <cellStyle name="쉼표 [0] 2 21 2 2 3 2 3 2" xfId="12744" xr:uid="{ECB09F63-2BD6-47C6-8EB5-B6F08A19CD14}"/>
    <cellStyle name="쉼표 [0] 2 21 2 2 3 2 4" xfId="9085" xr:uid="{05F43A00-81F7-4DE1-B1F0-830B2D2C0B45}"/>
    <cellStyle name="쉼표 [0] 2 21 2 2 3 3" xfId="1247" xr:uid="{00000000-0005-0000-0000-0000D10B0000}"/>
    <cellStyle name="쉼표 [0] 2 21 2 2 3 3 2" xfId="3596" xr:uid="{00000000-0005-0000-0000-0000D20B0000}"/>
    <cellStyle name="쉼표 [0] 2 21 2 2 3 3 2 2" xfId="7257" xr:uid="{00000000-0005-0000-0000-0000D30B0000}"/>
    <cellStyle name="쉼표 [0] 2 21 2 2 3 3 2 2 2" xfId="14574" xr:uid="{CFCE2A62-43EF-4DE6-8164-B993F856EDDA}"/>
    <cellStyle name="쉼표 [0] 2 21 2 2 3 3 2 3" xfId="10916" xr:uid="{E946348F-2917-44DD-B7C0-8C8CC447F492}"/>
    <cellStyle name="쉼표 [0] 2 21 2 2 3 3 3" xfId="5428" xr:uid="{00000000-0005-0000-0000-0000D40B0000}"/>
    <cellStyle name="쉼표 [0] 2 21 2 2 3 3 3 2" xfId="12745" xr:uid="{733EEC03-C9AC-4A35-AD56-14A5E627448B}"/>
    <cellStyle name="쉼표 [0] 2 21 2 2 3 3 4" xfId="9086" xr:uid="{424CEC41-AC0E-4552-8142-1F07538C9CAC}"/>
    <cellStyle name="쉼표 [0] 2 21 2 2 3 4" xfId="3594" xr:uid="{00000000-0005-0000-0000-0000D50B0000}"/>
    <cellStyle name="쉼표 [0] 2 21 2 2 3 4 2" xfId="7255" xr:uid="{00000000-0005-0000-0000-0000D60B0000}"/>
    <cellStyle name="쉼표 [0] 2 21 2 2 3 4 2 2" xfId="14572" xr:uid="{1F5DAC96-19A9-40E0-9245-772373FDB24A}"/>
    <cellStyle name="쉼표 [0] 2 21 2 2 3 4 3" xfId="10914" xr:uid="{AA31F76B-54B6-413B-BADA-D29599F8C6CF}"/>
    <cellStyle name="쉼표 [0] 2 21 2 2 3 5" xfId="5426" xr:uid="{00000000-0005-0000-0000-0000D70B0000}"/>
    <cellStyle name="쉼표 [0] 2 21 2 2 3 5 2" xfId="12743" xr:uid="{00E29121-0D1B-4DB8-86D5-E48ACDE4A04C}"/>
    <cellStyle name="쉼표 [0] 2 21 2 2 3 6" xfId="9084" xr:uid="{699037C2-4AD9-4DC3-983F-4B048E9ADBD9}"/>
    <cellStyle name="쉼표 [0] 2 21 2 2 4" xfId="1248" xr:uid="{00000000-0005-0000-0000-0000D80B0000}"/>
    <cellStyle name="쉼표 [0] 2 21 2 2 4 2" xfId="1249" xr:uid="{00000000-0005-0000-0000-0000D90B0000}"/>
    <cellStyle name="쉼표 [0] 2 21 2 2 4 2 2" xfId="3598" xr:uid="{00000000-0005-0000-0000-0000DA0B0000}"/>
    <cellStyle name="쉼표 [0] 2 21 2 2 4 2 2 2" xfId="7259" xr:uid="{00000000-0005-0000-0000-0000DB0B0000}"/>
    <cellStyle name="쉼표 [0] 2 21 2 2 4 2 2 2 2" xfId="14576" xr:uid="{49CE3B98-468A-48F8-9BBD-95C161FB7984}"/>
    <cellStyle name="쉼표 [0] 2 21 2 2 4 2 2 3" xfId="10918" xr:uid="{F59AF833-B27C-490A-83A7-BAE236E23357}"/>
    <cellStyle name="쉼표 [0] 2 21 2 2 4 2 3" xfId="5430" xr:uid="{00000000-0005-0000-0000-0000DC0B0000}"/>
    <cellStyle name="쉼표 [0] 2 21 2 2 4 2 3 2" xfId="12747" xr:uid="{14BBF0CB-B265-42CF-B876-09DFF7A71178}"/>
    <cellStyle name="쉼표 [0] 2 21 2 2 4 2 4" xfId="9088" xr:uid="{812CF481-88B2-46B1-896D-7D5445514573}"/>
    <cellStyle name="쉼표 [0] 2 21 2 2 4 3" xfId="1250" xr:uid="{00000000-0005-0000-0000-0000DD0B0000}"/>
    <cellStyle name="쉼표 [0] 2 21 2 2 4 3 2" xfId="3599" xr:uid="{00000000-0005-0000-0000-0000DE0B0000}"/>
    <cellStyle name="쉼표 [0] 2 21 2 2 4 3 2 2" xfId="7260" xr:uid="{00000000-0005-0000-0000-0000DF0B0000}"/>
    <cellStyle name="쉼표 [0] 2 21 2 2 4 3 2 2 2" xfId="14577" xr:uid="{A1027B93-736F-4579-895A-22DABD8A86AA}"/>
    <cellStyle name="쉼표 [0] 2 21 2 2 4 3 2 3" xfId="10919" xr:uid="{171B2E6C-987B-40D8-BC16-7FBF39BE93F5}"/>
    <cellStyle name="쉼표 [0] 2 21 2 2 4 3 3" xfId="5431" xr:uid="{00000000-0005-0000-0000-0000E00B0000}"/>
    <cellStyle name="쉼표 [0] 2 21 2 2 4 3 3 2" xfId="12748" xr:uid="{6BB8A1F7-5C91-46AA-B9B0-707BD93314CF}"/>
    <cellStyle name="쉼표 [0] 2 21 2 2 4 3 4" xfId="9089" xr:uid="{F45545AC-0E4A-4F33-8E6D-794B3D2F8450}"/>
    <cellStyle name="쉼표 [0] 2 21 2 2 4 4" xfId="3597" xr:uid="{00000000-0005-0000-0000-0000E10B0000}"/>
    <cellStyle name="쉼표 [0] 2 21 2 2 4 4 2" xfId="7258" xr:uid="{00000000-0005-0000-0000-0000E20B0000}"/>
    <cellStyle name="쉼표 [0] 2 21 2 2 4 4 2 2" xfId="14575" xr:uid="{5E70B8B1-A91A-4348-9B69-43ED60C365CD}"/>
    <cellStyle name="쉼표 [0] 2 21 2 2 4 4 3" xfId="10917" xr:uid="{D40F1D95-4947-417A-896F-DEC4B353093E}"/>
    <cellStyle name="쉼표 [0] 2 21 2 2 4 5" xfId="5429" xr:uid="{00000000-0005-0000-0000-0000E30B0000}"/>
    <cellStyle name="쉼표 [0] 2 21 2 2 4 5 2" xfId="12746" xr:uid="{40EFEEE0-0974-44B3-8133-49AD3CCAA903}"/>
    <cellStyle name="쉼표 [0] 2 21 2 2 4 6" xfId="9087" xr:uid="{D673D108-6202-4960-B1DC-0C04452D8000}"/>
    <cellStyle name="쉼표 [0] 2 21 2 2 5" xfId="1251" xr:uid="{00000000-0005-0000-0000-0000E40B0000}"/>
    <cellStyle name="쉼표 [0] 2 21 2 2 5 2" xfId="1252" xr:uid="{00000000-0005-0000-0000-0000E50B0000}"/>
    <cellStyle name="쉼표 [0] 2 21 2 2 5 2 2" xfId="3601" xr:uid="{00000000-0005-0000-0000-0000E60B0000}"/>
    <cellStyle name="쉼표 [0] 2 21 2 2 5 2 2 2" xfId="7262" xr:uid="{00000000-0005-0000-0000-0000E70B0000}"/>
    <cellStyle name="쉼표 [0] 2 21 2 2 5 2 2 2 2" xfId="14579" xr:uid="{F4AC4182-4809-4512-91B5-E67810D46759}"/>
    <cellStyle name="쉼표 [0] 2 21 2 2 5 2 2 3" xfId="10921" xr:uid="{1BEF3EE5-98FE-46E7-887A-44F3A2065E66}"/>
    <cellStyle name="쉼표 [0] 2 21 2 2 5 2 3" xfId="5433" xr:uid="{00000000-0005-0000-0000-0000E80B0000}"/>
    <cellStyle name="쉼표 [0] 2 21 2 2 5 2 3 2" xfId="12750" xr:uid="{A8B46850-B2CE-4574-AD4B-D703FF934F01}"/>
    <cellStyle name="쉼표 [0] 2 21 2 2 5 2 4" xfId="9091" xr:uid="{E7736E3B-C150-4B87-A467-C27A94BF9B11}"/>
    <cellStyle name="쉼표 [0] 2 21 2 2 5 3" xfId="1253" xr:uid="{00000000-0005-0000-0000-0000E90B0000}"/>
    <cellStyle name="쉼표 [0] 2 21 2 2 5 3 2" xfId="3602" xr:uid="{00000000-0005-0000-0000-0000EA0B0000}"/>
    <cellStyle name="쉼표 [0] 2 21 2 2 5 3 2 2" xfId="7263" xr:uid="{00000000-0005-0000-0000-0000EB0B0000}"/>
    <cellStyle name="쉼표 [0] 2 21 2 2 5 3 2 2 2" xfId="14580" xr:uid="{B81CA48B-4658-4800-9442-4A3A6F434380}"/>
    <cellStyle name="쉼표 [0] 2 21 2 2 5 3 2 3" xfId="10922" xr:uid="{7BFFBFFF-7C21-49CC-820F-C2F7A9DA82A8}"/>
    <cellStyle name="쉼표 [0] 2 21 2 2 5 3 3" xfId="5434" xr:uid="{00000000-0005-0000-0000-0000EC0B0000}"/>
    <cellStyle name="쉼표 [0] 2 21 2 2 5 3 3 2" xfId="12751" xr:uid="{CE25F11D-46D2-444C-B93B-D1434764FD62}"/>
    <cellStyle name="쉼표 [0] 2 21 2 2 5 3 4" xfId="9092" xr:uid="{D3DC8C68-011D-4DE3-801C-41177DF7963D}"/>
    <cellStyle name="쉼표 [0] 2 21 2 2 5 4" xfId="3600" xr:uid="{00000000-0005-0000-0000-0000ED0B0000}"/>
    <cellStyle name="쉼표 [0] 2 21 2 2 5 4 2" xfId="7261" xr:uid="{00000000-0005-0000-0000-0000EE0B0000}"/>
    <cellStyle name="쉼표 [0] 2 21 2 2 5 4 2 2" xfId="14578" xr:uid="{2DA71715-2940-40F2-A27A-DCD4A7153ACD}"/>
    <cellStyle name="쉼표 [0] 2 21 2 2 5 4 3" xfId="10920" xr:uid="{FAC434EF-741E-4283-B64F-F69B331FEED7}"/>
    <cellStyle name="쉼표 [0] 2 21 2 2 5 5" xfId="5432" xr:uid="{00000000-0005-0000-0000-0000EF0B0000}"/>
    <cellStyle name="쉼표 [0] 2 21 2 2 5 5 2" xfId="12749" xr:uid="{4FE4084F-53B2-431B-BCBF-E843D54B3162}"/>
    <cellStyle name="쉼표 [0] 2 21 2 2 5 6" xfId="9090" xr:uid="{A47E624B-D066-45D7-8B13-E9F56C3DE2E1}"/>
    <cellStyle name="쉼표 [0] 2 21 2 2 6" xfId="1254" xr:uid="{00000000-0005-0000-0000-0000F00B0000}"/>
    <cellStyle name="쉼표 [0] 2 21 2 2 6 2" xfId="1255" xr:uid="{00000000-0005-0000-0000-0000F10B0000}"/>
    <cellStyle name="쉼표 [0] 2 21 2 2 6 2 2" xfId="3604" xr:uid="{00000000-0005-0000-0000-0000F20B0000}"/>
    <cellStyle name="쉼표 [0] 2 21 2 2 6 2 2 2" xfId="7265" xr:uid="{00000000-0005-0000-0000-0000F30B0000}"/>
    <cellStyle name="쉼표 [0] 2 21 2 2 6 2 2 2 2" xfId="14582" xr:uid="{36031E2F-29DC-4E59-B2D9-4F87AD086035}"/>
    <cellStyle name="쉼표 [0] 2 21 2 2 6 2 2 3" xfId="10924" xr:uid="{7970731A-CC6F-482F-85A0-4ADAEB0363D5}"/>
    <cellStyle name="쉼표 [0] 2 21 2 2 6 2 3" xfId="5436" xr:uid="{00000000-0005-0000-0000-0000F40B0000}"/>
    <cellStyle name="쉼표 [0] 2 21 2 2 6 2 3 2" xfId="12753" xr:uid="{4E9E5148-504E-4139-B840-9320B00D8DB7}"/>
    <cellStyle name="쉼표 [0] 2 21 2 2 6 2 4" xfId="9094" xr:uid="{77D9A721-373B-42A8-A871-A2DFD9EC73FC}"/>
    <cellStyle name="쉼표 [0] 2 21 2 2 6 3" xfId="1256" xr:uid="{00000000-0005-0000-0000-0000F50B0000}"/>
    <cellStyle name="쉼표 [0] 2 21 2 2 6 3 2" xfId="3605" xr:uid="{00000000-0005-0000-0000-0000F60B0000}"/>
    <cellStyle name="쉼표 [0] 2 21 2 2 6 3 2 2" xfId="7266" xr:uid="{00000000-0005-0000-0000-0000F70B0000}"/>
    <cellStyle name="쉼표 [0] 2 21 2 2 6 3 2 2 2" xfId="14583" xr:uid="{23EE47D6-47B5-48E4-886C-4D952D2D40CC}"/>
    <cellStyle name="쉼표 [0] 2 21 2 2 6 3 2 3" xfId="10925" xr:uid="{B53CF065-DD53-484C-ADC8-1E3D10A9A9CE}"/>
    <cellStyle name="쉼표 [0] 2 21 2 2 6 3 3" xfId="5437" xr:uid="{00000000-0005-0000-0000-0000F80B0000}"/>
    <cellStyle name="쉼표 [0] 2 21 2 2 6 3 3 2" xfId="12754" xr:uid="{63C3EE7A-9EB2-41F9-8964-46B8046E67CB}"/>
    <cellStyle name="쉼표 [0] 2 21 2 2 6 3 4" xfId="9095" xr:uid="{E44FE79C-CABF-4F87-8F30-4CAEE31731CD}"/>
    <cellStyle name="쉼표 [0] 2 21 2 2 6 4" xfId="3603" xr:uid="{00000000-0005-0000-0000-0000F90B0000}"/>
    <cellStyle name="쉼표 [0] 2 21 2 2 6 4 2" xfId="7264" xr:uid="{00000000-0005-0000-0000-0000FA0B0000}"/>
    <cellStyle name="쉼표 [0] 2 21 2 2 6 4 2 2" xfId="14581" xr:uid="{D4D3D62B-77B3-44E0-A6C6-240BACA999D0}"/>
    <cellStyle name="쉼표 [0] 2 21 2 2 6 4 3" xfId="10923" xr:uid="{A7FBB20A-61C3-4D21-BD65-6D26FD2F9261}"/>
    <cellStyle name="쉼표 [0] 2 21 2 2 6 5" xfId="5435" xr:uid="{00000000-0005-0000-0000-0000FB0B0000}"/>
    <cellStyle name="쉼표 [0] 2 21 2 2 6 5 2" xfId="12752" xr:uid="{3737ECAC-5D7A-438E-805A-53A12500E566}"/>
    <cellStyle name="쉼표 [0] 2 21 2 2 6 6" xfId="9093" xr:uid="{765027F9-3545-472B-890B-8CEEE61AFB52}"/>
    <cellStyle name="쉼표 [0] 2 21 2 2 7" xfId="1257" xr:uid="{00000000-0005-0000-0000-0000FC0B0000}"/>
    <cellStyle name="쉼표 [0] 2 21 2 2 7 2" xfId="3606" xr:uid="{00000000-0005-0000-0000-0000FD0B0000}"/>
    <cellStyle name="쉼표 [0] 2 21 2 2 7 2 2" xfId="7267" xr:uid="{00000000-0005-0000-0000-0000FE0B0000}"/>
    <cellStyle name="쉼표 [0] 2 21 2 2 7 2 2 2" xfId="14584" xr:uid="{2E34FD8A-2319-45CA-86AB-94F7E797F9B3}"/>
    <cellStyle name="쉼표 [0] 2 21 2 2 7 2 3" xfId="10926" xr:uid="{0A1864DB-9D0D-40B2-8B1C-CEDB3DFCA8F5}"/>
    <cellStyle name="쉼표 [0] 2 21 2 2 7 3" xfId="5438" xr:uid="{00000000-0005-0000-0000-0000FF0B0000}"/>
    <cellStyle name="쉼표 [0] 2 21 2 2 7 3 2" xfId="12755" xr:uid="{96B66E3D-DD87-44AF-99C2-A79B5E948383}"/>
    <cellStyle name="쉼표 [0] 2 21 2 2 7 4" xfId="9096" xr:uid="{EC56B794-14F9-4304-AFDB-7FEB5B1311D0}"/>
    <cellStyle name="쉼표 [0] 2 21 2 2 8" xfId="1258" xr:uid="{00000000-0005-0000-0000-0000000C0000}"/>
    <cellStyle name="쉼표 [0] 2 21 2 2 8 2" xfId="3607" xr:uid="{00000000-0005-0000-0000-0000010C0000}"/>
    <cellStyle name="쉼표 [0] 2 21 2 2 8 2 2" xfId="7268" xr:uid="{00000000-0005-0000-0000-0000020C0000}"/>
    <cellStyle name="쉼표 [0] 2 21 2 2 8 2 2 2" xfId="14585" xr:uid="{13F47389-0085-4F9F-9A83-5ABB97F0B545}"/>
    <cellStyle name="쉼표 [0] 2 21 2 2 8 2 3" xfId="10927" xr:uid="{57CAFA8F-9FB6-4397-9F9F-A807BF80D97D}"/>
    <cellStyle name="쉼표 [0] 2 21 2 2 8 3" xfId="5439" xr:uid="{00000000-0005-0000-0000-0000030C0000}"/>
    <cellStyle name="쉼표 [0] 2 21 2 2 8 3 2" xfId="12756" xr:uid="{99846A82-DD0B-45F5-B687-B1854529D655}"/>
    <cellStyle name="쉼표 [0] 2 21 2 2 8 4" xfId="9097" xr:uid="{2A7ABBA6-BA7C-493E-AFD4-1113D7362410}"/>
    <cellStyle name="쉼표 [0] 2 21 2 2 9" xfId="3590" xr:uid="{00000000-0005-0000-0000-0000040C0000}"/>
    <cellStyle name="쉼표 [0] 2 21 2 2 9 2" xfId="7251" xr:uid="{00000000-0005-0000-0000-0000050C0000}"/>
    <cellStyle name="쉼표 [0] 2 21 2 2 9 2 2" xfId="14568" xr:uid="{3B2BE393-DDC1-476E-BFF0-E1B58E9E8291}"/>
    <cellStyle name="쉼표 [0] 2 21 2 2 9 3" xfId="10910" xr:uid="{C7D288B3-9B31-4A99-BB72-1F38EDBE7118}"/>
    <cellStyle name="쉼표 [0] 2 21 2 3" xfId="1259" xr:uid="{00000000-0005-0000-0000-0000060C0000}"/>
    <cellStyle name="쉼표 [0] 2 21 2 3 2" xfId="1260" xr:uid="{00000000-0005-0000-0000-0000070C0000}"/>
    <cellStyle name="쉼표 [0] 2 21 2 3 2 2" xfId="3609" xr:uid="{00000000-0005-0000-0000-0000080C0000}"/>
    <cellStyle name="쉼표 [0] 2 21 2 3 2 2 2" xfId="7270" xr:uid="{00000000-0005-0000-0000-0000090C0000}"/>
    <cellStyle name="쉼표 [0] 2 21 2 3 2 2 2 2" xfId="14587" xr:uid="{01C928C8-D228-4034-B3A8-9E7CE9BFE4D8}"/>
    <cellStyle name="쉼표 [0] 2 21 2 3 2 2 3" xfId="10929" xr:uid="{7BBE92DE-DFD8-4284-946E-0C7B81C360F8}"/>
    <cellStyle name="쉼표 [0] 2 21 2 3 2 3" xfId="5441" xr:uid="{00000000-0005-0000-0000-00000A0C0000}"/>
    <cellStyle name="쉼표 [0] 2 21 2 3 2 3 2" xfId="12758" xr:uid="{7FDDC228-37C6-4A11-8F70-B89574CB5DAA}"/>
    <cellStyle name="쉼표 [0] 2 21 2 3 2 4" xfId="9099" xr:uid="{67FC2EFB-28B6-4F96-BDF3-EACABBBA6238}"/>
    <cellStyle name="쉼표 [0] 2 21 2 3 3" xfId="1261" xr:uid="{00000000-0005-0000-0000-00000B0C0000}"/>
    <cellStyle name="쉼표 [0] 2 21 2 3 3 2" xfId="3610" xr:uid="{00000000-0005-0000-0000-00000C0C0000}"/>
    <cellStyle name="쉼표 [0] 2 21 2 3 3 2 2" xfId="7271" xr:uid="{00000000-0005-0000-0000-00000D0C0000}"/>
    <cellStyle name="쉼표 [0] 2 21 2 3 3 2 2 2" xfId="14588" xr:uid="{61F5F2B1-0455-47AD-BF03-526D9FDE1C4A}"/>
    <cellStyle name="쉼표 [0] 2 21 2 3 3 2 3" xfId="10930" xr:uid="{941DE3F1-E51A-43E9-99CD-CD04590EC6F4}"/>
    <cellStyle name="쉼표 [0] 2 21 2 3 3 3" xfId="5442" xr:uid="{00000000-0005-0000-0000-00000E0C0000}"/>
    <cellStyle name="쉼표 [0] 2 21 2 3 3 3 2" xfId="12759" xr:uid="{D19650E1-D03E-47CA-91CB-0D7B6B81230A}"/>
    <cellStyle name="쉼표 [0] 2 21 2 3 3 4" xfId="9100" xr:uid="{9ADE1CF3-7718-4BD5-88A4-8C0EF4D6AC81}"/>
    <cellStyle name="쉼표 [0] 2 21 2 3 4" xfId="3608" xr:uid="{00000000-0005-0000-0000-00000F0C0000}"/>
    <cellStyle name="쉼표 [0] 2 21 2 3 4 2" xfId="7269" xr:uid="{00000000-0005-0000-0000-0000100C0000}"/>
    <cellStyle name="쉼표 [0] 2 21 2 3 4 2 2" xfId="14586" xr:uid="{CDD1949E-8655-4A47-8F20-D522F433B67B}"/>
    <cellStyle name="쉼표 [0] 2 21 2 3 4 3" xfId="10928" xr:uid="{096650EC-D22D-44AB-AEA5-66D5FEEF6368}"/>
    <cellStyle name="쉼표 [0] 2 21 2 3 5" xfId="5440" xr:uid="{00000000-0005-0000-0000-0000110C0000}"/>
    <cellStyle name="쉼표 [0] 2 21 2 3 5 2" xfId="12757" xr:uid="{86710064-B4C7-49C6-8E27-5AF5D8D9B4DF}"/>
    <cellStyle name="쉼표 [0] 2 21 2 3 6" xfId="9098" xr:uid="{0C0148EA-1405-488A-A078-1FA707C1BE55}"/>
    <cellStyle name="쉼표 [0] 2 21 2 4" xfId="1262" xr:uid="{00000000-0005-0000-0000-0000120C0000}"/>
    <cellStyle name="쉼표 [0] 2 21 2 4 2" xfId="1263" xr:uid="{00000000-0005-0000-0000-0000130C0000}"/>
    <cellStyle name="쉼표 [0] 2 21 2 4 2 2" xfId="3612" xr:uid="{00000000-0005-0000-0000-0000140C0000}"/>
    <cellStyle name="쉼표 [0] 2 21 2 4 2 2 2" xfId="7273" xr:uid="{00000000-0005-0000-0000-0000150C0000}"/>
    <cellStyle name="쉼표 [0] 2 21 2 4 2 2 2 2" xfId="14590" xr:uid="{1929B9B9-7BA0-49F9-9A37-DAEEB9246FA0}"/>
    <cellStyle name="쉼표 [0] 2 21 2 4 2 2 3" xfId="10932" xr:uid="{D9617E92-F5AD-4E33-8E47-C51E989FB230}"/>
    <cellStyle name="쉼표 [0] 2 21 2 4 2 3" xfId="5444" xr:uid="{00000000-0005-0000-0000-0000160C0000}"/>
    <cellStyle name="쉼표 [0] 2 21 2 4 2 3 2" xfId="12761" xr:uid="{7784F1E9-8711-4283-8B2A-BB3CE8D4AA37}"/>
    <cellStyle name="쉼표 [0] 2 21 2 4 2 4" xfId="9102" xr:uid="{B78D64F9-E208-42E7-B268-0D7E16E1FBA1}"/>
    <cellStyle name="쉼표 [0] 2 21 2 4 3" xfId="1264" xr:uid="{00000000-0005-0000-0000-0000170C0000}"/>
    <cellStyle name="쉼표 [0] 2 21 2 4 3 2" xfId="3613" xr:uid="{00000000-0005-0000-0000-0000180C0000}"/>
    <cellStyle name="쉼표 [0] 2 21 2 4 3 2 2" xfId="7274" xr:uid="{00000000-0005-0000-0000-0000190C0000}"/>
    <cellStyle name="쉼표 [0] 2 21 2 4 3 2 2 2" xfId="14591" xr:uid="{8E7D745E-5378-4BC5-BD6B-F3C349385656}"/>
    <cellStyle name="쉼표 [0] 2 21 2 4 3 2 3" xfId="10933" xr:uid="{94C67684-D29D-45A5-AAE2-6BD46723A7A3}"/>
    <cellStyle name="쉼표 [0] 2 21 2 4 3 3" xfId="5445" xr:uid="{00000000-0005-0000-0000-00001A0C0000}"/>
    <cellStyle name="쉼표 [0] 2 21 2 4 3 3 2" xfId="12762" xr:uid="{9A608604-D6DB-469D-83A2-018A316950B3}"/>
    <cellStyle name="쉼표 [0] 2 21 2 4 3 4" xfId="9103" xr:uid="{D8667002-A1BE-4533-A3EC-E7F276CE39F5}"/>
    <cellStyle name="쉼표 [0] 2 21 2 4 4" xfId="3611" xr:uid="{00000000-0005-0000-0000-00001B0C0000}"/>
    <cellStyle name="쉼표 [0] 2 21 2 4 4 2" xfId="7272" xr:uid="{00000000-0005-0000-0000-00001C0C0000}"/>
    <cellStyle name="쉼표 [0] 2 21 2 4 4 2 2" xfId="14589" xr:uid="{E91488DA-B39A-4F1B-B0FD-2F492B17ABF9}"/>
    <cellStyle name="쉼표 [0] 2 21 2 4 4 3" xfId="10931" xr:uid="{761AF83B-40C5-4099-8DE1-603C3CFBE852}"/>
    <cellStyle name="쉼표 [0] 2 21 2 4 5" xfId="5443" xr:uid="{00000000-0005-0000-0000-00001D0C0000}"/>
    <cellStyle name="쉼표 [0] 2 21 2 4 5 2" xfId="12760" xr:uid="{ABC523EC-A86B-4485-B0EA-51FBC73D90A4}"/>
    <cellStyle name="쉼표 [0] 2 21 2 4 6" xfId="9101" xr:uid="{A842B47C-5056-4515-8094-53C873283BF3}"/>
    <cellStyle name="쉼표 [0] 2 21 2 5" xfId="1265" xr:uid="{00000000-0005-0000-0000-00001E0C0000}"/>
    <cellStyle name="쉼표 [0] 2 21 2 5 2" xfId="1266" xr:uid="{00000000-0005-0000-0000-00001F0C0000}"/>
    <cellStyle name="쉼표 [0] 2 21 2 5 2 2" xfId="3615" xr:uid="{00000000-0005-0000-0000-0000200C0000}"/>
    <cellStyle name="쉼표 [0] 2 21 2 5 2 2 2" xfId="7276" xr:uid="{00000000-0005-0000-0000-0000210C0000}"/>
    <cellStyle name="쉼표 [0] 2 21 2 5 2 2 2 2" xfId="14593" xr:uid="{6FF8782A-350B-4F65-9EAF-2759FF908729}"/>
    <cellStyle name="쉼표 [0] 2 21 2 5 2 2 3" xfId="10935" xr:uid="{AC4E7232-3F8A-4863-8272-D3696340635B}"/>
    <cellStyle name="쉼표 [0] 2 21 2 5 2 3" xfId="5447" xr:uid="{00000000-0005-0000-0000-0000220C0000}"/>
    <cellStyle name="쉼표 [0] 2 21 2 5 2 3 2" xfId="12764" xr:uid="{12D1020D-D851-4000-9F03-07C7F64FE3F3}"/>
    <cellStyle name="쉼표 [0] 2 21 2 5 2 4" xfId="9105" xr:uid="{AB50C695-4D91-4493-BE3F-E469DFE60906}"/>
    <cellStyle name="쉼표 [0] 2 21 2 5 3" xfId="1267" xr:uid="{00000000-0005-0000-0000-0000230C0000}"/>
    <cellStyle name="쉼표 [0] 2 21 2 5 3 2" xfId="3616" xr:uid="{00000000-0005-0000-0000-0000240C0000}"/>
    <cellStyle name="쉼표 [0] 2 21 2 5 3 2 2" xfId="7277" xr:uid="{00000000-0005-0000-0000-0000250C0000}"/>
    <cellStyle name="쉼표 [0] 2 21 2 5 3 2 2 2" xfId="14594" xr:uid="{82BB42F4-6565-488D-A379-87FDE2AE8BB0}"/>
    <cellStyle name="쉼표 [0] 2 21 2 5 3 2 3" xfId="10936" xr:uid="{F335766F-0FAF-40B1-A581-2559950935CC}"/>
    <cellStyle name="쉼표 [0] 2 21 2 5 3 3" xfId="5448" xr:uid="{00000000-0005-0000-0000-0000260C0000}"/>
    <cellStyle name="쉼표 [0] 2 21 2 5 3 3 2" xfId="12765" xr:uid="{3D19D265-CEC7-40BD-8333-C90E97131217}"/>
    <cellStyle name="쉼표 [0] 2 21 2 5 3 4" xfId="9106" xr:uid="{4CB32825-28F3-4056-A531-05375C9F5DDF}"/>
    <cellStyle name="쉼표 [0] 2 21 2 5 4" xfId="3614" xr:uid="{00000000-0005-0000-0000-0000270C0000}"/>
    <cellStyle name="쉼표 [0] 2 21 2 5 4 2" xfId="7275" xr:uid="{00000000-0005-0000-0000-0000280C0000}"/>
    <cellStyle name="쉼표 [0] 2 21 2 5 4 2 2" xfId="14592" xr:uid="{B5D52DD9-5395-4D06-98C3-C40457267453}"/>
    <cellStyle name="쉼표 [0] 2 21 2 5 4 3" xfId="10934" xr:uid="{0F2D09BB-DEB5-4EF7-A514-EB5449A4AEB5}"/>
    <cellStyle name="쉼표 [0] 2 21 2 5 5" xfId="5446" xr:uid="{00000000-0005-0000-0000-0000290C0000}"/>
    <cellStyle name="쉼표 [0] 2 21 2 5 5 2" xfId="12763" xr:uid="{CBA5C03B-F4FE-4E6D-AF17-8C0DF6427E70}"/>
    <cellStyle name="쉼표 [0] 2 21 2 5 6" xfId="9104" xr:uid="{975E2B4C-7FB2-40AE-B57E-469BAD8B0D7A}"/>
    <cellStyle name="쉼표 [0] 2 21 2 6" xfId="1268" xr:uid="{00000000-0005-0000-0000-00002A0C0000}"/>
    <cellStyle name="쉼표 [0] 2 21 2 6 2" xfId="1269" xr:uid="{00000000-0005-0000-0000-00002B0C0000}"/>
    <cellStyle name="쉼표 [0] 2 21 2 6 2 2" xfId="3618" xr:uid="{00000000-0005-0000-0000-00002C0C0000}"/>
    <cellStyle name="쉼표 [0] 2 21 2 6 2 2 2" xfId="7279" xr:uid="{00000000-0005-0000-0000-00002D0C0000}"/>
    <cellStyle name="쉼표 [0] 2 21 2 6 2 2 2 2" xfId="14596" xr:uid="{85384487-8F00-448D-B57C-BF968499C2CA}"/>
    <cellStyle name="쉼표 [0] 2 21 2 6 2 2 3" xfId="10938" xr:uid="{A56EC722-3763-48E7-A46C-6170DC20EAF0}"/>
    <cellStyle name="쉼표 [0] 2 21 2 6 2 3" xfId="5450" xr:uid="{00000000-0005-0000-0000-00002E0C0000}"/>
    <cellStyle name="쉼표 [0] 2 21 2 6 2 3 2" xfId="12767" xr:uid="{602CF3D9-7D31-4E4C-A925-A60889F48F67}"/>
    <cellStyle name="쉼표 [0] 2 21 2 6 2 4" xfId="9108" xr:uid="{1387A4A9-A23C-4D72-9060-9CE879B89F9F}"/>
    <cellStyle name="쉼표 [0] 2 21 2 6 3" xfId="1270" xr:uid="{00000000-0005-0000-0000-00002F0C0000}"/>
    <cellStyle name="쉼표 [0] 2 21 2 6 3 2" xfId="3619" xr:uid="{00000000-0005-0000-0000-0000300C0000}"/>
    <cellStyle name="쉼표 [0] 2 21 2 6 3 2 2" xfId="7280" xr:uid="{00000000-0005-0000-0000-0000310C0000}"/>
    <cellStyle name="쉼표 [0] 2 21 2 6 3 2 2 2" xfId="14597" xr:uid="{7769C0D4-4E11-48A0-B2C9-23F8576FDD7D}"/>
    <cellStyle name="쉼표 [0] 2 21 2 6 3 2 3" xfId="10939" xr:uid="{A165FD44-8356-4586-975E-C2215E06D5C9}"/>
    <cellStyle name="쉼표 [0] 2 21 2 6 3 3" xfId="5451" xr:uid="{00000000-0005-0000-0000-0000320C0000}"/>
    <cellStyle name="쉼표 [0] 2 21 2 6 3 3 2" xfId="12768" xr:uid="{EE6175A0-E7C7-4ADF-A44B-8B9957EC0E63}"/>
    <cellStyle name="쉼표 [0] 2 21 2 6 3 4" xfId="9109" xr:uid="{C5AEC846-28FB-4DF6-BA1C-D5F0477BE7D1}"/>
    <cellStyle name="쉼표 [0] 2 21 2 6 4" xfId="3617" xr:uid="{00000000-0005-0000-0000-0000330C0000}"/>
    <cellStyle name="쉼표 [0] 2 21 2 6 4 2" xfId="7278" xr:uid="{00000000-0005-0000-0000-0000340C0000}"/>
    <cellStyle name="쉼표 [0] 2 21 2 6 4 2 2" xfId="14595" xr:uid="{E01BDD10-03DF-432F-B144-7F8CA3098DB0}"/>
    <cellStyle name="쉼표 [0] 2 21 2 6 4 3" xfId="10937" xr:uid="{D2EB9A52-B733-4B6B-8F99-C229375765E6}"/>
    <cellStyle name="쉼표 [0] 2 21 2 6 5" xfId="5449" xr:uid="{00000000-0005-0000-0000-0000350C0000}"/>
    <cellStyle name="쉼표 [0] 2 21 2 6 5 2" xfId="12766" xr:uid="{6924CEA8-C662-4EDB-A02F-AB2CE2B61A23}"/>
    <cellStyle name="쉼표 [0] 2 21 2 6 6" xfId="9107" xr:uid="{20B34BC1-322A-4D91-8093-FC1D7712E4FD}"/>
    <cellStyle name="쉼표 [0] 2 21 2 7" xfId="1271" xr:uid="{00000000-0005-0000-0000-0000360C0000}"/>
    <cellStyle name="쉼표 [0] 2 21 2 7 2" xfId="1272" xr:uid="{00000000-0005-0000-0000-0000370C0000}"/>
    <cellStyle name="쉼표 [0] 2 21 2 7 2 2" xfId="3621" xr:uid="{00000000-0005-0000-0000-0000380C0000}"/>
    <cellStyle name="쉼표 [0] 2 21 2 7 2 2 2" xfId="7282" xr:uid="{00000000-0005-0000-0000-0000390C0000}"/>
    <cellStyle name="쉼표 [0] 2 21 2 7 2 2 2 2" xfId="14599" xr:uid="{1740DB37-C599-4FB9-B02B-5CBBF22B5EBF}"/>
    <cellStyle name="쉼표 [0] 2 21 2 7 2 2 3" xfId="10941" xr:uid="{9728E7D9-B570-4F63-9E87-984BFFA62E3B}"/>
    <cellStyle name="쉼표 [0] 2 21 2 7 2 3" xfId="5453" xr:uid="{00000000-0005-0000-0000-00003A0C0000}"/>
    <cellStyle name="쉼표 [0] 2 21 2 7 2 3 2" xfId="12770" xr:uid="{DB34685D-E896-436B-BBB3-54B521F9A4BD}"/>
    <cellStyle name="쉼표 [0] 2 21 2 7 2 4" xfId="9111" xr:uid="{682797D5-071C-4118-A481-C9D6558D8990}"/>
    <cellStyle name="쉼표 [0] 2 21 2 7 3" xfId="1273" xr:uid="{00000000-0005-0000-0000-00003B0C0000}"/>
    <cellStyle name="쉼표 [0] 2 21 2 7 3 2" xfId="3622" xr:uid="{00000000-0005-0000-0000-00003C0C0000}"/>
    <cellStyle name="쉼표 [0] 2 21 2 7 3 2 2" xfId="7283" xr:uid="{00000000-0005-0000-0000-00003D0C0000}"/>
    <cellStyle name="쉼표 [0] 2 21 2 7 3 2 2 2" xfId="14600" xr:uid="{4AFDD175-91AF-4C88-B478-A94DB64F3E82}"/>
    <cellStyle name="쉼표 [0] 2 21 2 7 3 2 3" xfId="10942" xr:uid="{79E2BC6D-CA85-4DC3-B6A8-B78D8EE83FE9}"/>
    <cellStyle name="쉼표 [0] 2 21 2 7 3 3" xfId="5454" xr:uid="{00000000-0005-0000-0000-00003E0C0000}"/>
    <cellStyle name="쉼표 [0] 2 21 2 7 3 3 2" xfId="12771" xr:uid="{77FD5663-9EAC-4158-9172-7451BC54445E}"/>
    <cellStyle name="쉼표 [0] 2 21 2 7 3 4" xfId="9112" xr:uid="{8D20F08F-1D46-44DD-9F2A-4B61DA4BD433}"/>
    <cellStyle name="쉼표 [0] 2 21 2 7 4" xfId="3620" xr:uid="{00000000-0005-0000-0000-00003F0C0000}"/>
    <cellStyle name="쉼표 [0] 2 21 2 7 4 2" xfId="7281" xr:uid="{00000000-0005-0000-0000-0000400C0000}"/>
    <cellStyle name="쉼표 [0] 2 21 2 7 4 2 2" xfId="14598" xr:uid="{82B9667B-2E61-47C6-9A03-87F211C37009}"/>
    <cellStyle name="쉼표 [0] 2 21 2 7 4 3" xfId="10940" xr:uid="{17865E02-E68B-4D45-9829-652A6856A9E9}"/>
    <cellStyle name="쉼표 [0] 2 21 2 7 5" xfId="5452" xr:uid="{00000000-0005-0000-0000-0000410C0000}"/>
    <cellStyle name="쉼표 [0] 2 21 2 7 5 2" xfId="12769" xr:uid="{82DBE34E-FFE2-43BF-BD33-E3A498B8A3C3}"/>
    <cellStyle name="쉼표 [0] 2 21 2 7 6" xfId="9110" xr:uid="{643C81A6-81EF-487C-90F0-856AB5AF8797}"/>
    <cellStyle name="쉼표 [0] 2 21 2 8" xfId="1274" xr:uid="{00000000-0005-0000-0000-0000420C0000}"/>
    <cellStyle name="쉼표 [0] 2 21 2 8 2" xfId="3623" xr:uid="{00000000-0005-0000-0000-0000430C0000}"/>
    <cellStyle name="쉼표 [0] 2 21 2 8 2 2" xfId="7284" xr:uid="{00000000-0005-0000-0000-0000440C0000}"/>
    <cellStyle name="쉼표 [0] 2 21 2 8 2 2 2" xfId="14601" xr:uid="{BADC93E9-BCA0-4AB8-AFBA-1A7F44792AA5}"/>
    <cellStyle name="쉼표 [0] 2 21 2 8 2 3" xfId="10943" xr:uid="{C0AB046A-BFA1-438C-8A20-9B4D3F9BBF55}"/>
    <cellStyle name="쉼표 [0] 2 21 2 8 3" xfId="5455" xr:uid="{00000000-0005-0000-0000-0000450C0000}"/>
    <cellStyle name="쉼표 [0] 2 21 2 8 3 2" xfId="12772" xr:uid="{4CB8D123-9EA2-4B6D-A52E-8FBC64E9D073}"/>
    <cellStyle name="쉼표 [0] 2 21 2 8 4" xfId="9113" xr:uid="{6FEA1C95-82BD-4BE9-9BFE-2D3D962C81E6}"/>
    <cellStyle name="쉼표 [0] 2 21 2 9" xfId="1275" xr:uid="{00000000-0005-0000-0000-0000460C0000}"/>
    <cellStyle name="쉼표 [0] 2 21 2 9 2" xfId="3624" xr:uid="{00000000-0005-0000-0000-0000470C0000}"/>
    <cellStyle name="쉼표 [0] 2 21 2 9 2 2" xfId="7285" xr:uid="{00000000-0005-0000-0000-0000480C0000}"/>
    <cellStyle name="쉼표 [0] 2 21 2 9 2 2 2" xfId="14602" xr:uid="{F596326C-F4B1-47B4-9A38-C8FE100F9598}"/>
    <cellStyle name="쉼표 [0] 2 21 2 9 2 3" xfId="10944" xr:uid="{270B39C1-898B-4C00-ABE3-B6DCB06DC768}"/>
    <cellStyle name="쉼표 [0] 2 21 2 9 3" xfId="5456" xr:uid="{00000000-0005-0000-0000-0000490C0000}"/>
    <cellStyle name="쉼표 [0] 2 21 2 9 3 2" xfId="12773" xr:uid="{DE0CCCD5-5DC4-48A3-A604-5FC4C0B73C68}"/>
    <cellStyle name="쉼표 [0] 2 21 2 9 4" xfId="9114" xr:uid="{C42251F5-98CE-4E8D-96FE-8E6B098C3269}"/>
    <cellStyle name="쉼표 [0] 2 21 3" xfId="1276" xr:uid="{00000000-0005-0000-0000-00004A0C0000}"/>
    <cellStyle name="쉼표 [0] 2 21 3 10" xfId="3625" xr:uid="{00000000-0005-0000-0000-00004B0C0000}"/>
    <cellStyle name="쉼표 [0] 2 21 3 10 2" xfId="7286" xr:uid="{00000000-0005-0000-0000-00004C0C0000}"/>
    <cellStyle name="쉼표 [0] 2 21 3 10 2 2" xfId="14603" xr:uid="{73B8E89A-C83B-418B-AED7-23BEB55A5132}"/>
    <cellStyle name="쉼표 [0] 2 21 3 10 3" xfId="10945" xr:uid="{79F8C288-B4D7-42DF-8201-AB09B7B3AA53}"/>
    <cellStyle name="쉼표 [0] 2 21 3 11" xfId="5457" xr:uid="{00000000-0005-0000-0000-00004D0C0000}"/>
    <cellStyle name="쉼표 [0] 2 21 3 11 2" xfId="12774" xr:uid="{3EA47AF5-905E-4A82-8E11-84AF273B7E96}"/>
    <cellStyle name="쉼표 [0] 2 21 3 12" xfId="9115" xr:uid="{5C570C67-70F8-413D-A442-8C769D0FAF9A}"/>
    <cellStyle name="쉼표 [0] 2 21 3 2" xfId="1277" xr:uid="{00000000-0005-0000-0000-00004E0C0000}"/>
    <cellStyle name="쉼표 [0] 2 21 3 2 10" xfId="5458" xr:uid="{00000000-0005-0000-0000-00004F0C0000}"/>
    <cellStyle name="쉼표 [0] 2 21 3 2 10 2" xfId="12775" xr:uid="{6B0D3725-3E69-4276-AF46-7D1F828FD265}"/>
    <cellStyle name="쉼표 [0] 2 21 3 2 11" xfId="9116" xr:uid="{A01210CB-7FF4-4BD3-9E26-EAC8FE460E0F}"/>
    <cellStyle name="쉼표 [0] 2 21 3 2 2" xfId="1278" xr:uid="{00000000-0005-0000-0000-0000500C0000}"/>
    <cellStyle name="쉼표 [0] 2 21 3 2 2 2" xfId="1279" xr:uid="{00000000-0005-0000-0000-0000510C0000}"/>
    <cellStyle name="쉼표 [0] 2 21 3 2 2 2 2" xfId="3628" xr:uid="{00000000-0005-0000-0000-0000520C0000}"/>
    <cellStyle name="쉼표 [0] 2 21 3 2 2 2 2 2" xfId="7289" xr:uid="{00000000-0005-0000-0000-0000530C0000}"/>
    <cellStyle name="쉼표 [0] 2 21 3 2 2 2 2 2 2" xfId="14606" xr:uid="{C1883FD9-5DC9-490D-8D84-58CD376A7F03}"/>
    <cellStyle name="쉼표 [0] 2 21 3 2 2 2 2 3" xfId="10948" xr:uid="{635BBDBC-1EAB-4619-B996-AE23156701D9}"/>
    <cellStyle name="쉼표 [0] 2 21 3 2 2 2 3" xfId="5460" xr:uid="{00000000-0005-0000-0000-0000540C0000}"/>
    <cellStyle name="쉼표 [0] 2 21 3 2 2 2 3 2" xfId="12777" xr:uid="{2EC266F5-A996-464C-813A-BC9FC8A860EB}"/>
    <cellStyle name="쉼표 [0] 2 21 3 2 2 2 4" xfId="9118" xr:uid="{053FB0F8-3FA6-4BE9-81A0-41FC6E3E1525}"/>
    <cellStyle name="쉼표 [0] 2 21 3 2 2 3" xfId="1280" xr:uid="{00000000-0005-0000-0000-0000550C0000}"/>
    <cellStyle name="쉼표 [0] 2 21 3 2 2 3 2" xfId="3629" xr:uid="{00000000-0005-0000-0000-0000560C0000}"/>
    <cellStyle name="쉼표 [0] 2 21 3 2 2 3 2 2" xfId="7290" xr:uid="{00000000-0005-0000-0000-0000570C0000}"/>
    <cellStyle name="쉼표 [0] 2 21 3 2 2 3 2 2 2" xfId="14607" xr:uid="{560F9080-D961-485B-8D7D-23D166DE4FA6}"/>
    <cellStyle name="쉼표 [0] 2 21 3 2 2 3 2 3" xfId="10949" xr:uid="{C6B480B2-4F61-42A8-ADAE-4955A9704E93}"/>
    <cellStyle name="쉼표 [0] 2 21 3 2 2 3 3" xfId="5461" xr:uid="{00000000-0005-0000-0000-0000580C0000}"/>
    <cellStyle name="쉼표 [0] 2 21 3 2 2 3 3 2" xfId="12778" xr:uid="{7989A418-63C0-4ADB-8066-36D356FD7FD7}"/>
    <cellStyle name="쉼표 [0] 2 21 3 2 2 3 4" xfId="9119" xr:uid="{3C0AAE79-B9F8-48B8-B8B3-2B7158828F9F}"/>
    <cellStyle name="쉼표 [0] 2 21 3 2 2 4" xfId="3627" xr:uid="{00000000-0005-0000-0000-0000590C0000}"/>
    <cellStyle name="쉼표 [0] 2 21 3 2 2 4 2" xfId="7288" xr:uid="{00000000-0005-0000-0000-00005A0C0000}"/>
    <cellStyle name="쉼표 [0] 2 21 3 2 2 4 2 2" xfId="14605" xr:uid="{A58196D7-B9DB-4BA7-B231-02942AA3866F}"/>
    <cellStyle name="쉼표 [0] 2 21 3 2 2 4 3" xfId="10947" xr:uid="{5310EA0C-AF79-478A-80D3-B1E89DA2E4F5}"/>
    <cellStyle name="쉼표 [0] 2 21 3 2 2 5" xfId="5459" xr:uid="{00000000-0005-0000-0000-00005B0C0000}"/>
    <cellStyle name="쉼표 [0] 2 21 3 2 2 5 2" xfId="12776" xr:uid="{747D9333-6445-4EBA-8373-6B08A58DAA4B}"/>
    <cellStyle name="쉼표 [0] 2 21 3 2 2 6" xfId="9117" xr:uid="{A39C10B6-32DA-4F9B-A50C-25EA9E5358BC}"/>
    <cellStyle name="쉼표 [0] 2 21 3 2 3" xfId="1281" xr:uid="{00000000-0005-0000-0000-00005C0C0000}"/>
    <cellStyle name="쉼표 [0] 2 21 3 2 3 2" xfId="1282" xr:uid="{00000000-0005-0000-0000-00005D0C0000}"/>
    <cellStyle name="쉼표 [0] 2 21 3 2 3 2 2" xfId="3631" xr:uid="{00000000-0005-0000-0000-00005E0C0000}"/>
    <cellStyle name="쉼표 [0] 2 21 3 2 3 2 2 2" xfId="7292" xr:uid="{00000000-0005-0000-0000-00005F0C0000}"/>
    <cellStyle name="쉼표 [0] 2 21 3 2 3 2 2 2 2" xfId="14609" xr:uid="{98651D25-DCD0-40F6-86BC-9959A62082AB}"/>
    <cellStyle name="쉼표 [0] 2 21 3 2 3 2 2 3" xfId="10951" xr:uid="{9EFBB926-1333-499E-9C69-CC4E3EB5A277}"/>
    <cellStyle name="쉼표 [0] 2 21 3 2 3 2 3" xfId="5463" xr:uid="{00000000-0005-0000-0000-0000600C0000}"/>
    <cellStyle name="쉼표 [0] 2 21 3 2 3 2 3 2" xfId="12780" xr:uid="{C8DA38FC-1673-497E-9777-91A07B771935}"/>
    <cellStyle name="쉼표 [0] 2 21 3 2 3 2 4" xfId="9121" xr:uid="{D0B7E32F-7AB0-4130-B9C2-A06DEDE9BBE2}"/>
    <cellStyle name="쉼표 [0] 2 21 3 2 3 3" xfId="1283" xr:uid="{00000000-0005-0000-0000-0000610C0000}"/>
    <cellStyle name="쉼표 [0] 2 21 3 2 3 3 2" xfId="3632" xr:uid="{00000000-0005-0000-0000-0000620C0000}"/>
    <cellStyle name="쉼표 [0] 2 21 3 2 3 3 2 2" xfId="7293" xr:uid="{00000000-0005-0000-0000-0000630C0000}"/>
    <cellStyle name="쉼표 [0] 2 21 3 2 3 3 2 2 2" xfId="14610" xr:uid="{A56BA6A5-D07D-47BE-8FE7-C0561F6F9330}"/>
    <cellStyle name="쉼표 [0] 2 21 3 2 3 3 2 3" xfId="10952" xr:uid="{4FB8C2C3-0CDA-4068-85B0-1C8DAAE8EDDC}"/>
    <cellStyle name="쉼표 [0] 2 21 3 2 3 3 3" xfId="5464" xr:uid="{00000000-0005-0000-0000-0000640C0000}"/>
    <cellStyle name="쉼표 [0] 2 21 3 2 3 3 3 2" xfId="12781" xr:uid="{09A4BB17-AE0A-41EE-A47C-DBD139A5240B}"/>
    <cellStyle name="쉼표 [0] 2 21 3 2 3 3 4" xfId="9122" xr:uid="{64ADFC80-0B9D-474B-898B-9043FDA5D3CF}"/>
    <cellStyle name="쉼표 [0] 2 21 3 2 3 4" xfId="3630" xr:uid="{00000000-0005-0000-0000-0000650C0000}"/>
    <cellStyle name="쉼표 [0] 2 21 3 2 3 4 2" xfId="7291" xr:uid="{00000000-0005-0000-0000-0000660C0000}"/>
    <cellStyle name="쉼표 [0] 2 21 3 2 3 4 2 2" xfId="14608" xr:uid="{C1AB83FB-8682-4459-ADAD-19372A22971F}"/>
    <cellStyle name="쉼표 [0] 2 21 3 2 3 4 3" xfId="10950" xr:uid="{985F5CA8-E281-471A-9BCB-42B7E7C0B395}"/>
    <cellStyle name="쉼표 [0] 2 21 3 2 3 5" xfId="5462" xr:uid="{00000000-0005-0000-0000-0000670C0000}"/>
    <cellStyle name="쉼표 [0] 2 21 3 2 3 5 2" xfId="12779" xr:uid="{3A427218-01F4-4A12-AB8D-358511554026}"/>
    <cellStyle name="쉼표 [0] 2 21 3 2 3 6" xfId="9120" xr:uid="{A8AEB4D8-C095-458F-8BAD-184584A32E53}"/>
    <cellStyle name="쉼표 [0] 2 21 3 2 4" xfId="1284" xr:uid="{00000000-0005-0000-0000-0000680C0000}"/>
    <cellStyle name="쉼표 [0] 2 21 3 2 4 2" xfId="1285" xr:uid="{00000000-0005-0000-0000-0000690C0000}"/>
    <cellStyle name="쉼표 [0] 2 21 3 2 4 2 2" xfId="3634" xr:uid="{00000000-0005-0000-0000-00006A0C0000}"/>
    <cellStyle name="쉼표 [0] 2 21 3 2 4 2 2 2" xfId="7295" xr:uid="{00000000-0005-0000-0000-00006B0C0000}"/>
    <cellStyle name="쉼표 [0] 2 21 3 2 4 2 2 2 2" xfId="14612" xr:uid="{673F86A0-24DA-4BB9-9EEA-90D1EF6782F3}"/>
    <cellStyle name="쉼표 [0] 2 21 3 2 4 2 2 3" xfId="10954" xr:uid="{A1880457-8058-44DA-83F6-D01C40A7D6C3}"/>
    <cellStyle name="쉼표 [0] 2 21 3 2 4 2 3" xfId="5466" xr:uid="{00000000-0005-0000-0000-00006C0C0000}"/>
    <cellStyle name="쉼표 [0] 2 21 3 2 4 2 3 2" xfId="12783" xr:uid="{A58C16BF-8E44-4361-BE17-2BC3595CC04F}"/>
    <cellStyle name="쉼표 [0] 2 21 3 2 4 2 4" xfId="9124" xr:uid="{4E2A9E24-E69F-4904-8C5E-095E041E47B1}"/>
    <cellStyle name="쉼표 [0] 2 21 3 2 4 3" xfId="1286" xr:uid="{00000000-0005-0000-0000-00006D0C0000}"/>
    <cellStyle name="쉼표 [0] 2 21 3 2 4 3 2" xfId="3635" xr:uid="{00000000-0005-0000-0000-00006E0C0000}"/>
    <cellStyle name="쉼표 [0] 2 21 3 2 4 3 2 2" xfId="7296" xr:uid="{00000000-0005-0000-0000-00006F0C0000}"/>
    <cellStyle name="쉼표 [0] 2 21 3 2 4 3 2 2 2" xfId="14613" xr:uid="{D4AAA260-C473-4234-97E2-D24757B81926}"/>
    <cellStyle name="쉼표 [0] 2 21 3 2 4 3 2 3" xfId="10955" xr:uid="{DB464E30-EB95-46CA-B89F-B96CFC00F046}"/>
    <cellStyle name="쉼표 [0] 2 21 3 2 4 3 3" xfId="5467" xr:uid="{00000000-0005-0000-0000-0000700C0000}"/>
    <cellStyle name="쉼표 [0] 2 21 3 2 4 3 3 2" xfId="12784" xr:uid="{A2C69703-BD70-4ADD-AE83-CB8DB81965EC}"/>
    <cellStyle name="쉼표 [0] 2 21 3 2 4 3 4" xfId="9125" xr:uid="{2EFB3C74-0497-4B35-8514-EA24ECFE6E0B}"/>
    <cellStyle name="쉼표 [0] 2 21 3 2 4 4" xfId="3633" xr:uid="{00000000-0005-0000-0000-0000710C0000}"/>
    <cellStyle name="쉼표 [0] 2 21 3 2 4 4 2" xfId="7294" xr:uid="{00000000-0005-0000-0000-0000720C0000}"/>
    <cellStyle name="쉼표 [0] 2 21 3 2 4 4 2 2" xfId="14611" xr:uid="{699C2DA4-335D-47B2-90D2-F1DB58BF01B6}"/>
    <cellStyle name="쉼표 [0] 2 21 3 2 4 4 3" xfId="10953" xr:uid="{B1CAA4A4-D198-4271-9A3C-6B2B7B4EA63B}"/>
    <cellStyle name="쉼표 [0] 2 21 3 2 4 5" xfId="5465" xr:uid="{00000000-0005-0000-0000-0000730C0000}"/>
    <cellStyle name="쉼표 [0] 2 21 3 2 4 5 2" xfId="12782" xr:uid="{57E43628-F115-45B0-9C80-64EFACFFE8DC}"/>
    <cellStyle name="쉼표 [0] 2 21 3 2 4 6" xfId="9123" xr:uid="{DDCBFF4E-8E4D-4295-A333-9DEF344E1A1B}"/>
    <cellStyle name="쉼표 [0] 2 21 3 2 5" xfId="1287" xr:uid="{00000000-0005-0000-0000-0000740C0000}"/>
    <cellStyle name="쉼표 [0] 2 21 3 2 5 2" xfId="1288" xr:uid="{00000000-0005-0000-0000-0000750C0000}"/>
    <cellStyle name="쉼표 [0] 2 21 3 2 5 2 2" xfId="3637" xr:uid="{00000000-0005-0000-0000-0000760C0000}"/>
    <cellStyle name="쉼표 [0] 2 21 3 2 5 2 2 2" xfId="7298" xr:uid="{00000000-0005-0000-0000-0000770C0000}"/>
    <cellStyle name="쉼표 [0] 2 21 3 2 5 2 2 2 2" xfId="14615" xr:uid="{8179D59D-DCA0-48F2-9852-63EFD744B6C9}"/>
    <cellStyle name="쉼표 [0] 2 21 3 2 5 2 2 3" xfId="10957" xr:uid="{A6F5F70A-07C0-4AE9-9651-4C20E1986F4A}"/>
    <cellStyle name="쉼표 [0] 2 21 3 2 5 2 3" xfId="5469" xr:uid="{00000000-0005-0000-0000-0000780C0000}"/>
    <cellStyle name="쉼표 [0] 2 21 3 2 5 2 3 2" xfId="12786" xr:uid="{05D14CEA-6B5B-41E0-BADE-F46F6D8D43D0}"/>
    <cellStyle name="쉼표 [0] 2 21 3 2 5 2 4" xfId="9127" xr:uid="{EFA40F3A-B0C4-4484-9A47-7B266FBF8D35}"/>
    <cellStyle name="쉼표 [0] 2 21 3 2 5 3" xfId="1289" xr:uid="{00000000-0005-0000-0000-0000790C0000}"/>
    <cellStyle name="쉼표 [0] 2 21 3 2 5 3 2" xfId="3638" xr:uid="{00000000-0005-0000-0000-00007A0C0000}"/>
    <cellStyle name="쉼표 [0] 2 21 3 2 5 3 2 2" xfId="7299" xr:uid="{00000000-0005-0000-0000-00007B0C0000}"/>
    <cellStyle name="쉼표 [0] 2 21 3 2 5 3 2 2 2" xfId="14616" xr:uid="{6EC49E9B-42A5-4F0C-8D94-FA9321FE5389}"/>
    <cellStyle name="쉼표 [0] 2 21 3 2 5 3 2 3" xfId="10958" xr:uid="{23F10CD4-DD39-4211-95A9-F13E2F5D399A}"/>
    <cellStyle name="쉼표 [0] 2 21 3 2 5 3 3" xfId="5470" xr:uid="{00000000-0005-0000-0000-00007C0C0000}"/>
    <cellStyle name="쉼표 [0] 2 21 3 2 5 3 3 2" xfId="12787" xr:uid="{6186C8AD-BD6B-4FF9-A19C-C48788A57480}"/>
    <cellStyle name="쉼표 [0] 2 21 3 2 5 3 4" xfId="9128" xr:uid="{00FBFEAA-31FE-4390-B6E2-6702544B6109}"/>
    <cellStyle name="쉼표 [0] 2 21 3 2 5 4" xfId="3636" xr:uid="{00000000-0005-0000-0000-00007D0C0000}"/>
    <cellStyle name="쉼표 [0] 2 21 3 2 5 4 2" xfId="7297" xr:uid="{00000000-0005-0000-0000-00007E0C0000}"/>
    <cellStyle name="쉼표 [0] 2 21 3 2 5 4 2 2" xfId="14614" xr:uid="{44C522BA-693C-4646-B699-185055ABF9CB}"/>
    <cellStyle name="쉼표 [0] 2 21 3 2 5 4 3" xfId="10956" xr:uid="{D3BC226F-9935-48CB-B7BE-2BA3F67EFF58}"/>
    <cellStyle name="쉼표 [0] 2 21 3 2 5 5" xfId="5468" xr:uid="{00000000-0005-0000-0000-00007F0C0000}"/>
    <cellStyle name="쉼표 [0] 2 21 3 2 5 5 2" xfId="12785" xr:uid="{8E7895E3-2FB8-495B-9E74-5805021C53A7}"/>
    <cellStyle name="쉼표 [0] 2 21 3 2 5 6" xfId="9126" xr:uid="{E6B05CD9-3704-461E-9B65-BDA82CE4A04F}"/>
    <cellStyle name="쉼표 [0] 2 21 3 2 6" xfId="1290" xr:uid="{00000000-0005-0000-0000-0000800C0000}"/>
    <cellStyle name="쉼표 [0] 2 21 3 2 6 2" xfId="1291" xr:uid="{00000000-0005-0000-0000-0000810C0000}"/>
    <cellStyle name="쉼표 [0] 2 21 3 2 6 2 2" xfId="3640" xr:uid="{00000000-0005-0000-0000-0000820C0000}"/>
    <cellStyle name="쉼표 [0] 2 21 3 2 6 2 2 2" xfId="7301" xr:uid="{00000000-0005-0000-0000-0000830C0000}"/>
    <cellStyle name="쉼표 [0] 2 21 3 2 6 2 2 2 2" xfId="14618" xr:uid="{A8BE96B0-8E4D-4048-9ABE-3BDD7F6BD890}"/>
    <cellStyle name="쉼표 [0] 2 21 3 2 6 2 2 3" xfId="10960" xr:uid="{A6D99755-D0D3-4767-9D11-D0B7D21AC795}"/>
    <cellStyle name="쉼표 [0] 2 21 3 2 6 2 3" xfId="5472" xr:uid="{00000000-0005-0000-0000-0000840C0000}"/>
    <cellStyle name="쉼표 [0] 2 21 3 2 6 2 3 2" xfId="12789" xr:uid="{0B89A224-2867-414E-A8F5-2379B58BF0EF}"/>
    <cellStyle name="쉼표 [0] 2 21 3 2 6 2 4" xfId="9130" xr:uid="{58EEB79B-AFE2-4DC5-ADBF-5415F4793DAD}"/>
    <cellStyle name="쉼표 [0] 2 21 3 2 6 3" xfId="1292" xr:uid="{00000000-0005-0000-0000-0000850C0000}"/>
    <cellStyle name="쉼표 [0] 2 21 3 2 6 3 2" xfId="3641" xr:uid="{00000000-0005-0000-0000-0000860C0000}"/>
    <cellStyle name="쉼표 [0] 2 21 3 2 6 3 2 2" xfId="7302" xr:uid="{00000000-0005-0000-0000-0000870C0000}"/>
    <cellStyle name="쉼표 [0] 2 21 3 2 6 3 2 2 2" xfId="14619" xr:uid="{64353356-4EEC-4ED6-8259-ECEC135303FA}"/>
    <cellStyle name="쉼표 [0] 2 21 3 2 6 3 2 3" xfId="10961" xr:uid="{6462040A-D2D0-4B87-B7FF-1CF7054CC0F3}"/>
    <cellStyle name="쉼표 [0] 2 21 3 2 6 3 3" xfId="5473" xr:uid="{00000000-0005-0000-0000-0000880C0000}"/>
    <cellStyle name="쉼표 [0] 2 21 3 2 6 3 3 2" xfId="12790" xr:uid="{5D0EA22F-6F25-47D7-B5A7-12BD7DB8BFDE}"/>
    <cellStyle name="쉼표 [0] 2 21 3 2 6 3 4" xfId="9131" xr:uid="{57792CFC-711D-4A61-92FA-B0F94C6EDBBA}"/>
    <cellStyle name="쉼표 [0] 2 21 3 2 6 4" xfId="3639" xr:uid="{00000000-0005-0000-0000-0000890C0000}"/>
    <cellStyle name="쉼표 [0] 2 21 3 2 6 4 2" xfId="7300" xr:uid="{00000000-0005-0000-0000-00008A0C0000}"/>
    <cellStyle name="쉼표 [0] 2 21 3 2 6 4 2 2" xfId="14617" xr:uid="{FF75A9E7-09F2-497F-98D1-F2BEA68FE3CD}"/>
    <cellStyle name="쉼표 [0] 2 21 3 2 6 4 3" xfId="10959" xr:uid="{DDD386D1-A228-4BB3-979A-AA3A3931F226}"/>
    <cellStyle name="쉼표 [0] 2 21 3 2 6 5" xfId="5471" xr:uid="{00000000-0005-0000-0000-00008B0C0000}"/>
    <cellStyle name="쉼표 [0] 2 21 3 2 6 5 2" xfId="12788" xr:uid="{E313B95E-5142-4C46-BC9F-C65C74AC81C0}"/>
    <cellStyle name="쉼표 [0] 2 21 3 2 6 6" xfId="9129" xr:uid="{A8008FC9-7A00-432B-88A2-89106EA70847}"/>
    <cellStyle name="쉼표 [0] 2 21 3 2 7" xfId="1293" xr:uid="{00000000-0005-0000-0000-00008C0C0000}"/>
    <cellStyle name="쉼표 [0] 2 21 3 2 7 2" xfId="3642" xr:uid="{00000000-0005-0000-0000-00008D0C0000}"/>
    <cellStyle name="쉼표 [0] 2 21 3 2 7 2 2" xfId="7303" xr:uid="{00000000-0005-0000-0000-00008E0C0000}"/>
    <cellStyle name="쉼표 [0] 2 21 3 2 7 2 2 2" xfId="14620" xr:uid="{00EA2673-BE08-4B83-B85A-F9A043E72C91}"/>
    <cellStyle name="쉼표 [0] 2 21 3 2 7 2 3" xfId="10962" xr:uid="{5C7D03D4-6E0E-41A0-8783-B32C719690BB}"/>
    <cellStyle name="쉼표 [0] 2 21 3 2 7 3" xfId="5474" xr:uid="{00000000-0005-0000-0000-00008F0C0000}"/>
    <cellStyle name="쉼표 [0] 2 21 3 2 7 3 2" xfId="12791" xr:uid="{7574A63B-FB85-4AFC-B080-1BD54212539A}"/>
    <cellStyle name="쉼표 [0] 2 21 3 2 7 4" xfId="9132" xr:uid="{56AC07B6-266A-4B4A-A524-5D56F26D1C97}"/>
    <cellStyle name="쉼표 [0] 2 21 3 2 8" xfId="1294" xr:uid="{00000000-0005-0000-0000-0000900C0000}"/>
    <cellStyle name="쉼표 [0] 2 21 3 2 8 2" xfId="3643" xr:uid="{00000000-0005-0000-0000-0000910C0000}"/>
    <cellStyle name="쉼표 [0] 2 21 3 2 8 2 2" xfId="7304" xr:uid="{00000000-0005-0000-0000-0000920C0000}"/>
    <cellStyle name="쉼표 [0] 2 21 3 2 8 2 2 2" xfId="14621" xr:uid="{79C4A662-A23B-4F59-B127-B57B6E7C1912}"/>
    <cellStyle name="쉼표 [0] 2 21 3 2 8 2 3" xfId="10963" xr:uid="{930755A4-56F1-45EF-AA31-7FDD5BBED60D}"/>
    <cellStyle name="쉼표 [0] 2 21 3 2 8 3" xfId="5475" xr:uid="{00000000-0005-0000-0000-0000930C0000}"/>
    <cellStyle name="쉼표 [0] 2 21 3 2 8 3 2" xfId="12792" xr:uid="{2F745E07-19DB-440C-81C0-03CB2F25DBDA}"/>
    <cellStyle name="쉼표 [0] 2 21 3 2 8 4" xfId="9133" xr:uid="{04111DD0-ACC5-4CE8-AB6E-1E133E461678}"/>
    <cellStyle name="쉼표 [0] 2 21 3 2 9" xfId="3626" xr:uid="{00000000-0005-0000-0000-0000940C0000}"/>
    <cellStyle name="쉼표 [0] 2 21 3 2 9 2" xfId="7287" xr:uid="{00000000-0005-0000-0000-0000950C0000}"/>
    <cellStyle name="쉼표 [0] 2 21 3 2 9 2 2" xfId="14604" xr:uid="{CD00E0DC-9904-44D8-998B-3256CDF46355}"/>
    <cellStyle name="쉼표 [0] 2 21 3 2 9 3" xfId="10946" xr:uid="{A3A05E38-B94B-4AE2-9828-1AF6C0E5C154}"/>
    <cellStyle name="쉼표 [0] 2 21 3 3" xfId="1295" xr:uid="{00000000-0005-0000-0000-0000960C0000}"/>
    <cellStyle name="쉼표 [0] 2 21 3 3 2" xfId="1296" xr:uid="{00000000-0005-0000-0000-0000970C0000}"/>
    <cellStyle name="쉼표 [0] 2 21 3 3 2 2" xfId="3645" xr:uid="{00000000-0005-0000-0000-0000980C0000}"/>
    <cellStyle name="쉼표 [0] 2 21 3 3 2 2 2" xfId="7306" xr:uid="{00000000-0005-0000-0000-0000990C0000}"/>
    <cellStyle name="쉼표 [0] 2 21 3 3 2 2 2 2" xfId="14623" xr:uid="{132610C1-8EB4-4BCC-99D9-2BE463422187}"/>
    <cellStyle name="쉼표 [0] 2 21 3 3 2 2 3" xfId="10965" xr:uid="{41C0A76F-EE8C-476B-997F-F0A4A04E133D}"/>
    <cellStyle name="쉼표 [0] 2 21 3 3 2 3" xfId="5477" xr:uid="{00000000-0005-0000-0000-00009A0C0000}"/>
    <cellStyle name="쉼표 [0] 2 21 3 3 2 3 2" xfId="12794" xr:uid="{E6E3C9A6-9A13-4A0E-BB7F-EC1C3D259C98}"/>
    <cellStyle name="쉼표 [0] 2 21 3 3 2 4" xfId="9135" xr:uid="{DE493D71-DC13-43EE-8A54-97143440413E}"/>
    <cellStyle name="쉼표 [0] 2 21 3 3 3" xfId="1297" xr:uid="{00000000-0005-0000-0000-00009B0C0000}"/>
    <cellStyle name="쉼표 [0] 2 21 3 3 3 2" xfId="3646" xr:uid="{00000000-0005-0000-0000-00009C0C0000}"/>
    <cellStyle name="쉼표 [0] 2 21 3 3 3 2 2" xfId="7307" xr:uid="{00000000-0005-0000-0000-00009D0C0000}"/>
    <cellStyle name="쉼표 [0] 2 21 3 3 3 2 2 2" xfId="14624" xr:uid="{4EC974E7-D359-4DA1-A2A7-83F5991C100C}"/>
    <cellStyle name="쉼표 [0] 2 21 3 3 3 2 3" xfId="10966" xr:uid="{18F51E51-60F6-45CA-878B-2F6BB8F614DF}"/>
    <cellStyle name="쉼표 [0] 2 21 3 3 3 3" xfId="5478" xr:uid="{00000000-0005-0000-0000-00009E0C0000}"/>
    <cellStyle name="쉼표 [0] 2 21 3 3 3 3 2" xfId="12795" xr:uid="{AE061AC9-79A7-4359-A2AD-E11CC31051FB}"/>
    <cellStyle name="쉼표 [0] 2 21 3 3 3 4" xfId="9136" xr:uid="{7DA129A7-B009-489F-83E4-85973C51B4EA}"/>
    <cellStyle name="쉼표 [0] 2 21 3 3 4" xfId="3644" xr:uid="{00000000-0005-0000-0000-00009F0C0000}"/>
    <cellStyle name="쉼표 [0] 2 21 3 3 4 2" xfId="7305" xr:uid="{00000000-0005-0000-0000-0000A00C0000}"/>
    <cellStyle name="쉼표 [0] 2 21 3 3 4 2 2" xfId="14622" xr:uid="{F8AD94BB-6C7B-4BE6-99AF-A1C80199282D}"/>
    <cellStyle name="쉼표 [0] 2 21 3 3 4 3" xfId="10964" xr:uid="{07DAE528-93A3-4829-8E38-2E236F393DB2}"/>
    <cellStyle name="쉼표 [0] 2 21 3 3 5" xfId="5476" xr:uid="{00000000-0005-0000-0000-0000A10C0000}"/>
    <cellStyle name="쉼표 [0] 2 21 3 3 5 2" xfId="12793" xr:uid="{99BC0A5E-C7BA-4CBE-8CB7-28300B299708}"/>
    <cellStyle name="쉼표 [0] 2 21 3 3 6" xfId="9134" xr:uid="{0980BC27-3331-4BF8-B318-462D8FDC13D4}"/>
    <cellStyle name="쉼표 [0] 2 21 3 4" xfId="1298" xr:uid="{00000000-0005-0000-0000-0000A20C0000}"/>
    <cellStyle name="쉼표 [0] 2 21 3 4 2" xfId="1299" xr:uid="{00000000-0005-0000-0000-0000A30C0000}"/>
    <cellStyle name="쉼표 [0] 2 21 3 4 2 2" xfId="3648" xr:uid="{00000000-0005-0000-0000-0000A40C0000}"/>
    <cellStyle name="쉼표 [0] 2 21 3 4 2 2 2" xfId="7309" xr:uid="{00000000-0005-0000-0000-0000A50C0000}"/>
    <cellStyle name="쉼표 [0] 2 21 3 4 2 2 2 2" xfId="14626" xr:uid="{111E1B17-4862-4070-811F-54D5A5564764}"/>
    <cellStyle name="쉼표 [0] 2 21 3 4 2 2 3" xfId="10968" xr:uid="{3569D0E5-53C1-4C93-99BD-8C13D41FC044}"/>
    <cellStyle name="쉼표 [0] 2 21 3 4 2 3" xfId="5480" xr:uid="{00000000-0005-0000-0000-0000A60C0000}"/>
    <cellStyle name="쉼표 [0] 2 21 3 4 2 3 2" xfId="12797" xr:uid="{03A913C2-CFE2-4957-8F44-167C8D43BEA9}"/>
    <cellStyle name="쉼표 [0] 2 21 3 4 2 4" xfId="9138" xr:uid="{3CCCE34F-1C05-459D-A947-0C8F73238115}"/>
    <cellStyle name="쉼표 [0] 2 21 3 4 3" xfId="1300" xr:uid="{00000000-0005-0000-0000-0000A70C0000}"/>
    <cellStyle name="쉼표 [0] 2 21 3 4 3 2" xfId="3649" xr:uid="{00000000-0005-0000-0000-0000A80C0000}"/>
    <cellStyle name="쉼표 [0] 2 21 3 4 3 2 2" xfId="7310" xr:uid="{00000000-0005-0000-0000-0000A90C0000}"/>
    <cellStyle name="쉼표 [0] 2 21 3 4 3 2 2 2" xfId="14627" xr:uid="{35286492-44E4-4F13-97B5-7DAE4A39617B}"/>
    <cellStyle name="쉼표 [0] 2 21 3 4 3 2 3" xfId="10969" xr:uid="{D9E5772E-CBB1-41CC-941A-7DA2926890F5}"/>
    <cellStyle name="쉼표 [0] 2 21 3 4 3 3" xfId="5481" xr:uid="{00000000-0005-0000-0000-0000AA0C0000}"/>
    <cellStyle name="쉼표 [0] 2 21 3 4 3 3 2" xfId="12798" xr:uid="{B431F982-0738-4589-9756-91F3D5E010A8}"/>
    <cellStyle name="쉼표 [0] 2 21 3 4 3 4" xfId="9139" xr:uid="{7DE76D8C-6A85-493D-80E0-B37EBCE9CF91}"/>
    <cellStyle name="쉼표 [0] 2 21 3 4 4" xfId="3647" xr:uid="{00000000-0005-0000-0000-0000AB0C0000}"/>
    <cellStyle name="쉼표 [0] 2 21 3 4 4 2" xfId="7308" xr:uid="{00000000-0005-0000-0000-0000AC0C0000}"/>
    <cellStyle name="쉼표 [0] 2 21 3 4 4 2 2" xfId="14625" xr:uid="{2619331C-7F6E-464F-8A3F-E684C6E8CAC0}"/>
    <cellStyle name="쉼표 [0] 2 21 3 4 4 3" xfId="10967" xr:uid="{5B988991-1CCF-4635-80CB-29BA88BD73B2}"/>
    <cellStyle name="쉼표 [0] 2 21 3 4 5" xfId="5479" xr:uid="{00000000-0005-0000-0000-0000AD0C0000}"/>
    <cellStyle name="쉼표 [0] 2 21 3 4 5 2" xfId="12796" xr:uid="{4C8FA94D-478C-4182-9E32-A2D79A6428DE}"/>
    <cellStyle name="쉼표 [0] 2 21 3 4 6" xfId="9137" xr:uid="{55A7FEA4-C80B-4620-89DA-DB43C13F651A}"/>
    <cellStyle name="쉼표 [0] 2 21 3 5" xfId="1301" xr:uid="{00000000-0005-0000-0000-0000AE0C0000}"/>
    <cellStyle name="쉼표 [0] 2 21 3 5 2" xfId="1302" xr:uid="{00000000-0005-0000-0000-0000AF0C0000}"/>
    <cellStyle name="쉼표 [0] 2 21 3 5 2 2" xfId="3651" xr:uid="{00000000-0005-0000-0000-0000B00C0000}"/>
    <cellStyle name="쉼표 [0] 2 21 3 5 2 2 2" xfId="7312" xr:uid="{00000000-0005-0000-0000-0000B10C0000}"/>
    <cellStyle name="쉼표 [0] 2 21 3 5 2 2 2 2" xfId="14629" xr:uid="{23222C80-5526-49FF-B35C-2FBBB87CB587}"/>
    <cellStyle name="쉼표 [0] 2 21 3 5 2 2 3" xfId="10971" xr:uid="{A87F7DB9-3349-45AD-B288-A4AC36551855}"/>
    <cellStyle name="쉼표 [0] 2 21 3 5 2 3" xfId="5483" xr:uid="{00000000-0005-0000-0000-0000B20C0000}"/>
    <cellStyle name="쉼표 [0] 2 21 3 5 2 3 2" xfId="12800" xr:uid="{DAE90BC0-1C90-42C8-AC4C-25F95B473F30}"/>
    <cellStyle name="쉼표 [0] 2 21 3 5 2 4" xfId="9141" xr:uid="{A1173BBF-59A6-4C1E-81F0-4D214A8207D2}"/>
    <cellStyle name="쉼표 [0] 2 21 3 5 3" xfId="1303" xr:uid="{00000000-0005-0000-0000-0000B30C0000}"/>
    <cellStyle name="쉼표 [0] 2 21 3 5 3 2" xfId="3652" xr:uid="{00000000-0005-0000-0000-0000B40C0000}"/>
    <cellStyle name="쉼표 [0] 2 21 3 5 3 2 2" xfId="7313" xr:uid="{00000000-0005-0000-0000-0000B50C0000}"/>
    <cellStyle name="쉼표 [0] 2 21 3 5 3 2 2 2" xfId="14630" xr:uid="{7624A453-BC1D-49FC-982B-CFE167E49192}"/>
    <cellStyle name="쉼표 [0] 2 21 3 5 3 2 3" xfId="10972" xr:uid="{5B7965F4-6F72-4C78-8AB4-052C9648907E}"/>
    <cellStyle name="쉼표 [0] 2 21 3 5 3 3" xfId="5484" xr:uid="{00000000-0005-0000-0000-0000B60C0000}"/>
    <cellStyle name="쉼표 [0] 2 21 3 5 3 3 2" xfId="12801" xr:uid="{5393EF0B-147C-440B-A737-6F8F6C2391BA}"/>
    <cellStyle name="쉼표 [0] 2 21 3 5 3 4" xfId="9142" xr:uid="{69AA1F4E-F3AA-4F69-BAFA-C0FFC27EE726}"/>
    <cellStyle name="쉼표 [0] 2 21 3 5 4" xfId="3650" xr:uid="{00000000-0005-0000-0000-0000B70C0000}"/>
    <cellStyle name="쉼표 [0] 2 21 3 5 4 2" xfId="7311" xr:uid="{00000000-0005-0000-0000-0000B80C0000}"/>
    <cellStyle name="쉼표 [0] 2 21 3 5 4 2 2" xfId="14628" xr:uid="{EFCEE208-3BA0-4F59-9A7A-CE44576C1610}"/>
    <cellStyle name="쉼표 [0] 2 21 3 5 4 3" xfId="10970" xr:uid="{54ED37A0-1612-433C-BA88-EF4F9599A911}"/>
    <cellStyle name="쉼표 [0] 2 21 3 5 5" xfId="5482" xr:uid="{00000000-0005-0000-0000-0000B90C0000}"/>
    <cellStyle name="쉼표 [0] 2 21 3 5 5 2" xfId="12799" xr:uid="{5724C8E8-0BB3-4AF0-853D-D0FD89BA09E2}"/>
    <cellStyle name="쉼표 [0] 2 21 3 5 6" xfId="9140" xr:uid="{8939DDAB-B4F6-4E3D-8B6A-81FEFE3A1F0D}"/>
    <cellStyle name="쉼표 [0] 2 21 3 6" xfId="1304" xr:uid="{00000000-0005-0000-0000-0000BA0C0000}"/>
    <cellStyle name="쉼표 [0] 2 21 3 6 2" xfId="1305" xr:uid="{00000000-0005-0000-0000-0000BB0C0000}"/>
    <cellStyle name="쉼표 [0] 2 21 3 6 2 2" xfId="3654" xr:uid="{00000000-0005-0000-0000-0000BC0C0000}"/>
    <cellStyle name="쉼표 [0] 2 21 3 6 2 2 2" xfId="7315" xr:uid="{00000000-0005-0000-0000-0000BD0C0000}"/>
    <cellStyle name="쉼표 [0] 2 21 3 6 2 2 2 2" xfId="14632" xr:uid="{7293AA51-631B-491F-9D0B-829368D06D88}"/>
    <cellStyle name="쉼표 [0] 2 21 3 6 2 2 3" xfId="10974" xr:uid="{3B878F30-89E4-4021-92FD-B90211C443CE}"/>
    <cellStyle name="쉼표 [0] 2 21 3 6 2 3" xfId="5486" xr:uid="{00000000-0005-0000-0000-0000BE0C0000}"/>
    <cellStyle name="쉼표 [0] 2 21 3 6 2 3 2" xfId="12803" xr:uid="{05B5CBD3-2F3C-44C1-86F5-1ABEF61B08DF}"/>
    <cellStyle name="쉼표 [0] 2 21 3 6 2 4" xfId="9144" xr:uid="{3C1F0034-581B-48AD-9457-398F079E92B5}"/>
    <cellStyle name="쉼표 [0] 2 21 3 6 3" xfId="1306" xr:uid="{00000000-0005-0000-0000-0000BF0C0000}"/>
    <cellStyle name="쉼표 [0] 2 21 3 6 3 2" xfId="3655" xr:uid="{00000000-0005-0000-0000-0000C00C0000}"/>
    <cellStyle name="쉼표 [0] 2 21 3 6 3 2 2" xfId="7316" xr:uid="{00000000-0005-0000-0000-0000C10C0000}"/>
    <cellStyle name="쉼표 [0] 2 21 3 6 3 2 2 2" xfId="14633" xr:uid="{7C6B71AF-1CAB-4021-B7F0-135BFC4496EF}"/>
    <cellStyle name="쉼표 [0] 2 21 3 6 3 2 3" xfId="10975" xr:uid="{6972E7C0-40CE-4D73-A8F7-F8CCF2B94B4E}"/>
    <cellStyle name="쉼표 [0] 2 21 3 6 3 3" xfId="5487" xr:uid="{00000000-0005-0000-0000-0000C20C0000}"/>
    <cellStyle name="쉼표 [0] 2 21 3 6 3 3 2" xfId="12804" xr:uid="{96C770B9-19A9-492B-BF41-01E4A1135044}"/>
    <cellStyle name="쉼표 [0] 2 21 3 6 3 4" xfId="9145" xr:uid="{C6834A34-2362-4526-B37B-F9E6BFCEC8F0}"/>
    <cellStyle name="쉼표 [0] 2 21 3 6 4" xfId="3653" xr:uid="{00000000-0005-0000-0000-0000C30C0000}"/>
    <cellStyle name="쉼표 [0] 2 21 3 6 4 2" xfId="7314" xr:uid="{00000000-0005-0000-0000-0000C40C0000}"/>
    <cellStyle name="쉼표 [0] 2 21 3 6 4 2 2" xfId="14631" xr:uid="{42324BD3-5A8D-433E-9A33-7F3378FE9E92}"/>
    <cellStyle name="쉼표 [0] 2 21 3 6 4 3" xfId="10973" xr:uid="{498F8761-BCB3-431D-BCA5-ABBA727E4EAA}"/>
    <cellStyle name="쉼표 [0] 2 21 3 6 5" xfId="5485" xr:uid="{00000000-0005-0000-0000-0000C50C0000}"/>
    <cellStyle name="쉼표 [0] 2 21 3 6 5 2" xfId="12802" xr:uid="{3E07CE77-A04A-4B6A-B51D-57DA494CBC49}"/>
    <cellStyle name="쉼표 [0] 2 21 3 6 6" xfId="9143" xr:uid="{3054433C-4549-43B8-BD1D-1AEC2E8D6CB2}"/>
    <cellStyle name="쉼표 [0] 2 21 3 7" xfId="1307" xr:uid="{00000000-0005-0000-0000-0000C60C0000}"/>
    <cellStyle name="쉼표 [0] 2 21 3 7 2" xfId="1308" xr:uid="{00000000-0005-0000-0000-0000C70C0000}"/>
    <cellStyle name="쉼표 [0] 2 21 3 7 2 2" xfId="3657" xr:uid="{00000000-0005-0000-0000-0000C80C0000}"/>
    <cellStyle name="쉼표 [0] 2 21 3 7 2 2 2" xfId="7318" xr:uid="{00000000-0005-0000-0000-0000C90C0000}"/>
    <cellStyle name="쉼표 [0] 2 21 3 7 2 2 2 2" xfId="14635" xr:uid="{A92EFE7C-95AC-4486-85AA-D08A2BF9E09C}"/>
    <cellStyle name="쉼표 [0] 2 21 3 7 2 2 3" xfId="10977" xr:uid="{B346232D-A887-4D45-9952-E940EDF4156F}"/>
    <cellStyle name="쉼표 [0] 2 21 3 7 2 3" xfId="5489" xr:uid="{00000000-0005-0000-0000-0000CA0C0000}"/>
    <cellStyle name="쉼표 [0] 2 21 3 7 2 3 2" xfId="12806" xr:uid="{604FD7C0-AC77-4CD5-81AC-ABE886A145A7}"/>
    <cellStyle name="쉼표 [0] 2 21 3 7 2 4" xfId="9147" xr:uid="{B0BD8C65-173E-49D0-B2E8-B08B9A7944BF}"/>
    <cellStyle name="쉼표 [0] 2 21 3 7 3" xfId="1309" xr:uid="{00000000-0005-0000-0000-0000CB0C0000}"/>
    <cellStyle name="쉼표 [0] 2 21 3 7 3 2" xfId="3658" xr:uid="{00000000-0005-0000-0000-0000CC0C0000}"/>
    <cellStyle name="쉼표 [0] 2 21 3 7 3 2 2" xfId="7319" xr:uid="{00000000-0005-0000-0000-0000CD0C0000}"/>
    <cellStyle name="쉼표 [0] 2 21 3 7 3 2 2 2" xfId="14636" xr:uid="{644ECDBF-A2BD-49B3-B72A-FE906E0172CB}"/>
    <cellStyle name="쉼표 [0] 2 21 3 7 3 2 3" xfId="10978" xr:uid="{B23E1C81-0F96-4110-8150-C67F585E3EC9}"/>
    <cellStyle name="쉼표 [0] 2 21 3 7 3 3" xfId="5490" xr:uid="{00000000-0005-0000-0000-0000CE0C0000}"/>
    <cellStyle name="쉼표 [0] 2 21 3 7 3 3 2" xfId="12807" xr:uid="{DCD2EB63-0BEE-4B45-BBCF-FF7C630BBADE}"/>
    <cellStyle name="쉼표 [0] 2 21 3 7 3 4" xfId="9148" xr:uid="{7484CAFB-5F7F-4C97-A0BF-95AE48398EE2}"/>
    <cellStyle name="쉼표 [0] 2 21 3 7 4" xfId="3656" xr:uid="{00000000-0005-0000-0000-0000CF0C0000}"/>
    <cellStyle name="쉼표 [0] 2 21 3 7 4 2" xfId="7317" xr:uid="{00000000-0005-0000-0000-0000D00C0000}"/>
    <cellStyle name="쉼표 [0] 2 21 3 7 4 2 2" xfId="14634" xr:uid="{947002E2-A50C-41A7-8B75-76DA67C8345A}"/>
    <cellStyle name="쉼표 [0] 2 21 3 7 4 3" xfId="10976" xr:uid="{CDF41F0A-4FEA-4199-8D12-211A80A9580F}"/>
    <cellStyle name="쉼표 [0] 2 21 3 7 5" xfId="5488" xr:uid="{00000000-0005-0000-0000-0000D10C0000}"/>
    <cellStyle name="쉼표 [0] 2 21 3 7 5 2" xfId="12805" xr:uid="{79655D77-4BDD-4224-9C9E-4F41C35D3E2B}"/>
    <cellStyle name="쉼표 [0] 2 21 3 7 6" xfId="9146" xr:uid="{8CB13FA4-155F-4C51-B545-358A394E95CE}"/>
    <cellStyle name="쉼표 [0] 2 21 3 8" xfId="1310" xr:uid="{00000000-0005-0000-0000-0000D20C0000}"/>
    <cellStyle name="쉼표 [0] 2 21 3 8 2" xfId="3659" xr:uid="{00000000-0005-0000-0000-0000D30C0000}"/>
    <cellStyle name="쉼표 [0] 2 21 3 8 2 2" xfId="7320" xr:uid="{00000000-0005-0000-0000-0000D40C0000}"/>
    <cellStyle name="쉼표 [0] 2 21 3 8 2 2 2" xfId="14637" xr:uid="{1FF52AF2-4E68-4F2C-9D66-9314F81A2535}"/>
    <cellStyle name="쉼표 [0] 2 21 3 8 2 3" xfId="10979" xr:uid="{20F79E9D-B090-40CD-A76F-EB170E489F54}"/>
    <cellStyle name="쉼표 [0] 2 21 3 8 3" xfId="5491" xr:uid="{00000000-0005-0000-0000-0000D50C0000}"/>
    <cellStyle name="쉼표 [0] 2 21 3 8 3 2" xfId="12808" xr:uid="{B796B1CF-0A58-4046-882A-EFA1C999B9B5}"/>
    <cellStyle name="쉼표 [0] 2 21 3 8 4" xfId="9149" xr:uid="{C40D7FA9-D9C7-495D-8730-8EC5EFCF481C}"/>
    <cellStyle name="쉼표 [0] 2 21 3 9" xfId="1311" xr:uid="{00000000-0005-0000-0000-0000D60C0000}"/>
    <cellStyle name="쉼표 [0] 2 21 3 9 2" xfId="3660" xr:uid="{00000000-0005-0000-0000-0000D70C0000}"/>
    <cellStyle name="쉼표 [0] 2 21 3 9 2 2" xfId="7321" xr:uid="{00000000-0005-0000-0000-0000D80C0000}"/>
    <cellStyle name="쉼표 [0] 2 21 3 9 2 2 2" xfId="14638" xr:uid="{6EAA312D-AA5E-4E4D-8363-A95A21334188}"/>
    <cellStyle name="쉼표 [0] 2 21 3 9 2 3" xfId="10980" xr:uid="{82D04430-E795-4A93-BB8D-C9DAE708706F}"/>
    <cellStyle name="쉼표 [0] 2 21 3 9 3" xfId="5492" xr:uid="{00000000-0005-0000-0000-0000D90C0000}"/>
    <cellStyle name="쉼표 [0] 2 21 3 9 3 2" xfId="12809" xr:uid="{D87931A0-0FFA-408A-9F4E-7507D62F93A0}"/>
    <cellStyle name="쉼표 [0] 2 21 3 9 4" xfId="9150" xr:uid="{85508510-8CAC-4C0D-8A61-7299F24554F4}"/>
    <cellStyle name="쉼표 [0] 2 21 4" xfId="1312" xr:uid="{00000000-0005-0000-0000-0000DA0C0000}"/>
    <cellStyle name="쉼표 [0] 2 21 4 10" xfId="5493" xr:uid="{00000000-0005-0000-0000-0000DB0C0000}"/>
    <cellStyle name="쉼표 [0] 2 21 4 10 2" xfId="12810" xr:uid="{9B50E77D-7794-40F5-812D-FB3955000A75}"/>
    <cellStyle name="쉼표 [0] 2 21 4 11" xfId="9151" xr:uid="{2E48DFD4-0CF4-47C3-AD78-82EF266A28D2}"/>
    <cellStyle name="쉼표 [0] 2 21 4 2" xfId="1313" xr:uid="{00000000-0005-0000-0000-0000DC0C0000}"/>
    <cellStyle name="쉼표 [0] 2 21 4 2 2" xfId="1314" xr:uid="{00000000-0005-0000-0000-0000DD0C0000}"/>
    <cellStyle name="쉼표 [0] 2 21 4 2 2 2" xfId="3663" xr:uid="{00000000-0005-0000-0000-0000DE0C0000}"/>
    <cellStyle name="쉼표 [0] 2 21 4 2 2 2 2" xfId="7324" xr:uid="{00000000-0005-0000-0000-0000DF0C0000}"/>
    <cellStyle name="쉼표 [0] 2 21 4 2 2 2 2 2" xfId="14641" xr:uid="{340CADC3-EF45-477C-AAF1-DA192DFF4B62}"/>
    <cellStyle name="쉼표 [0] 2 21 4 2 2 2 3" xfId="10983" xr:uid="{9D386E65-ADEF-49F4-A193-5FD3D4F83977}"/>
    <cellStyle name="쉼표 [0] 2 21 4 2 2 3" xfId="5495" xr:uid="{00000000-0005-0000-0000-0000E00C0000}"/>
    <cellStyle name="쉼표 [0] 2 21 4 2 2 3 2" xfId="12812" xr:uid="{3740425E-C265-4BA2-A4B8-7A32EAA45A89}"/>
    <cellStyle name="쉼표 [0] 2 21 4 2 2 4" xfId="9153" xr:uid="{7D263DC8-CEF9-40D7-B24B-E6F2962B3E49}"/>
    <cellStyle name="쉼표 [0] 2 21 4 2 3" xfId="1315" xr:uid="{00000000-0005-0000-0000-0000E10C0000}"/>
    <cellStyle name="쉼표 [0] 2 21 4 2 3 2" xfId="3664" xr:uid="{00000000-0005-0000-0000-0000E20C0000}"/>
    <cellStyle name="쉼표 [0] 2 21 4 2 3 2 2" xfId="7325" xr:uid="{00000000-0005-0000-0000-0000E30C0000}"/>
    <cellStyle name="쉼표 [0] 2 21 4 2 3 2 2 2" xfId="14642" xr:uid="{38A7169B-6262-4F98-B0EF-EB05022EE7CC}"/>
    <cellStyle name="쉼표 [0] 2 21 4 2 3 2 3" xfId="10984" xr:uid="{F36556F7-FEE6-40FA-9519-04DD38B09E5E}"/>
    <cellStyle name="쉼표 [0] 2 21 4 2 3 3" xfId="5496" xr:uid="{00000000-0005-0000-0000-0000E40C0000}"/>
    <cellStyle name="쉼표 [0] 2 21 4 2 3 3 2" xfId="12813" xr:uid="{FF75F04B-06DE-4B24-BE49-55EF30BA34CD}"/>
    <cellStyle name="쉼표 [0] 2 21 4 2 3 4" xfId="9154" xr:uid="{994FDE1A-49BB-498C-AA73-D1A395BE17AB}"/>
    <cellStyle name="쉼표 [0] 2 21 4 2 4" xfId="3662" xr:uid="{00000000-0005-0000-0000-0000E50C0000}"/>
    <cellStyle name="쉼표 [0] 2 21 4 2 4 2" xfId="7323" xr:uid="{00000000-0005-0000-0000-0000E60C0000}"/>
    <cellStyle name="쉼표 [0] 2 21 4 2 4 2 2" xfId="14640" xr:uid="{D6D8C412-2C3D-4DF1-BB44-FB2CBE01477F}"/>
    <cellStyle name="쉼표 [0] 2 21 4 2 4 3" xfId="10982" xr:uid="{C4EB1A25-5FB8-4F68-A01D-A03118A991D9}"/>
    <cellStyle name="쉼표 [0] 2 21 4 2 5" xfId="5494" xr:uid="{00000000-0005-0000-0000-0000E70C0000}"/>
    <cellStyle name="쉼표 [0] 2 21 4 2 5 2" xfId="12811" xr:uid="{83C784BF-8AF8-4302-B558-61B3272836FE}"/>
    <cellStyle name="쉼표 [0] 2 21 4 2 6" xfId="9152" xr:uid="{9957E2FC-871D-40D3-8C27-6D79CF74F928}"/>
    <cellStyle name="쉼표 [0] 2 21 4 3" xfId="1316" xr:uid="{00000000-0005-0000-0000-0000E80C0000}"/>
    <cellStyle name="쉼표 [0] 2 21 4 3 2" xfId="1317" xr:uid="{00000000-0005-0000-0000-0000E90C0000}"/>
    <cellStyle name="쉼표 [0] 2 21 4 3 2 2" xfId="3666" xr:uid="{00000000-0005-0000-0000-0000EA0C0000}"/>
    <cellStyle name="쉼표 [0] 2 21 4 3 2 2 2" xfId="7327" xr:uid="{00000000-0005-0000-0000-0000EB0C0000}"/>
    <cellStyle name="쉼표 [0] 2 21 4 3 2 2 2 2" xfId="14644" xr:uid="{07EB8288-A4B3-4E3E-BE88-E562266BF824}"/>
    <cellStyle name="쉼표 [0] 2 21 4 3 2 2 3" xfId="10986" xr:uid="{0B0C122B-36CB-4FFE-BAE9-DEB543E14252}"/>
    <cellStyle name="쉼표 [0] 2 21 4 3 2 3" xfId="5498" xr:uid="{00000000-0005-0000-0000-0000EC0C0000}"/>
    <cellStyle name="쉼표 [0] 2 21 4 3 2 3 2" xfId="12815" xr:uid="{85DA1193-1B21-4164-805D-A0EBCB55079C}"/>
    <cellStyle name="쉼표 [0] 2 21 4 3 2 4" xfId="9156" xr:uid="{AB6B3B1D-4425-4581-9F80-BF972770B765}"/>
    <cellStyle name="쉼표 [0] 2 21 4 3 3" xfId="1318" xr:uid="{00000000-0005-0000-0000-0000ED0C0000}"/>
    <cellStyle name="쉼표 [0] 2 21 4 3 3 2" xfId="3667" xr:uid="{00000000-0005-0000-0000-0000EE0C0000}"/>
    <cellStyle name="쉼표 [0] 2 21 4 3 3 2 2" xfId="7328" xr:uid="{00000000-0005-0000-0000-0000EF0C0000}"/>
    <cellStyle name="쉼표 [0] 2 21 4 3 3 2 2 2" xfId="14645" xr:uid="{B543B27F-EFEA-4E02-A7A2-89D8D1BBB771}"/>
    <cellStyle name="쉼표 [0] 2 21 4 3 3 2 3" xfId="10987" xr:uid="{A7874B22-4719-4137-BDFD-0A888FFBC0F0}"/>
    <cellStyle name="쉼표 [0] 2 21 4 3 3 3" xfId="5499" xr:uid="{00000000-0005-0000-0000-0000F00C0000}"/>
    <cellStyle name="쉼표 [0] 2 21 4 3 3 3 2" xfId="12816" xr:uid="{DEE5D628-2CE0-4F9E-B91F-7A9750285D4F}"/>
    <cellStyle name="쉼표 [0] 2 21 4 3 3 4" xfId="9157" xr:uid="{E8B42AAB-56C2-454D-92B9-67FBEB2FBC82}"/>
    <cellStyle name="쉼표 [0] 2 21 4 3 4" xfId="3665" xr:uid="{00000000-0005-0000-0000-0000F10C0000}"/>
    <cellStyle name="쉼표 [0] 2 21 4 3 4 2" xfId="7326" xr:uid="{00000000-0005-0000-0000-0000F20C0000}"/>
    <cellStyle name="쉼표 [0] 2 21 4 3 4 2 2" xfId="14643" xr:uid="{925731DA-542A-4893-8CA6-41E845581D18}"/>
    <cellStyle name="쉼표 [0] 2 21 4 3 4 3" xfId="10985" xr:uid="{7437D7F5-0B43-4C6B-AC9A-A1C6C1260B80}"/>
    <cellStyle name="쉼표 [0] 2 21 4 3 5" xfId="5497" xr:uid="{00000000-0005-0000-0000-0000F30C0000}"/>
    <cellStyle name="쉼표 [0] 2 21 4 3 5 2" xfId="12814" xr:uid="{E5149E21-6739-4751-BF74-57878156FA05}"/>
    <cellStyle name="쉼표 [0] 2 21 4 3 6" xfId="9155" xr:uid="{2D0C9BC2-74BD-4A11-9354-D4A2CF21C4EB}"/>
    <cellStyle name="쉼표 [0] 2 21 4 4" xfId="1319" xr:uid="{00000000-0005-0000-0000-0000F40C0000}"/>
    <cellStyle name="쉼표 [0] 2 21 4 4 2" xfId="1320" xr:uid="{00000000-0005-0000-0000-0000F50C0000}"/>
    <cellStyle name="쉼표 [0] 2 21 4 4 2 2" xfId="3669" xr:uid="{00000000-0005-0000-0000-0000F60C0000}"/>
    <cellStyle name="쉼표 [0] 2 21 4 4 2 2 2" xfId="7330" xr:uid="{00000000-0005-0000-0000-0000F70C0000}"/>
    <cellStyle name="쉼표 [0] 2 21 4 4 2 2 2 2" xfId="14647" xr:uid="{07DB1FCA-37AB-4C57-88AE-0929735B68CD}"/>
    <cellStyle name="쉼표 [0] 2 21 4 4 2 2 3" xfId="10989" xr:uid="{C5512B36-4631-45C9-84AB-7C65EA502029}"/>
    <cellStyle name="쉼표 [0] 2 21 4 4 2 3" xfId="5501" xr:uid="{00000000-0005-0000-0000-0000F80C0000}"/>
    <cellStyle name="쉼표 [0] 2 21 4 4 2 3 2" xfId="12818" xr:uid="{EF6B3C0F-5C62-4EF5-9B52-0E051B302122}"/>
    <cellStyle name="쉼표 [0] 2 21 4 4 2 4" xfId="9159" xr:uid="{358CF12E-E036-4703-96AF-6279FCC4B2F0}"/>
    <cellStyle name="쉼표 [0] 2 21 4 4 3" xfId="1321" xr:uid="{00000000-0005-0000-0000-0000F90C0000}"/>
    <cellStyle name="쉼표 [0] 2 21 4 4 3 2" xfId="3670" xr:uid="{00000000-0005-0000-0000-0000FA0C0000}"/>
    <cellStyle name="쉼표 [0] 2 21 4 4 3 2 2" xfId="7331" xr:uid="{00000000-0005-0000-0000-0000FB0C0000}"/>
    <cellStyle name="쉼표 [0] 2 21 4 4 3 2 2 2" xfId="14648" xr:uid="{79929822-28B0-4A4C-A123-118D011465D5}"/>
    <cellStyle name="쉼표 [0] 2 21 4 4 3 2 3" xfId="10990" xr:uid="{7AE45782-E51F-405F-BDF1-F65E2278E09D}"/>
    <cellStyle name="쉼표 [0] 2 21 4 4 3 3" xfId="5502" xr:uid="{00000000-0005-0000-0000-0000FC0C0000}"/>
    <cellStyle name="쉼표 [0] 2 21 4 4 3 3 2" xfId="12819" xr:uid="{2FCA0459-FC72-4081-8420-C69DDD28FBF0}"/>
    <cellStyle name="쉼표 [0] 2 21 4 4 3 4" xfId="9160" xr:uid="{1B046594-EAD3-40E0-99C3-30AC95545692}"/>
    <cellStyle name="쉼표 [0] 2 21 4 4 4" xfId="3668" xr:uid="{00000000-0005-0000-0000-0000FD0C0000}"/>
    <cellStyle name="쉼표 [0] 2 21 4 4 4 2" xfId="7329" xr:uid="{00000000-0005-0000-0000-0000FE0C0000}"/>
    <cellStyle name="쉼표 [0] 2 21 4 4 4 2 2" xfId="14646" xr:uid="{E224BAF6-5849-42A2-A498-F3752A61C93B}"/>
    <cellStyle name="쉼표 [0] 2 21 4 4 4 3" xfId="10988" xr:uid="{D9C0AA5E-1D51-41EE-9BC9-97E0595112CF}"/>
    <cellStyle name="쉼표 [0] 2 21 4 4 5" xfId="5500" xr:uid="{00000000-0005-0000-0000-0000FF0C0000}"/>
    <cellStyle name="쉼표 [0] 2 21 4 4 5 2" xfId="12817" xr:uid="{560B288F-FFD3-443E-9490-0C2B37950332}"/>
    <cellStyle name="쉼표 [0] 2 21 4 4 6" xfId="9158" xr:uid="{A0E58CDC-D5CA-49DE-9374-63CD9072CA2A}"/>
    <cellStyle name="쉼표 [0] 2 21 4 5" xfId="1322" xr:uid="{00000000-0005-0000-0000-0000000D0000}"/>
    <cellStyle name="쉼표 [0] 2 21 4 5 2" xfId="1323" xr:uid="{00000000-0005-0000-0000-0000010D0000}"/>
    <cellStyle name="쉼표 [0] 2 21 4 5 2 2" xfId="3672" xr:uid="{00000000-0005-0000-0000-0000020D0000}"/>
    <cellStyle name="쉼표 [0] 2 21 4 5 2 2 2" xfId="7333" xr:uid="{00000000-0005-0000-0000-0000030D0000}"/>
    <cellStyle name="쉼표 [0] 2 21 4 5 2 2 2 2" xfId="14650" xr:uid="{F1FF2AE5-FFD8-432E-A636-D7F3C7C10C02}"/>
    <cellStyle name="쉼표 [0] 2 21 4 5 2 2 3" xfId="10992" xr:uid="{6D63B564-CBBB-47A1-9BC8-564097238595}"/>
    <cellStyle name="쉼표 [0] 2 21 4 5 2 3" xfId="5504" xr:uid="{00000000-0005-0000-0000-0000040D0000}"/>
    <cellStyle name="쉼표 [0] 2 21 4 5 2 3 2" xfId="12821" xr:uid="{E159E2CD-9A8D-47DC-851D-30F83C189A80}"/>
    <cellStyle name="쉼표 [0] 2 21 4 5 2 4" xfId="9162" xr:uid="{3FA56A8F-20E8-4B3F-9FF7-5A45DB5A3886}"/>
    <cellStyle name="쉼표 [0] 2 21 4 5 3" xfId="1324" xr:uid="{00000000-0005-0000-0000-0000050D0000}"/>
    <cellStyle name="쉼표 [0] 2 21 4 5 3 2" xfId="3673" xr:uid="{00000000-0005-0000-0000-0000060D0000}"/>
    <cellStyle name="쉼표 [0] 2 21 4 5 3 2 2" xfId="7334" xr:uid="{00000000-0005-0000-0000-0000070D0000}"/>
    <cellStyle name="쉼표 [0] 2 21 4 5 3 2 2 2" xfId="14651" xr:uid="{3FCC2159-EE4D-490A-8AE0-1C17C8B52B69}"/>
    <cellStyle name="쉼표 [0] 2 21 4 5 3 2 3" xfId="10993" xr:uid="{F7F237A6-151E-4EA7-BE88-5971984EC12D}"/>
    <cellStyle name="쉼표 [0] 2 21 4 5 3 3" xfId="5505" xr:uid="{00000000-0005-0000-0000-0000080D0000}"/>
    <cellStyle name="쉼표 [0] 2 21 4 5 3 3 2" xfId="12822" xr:uid="{35EEF5E4-E6F2-47B3-B5C8-07D232B33451}"/>
    <cellStyle name="쉼표 [0] 2 21 4 5 3 4" xfId="9163" xr:uid="{8FC324F8-0774-4739-95E8-A69617AFE8E3}"/>
    <cellStyle name="쉼표 [0] 2 21 4 5 4" xfId="3671" xr:uid="{00000000-0005-0000-0000-0000090D0000}"/>
    <cellStyle name="쉼표 [0] 2 21 4 5 4 2" xfId="7332" xr:uid="{00000000-0005-0000-0000-00000A0D0000}"/>
    <cellStyle name="쉼표 [0] 2 21 4 5 4 2 2" xfId="14649" xr:uid="{856EAE93-34F0-4778-979F-AF8FF8FF6DFE}"/>
    <cellStyle name="쉼표 [0] 2 21 4 5 4 3" xfId="10991" xr:uid="{A92C20ED-F1B4-40EB-85B9-1FAFA75821CD}"/>
    <cellStyle name="쉼표 [0] 2 21 4 5 5" xfId="5503" xr:uid="{00000000-0005-0000-0000-00000B0D0000}"/>
    <cellStyle name="쉼표 [0] 2 21 4 5 5 2" xfId="12820" xr:uid="{4272F05E-D9D6-4153-A6BB-DD3AE53DEF4C}"/>
    <cellStyle name="쉼표 [0] 2 21 4 5 6" xfId="9161" xr:uid="{4FD2BEC1-FF37-478F-9E58-CB34133A06EE}"/>
    <cellStyle name="쉼표 [0] 2 21 4 6" xfId="1325" xr:uid="{00000000-0005-0000-0000-00000C0D0000}"/>
    <cellStyle name="쉼표 [0] 2 21 4 6 2" xfId="1326" xr:uid="{00000000-0005-0000-0000-00000D0D0000}"/>
    <cellStyle name="쉼표 [0] 2 21 4 6 2 2" xfId="3675" xr:uid="{00000000-0005-0000-0000-00000E0D0000}"/>
    <cellStyle name="쉼표 [0] 2 21 4 6 2 2 2" xfId="7336" xr:uid="{00000000-0005-0000-0000-00000F0D0000}"/>
    <cellStyle name="쉼표 [0] 2 21 4 6 2 2 2 2" xfId="14653" xr:uid="{6CBDD26E-4084-4859-B9AD-92C1F13D484F}"/>
    <cellStyle name="쉼표 [0] 2 21 4 6 2 2 3" xfId="10995" xr:uid="{4E0B9B98-6025-418B-B330-98EC8FF26311}"/>
    <cellStyle name="쉼표 [0] 2 21 4 6 2 3" xfId="5507" xr:uid="{00000000-0005-0000-0000-0000100D0000}"/>
    <cellStyle name="쉼표 [0] 2 21 4 6 2 3 2" xfId="12824" xr:uid="{CDF20658-A1C8-4651-A85A-952A9F62C58C}"/>
    <cellStyle name="쉼표 [0] 2 21 4 6 2 4" xfId="9165" xr:uid="{0730FD95-1809-4051-822F-C83DD37F7380}"/>
    <cellStyle name="쉼표 [0] 2 21 4 6 3" xfId="1327" xr:uid="{00000000-0005-0000-0000-0000110D0000}"/>
    <cellStyle name="쉼표 [0] 2 21 4 6 3 2" xfId="3676" xr:uid="{00000000-0005-0000-0000-0000120D0000}"/>
    <cellStyle name="쉼표 [0] 2 21 4 6 3 2 2" xfId="7337" xr:uid="{00000000-0005-0000-0000-0000130D0000}"/>
    <cellStyle name="쉼표 [0] 2 21 4 6 3 2 2 2" xfId="14654" xr:uid="{F561D22D-DBB6-4813-BB5B-F732B60D1E9E}"/>
    <cellStyle name="쉼표 [0] 2 21 4 6 3 2 3" xfId="10996" xr:uid="{FF7A9A1C-12F3-478C-BEF7-489DDF035BE5}"/>
    <cellStyle name="쉼표 [0] 2 21 4 6 3 3" xfId="5508" xr:uid="{00000000-0005-0000-0000-0000140D0000}"/>
    <cellStyle name="쉼표 [0] 2 21 4 6 3 3 2" xfId="12825" xr:uid="{E5A3FED7-7114-4D84-A545-7005FDF25C15}"/>
    <cellStyle name="쉼표 [0] 2 21 4 6 3 4" xfId="9166" xr:uid="{CFFE14A4-A54C-4372-BAC5-2F7404CA519C}"/>
    <cellStyle name="쉼표 [0] 2 21 4 6 4" xfId="3674" xr:uid="{00000000-0005-0000-0000-0000150D0000}"/>
    <cellStyle name="쉼표 [0] 2 21 4 6 4 2" xfId="7335" xr:uid="{00000000-0005-0000-0000-0000160D0000}"/>
    <cellStyle name="쉼표 [0] 2 21 4 6 4 2 2" xfId="14652" xr:uid="{87985200-4711-4B65-8DAF-BC08EEF8FDE2}"/>
    <cellStyle name="쉼표 [0] 2 21 4 6 4 3" xfId="10994" xr:uid="{E7B053AC-44CD-48C2-901A-232C7771FC81}"/>
    <cellStyle name="쉼표 [0] 2 21 4 6 5" xfId="5506" xr:uid="{00000000-0005-0000-0000-0000170D0000}"/>
    <cellStyle name="쉼표 [0] 2 21 4 6 5 2" xfId="12823" xr:uid="{9C522480-7548-416C-9092-526C31379C68}"/>
    <cellStyle name="쉼표 [0] 2 21 4 6 6" xfId="9164" xr:uid="{E5EDAF2D-7256-4810-8624-FA2808F523D9}"/>
    <cellStyle name="쉼표 [0] 2 21 4 7" xfId="1328" xr:uid="{00000000-0005-0000-0000-0000180D0000}"/>
    <cellStyle name="쉼표 [0] 2 21 4 7 2" xfId="3677" xr:uid="{00000000-0005-0000-0000-0000190D0000}"/>
    <cellStyle name="쉼표 [0] 2 21 4 7 2 2" xfId="7338" xr:uid="{00000000-0005-0000-0000-00001A0D0000}"/>
    <cellStyle name="쉼표 [0] 2 21 4 7 2 2 2" xfId="14655" xr:uid="{77880469-FF3D-4393-BBF7-82F06ACEA2E1}"/>
    <cellStyle name="쉼표 [0] 2 21 4 7 2 3" xfId="10997" xr:uid="{57CD84A3-AD15-4CB9-88AC-B71E5A9597E9}"/>
    <cellStyle name="쉼표 [0] 2 21 4 7 3" xfId="5509" xr:uid="{00000000-0005-0000-0000-00001B0D0000}"/>
    <cellStyle name="쉼표 [0] 2 21 4 7 3 2" xfId="12826" xr:uid="{E5AA14AF-891F-4EAA-BC17-959EF9C67C38}"/>
    <cellStyle name="쉼표 [0] 2 21 4 7 4" xfId="9167" xr:uid="{04F9E328-468B-4980-AEBB-EBC383B039EA}"/>
    <cellStyle name="쉼표 [0] 2 21 4 8" xfId="1329" xr:uid="{00000000-0005-0000-0000-00001C0D0000}"/>
    <cellStyle name="쉼표 [0] 2 21 4 8 2" xfId="3678" xr:uid="{00000000-0005-0000-0000-00001D0D0000}"/>
    <cellStyle name="쉼표 [0] 2 21 4 8 2 2" xfId="7339" xr:uid="{00000000-0005-0000-0000-00001E0D0000}"/>
    <cellStyle name="쉼표 [0] 2 21 4 8 2 2 2" xfId="14656" xr:uid="{E6604BEE-53EA-4341-AFFF-BE0852B0175B}"/>
    <cellStyle name="쉼표 [0] 2 21 4 8 2 3" xfId="10998" xr:uid="{E649A750-F5B2-4C35-8DDB-9B137E3AA4BA}"/>
    <cellStyle name="쉼표 [0] 2 21 4 8 3" xfId="5510" xr:uid="{00000000-0005-0000-0000-00001F0D0000}"/>
    <cellStyle name="쉼표 [0] 2 21 4 8 3 2" xfId="12827" xr:uid="{08BDA768-E00A-4DCF-8C11-34D9FA265F14}"/>
    <cellStyle name="쉼표 [0] 2 21 4 8 4" xfId="9168" xr:uid="{E3FDE01F-1121-44A8-9B88-8F56C90D0F56}"/>
    <cellStyle name="쉼표 [0] 2 21 4 9" xfId="3661" xr:uid="{00000000-0005-0000-0000-0000200D0000}"/>
    <cellStyle name="쉼표 [0] 2 21 4 9 2" xfId="7322" xr:uid="{00000000-0005-0000-0000-0000210D0000}"/>
    <cellStyle name="쉼표 [0] 2 21 4 9 2 2" xfId="14639" xr:uid="{EC70A10A-FD10-4C78-9D2F-489D448AA33B}"/>
    <cellStyle name="쉼표 [0] 2 21 4 9 3" xfId="10981" xr:uid="{67B45A33-6710-42B2-BE6B-8865314234B6}"/>
    <cellStyle name="쉼표 [0] 2 21 5" xfId="1330" xr:uid="{00000000-0005-0000-0000-0000220D0000}"/>
    <cellStyle name="쉼표 [0] 2 21 5 10" xfId="5511" xr:uid="{00000000-0005-0000-0000-0000230D0000}"/>
    <cellStyle name="쉼표 [0] 2 21 5 10 2" xfId="12828" xr:uid="{68B61634-BDC8-412B-B0F7-B595F5DF4474}"/>
    <cellStyle name="쉼표 [0] 2 21 5 11" xfId="9169" xr:uid="{AC91EB18-23C4-4425-ACDA-F761F148BA84}"/>
    <cellStyle name="쉼표 [0] 2 21 5 2" xfId="1331" xr:uid="{00000000-0005-0000-0000-0000240D0000}"/>
    <cellStyle name="쉼표 [0] 2 21 5 2 2" xfId="1332" xr:uid="{00000000-0005-0000-0000-0000250D0000}"/>
    <cellStyle name="쉼표 [0] 2 21 5 2 2 2" xfId="3681" xr:uid="{00000000-0005-0000-0000-0000260D0000}"/>
    <cellStyle name="쉼표 [0] 2 21 5 2 2 2 2" xfId="7342" xr:uid="{00000000-0005-0000-0000-0000270D0000}"/>
    <cellStyle name="쉼표 [0] 2 21 5 2 2 2 2 2" xfId="14659" xr:uid="{76B59C3E-7085-408E-92D8-1746F1B81E99}"/>
    <cellStyle name="쉼표 [0] 2 21 5 2 2 2 3" xfId="11001" xr:uid="{ED5B9A6C-9448-4FAE-8881-F730ED50D8EA}"/>
    <cellStyle name="쉼표 [0] 2 21 5 2 2 3" xfId="5513" xr:uid="{00000000-0005-0000-0000-0000280D0000}"/>
    <cellStyle name="쉼표 [0] 2 21 5 2 2 3 2" xfId="12830" xr:uid="{61A37056-5A89-4EE5-8B30-869C9B13172B}"/>
    <cellStyle name="쉼표 [0] 2 21 5 2 2 4" xfId="9171" xr:uid="{DB5215C3-D3D6-4910-A5EF-4AF988D28314}"/>
    <cellStyle name="쉼표 [0] 2 21 5 2 3" xfId="1333" xr:uid="{00000000-0005-0000-0000-0000290D0000}"/>
    <cellStyle name="쉼표 [0] 2 21 5 2 3 2" xfId="3682" xr:uid="{00000000-0005-0000-0000-00002A0D0000}"/>
    <cellStyle name="쉼표 [0] 2 21 5 2 3 2 2" xfId="7343" xr:uid="{00000000-0005-0000-0000-00002B0D0000}"/>
    <cellStyle name="쉼표 [0] 2 21 5 2 3 2 2 2" xfId="14660" xr:uid="{CF424D15-3F76-453A-80AF-EA197643A554}"/>
    <cellStyle name="쉼표 [0] 2 21 5 2 3 2 3" xfId="11002" xr:uid="{C3B2E722-2284-4BB4-B5D1-92F4137C5732}"/>
    <cellStyle name="쉼표 [0] 2 21 5 2 3 3" xfId="5514" xr:uid="{00000000-0005-0000-0000-00002C0D0000}"/>
    <cellStyle name="쉼표 [0] 2 21 5 2 3 3 2" xfId="12831" xr:uid="{5D98A2A0-C5E1-4B2B-BB5B-4E3536128D2F}"/>
    <cellStyle name="쉼표 [0] 2 21 5 2 3 4" xfId="9172" xr:uid="{6AE16BA9-5A64-4CEA-9943-5427A979E894}"/>
    <cellStyle name="쉼표 [0] 2 21 5 2 4" xfId="3680" xr:uid="{00000000-0005-0000-0000-00002D0D0000}"/>
    <cellStyle name="쉼표 [0] 2 21 5 2 4 2" xfId="7341" xr:uid="{00000000-0005-0000-0000-00002E0D0000}"/>
    <cellStyle name="쉼표 [0] 2 21 5 2 4 2 2" xfId="14658" xr:uid="{F651A30B-4EF2-41C9-ADCE-4C064F5113DB}"/>
    <cellStyle name="쉼표 [0] 2 21 5 2 4 3" xfId="11000" xr:uid="{2E083392-06D0-4347-BF93-A4881802911C}"/>
    <cellStyle name="쉼표 [0] 2 21 5 2 5" xfId="5512" xr:uid="{00000000-0005-0000-0000-00002F0D0000}"/>
    <cellStyle name="쉼표 [0] 2 21 5 2 5 2" xfId="12829" xr:uid="{E43AADB6-3E88-4841-A0EB-C30D3B043CB8}"/>
    <cellStyle name="쉼표 [0] 2 21 5 2 6" xfId="9170" xr:uid="{2E2737D7-2F6C-4063-B171-4ADEE4135BCD}"/>
    <cellStyle name="쉼표 [0] 2 21 5 3" xfId="1334" xr:uid="{00000000-0005-0000-0000-0000300D0000}"/>
    <cellStyle name="쉼표 [0] 2 21 5 3 2" xfId="1335" xr:uid="{00000000-0005-0000-0000-0000310D0000}"/>
    <cellStyle name="쉼표 [0] 2 21 5 3 2 2" xfId="3684" xr:uid="{00000000-0005-0000-0000-0000320D0000}"/>
    <cellStyle name="쉼표 [0] 2 21 5 3 2 2 2" xfId="7345" xr:uid="{00000000-0005-0000-0000-0000330D0000}"/>
    <cellStyle name="쉼표 [0] 2 21 5 3 2 2 2 2" xfId="14662" xr:uid="{FD4AF187-87C7-4907-B0AD-11FB2CF817EB}"/>
    <cellStyle name="쉼표 [0] 2 21 5 3 2 2 3" xfId="11004" xr:uid="{879F13D9-3DED-4DAC-A5E3-3809F7143BD6}"/>
    <cellStyle name="쉼표 [0] 2 21 5 3 2 3" xfId="5516" xr:uid="{00000000-0005-0000-0000-0000340D0000}"/>
    <cellStyle name="쉼표 [0] 2 21 5 3 2 3 2" xfId="12833" xr:uid="{4146DE79-5CF4-4981-9E33-5B7EDE26CDBB}"/>
    <cellStyle name="쉼표 [0] 2 21 5 3 2 4" xfId="9174" xr:uid="{A2F5A750-1360-49D6-81AE-153D981C5545}"/>
    <cellStyle name="쉼표 [0] 2 21 5 3 3" xfId="1336" xr:uid="{00000000-0005-0000-0000-0000350D0000}"/>
    <cellStyle name="쉼표 [0] 2 21 5 3 3 2" xfId="3685" xr:uid="{00000000-0005-0000-0000-0000360D0000}"/>
    <cellStyle name="쉼표 [0] 2 21 5 3 3 2 2" xfId="7346" xr:uid="{00000000-0005-0000-0000-0000370D0000}"/>
    <cellStyle name="쉼표 [0] 2 21 5 3 3 2 2 2" xfId="14663" xr:uid="{9CA7792C-8DD7-4B12-9604-9817D7EECD82}"/>
    <cellStyle name="쉼표 [0] 2 21 5 3 3 2 3" xfId="11005" xr:uid="{94F10103-497F-475A-ACD7-940DDDB1D619}"/>
    <cellStyle name="쉼표 [0] 2 21 5 3 3 3" xfId="5517" xr:uid="{00000000-0005-0000-0000-0000380D0000}"/>
    <cellStyle name="쉼표 [0] 2 21 5 3 3 3 2" xfId="12834" xr:uid="{5AF86FCD-4DEB-410F-AC73-2978A591B3F9}"/>
    <cellStyle name="쉼표 [0] 2 21 5 3 3 4" xfId="9175" xr:uid="{EDFB2A4A-CB56-46C5-96C8-67013782CA47}"/>
    <cellStyle name="쉼표 [0] 2 21 5 3 4" xfId="3683" xr:uid="{00000000-0005-0000-0000-0000390D0000}"/>
    <cellStyle name="쉼표 [0] 2 21 5 3 4 2" xfId="7344" xr:uid="{00000000-0005-0000-0000-00003A0D0000}"/>
    <cellStyle name="쉼표 [0] 2 21 5 3 4 2 2" xfId="14661" xr:uid="{DD2E0557-31D0-4B3C-B0BF-D258E3E9A908}"/>
    <cellStyle name="쉼표 [0] 2 21 5 3 4 3" xfId="11003" xr:uid="{9A887B87-427D-44F0-B26C-DA9A06A338D0}"/>
    <cellStyle name="쉼표 [0] 2 21 5 3 5" xfId="5515" xr:uid="{00000000-0005-0000-0000-00003B0D0000}"/>
    <cellStyle name="쉼표 [0] 2 21 5 3 5 2" xfId="12832" xr:uid="{40FC1D8F-1097-4E8A-8FF1-B152A3C5D55F}"/>
    <cellStyle name="쉼표 [0] 2 21 5 3 6" xfId="9173" xr:uid="{E7A0745F-B5D7-4274-8A76-28BF29A02218}"/>
    <cellStyle name="쉼표 [0] 2 21 5 4" xfId="1337" xr:uid="{00000000-0005-0000-0000-00003C0D0000}"/>
    <cellStyle name="쉼표 [0] 2 21 5 4 2" xfId="1338" xr:uid="{00000000-0005-0000-0000-00003D0D0000}"/>
    <cellStyle name="쉼표 [0] 2 21 5 4 2 2" xfId="3687" xr:uid="{00000000-0005-0000-0000-00003E0D0000}"/>
    <cellStyle name="쉼표 [0] 2 21 5 4 2 2 2" xfId="7348" xr:uid="{00000000-0005-0000-0000-00003F0D0000}"/>
    <cellStyle name="쉼표 [0] 2 21 5 4 2 2 2 2" xfId="14665" xr:uid="{E3EB4F77-C765-4290-95E0-0B75EDDB3C4B}"/>
    <cellStyle name="쉼표 [0] 2 21 5 4 2 2 3" xfId="11007" xr:uid="{8E98FBC1-E7A7-43FC-B133-BA1E91ECBC65}"/>
    <cellStyle name="쉼표 [0] 2 21 5 4 2 3" xfId="5519" xr:uid="{00000000-0005-0000-0000-0000400D0000}"/>
    <cellStyle name="쉼표 [0] 2 21 5 4 2 3 2" xfId="12836" xr:uid="{2429706E-7CF1-41FE-A4EB-CB99DC6E9316}"/>
    <cellStyle name="쉼표 [0] 2 21 5 4 2 4" xfId="9177" xr:uid="{020EC7A9-7914-48D1-96FF-39A419EC6FB9}"/>
    <cellStyle name="쉼표 [0] 2 21 5 4 3" xfId="1339" xr:uid="{00000000-0005-0000-0000-0000410D0000}"/>
    <cellStyle name="쉼표 [0] 2 21 5 4 3 2" xfId="3688" xr:uid="{00000000-0005-0000-0000-0000420D0000}"/>
    <cellStyle name="쉼표 [0] 2 21 5 4 3 2 2" xfId="7349" xr:uid="{00000000-0005-0000-0000-0000430D0000}"/>
    <cellStyle name="쉼표 [0] 2 21 5 4 3 2 2 2" xfId="14666" xr:uid="{AB2805C8-7B3B-4976-9050-6D1BE93FC783}"/>
    <cellStyle name="쉼표 [0] 2 21 5 4 3 2 3" xfId="11008" xr:uid="{46725A7B-D750-44FB-A996-6AF8233F9A49}"/>
    <cellStyle name="쉼표 [0] 2 21 5 4 3 3" xfId="5520" xr:uid="{00000000-0005-0000-0000-0000440D0000}"/>
    <cellStyle name="쉼표 [0] 2 21 5 4 3 3 2" xfId="12837" xr:uid="{4962E227-58D0-4C40-A8C1-EF2D840E34FB}"/>
    <cellStyle name="쉼표 [0] 2 21 5 4 3 4" xfId="9178" xr:uid="{E3719B78-41FE-48EF-B88D-8817F96EBD08}"/>
    <cellStyle name="쉼표 [0] 2 21 5 4 4" xfId="3686" xr:uid="{00000000-0005-0000-0000-0000450D0000}"/>
    <cellStyle name="쉼표 [0] 2 21 5 4 4 2" xfId="7347" xr:uid="{00000000-0005-0000-0000-0000460D0000}"/>
    <cellStyle name="쉼표 [0] 2 21 5 4 4 2 2" xfId="14664" xr:uid="{D237427D-E367-4CC3-BB60-677703E1C292}"/>
    <cellStyle name="쉼표 [0] 2 21 5 4 4 3" xfId="11006" xr:uid="{3503A7E6-AC20-493B-A2AE-E232F8358491}"/>
    <cellStyle name="쉼표 [0] 2 21 5 4 5" xfId="5518" xr:uid="{00000000-0005-0000-0000-0000470D0000}"/>
    <cellStyle name="쉼표 [0] 2 21 5 4 5 2" xfId="12835" xr:uid="{F30515B7-143B-4D6A-9B9A-810261BC21EC}"/>
    <cellStyle name="쉼표 [0] 2 21 5 4 6" xfId="9176" xr:uid="{78310252-7F07-4FA6-AAA9-79526E01994F}"/>
    <cellStyle name="쉼표 [0] 2 21 5 5" xfId="1340" xr:uid="{00000000-0005-0000-0000-0000480D0000}"/>
    <cellStyle name="쉼표 [0] 2 21 5 5 2" xfId="1341" xr:uid="{00000000-0005-0000-0000-0000490D0000}"/>
    <cellStyle name="쉼표 [0] 2 21 5 5 2 2" xfId="3690" xr:uid="{00000000-0005-0000-0000-00004A0D0000}"/>
    <cellStyle name="쉼표 [0] 2 21 5 5 2 2 2" xfId="7351" xr:uid="{00000000-0005-0000-0000-00004B0D0000}"/>
    <cellStyle name="쉼표 [0] 2 21 5 5 2 2 2 2" xfId="14668" xr:uid="{A852815D-0EC4-4305-A8F6-256074112B9C}"/>
    <cellStyle name="쉼표 [0] 2 21 5 5 2 2 3" xfId="11010" xr:uid="{BBFC1279-6654-4AD4-A81D-34C7C6EA8B4A}"/>
    <cellStyle name="쉼표 [0] 2 21 5 5 2 3" xfId="5522" xr:uid="{00000000-0005-0000-0000-00004C0D0000}"/>
    <cellStyle name="쉼표 [0] 2 21 5 5 2 3 2" xfId="12839" xr:uid="{3D63C341-75F4-4037-8072-9A0D6B82C4B2}"/>
    <cellStyle name="쉼표 [0] 2 21 5 5 2 4" xfId="9180" xr:uid="{9A215B6A-516A-4CBF-8EFC-7E534A3C301E}"/>
    <cellStyle name="쉼표 [0] 2 21 5 5 3" xfId="1342" xr:uid="{00000000-0005-0000-0000-00004D0D0000}"/>
    <cellStyle name="쉼표 [0] 2 21 5 5 3 2" xfId="3691" xr:uid="{00000000-0005-0000-0000-00004E0D0000}"/>
    <cellStyle name="쉼표 [0] 2 21 5 5 3 2 2" xfId="7352" xr:uid="{00000000-0005-0000-0000-00004F0D0000}"/>
    <cellStyle name="쉼표 [0] 2 21 5 5 3 2 2 2" xfId="14669" xr:uid="{69D24718-E9F9-4778-9FAC-AEC5CC34953C}"/>
    <cellStyle name="쉼표 [0] 2 21 5 5 3 2 3" xfId="11011" xr:uid="{35509BA5-B7F4-4C3F-BC59-F8FE70F8C927}"/>
    <cellStyle name="쉼표 [0] 2 21 5 5 3 3" xfId="5523" xr:uid="{00000000-0005-0000-0000-0000500D0000}"/>
    <cellStyle name="쉼표 [0] 2 21 5 5 3 3 2" xfId="12840" xr:uid="{4411E669-7A21-4549-8251-33A356600EC8}"/>
    <cellStyle name="쉼표 [0] 2 21 5 5 3 4" xfId="9181" xr:uid="{EF6C870B-0AF4-4C4C-96D3-C3D25A2FB421}"/>
    <cellStyle name="쉼표 [0] 2 21 5 5 4" xfId="3689" xr:uid="{00000000-0005-0000-0000-0000510D0000}"/>
    <cellStyle name="쉼표 [0] 2 21 5 5 4 2" xfId="7350" xr:uid="{00000000-0005-0000-0000-0000520D0000}"/>
    <cellStyle name="쉼표 [0] 2 21 5 5 4 2 2" xfId="14667" xr:uid="{7BC2A468-61F6-4A2F-B054-AE3C800E8F11}"/>
    <cellStyle name="쉼표 [0] 2 21 5 5 4 3" xfId="11009" xr:uid="{490B8036-CC4C-4ADD-94FD-37D3AC05CBE8}"/>
    <cellStyle name="쉼표 [0] 2 21 5 5 5" xfId="5521" xr:uid="{00000000-0005-0000-0000-0000530D0000}"/>
    <cellStyle name="쉼표 [0] 2 21 5 5 5 2" xfId="12838" xr:uid="{350EE82A-8289-46D8-8F46-4C4F197F04F3}"/>
    <cellStyle name="쉼표 [0] 2 21 5 5 6" xfId="9179" xr:uid="{1BAF5AB7-5482-454B-A462-95AC05F35D41}"/>
    <cellStyle name="쉼표 [0] 2 21 5 6" xfId="1343" xr:uid="{00000000-0005-0000-0000-0000540D0000}"/>
    <cellStyle name="쉼표 [0] 2 21 5 6 2" xfId="1344" xr:uid="{00000000-0005-0000-0000-0000550D0000}"/>
    <cellStyle name="쉼표 [0] 2 21 5 6 2 2" xfId="3693" xr:uid="{00000000-0005-0000-0000-0000560D0000}"/>
    <cellStyle name="쉼표 [0] 2 21 5 6 2 2 2" xfId="7354" xr:uid="{00000000-0005-0000-0000-0000570D0000}"/>
    <cellStyle name="쉼표 [0] 2 21 5 6 2 2 2 2" xfId="14671" xr:uid="{775189ED-2E82-44F5-A5A0-722583D56E1F}"/>
    <cellStyle name="쉼표 [0] 2 21 5 6 2 2 3" xfId="11013" xr:uid="{185FD4CD-4B8F-4264-8C07-65F53A91E752}"/>
    <cellStyle name="쉼표 [0] 2 21 5 6 2 3" xfId="5525" xr:uid="{00000000-0005-0000-0000-0000580D0000}"/>
    <cellStyle name="쉼표 [0] 2 21 5 6 2 3 2" xfId="12842" xr:uid="{E3F1EB9A-7038-471F-A56C-860073B37AB4}"/>
    <cellStyle name="쉼표 [0] 2 21 5 6 2 4" xfId="9183" xr:uid="{E1D5BE1B-E066-477C-80B1-042F2044DF1B}"/>
    <cellStyle name="쉼표 [0] 2 21 5 6 3" xfId="1345" xr:uid="{00000000-0005-0000-0000-0000590D0000}"/>
    <cellStyle name="쉼표 [0] 2 21 5 6 3 2" xfId="3694" xr:uid="{00000000-0005-0000-0000-00005A0D0000}"/>
    <cellStyle name="쉼표 [0] 2 21 5 6 3 2 2" xfId="7355" xr:uid="{00000000-0005-0000-0000-00005B0D0000}"/>
    <cellStyle name="쉼표 [0] 2 21 5 6 3 2 2 2" xfId="14672" xr:uid="{E555C7F7-D6AA-46CA-950F-6B48AE150B85}"/>
    <cellStyle name="쉼표 [0] 2 21 5 6 3 2 3" xfId="11014" xr:uid="{A56557F9-2E40-40EC-9802-F05D691CA6DB}"/>
    <cellStyle name="쉼표 [0] 2 21 5 6 3 3" xfId="5526" xr:uid="{00000000-0005-0000-0000-00005C0D0000}"/>
    <cellStyle name="쉼표 [0] 2 21 5 6 3 3 2" xfId="12843" xr:uid="{3A16B08C-DF79-40E3-9C93-4B644C048EF8}"/>
    <cellStyle name="쉼표 [0] 2 21 5 6 3 4" xfId="9184" xr:uid="{FE31BB50-AA5B-45DF-8315-AB5A1CBD2ABD}"/>
    <cellStyle name="쉼표 [0] 2 21 5 6 4" xfId="3692" xr:uid="{00000000-0005-0000-0000-00005D0D0000}"/>
    <cellStyle name="쉼표 [0] 2 21 5 6 4 2" xfId="7353" xr:uid="{00000000-0005-0000-0000-00005E0D0000}"/>
    <cellStyle name="쉼표 [0] 2 21 5 6 4 2 2" xfId="14670" xr:uid="{58A2A4E2-0C95-440E-B36D-3817613CAD6F}"/>
    <cellStyle name="쉼표 [0] 2 21 5 6 4 3" xfId="11012" xr:uid="{B09DE6BC-4257-4777-AD24-66D53AFFC44E}"/>
    <cellStyle name="쉼표 [0] 2 21 5 6 5" xfId="5524" xr:uid="{00000000-0005-0000-0000-00005F0D0000}"/>
    <cellStyle name="쉼표 [0] 2 21 5 6 5 2" xfId="12841" xr:uid="{F7C26EF3-7328-4314-9BD6-B5634DE36E2D}"/>
    <cellStyle name="쉼표 [0] 2 21 5 6 6" xfId="9182" xr:uid="{2755130A-9C8D-42CE-AD02-1657DEF6EB23}"/>
    <cellStyle name="쉼표 [0] 2 21 5 7" xfId="1346" xr:uid="{00000000-0005-0000-0000-0000600D0000}"/>
    <cellStyle name="쉼표 [0] 2 21 5 7 2" xfId="3695" xr:uid="{00000000-0005-0000-0000-0000610D0000}"/>
    <cellStyle name="쉼표 [0] 2 21 5 7 2 2" xfId="7356" xr:uid="{00000000-0005-0000-0000-0000620D0000}"/>
    <cellStyle name="쉼표 [0] 2 21 5 7 2 2 2" xfId="14673" xr:uid="{CA0D53F7-A699-459A-B35C-D360305F17FE}"/>
    <cellStyle name="쉼표 [0] 2 21 5 7 2 3" xfId="11015" xr:uid="{5EECD1A6-65B2-4AA8-A112-E1BBA4A42DC8}"/>
    <cellStyle name="쉼표 [0] 2 21 5 7 3" xfId="5527" xr:uid="{00000000-0005-0000-0000-0000630D0000}"/>
    <cellStyle name="쉼표 [0] 2 21 5 7 3 2" xfId="12844" xr:uid="{6362312A-E837-40F7-92C2-FABFFA930FD1}"/>
    <cellStyle name="쉼표 [0] 2 21 5 7 4" xfId="9185" xr:uid="{248D4BD8-7199-4346-89D6-03F7BD5DE19F}"/>
    <cellStyle name="쉼표 [0] 2 21 5 8" xfId="1347" xr:uid="{00000000-0005-0000-0000-0000640D0000}"/>
    <cellStyle name="쉼표 [0] 2 21 5 8 2" xfId="3696" xr:uid="{00000000-0005-0000-0000-0000650D0000}"/>
    <cellStyle name="쉼표 [0] 2 21 5 8 2 2" xfId="7357" xr:uid="{00000000-0005-0000-0000-0000660D0000}"/>
    <cellStyle name="쉼표 [0] 2 21 5 8 2 2 2" xfId="14674" xr:uid="{0913E10D-EBA1-423F-97FA-ED1A77526997}"/>
    <cellStyle name="쉼표 [0] 2 21 5 8 2 3" xfId="11016" xr:uid="{3E2A3633-45C0-4F71-867F-B69E0384CB1A}"/>
    <cellStyle name="쉼표 [0] 2 21 5 8 3" xfId="5528" xr:uid="{00000000-0005-0000-0000-0000670D0000}"/>
    <cellStyle name="쉼표 [0] 2 21 5 8 3 2" xfId="12845" xr:uid="{ABA14499-7063-4053-9275-94FFDBC4C9DC}"/>
    <cellStyle name="쉼표 [0] 2 21 5 8 4" xfId="9186" xr:uid="{4D7CE472-DAB5-47D6-9AA7-2E346FB63316}"/>
    <cellStyle name="쉼표 [0] 2 21 5 9" xfId="3679" xr:uid="{00000000-0005-0000-0000-0000680D0000}"/>
    <cellStyle name="쉼표 [0] 2 21 5 9 2" xfId="7340" xr:uid="{00000000-0005-0000-0000-0000690D0000}"/>
    <cellStyle name="쉼표 [0] 2 21 5 9 2 2" xfId="14657" xr:uid="{B0227A6F-2231-41B6-870F-FA2F05DD44C2}"/>
    <cellStyle name="쉼표 [0] 2 21 5 9 3" xfId="10999" xr:uid="{AAEAC25C-533E-4EAC-98D9-3D2A61AE12AA}"/>
    <cellStyle name="쉼표 [0] 2 21 6" xfId="1348" xr:uid="{00000000-0005-0000-0000-00006A0D0000}"/>
    <cellStyle name="쉼표 [0] 2 21 6 10" xfId="5529" xr:uid="{00000000-0005-0000-0000-00006B0D0000}"/>
    <cellStyle name="쉼표 [0] 2 21 6 10 2" xfId="12846" xr:uid="{F1F430AB-7301-49C7-9452-94F58F0EC263}"/>
    <cellStyle name="쉼표 [0] 2 21 6 11" xfId="9187" xr:uid="{F431CCA6-EB1D-431F-BC10-FF6BB659128F}"/>
    <cellStyle name="쉼표 [0] 2 21 6 2" xfId="1349" xr:uid="{00000000-0005-0000-0000-00006C0D0000}"/>
    <cellStyle name="쉼표 [0] 2 21 6 2 2" xfId="1350" xr:uid="{00000000-0005-0000-0000-00006D0D0000}"/>
    <cellStyle name="쉼표 [0] 2 21 6 2 2 2" xfId="3699" xr:uid="{00000000-0005-0000-0000-00006E0D0000}"/>
    <cellStyle name="쉼표 [0] 2 21 6 2 2 2 2" xfId="7360" xr:uid="{00000000-0005-0000-0000-00006F0D0000}"/>
    <cellStyle name="쉼표 [0] 2 21 6 2 2 2 2 2" xfId="14677" xr:uid="{3369E750-B5C2-4398-B467-84A8EC54EF5E}"/>
    <cellStyle name="쉼표 [0] 2 21 6 2 2 2 3" xfId="11019" xr:uid="{7EFDEA86-2839-40ED-9850-31CEB3C01403}"/>
    <cellStyle name="쉼표 [0] 2 21 6 2 2 3" xfId="5531" xr:uid="{00000000-0005-0000-0000-0000700D0000}"/>
    <cellStyle name="쉼표 [0] 2 21 6 2 2 3 2" xfId="12848" xr:uid="{E13B3646-C470-4CFF-98EC-D7C6BB74C3EF}"/>
    <cellStyle name="쉼표 [0] 2 21 6 2 2 4" xfId="9189" xr:uid="{9EE055D5-B31A-4BCA-B5E8-1B584BE83B1A}"/>
    <cellStyle name="쉼표 [0] 2 21 6 2 3" xfId="1351" xr:uid="{00000000-0005-0000-0000-0000710D0000}"/>
    <cellStyle name="쉼표 [0] 2 21 6 2 3 2" xfId="3700" xr:uid="{00000000-0005-0000-0000-0000720D0000}"/>
    <cellStyle name="쉼표 [0] 2 21 6 2 3 2 2" xfId="7361" xr:uid="{00000000-0005-0000-0000-0000730D0000}"/>
    <cellStyle name="쉼표 [0] 2 21 6 2 3 2 2 2" xfId="14678" xr:uid="{295C9F38-D32F-47EF-A54B-9BB90F63A1AE}"/>
    <cellStyle name="쉼표 [0] 2 21 6 2 3 2 3" xfId="11020" xr:uid="{8A5E768B-0AE6-4A57-BE19-7014598A5B54}"/>
    <cellStyle name="쉼표 [0] 2 21 6 2 3 3" xfId="5532" xr:uid="{00000000-0005-0000-0000-0000740D0000}"/>
    <cellStyle name="쉼표 [0] 2 21 6 2 3 3 2" xfId="12849" xr:uid="{B693B8AE-4DDE-4502-B757-8432C6B8D927}"/>
    <cellStyle name="쉼표 [0] 2 21 6 2 3 4" xfId="9190" xr:uid="{FFA7984A-717C-4566-8139-85E2530E406E}"/>
    <cellStyle name="쉼표 [0] 2 21 6 2 4" xfId="3698" xr:uid="{00000000-0005-0000-0000-0000750D0000}"/>
    <cellStyle name="쉼표 [0] 2 21 6 2 4 2" xfId="7359" xr:uid="{00000000-0005-0000-0000-0000760D0000}"/>
    <cellStyle name="쉼표 [0] 2 21 6 2 4 2 2" xfId="14676" xr:uid="{432D12CD-1979-400C-9441-7821DD4C666E}"/>
    <cellStyle name="쉼표 [0] 2 21 6 2 4 3" xfId="11018" xr:uid="{6CC98664-3206-4286-9AD7-2370D262AE99}"/>
    <cellStyle name="쉼표 [0] 2 21 6 2 5" xfId="5530" xr:uid="{00000000-0005-0000-0000-0000770D0000}"/>
    <cellStyle name="쉼표 [0] 2 21 6 2 5 2" xfId="12847" xr:uid="{4FE43295-55FE-4403-B9AE-C04DCB29FBC1}"/>
    <cellStyle name="쉼표 [0] 2 21 6 2 6" xfId="9188" xr:uid="{6E3EF0B9-F486-43F9-A45F-760F8155ED75}"/>
    <cellStyle name="쉼표 [0] 2 21 6 3" xfId="1352" xr:uid="{00000000-0005-0000-0000-0000780D0000}"/>
    <cellStyle name="쉼표 [0] 2 21 6 3 2" xfId="1353" xr:uid="{00000000-0005-0000-0000-0000790D0000}"/>
    <cellStyle name="쉼표 [0] 2 21 6 3 2 2" xfId="3702" xr:uid="{00000000-0005-0000-0000-00007A0D0000}"/>
    <cellStyle name="쉼표 [0] 2 21 6 3 2 2 2" xfId="7363" xr:uid="{00000000-0005-0000-0000-00007B0D0000}"/>
    <cellStyle name="쉼표 [0] 2 21 6 3 2 2 2 2" xfId="14680" xr:uid="{EA6916B0-98DF-4E33-9F89-9E98B2CA2E50}"/>
    <cellStyle name="쉼표 [0] 2 21 6 3 2 2 3" xfId="11022" xr:uid="{E1FBEBAA-D33E-489F-B520-86758FDEADDF}"/>
    <cellStyle name="쉼표 [0] 2 21 6 3 2 3" xfId="5534" xr:uid="{00000000-0005-0000-0000-00007C0D0000}"/>
    <cellStyle name="쉼표 [0] 2 21 6 3 2 3 2" xfId="12851" xr:uid="{B6915FE8-7B06-4E02-B97B-F50B48256FBB}"/>
    <cellStyle name="쉼표 [0] 2 21 6 3 2 4" xfId="9192" xr:uid="{B81A2725-90AD-45CD-9F7A-81A3F64744F4}"/>
    <cellStyle name="쉼표 [0] 2 21 6 3 3" xfId="1354" xr:uid="{00000000-0005-0000-0000-00007D0D0000}"/>
    <cellStyle name="쉼표 [0] 2 21 6 3 3 2" xfId="3703" xr:uid="{00000000-0005-0000-0000-00007E0D0000}"/>
    <cellStyle name="쉼표 [0] 2 21 6 3 3 2 2" xfId="7364" xr:uid="{00000000-0005-0000-0000-00007F0D0000}"/>
    <cellStyle name="쉼표 [0] 2 21 6 3 3 2 2 2" xfId="14681" xr:uid="{6CF18066-80FB-4A60-A0A7-5C70F53CE364}"/>
    <cellStyle name="쉼표 [0] 2 21 6 3 3 2 3" xfId="11023" xr:uid="{04603EA6-1FE8-4C7C-AA58-1060D39F1D02}"/>
    <cellStyle name="쉼표 [0] 2 21 6 3 3 3" xfId="5535" xr:uid="{00000000-0005-0000-0000-0000800D0000}"/>
    <cellStyle name="쉼표 [0] 2 21 6 3 3 3 2" xfId="12852" xr:uid="{FD16521C-2AF7-47BC-8E9E-661166B8C338}"/>
    <cellStyle name="쉼표 [0] 2 21 6 3 3 4" xfId="9193" xr:uid="{EE4D4FD8-4C29-4425-8E46-93A87E9219A4}"/>
    <cellStyle name="쉼표 [0] 2 21 6 3 4" xfId="3701" xr:uid="{00000000-0005-0000-0000-0000810D0000}"/>
    <cellStyle name="쉼표 [0] 2 21 6 3 4 2" xfId="7362" xr:uid="{00000000-0005-0000-0000-0000820D0000}"/>
    <cellStyle name="쉼표 [0] 2 21 6 3 4 2 2" xfId="14679" xr:uid="{A24A39BD-DB1B-4B5E-82A5-84A6322F58D4}"/>
    <cellStyle name="쉼표 [0] 2 21 6 3 4 3" xfId="11021" xr:uid="{D3898D3A-9394-4B56-BCD1-0D767CA0225C}"/>
    <cellStyle name="쉼표 [0] 2 21 6 3 5" xfId="5533" xr:uid="{00000000-0005-0000-0000-0000830D0000}"/>
    <cellStyle name="쉼표 [0] 2 21 6 3 5 2" xfId="12850" xr:uid="{593F371A-7BFF-46E9-BF4C-020F8E4884EF}"/>
    <cellStyle name="쉼표 [0] 2 21 6 3 6" xfId="9191" xr:uid="{5B7AA627-285A-481A-837F-701231A656F9}"/>
    <cellStyle name="쉼표 [0] 2 21 6 4" xfId="1355" xr:uid="{00000000-0005-0000-0000-0000840D0000}"/>
    <cellStyle name="쉼표 [0] 2 21 6 4 2" xfId="1356" xr:uid="{00000000-0005-0000-0000-0000850D0000}"/>
    <cellStyle name="쉼표 [0] 2 21 6 4 2 2" xfId="3705" xr:uid="{00000000-0005-0000-0000-0000860D0000}"/>
    <cellStyle name="쉼표 [0] 2 21 6 4 2 2 2" xfId="7366" xr:uid="{00000000-0005-0000-0000-0000870D0000}"/>
    <cellStyle name="쉼표 [0] 2 21 6 4 2 2 2 2" xfId="14683" xr:uid="{BE5D86BE-F0F4-4217-B063-D8FBFD01EDA8}"/>
    <cellStyle name="쉼표 [0] 2 21 6 4 2 2 3" xfId="11025" xr:uid="{68690BE5-3F50-4735-B0FE-3061F5071FB2}"/>
    <cellStyle name="쉼표 [0] 2 21 6 4 2 3" xfId="5537" xr:uid="{00000000-0005-0000-0000-0000880D0000}"/>
    <cellStyle name="쉼표 [0] 2 21 6 4 2 3 2" xfId="12854" xr:uid="{A0206278-AEE7-4843-ABA6-005199C6A124}"/>
    <cellStyle name="쉼표 [0] 2 21 6 4 2 4" xfId="9195" xr:uid="{DCF0C3BF-F9AB-46BC-898E-449FE6478DB0}"/>
    <cellStyle name="쉼표 [0] 2 21 6 4 3" xfId="1357" xr:uid="{00000000-0005-0000-0000-0000890D0000}"/>
    <cellStyle name="쉼표 [0] 2 21 6 4 3 2" xfId="3706" xr:uid="{00000000-0005-0000-0000-00008A0D0000}"/>
    <cellStyle name="쉼표 [0] 2 21 6 4 3 2 2" xfId="7367" xr:uid="{00000000-0005-0000-0000-00008B0D0000}"/>
    <cellStyle name="쉼표 [0] 2 21 6 4 3 2 2 2" xfId="14684" xr:uid="{9C92DBDC-A012-4328-AE4C-4B9C1CE5F379}"/>
    <cellStyle name="쉼표 [0] 2 21 6 4 3 2 3" xfId="11026" xr:uid="{4AD1F4B7-AC8D-46F0-ADC4-8EE52C0E709A}"/>
    <cellStyle name="쉼표 [0] 2 21 6 4 3 3" xfId="5538" xr:uid="{00000000-0005-0000-0000-00008C0D0000}"/>
    <cellStyle name="쉼표 [0] 2 21 6 4 3 3 2" xfId="12855" xr:uid="{18B3A18D-C238-4075-B758-09E7D3D03604}"/>
    <cellStyle name="쉼표 [0] 2 21 6 4 3 4" xfId="9196" xr:uid="{08722563-8F84-4700-AFF3-09D69FA69429}"/>
    <cellStyle name="쉼표 [0] 2 21 6 4 4" xfId="3704" xr:uid="{00000000-0005-0000-0000-00008D0D0000}"/>
    <cellStyle name="쉼표 [0] 2 21 6 4 4 2" xfId="7365" xr:uid="{00000000-0005-0000-0000-00008E0D0000}"/>
    <cellStyle name="쉼표 [0] 2 21 6 4 4 2 2" xfId="14682" xr:uid="{D2039F08-86C9-4EC9-9EE0-3AEEF9C3524F}"/>
    <cellStyle name="쉼표 [0] 2 21 6 4 4 3" xfId="11024" xr:uid="{9FC55C9B-8187-4563-8067-7DB788617F1E}"/>
    <cellStyle name="쉼표 [0] 2 21 6 4 5" xfId="5536" xr:uid="{00000000-0005-0000-0000-00008F0D0000}"/>
    <cellStyle name="쉼표 [0] 2 21 6 4 5 2" xfId="12853" xr:uid="{47DA4022-5A03-4DF3-A5E5-8235C46FF080}"/>
    <cellStyle name="쉼표 [0] 2 21 6 4 6" xfId="9194" xr:uid="{6435E5B7-52CD-4388-AB97-FFB544F596AA}"/>
    <cellStyle name="쉼표 [0] 2 21 6 5" xfId="1358" xr:uid="{00000000-0005-0000-0000-0000900D0000}"/>
    <cellStyle name="쉼표 [0] 2 21 6 5 2" xfId="1359" xr:uid="{00000000-0005-0000-0000-0000910D0000}"/>
    <cellStyle name="쉼표 [0] 2 21 6 5 2 2" xfId="3708" xr:uid="{00000000-0005-0000-0000-0000920D0000}"/>
    <cellStyle name="쉼표 [0] 2 21 6 5 2 2 2" xfId="7369" xr:uid="{00000000-0005-0000-0000-0000930D0000}"/>
    <cellStyle name="쉼표 [0] 2 21 6 5 2 2 2 2" xfId="14686" xr:uid="{E914A64D-D4A8-4BC0-8A33-C217DE42F8A0}"/>
    <cellStyle name="쉼표 [0] 2 21 6 5 2 2 3" xfId="11028" xr:uid="{701A413B-0177-4A3B-9567-F7E92B570D5B}"/>
    <cellStyle name="쉼표 [0] 2 21 6 5 2 3" xfId="5540" xr:uid="{00000000-0005-0000-0000-0000940D0000}"/>
    <cellStyle name="쉼표 [0] 2 21 6 5 2 3 2" xfId="12857" xr:uid="{BAE077ED-071C-4ECF-9B77-64187687A6A4}"/>
    <cellStyle name="쉼표 [0] 2 21 6 5 2 4" xfId="9198" xr:uid="{403B93FA-2063-4118-90A8-36DFE2D54CEE}"/>
    <cellStyle name="쉼표 [0] 2 21 6 5 3" xfId="1360" xr:uid="{00000000-0005-0000-0000-0000950D0000}"/>
    <cellStyle name="쉼표 [0] 2 21 6 5 3 2" xfId="3709" xr:uid="{00000000-0005-0000-0000-0000960D0000}"/>
    <cellStyle name="쉼표 [0] 2 21 6 5 3 2 2" xfId="7370" xr:uid="{00000000-0005-0000-0000-0000970D0000}"/>
    <cellStyle name="쉼표 [0] 2 21 6 5 3 2 2 2" xfId="14687" xr:uid="{EACDCE25-1626-4AF5-8F36-371A922275CC}"/>
    <cellStyle name="쉼표 [0] 2 21 6 5 3 2 3" xfId="11029" xr:uid="{12024B0F-F179-4575-AFC2-28583B6951C5}"/>
    <cellStyle name="쉼표 [0] 2 21 6 5 3 3" xfId="5541" xr:uid="{00000000-0005-0000-0000-0000980D0000}"/>
    <cellStyle name="쉼표 [0] 2 21 6 5 3 3 2" xfId="12858" xr:uid="{E3224348-D5DC-493D-B4A7-16C138BA36BF}"/>
    <cellStyle name="쉼표 [0] 2 21 6 5 3 4" xfId="9199" xr:uid="{71E004AE-2995-42C1-A516-574D209F2ACE}"/>
    <cellStyle name="쉼표 [0] 2 21 6 5 4" xfId="3707" xr:uid="{00000000-0005-0000-0000-0000990D0000}"/>
    <cellStyle name="쉼표 [0] 2 21 6 5 4 2" xfId="7368" xr:uid="{00000000-0005-0000-0000-00009A0D0000}"/>
    <cellStyle name="쉼표 [0] 2 21 6 5 4 2 2" xfId="14685" xr:uid="{DD494952-909C-45B9-956C-F1C709155D64}"/>
    <cellStyle name="쉼표 [0] 2 21 6 5 4 3" xfId="11027" xr:uid="{FEBAE8E7-3E35-4EF6-9023-CF03ABEFC8B6}"/>
    <cellStyle name="쉼표 [0] 2 21 6 5 5" xfId="5539" xr:uid="{00000000-0005-0000-0000-00009B0D0000}"/>
    <cellStyle name="쉼표 [0] 2 21 6 5 5 2" xfId="12856" xr:uid="{97506600-B3BB-4F8D-B48B-A6A403E0E78C}"/>
    <cellStyle name="쉼표 [0] 2 21 6 5 6" xfId="9197" xr:uid="{CD8CB054-4BB2-45C9-8464-130E3792D367}"/>
    <cellStyle name="쉼표 [0] 2 21 6 6" xfId="1361" xr:uid="{00000000-0005-0000-0000-00009C0D0000}"/>
    <cellStyle name="쉼표 [0] 2 21 6 6 2" xfId="1362" xr:uid="{00000000-0005-0000-0000-00009D0D0000}"/>
    <cellStyle name="쉼표 [0] 2 21 6 6 2 2" xfId="3711" xr:uid="{00000000-0005-0000-0000-00009E0D0000}"/>
    <cellStyle name="쉼표 [0] 2 21 6 6 2 2 2" xfId="7372" xr:uid="{00000000-0005-0000-0000-00009F0D0000}"/>
    <cellStyle name="쉼표 [0] 2 21 6 6 2 2 2 2" xfId="14689" xr:uid="{09952641-98C1-45B4-9079-13ADDEEB3522}"/>
    <cellStyle name="쉼표 [0] 2 21 6 6 2 2 3" xfId="11031" xr:uid="{F0E5B952-9989-4E10-AC0D-956668DC9468}"/>
    <cellStyle name="쉼표 [0] 2 21 6 6 2 3" xfId="5543" xr:uid="{00000000-0005-0000-0000-0000A00D0000}"/>
    <cellStyle name="쉼표 [0] 2 21 6 6 2 3 2" xfId="12860" xr:uid="{3E20E9FF-85F1-4BBA-8C1B-E2BF45564CBB}"/>
    <cellStyle name="쉼표 [0] 2 21 6 6 2 4" xfId="9201" xr:uid="{A8845FB3-66A1-4264-B0B8-FEE3BE66ABE5}"/>
    <cellStyle name="쉼표 [0] 2 21 6 6 3" xfId="1363" xr:uid="{00000000-0005-0000-0000-0000A10D0000}"/>
    <cellStyle name="쉼표 [0] 2 21 6 6 3 2" xfId="3712" xr:uid="{00000000-0005-0000-0000-0000A20D0000}"/>
    <cellStyle name="쉼표 [0] 2 21 6 6 3 2 2" xfId="7373" xr:uid="{00000000-0005-0000-0000-0000A30D0000}"/>
    <cellStyle name="쉼표 [0] 2 21 6 6 3 2 2 2" xfId="14690" xr:uid="{74990194-FA0D-4859-A3E5-F283F9E88282}"/>
    <cellStyle name="쉼표 [0] 2 21 6 6 3 2 3" xfId="11032" xr:uid="{3F2D1CC3-A581-4892-B5B7-9C8C4BD01694}"/>
    <cellStyle name="쉼표 [0] 2 21 6 6 3 3" xfId="5544" xr:uid="{00000000-0005-0000-0000-0000A40D0000}"/>
    <cellStyle name="쉼표 [0] 2 21 6 6 3 3 2" xfId="12861" xr:uid="{E46424FE-CACF-46D5-B9D0-89150069AD00}"/>
    <cellStyle name="쉼표 [0] 2 21 6 6 3 4" xfId="9202" xr:uid="{5FD26DF8-502C-40F2-A195-8258C4DAD279}"/>
    <cellStyle name="쉼표 [0] 2 21 6 6 4" xfId="3710" xr:uid="{00000000-0005-0000-0000-0000A50D0000}"/>
    <cellStyle name="쉼표 [0] 2 21 6 6 4 2" xfId="7371" xr:uid="{00000000-0005-0000-0000-0000A60D0000}"/>
    <cellStyle name="쉼표 [0] 2 21 6 6 4 2 2" xfId="14688" xr:uid="{92479E89-7073-4336-BF46-709A6736BB3E}"/>
    <cellStyle name="쉼표 [0] 2 21 6 6 4 3" xfId="11030" xr:uid="{AD20F3D6-1565-40E9-B8D0-D786B7043D6C}"/>
    <cellStyle name="쉼표 [0] 2 21 6 6 5" xfId="5542" xr:uid="{00000000-0005-0000-0000-0000A70D0000}"/>
    <cellStyle name="쉼표 [0] 2 21 6 6 5 2" xfId="12859" xr:uid="{83C952BC-931D-4C5F-93B2-55DAC775AA96}"/>
    <cellStyle name="쉼표 [0] 2 21 6 6 6" xfId="9200" xr:uid="{6B45948C-E033-45E2-8B2B-820112B3EB46}"/>
    <cellStyle name="쉼표 [0] 2 21 6 7" xfId="1364" xr:uid="{00000000-0005-0000-0000-0000A80D0000}"/>
    <cellStyle name="쉼표 [0] 2 21 6 7 2" xfId="3713" xr:uid="{00000000-0005-0000-0000-0000A90D0000}"/>
    <cellStyle name="쉼표 [0] 2 21 6 7 2 2" xfId="7374" xr:uid="{00000000-0005-0000-0000-0000AA0D0000}"/>
    <cellStyle name="쉼표 [0] 2 21 6 7 2 2 2" xfId="14691" xr:uid="{3C8A9F1F-C962-4054-8E5D-393F0A181444}"/>
    <cellStyle name="쉼표 [0] 2 21 6 7 2 3" xfId="11033" xr:uid="{42AD301E-A118-4EFA-8C80-5AAB32261F36}"/>
    <cellStyle name="쉼표 [0] 2 21 6 7 3" xfId="5545" xr:uid="{00000000-0005-0000-0000-0000AB0D0000}"/>
    <cellStyle name="쉼표 [0] 2 21 6 7 3 2" xfId="12862" xr:uid="{DA616519-6137-4F23-B342-6F11EAF72C63}"/>
    <cellStyle name="쉼표 [0] 2 21 6 7 4" xfId="9203" xr:uid="{06CE673A-D100-46DB-AC89-A1E6C30EA016}"/>
    <cellStyle name="쉼표 [0] 2 21 6 8" xfId="1365" xr:uid="{00000000-0005-0000-0000-0000AC0D0000}"/>
    <cellStyle name="쉼표 [0] 2 21 6 8 2" xfId="3714" xr:uid="{00000000-0005-0000-0000-0000AD0D0000}"/>
    <cellStyle name="쉼표 [0] 2 21 6 8 2 2" xfId="7375" xr:uid="{00000000-0005-0000-0000-0000AE0D0000}"/>
    <cellStyle name="쉼표 [0] 2 21 6 8 2 2 2" xfId="14692" xr:uid="{F5B0275B-B359-4B7C-A3E8-72EB2F58CEFC}"/>
    <cellStyle name="쉼표 [0] 2 21 6 8 2 3" xfId="11034" xr:uid="{892211CC-D857-40A0-8136-EEBBC706C717}"/>
    <cellStyle name="쉼표 [0] 2 21 6 8 3" xfId="5546" xr:uid="{00000000-0005-0000-0000-0000AF0D0000}"/>
    <cellStyle name="쉼표 [0] 2 21 6 8 3 2" xfId="12863" xr:uid="{77D2FB54-3677-44B2-93EB-4C7327C4BDEE}"/>
    <cellStyle name="쉼표 [0] 2 21 6 8 4" xfId="9204" xr:uid="{7AE246D4-55DE-4856-BD9E-166B8891E0D3}"/>
    <cellStyle name="쉼표 [0] 2 21 6 9" xfId="3697" xr:uid="{00000000-0005-0000-0000-0000B00D0000}"/>
    <cellStyle name="쉼표 [0] 2 21 6 9 2" xfId="7358" xr:uid="{00000000-0005-0000-0000-0000B10D0000}"/>
    <cellStyle name="쉼표 [0] 2 21 6 9 2 2" xfId="14675" xr:uid="{4F500C1D-2B94-48FB-AF62-7BF1D62CACA1}"/>
    <cellStyle name="쉼표 [0] 2 21 6 9 3" xfId="11017" xr:uid="{3F126308-82E0-4508-BD35-F085B21954A5}"/>
    <cellStyle name="쉼표 [0] 2 21 7" xfId="1366" xr:uid="{00000000-0005-0000-0000-0000B20D0000}"/>
    <cellStyle name="쉼표 [0] 2 21 7 2" xfId="1367" xr:uid="{00000000-0005-0000-0000-0000B30D0000}"/>
    <cellStyle name="쉼표 [0] 2 21 7 2 2" xfId="3716" xr:uid="{00000000-0005-0000-0000-0000B40D0000}"/>
    <cellStyle name="쉼표 [0] 2 21 7 2 2 2" xfId="7377" xr:uid="{00000000-0005-0000-0000-0000B50D0000}"/>
    <cellStyle name="쉼표 [0] 2 21 7 2 2 2 2" xfId="14694" xr:uid="{87C228B8-3F07-4B82-8783-2510C8F969D7}"/>
    <cellStyle name="쉼표 [0] 2 21 7 2 2 3" xfId="11036" xr:uid="{0E13205E-A802-4D93-A8FE-50EDD4FF5CAE}"/>
    <cellStyle name="쉼표 [0] 2 21 7 2 3" xfId="5548" xr:uid="{00000000-0005-0000-0000-0000B60D0000}"/>
    <cellStyle name="쉼표 [0] 2 21 7 2 3 2" xfId="12865" xr:uid="{CBE86A72-1F8D-44E8-A7CF-BE1434DDA325}"/>
    <cellStyle name="쉼표 [0] 2 21 7 2 4" xfId="9206" xr:uid="{4E6D55A8-C746-426B-9E59-A623CCAC55EC}"/>
    <cellStyle name="쉼표 [0] 2 21 7 3" xfId="1368" xr:uid="{00000000-0005-0000-0000-0000B70D0000}"/>
    <cellStyle name="쉼표 [0] 2 21 7 3 2" xfId="3717" xr:uid="{00000000-0005-0000-0000-0000B80D0000}"/>
    <cellStyle name="쉼표 [0] 2 21 7 3 2 2" xfId="7378" xr:uid="{00000000-0005-0000-0000-0000B90D0000}"/>
    <cellStyle name="쉼표 [0] 2 21 7 3 2 2 2" xfId="14695" xr:uid="{9A59C712-7A4E-4D9B-9FD0-E8C022D3BD88}"/>
    <cellStyle name="쉼표 [0] 2 21 7 3 2 3" xfId="11037" xr:uid="{A0105E63-F006-49F9-9D41-CBB2CA41F3A2}"/>
    <cellStyle name="쉼표 [0] 2 21 7 3 3" xfId="5549" xr:uid="{00000000-0005-0000-0000-0000BA0D0000}"/>
    <cellStyle name="쉼표 [0] 2 21 7 3 3 2" xfId="12866" xr:uid="{FA14281F-9DF4-402B-831E-F10086C10EB5}"/>
    <cellStyle name="쉼표 [0] 2 21 7 3 4" xfId="9207" xr:uid="{CCE46BD2-1D63-4633-ADB8-3ADBCD1E4D91}"/>
    <cellStyle name="쉼표 [0] 2 21 7 4" xfId="3715" xr:uid="{00000000-0005-0000-0000-0000BB0D0000}"/>
    <cellStyle name="쉼표 [0] 2 21 7 4 2" xfId="7376" xr:uid="{00000000-0005-0000-0000-0000BC0D0000}"/>
    <cellStyle name="쉼표 [0] 2 21 7 4 2 2" xfId="14693" xr:uid="{4DA0FE2B-7253-4203-9169-7E8B7879348C}"/>
    <cellStyle name="쉼표 [0] 2 21 7 4 3" xfId="11035" xr:uid="{168483CE-DA2D-41CA-B773-5942ECAD8082}"/>
    <cellStyle name="쉼표 [0] 2 21 7 5" xfId="5547" xr:uid="{00000000-0005-0000-0000-0000BD0D0000}"/>
    <cellStyle name="쉼표 [0] 2 21 7 5 2" xfId="12864" xr:uid="{E9B861C1-2104-4A0C-A5B4-95D8ECF5E809}"/>
    <cellStyle name="쉼표 [0] 2 21 7 6" xfId="9205" xr:uid="{39D46272-DE31-40BA-BADC-28515FD6B7A6}"/>
    <cellStyle name="쉼표 [0] 2 21 8" xfId="1369" xr:uid="{00000000-0005-0000-0000-0000BE0D0000}"/>
    <cellStyle name="쉼표 [0] 2 21 8 2" xfId="1370" xr:uid="{00000000-0005-0000-0000-0000BF0D0000}"/>
    <cellStyle name="쉼표 [0] 2 21 8 2 2" xfId="3719" xr:uid="{00000000-0005-0000-0000-0000C00D0000}"/>
    <cellStyle name="쉼표 [0] 2 21 8 2 2 2" xfId="7380" xr:uid="{00000000-0005-0000-0000-0000C10D0000}"/>
    <cellStyle name="쉼표 [0] 2 21 8 2 2 2 2" xfId="14697" xr:uid="{8776029D-9E02-4F00-AD0F-94700AD3D8F0}"/>
    <cellStyle name="쉼표 [0] 2 21 8 2 2 3" xfId="11039" xr:uid="{57D18C14-05DD-4EB6-840D-27715E608F42}"/>
    <cellStyle name="쉼표 [0] 2 21 8 2 3" xfId="5551" xr:uid="{00000000-0005-0000-0000-0000C20D0000}"/>
    <cellStyle name="쉼표 [0] 2 21 8 2 3 2" xfId="12868" xr:uid="{205C6CBD-36DD-4573-981E-035475338410}"/>
    <cellStyle name="쉼표 [0] 2 21 8 2 4" xfId="9209" xr:uid="{F314E3E3-71BD-4D0E-9CE6-F196D3914EB5}"/>
    <cellStyle name="쉼표 [0] 2 21 8 3" xfId="1371" xr:uid="{00000000-0005-0000-0000-0000C30D0000}"/>
    <cellStyle name="쉼표 [0] 2 21 8 3 2" xfId="3720" xr:uid="{00000000-0005-0000-0000-0000C40D0000}"/>
    <cellStyle name="쉼표 [0] 2 21 8 3 2 2" xfId="7381" xr:uid="{00000000-0005-0000-0000-0000C50D0000}"/>
    <cellStyle name="쉼표 [0] 2 21 8 3 2 2 2" xfId="14698" xr:uid="{5A4D9AD4-DC10-4ECA-8CFE-149CDD5C11CB}"/>
    <cellStyle name="쉼표 [0] 2 21 8 3 2 3" xfId="11040" xr:uid="{AE312FBB-834C-4331-B494-7498F291527A}"/>
    <cellStyle name="쉼표 [0] 2 21 8 3 3" xfId="5552" xr:uid="{00000000-0005-0000-0000-0000C60D0000}"/>
    <cellStyle name="쉼표 [0] 2 21 8 3 3 2" xfId="12869" xr:uid="{71FCB673-F54B-49BB-B60E-79AF1C5BA7C8}"/>
    <cellStyle name="쉼표 [0] 2 21 8 3 4" xfId="9210" xr:uid="{4BF357C4-3CDB-4F8E-BC64-1E42C24FC639}"/>
    <cellStyle name="쉼표 [0] 2 21 8 4" xfId="3718" xr:uid="{00000000-0005-0000-0000-0000C70D0000}"/>
    <cellStyle name="쉼표 [0] 2 21 8 4 2" xfId="7379" xr:uid="{00000000-0005-0000-0000-0000C80D0000}"/>
    <cellStyle name="쉼표 [0] 2 21 8 4 2 2" xfId="14696" xr:uid="{549877B4-D3CC-445F-8581-D1B43B3B7EA8}"/>
    <cellStyle name="쉼표 [0] 2 21 8 4 3" xfId="11038" xr:uid="{296CEFB3-F9F0-45B7-B762-F0CB5C0628B7}"/>
    <cellStyle name="쉼표 [0] 2 21 8 5" xfId="5550" xr:uid="{00000000-0005-0000-0000-0000C90D0000}"/>
    <cellStyle name="쉼표 [0] 2 21 8 5 2" xfId="12867" xr:uid="{7AD52525-CCA7-41FA-A240-CA0CB1D185F6}"/>
    <cellStyle name="쉼표 [0] 2 21 8 6" xfId="9208" xr:uid="{E4BD522C-F099-4015-B86D-45E79F26B4F0}"/>
    <cellStyle name="쉼표 [0] 2 21 9" xfId="1372" xr:uid="{00000000-0005-0000-0000-0000CA0D0000}"/>
    <cellStyle name="쉼표 [0] 2 21 9 2" xfId="1373" xr:uid="{00000000-0005-0000-0000-0000CB0D0000}"/>
    <cellStyle name="쉼표 [0] 2 21 9 2 2" xfId="3722" xr:uid="{00000000-0005-0000-0000-0000CC0D0000}"/>
    <cellStyle name="쉼표 [0] 2 21 9 2 2 2" xfId="7383" xr:uid="{00000000-0005-0000-0000-0000CD0D0000}"/>
    <cellStyle name="쉼표 [0] 2 21 9 2 2 2 2" xfId="14700" xr:uid="{D52918E9-FB51-46AD-BCF5-1D470E061B2D}"/>
    <cellStyle name="쉼표 [0] 2 21 9 2 2 3" xfId="11042" xr:uid="{11285552-E960-4898-AA8A-FC4D50BEEC4A}"/>
    <cellStyle name="쉼표 [0] 2 21 9 2 3" xfId="5554" xr:uid="{00000000-0005-0000-0000-0000CE0D0000}"/>
    <cellStyle name="쉼표 [0] 2 21 9 2 3 2" xfId="12871" xr:uid="{C0DA8917-A123-47D8-A7E2-FD024029D4BB}"/>
    <cellStyle name="쉼표 [0] 2 21 9 2 4" xfId="9212" xr:uid="{157D9DD6-A53C-4ECC-9FA2-5D09309D1091}"/>
    <cellStyle name="쉼표 [0] 2 21 9 3" xfId="1374" xr:uid="{00000000-0005-0000-0000-0000CF0D0000}"/>
    <cellStyle name="쉼표 [0] 2 21 9 3 2" xfId="3723" xr:uid="{00000000-0005-0000-0000-0000D00D0000}"/>
    <cellStyle name="쉼표 [0] 2 21 9 3 2 2" xfId="7384" xr:uid="{00000000-0005-0000-0000-0000D10D0000}"/>
    <cellStyle name="쉼표 [0] 2 21 9 3 2 2 2" xfId="14701" xr:uid="{DA562043-3218-4834-BBE7-71FBDFAF656D}"/>
    <cellStyle name="쉼표 [0] 2 21 9 3 2 3" xfId="11043" xr:uid="{B60A8BE5-7A77-48FD-A611-B3460CFB08BE}"/>
    <cellStyle name="쉼표 [0] 2 21 9 3 3" xfId="5555" xr:uid="{00000000-0005-0000-0000-0000D20D0000}"/>
    <cellStyle name="쉼표 [0] 2 21 9 3 3 2" xfId="12872" xr:uid="{5DB02071-CD74-4234-997C-EB593CA40D7C}"/>
    <cellStyle name="쉼표 [0] 2 21 9 3 4" xfId="9213" xr:uid="{B9BA89CF-D25D-49F3-B98D-4042B9BACF39}"/>
    <cellStyle name="쉼표 [0] 2 21 9 4" xfId="3721" xr:uid="{00000000-0005-0000-0000-0000D30D0000}"/>
    <cellStyle name="쉼표 [0] 2 21 9 4 2" xfId="7382" xr:uid="{00000000-0005-0000-0000-0000D40D0000}"/>
    <cellStyle name="쉼표 [0] 2 21 9 4 2 2" xfId="14699" xr:uid="{9E924F26-A48A-47CB-BA72-B505947BF88C}"/>
    <cellStyle name="쉼표 [0] 2 21 9 4 3" xfId="11041" xr:uid="{2E945BEC-67B0-45E9-A2D1-E1A642865AF4}"/>
    <cellStyle name="쉼표 [0] 2 21 9 5" xfId="5553" xr:uid="{00000000-0005-0000-0000-0000D50D0000}"/>
    <cellStyle name="쉼표 [0] 2 21 9 5 2" xfId="12870" xr:uid="{A64DBC55-C83D-4C9C-8D40-A5691415906C}"/>
    <cellStyle name="쉼표 [0] 2 21 9 6" xfId="9211" xr:uid="{130EB69F-55B4-40AE-8A26-BB35754370A7}"/>
    <cellStyle name="쉼표 [0] 2 22" xfId="1375" xr:uid="{00000000-0005-0000-0000-0000D60D0000}"/>
    <cellStyle name="쉼표 [0] 2 22 10" xfId="1376" xr:uid="{00000000-0005-0000-0000-0000D70D0000}"/>
    <cellStyle name="쉼표 [0] 2 22 10 2" xfId="1377" xr:uid="{00000000-0005-0000-0000-0000D80D0000}"/>
    <cellStyle name="쉼표 [0] 2 22 10 2 2" xfId="3726" xr:uid="{00000000-0005-0000-0000-0000D90D0000}"/>
    <cellStyle name="쉼표 [0] 2 22 10 2 2 2" xfId="7387" xr:uid="{00000000-0005-0000-0000-0000DA0D0000}"/>
    <cellStyle name="쉼표 [0] 2 22 10 2 2 2 2" xfId="14704" xr:uid="{29573E05-3DC1-4A8C-B176-408F08BC69E2}"/>
    <cellStyle name="쉼표 [0] 2 22 10 2 2 3" xfId="11046" xr:uid="{563F8212-308B-446B-A202-12C873F4E627}"/>
    <cellStyle name="쉼표 [0] 2 22 10 2 3" xfId="5558" xr:uid="{00000000-0005-0000-0000-0000DB0D0000}"/>
    <cellStyle name="쉼표 [0] 2 22 10 2 3 2" xfId="12875" xr:uid="{38856C82-4A94-436D-B836-94373527D969}"/>
    <cellStyle name="쉼표 [0] 2 22 10 2 4" xfId="9216" xr:uid="{FF7D4621-7B89-4303-9F92-0F67AFF9EFC8}"/>
    <cellStyle name="쉼표 [0] 2 22 10 3" xfId="1378" xr:uid="{00000000-0005-0000-0000-0000DC0D0000}"/>
    <cellStyle name="쉼표 [0] 2 22 10 3 2" xfId="3727" xr:uid="{00000000-0005-0000-0000-0000DD0D0000}"/>
    <cellStyle name="쉼표 [0] 2 22 10 3 2 2" xfId="7388" xr:uid="{00000000-0005-0000-0000-0000DE0D0000}"/>
    <cellStyle name="쉼표 [0] 2 22 10 3 2 2 2" xfId="14705" xr:uid="{5EDD18CD-B52A-4358-BAE2-13C78E109732}"/>
    <cellStyle name="쉼표 [0] 2 22 10 3 2 3" xfId="11047" xr:uid="{DAA464A4-C0D7-4352-A272-BA5C864BA6DE}"/>
    <cellStyle name="쉼표 [0] 2 22 10 3 3" xfId="5559" xr:uid="{00000000-0005-0000-0000-0000DF0D0000}"/>
    <cellStyle name="쉼표 [0] 2 22 10 3 3 2" xfId="12876" xr:uid="{457D080B-E876-43DD-AD83-54A3E0888765}"/>
    <cellStyle name="쉼표 [0] 2 22 10 3 4" xfId="9217" xr:uid="{00445D06-94FD-44EE-B351-7A0198DF9F54}"/>
    <cellStyle name="쉼표 [0] 2 22 10 4" xfId="3725" xr:uid="{00000000-0005-0000-0000-0000E00D0000}"/>
    <cellStyle name="쉼표 [0] 2 22 10 4 2" xfId="7386" xr:uid="{00000000-0005-0000-0000-0000E10D0000}"/>
    <cellStyle name="쉼표 [0] 2 22 10 4 2 2" xfId="14703" xr:uid="{28FE361E-058C-4971-AFA8-AA0101CAFE92}"/>
    <cellStyle name="쉼표 [0] 2 22 10 4 3" xfId="11045" xr:uid="{2C928F99-0BEB-4ED7-9EAB-9EF9F47692EE}"/>
    <cellStyle name="쉼표 [0] 2 22 10 5" xfId="5557" xr:uid="{00000000-0005-0000-0000-0000E20D0000}"/>
    <cellStyle name="쉼표 [0] 2 22 10 5 2" xfId="12874" xr:uid="{C0A5168D-7CC9-4007-ACF8-7B90F43D2769}"/>
    <cellStyle name="쉼표 [0] 2 22 10 6" xfId="9215" xr:uid="{5369E2F0-6CCB-471C-98F7-FE80929231AD}"/>
    <cellStyle name="쉼표 [0] 2 22 11" xfId="1379" xr:uid="{00000000-0005-0000-0000-0000E30D0000}"/>
    <cellStyle name="쉼표 [0] 2 22 11 2" xfId="1380" xr:uid="{00000000-0005-0000-0000-0000E40D0000}"/>
    <cellStyle name="쉼표 [0] 2 22 11 2 2" xfId="3729" xr:uid="{00000000-0005-0000-0000-0000E50D0000}"/>
    <cellStyle name="쉼표 [0] 2 22 11 2 2 2" xfId="7390" xr:uid="{00000000-0005-0000-0000-0000E60D0000}"/>
    <cellStyle name="쉼표 [0] 2 22 11 2 2 2 2" xfId="14707" xr:uid="{EC3A8B4D-A942-48B3-B0AB-5AD93FE2DAC0}"/>
    <cellStyle name="쉼표 [0] 2 22 11 2 2 3" xfId="11049" xr:uid="{8F4C4428-9E70-4494-9028-CBB8D1867FB2}"/>
    <cellStyle name="쉼표 [0] 2 22 11 2 3" xfId="5561" xr:uid="{00000000-0005-0000-0000-0000E70D0000}"/>
    <cellStyle name="쉼표 [0] 2 22 11 2 3 2" xfId="12878" xr:uid="{2EAC98B1-1F42-4EE1-9616-D8876DB1E3F6}"/>
    <cellStyle name="쉼표 [0] 2 22 11 2 4" xfId="9219" xr:uid="{2798855D-5620-4EC0-9325-FC0E6F87F1BD}"/>
    <cellStyle name="쉼표 [0] 2 22 11 3" xfId="1381" xr:uid="{00000000-0005-0000-0000-0000E80D0000}"/>
    <cellStyle name="쉼표 [0] 2 22 11 3 2" xfId="3730" xr:uid="{00000000-0005-0000-0000-0000E90D0000}"/>
    <cellStyle name="쉼표 [0] 2 22 11 3 2 2" xfId="7391" xr:uid="{00000000-0005-0000-0000-0000EA0D0000}"/>
    <cellStyle name="쉼표 [0] 2 22 11 3 2 2 2" xfId="14708" xr:uid="{B5854A76-6700-400D-BFD0-56124424BA9D}"/>
    <cellStyle name="쉼표 [0] 2 22 11 3 2 3" xfId="11050" xr:uid="{1B056EAF-0528-45EF-B25F-D9F45D990D65}"/>
    <cellStyle name="쉼표 [0] 2 22 11 3 3" xfId="5562" xr:uid="{00000000-0005-0000-0000-0000EB0D0000}"/>
    <cellStyle name="쉼표 [0] 2 22 11 3 3 2" xfId="12879" xr:uid="{55B979CA-65F4-47A9-B25B-BBE8F9E34580}"/>
    <cellStyle name="쉼표 [0] 2 22 11 3 4" xfId="9220" xr:uid="{E34444CC-A026-4818-98F4-83679003C11B}"/>
    <cellStyle name="쉼표 [0] 2 22 11 4" xfId="3728" xr:uid="{00000000-0005-0000-0000-0000EC0D0000}"/>
    <cellStyle name="쉼표 [0] 2 22 11 4 2" xfId="7389" xr:uid="{00000000-0005-0000-0000-0000ED0D0000}"/>
    <cellStyle name="쉼표 [0] 2 22 11 4 2 2" xfId="14706" xr:uid="{FE656005-6E9A-4E14-B671-324314C98A4E}"/>
    <cellStyle name="쉼표 [0] 2 22 11 4 3" xfId="11048" xr:uid="{F5052E11-B0ED-4DEC-855C-99DB8FA9E52F}"/>
    <cellStyle name="쉼표 [0] 2 22 11 5" xfId="5560" xr:uid="{00000000-0005-0000-0000-0000EE0D0000}"/>
    <cellStyle name="쉼표 [0] 2 22 11 5 2" xfId="12877" xr:uid="{B92F7CEF-8D26-4D21-8C1F-3B468706FF83}"/>
    <cellStyle name="쉼표 [0] 2 22 11 6" xfId="9218" xr:uid="{454D11BE-C3B3-41BA-A038-EE811B528924}"/>
    <cellStyle name="쉼표 [0] 2 22 12" xfId="1382" xr:uid="{00000000-0005-0000-0000-0000EF0D0000}"/>
    <cellStyle name="쉼표 [0] 2 22 12 2" xfId="3731" xr:uid="{00000000-0005-0000-0000-0000F00D0000}"/>
    <cellStyle name="쉼표 [0] 2 22 12 2 2" xfId="7392" xr:uid="{00000000-0005-0000-0000-0000F10D0000}"/>
    <cellStyle name="쉼표 [0] 2 22 12 2 2 2" xfId="14709" xr:uid="{1EFC1B04-299F-4110-A25B-8856AC5C4997}"/>
    <cellStyle name="쉼표 [0] 2 22 12 2 3" xfId="11051" xr:uid="{758CFAB1-751B-404B-BC5A-A178E4C74085}"/>
    <cellStyle name="쉼표 [0] 2 22 12 3" xfId="5563" xr:uid="{00000000-0005-0000-0000-0000F20D0000}"/>
    <cellStyle name="쉼표 [0] 2 22 12 3 2" xfId="12880" xr:uid="{EB11129C-8090-4B6D-9805-5369699E506B}"/>
    <cellStyle name="쉼표 [0] 2 22 12 4" xfId="9221" xr:uid="{1FA00B77-1815-4B2B-91D5-5B24D5F58FD9}"/>
    <cellStyle name="쉼표 [0] 2 22 13" xfId="1383" xr:uid="{00000000-0005-0000-0000-0000F30D0000}"/>
    <cellStyle name="쉼표 [0] 2 22 13 2" xfId="3732" xr:uid="{00000000-0005-0000-0000-0000F40D0000}"/>
    <cellStyle name="쉼표 [0] 2 22 13 2 2" xfId="7393" xr:uid="{00000000-0005-0000-0000-0000F50D0000}"/>
    <cellStyle name="쉼표 [0] 2 22 13 2 2 2" xfId="14710" xr:uid="{5618CA02-CE4E-4CCA-B3B5-6FC7038C1379}"/>
    <cellStyle name="쉼표 [0] 2 22 13 2 3" xfId="11052" xr:uid="{FE3D3AD6-6C94-4C76-97C0-421AB9C74CC6}"/>
    <cellStyle name="쉼표 [0] 2 22 13 3" xfId="5564" xr:uid="{00000000-0005-0000-0000-0000F60D0000}"/>
    <cellStyle name="쉼표 [0] 2 22 13 3 2" xfId="12881" xr:uid="{6C1B1758-6914-4D1E-956F-EA8EE5B4F6BE}"/>
    <cellStyle name="쉼표 [0] 2 22 13 4" xfId="9222" xr:uid="{A90D3437-D1CC-4698-BE26-3E0F41892ECB}"/>
    <cellStyle name="쉼표 [0] 2 22 14" xfId="1384" xr:uid="{00000000-0005-0000-0000-0000F70D0000}"/>
    <cellStyle name="쉼표 [0] 2 22 14 2" xfId="3733" xr:uid="{00000000-0005-0000-0000-0000F80D0000}"/>
    <cellStyle name="쉼표 [0] 2 22 14 2 2" xfId="7394" xr:uid="{00000000-0005-0000-0000-0000F90D0000}"/>
    <cellStyle name="쉼표 [0] 2 22 14 2 2 2" xfId="14711" xr:uid="{90E4C5D5-7CB8-423A-9218-137776A07746}"/>
    <cellStyle name="쉼표 [0] 2 22 14 2 3" xfId="11053" xr:uid="{18F0A8B6-5EAA-4294-A906-B9F5620404CB}"/>
    <cellStyle name="쉼표 [0] 2 22 14 3" xfId="5565" xr:uid="{00000000-0005-0000-0000-0000FA0D0000}"/>
    <cellStyle name="쉼표 [0] 2 22 14 3 2" xfId="12882" xr:uid="{641DB7AE-35F1-4ABB-9391-0C0F157F6432}"/>
    <cellStyle name="쉼표 [0] 2 22 14 4" xfId="9223" xr:uid="{EF76CF9C-DFF1-4D0B-96BD-B5A825267FB1}"/>
    <cellStyle name="쉼표 [0] 2 22 15" xfId="1385" xr:uid="{00000000-0005-0000-0000-0000FB0D0000}"/>
    <cellStyle name="쉼표 [0] 2 22 15 2" xfId="3734" xr:uid="{00000000-0005-0000-0000-0000FC0D0000}"/>
    <cellStyle name="쉼표 [0] 2 22 15 2 2" xfId="7395" xr:uid="{00000000-0005-0000-0000-0000FD0D0000}"/>
    <cellStyle name="쉼표 [0] 2 22 15 2 2 2" xfId="14712" xr:uid="{212FD69D-961D-4351-8128-46F5042D0CEC}"/>
    <cellStyle name="쉼표 [0] 2 22 15 2 3" xfId="11054" xr:uid="{D1220B83-4A18-420A-8AE1-9A0187A71709}"/>
    <cellStyle name="쉼표 [0] 2 22 15 3" xfId="5566" xr:uid="{00000000-0005-0000-0000-0000FE0D0000}"/>
    <cellStyle name="쉼표 [0] 2 22 15 3 2" xfId="12883" xr:uid="{A2FA6509-8870-4E60-9CE0-10152181E36B}"/>
    <cellStyle name="쉼표 [0] 2 22 15 4" xfId="9224" xr:uid="{B5F9A3E3-0D65-4FDC-B940-0AAAD3300073}"/>
    <cellStyle name="쉼표 [0] 2 22 16" xfId="3724" xr:uid="{00000000-0005-0000-0000-0000FF0D0000}"/>
    <cellStyle name="쉼표 [0] 2 22 16 2" xfId="7385" xr:uid="{00000000-0005-0000-0000-0000000E0000}"/>
    <cellStyle name="쉼표 [0] 2 22 16 2 2" xfId="14702" xr:uid="{2A29B1E4-BE9D-473E-81B7-DCB803FCF23E}"/>
    <cellStyle name="쉼표 [0] 2 22 16 3" xfId="11044" xr:uid="{2A84E568-2B74-439C-BCD3-B9DABD00FD52}"/>
    <cellStyle name="쉼표 [0] 2 22 17" xfId="5556" xr:uid="{00000000-0005-0000-0000-0000010E0000}"/>
    <cellStyle name="쉼표 [0] 2 22 17 2" xfId="12873" xr:uid="{EF5B21B6-4CD0-4E59-99E1-8EBF9DA32C77}"/>
    <cellStyle name="쉼표 [0] 2 22 18" xfId="9214" xr:uid="{3EC90E69-8725-4EB5-97E9-4AF37109D594}"/>
    <cellStyle name="쉼표 [0] 2 22 2" xfId="1386" xr:uid="{00000000-0005-0000-0000-0000020E0000}"/>
    <cellStyle name="쉼표 [0] 2 22 2 10" xfId="1387" xr:uid="{00000000-0005-0000-0000-0000030E0000}"/>
    <cellStyle name="쉼표 [0] 2 22 2 10 2" xfId="3736" xr:uid="{00000000-0005-0000-0000-0000040E0000}"/>
    <cellStyle name="쉼표 [0] 2 22 2 10 2 2" xfId="7397" xr:uid="{00000000-0005-0000-0000-0000050E0000}"/>
    <cellStyle name="쉼표 [0] 2 22 2 10 2 2 2" xfId="14714" xr:uid="{79CE8BCC-251E-43FC-87A3-C25ADF577D05}"/>
    <cellStyle name="쉼표 [0] 2 22 2 10 2 3" xfId="11056" xr:uid="{3285B7F0-8370-4585-9B6B-703FDFF8DEA9}"/>
    <cellStyle name="쉼표 [0] 2 22 2 10 3" xfId="5568" xr:uid="{00000000-0005-0000-0000-0000060E0000}"/>
    <cellStyle name="쉼표 [0] 2 22 2 10 3 2" xfId="12885" xr:uid="{E2BC7F5F-75D2-4FB0-BF06-47BB8E584488}"/>
    <cellStyle name="쉼표 [0] 2 22 2 10 4" xfId="9226" xr:uid="{3EB824DE-9EDA-4255-A109-BDA3B34B27D6}"/>
    <cellStyle name="쉼표 [0] 2 22 2 11" xfId="1388" xr:uid="{00000000-0005-0000-0000-0000070E0000}"/>
    <cellStyle name="쉼표 [0] 2 22 2 11 2" xfId="3737" xr:uid="{00000000-0005-0000-0000-0000080E0000}"/>
    <cellStyle name="쉼표 [0] 2 22 2 11 2 2" xfId="7398" xr:uid="{00000000-0005-0000-0000-0000090E0000}"/>
    <cellStyle name="쉼표 [0] 2 22 2 11 2 2 2" xfId="14715" xr:uid="{C5D80BD6-2919-4E5F-B114-20640A5C8AB1}"/>
    <cellStyle name="쉼표 [0] 2 22 2 11 2 3" xfId="11057" xr:uid="{6B4E47CD-7675-46E4-BC07-AE7599F4183B}"/>
    <cellStyle name="쉼표 [0] 2 22 2 11 3" xfId="5569" xr:uid="{00000000-0005-0000-0000-00000A0E0000}"/>
    <cellStyle name="쉼표 [0] 2 22 2 11 3 2" xfId="12886" xr:uid="{E98961A1-8F1A-40BC-9405-CC1D938F881F}"/>
    <cellStyle name="쉼표 [0] 2 22 2 11 4" xfId="9227" xr:uid="{9EFF0DC5-4351-4704-89F4-CF10291CC17A}"/>
    <cellStyle name="쉼표 [0] 2 22 2 12" xfId="3735" xr:uid="{00000000-0005-0000-0000-00000B0E0000}"/>
    <cellStyle name="쉼표 [0] 2 22 2 12 2" xfId="7396" xr:uid="{00000000-0005-0000-0000-00000C0E0000}"/>
    <cellStyle name="쉼표 [0] 2 22 2 12 2 2" xfId="14713" xr:uid="{81D5E160-9D33-47BC-84B3-A38655C21092}"/>
    <cellStyle name="쉼표 [0] 2 22 2 12 3" xfId="11055" xr:uid="{6DC073A1-0AD1-4C60-8BDD-F08013C5B1DA}"/>
    <cellStyle name="쉼표 [0] 2 22 2 13" xfId="5567" xr:uid="{00000000-0005-0000-0000-00000D0E0000}"/>
    <cellStyle name="쉼표 [0] 2 22 2 13 2" xfId="12884" xr:uid="{BF6FE74C-6F5F-4C83-BA92-B60769B4A8F0}"/>
    <cellStyle name="쉼표 [0] 2 22 2 14" xfId="9225" xr:uid="{4B827ED6-D2A7-4374-AE39-9806A8D92260}"/>
    <cellStyle name="쉼표 [0] 2 22 2 2" xfId="1389" xr:uid="{00000000-0005-0000-0000-00000E0E0000}"/>
    <cellStyle name="쉼표 [0] 2 22 2 2 10" xfId="3738" xr:uid="{00000000-0005-0000-0000-00000F0E0000}"/>
    <cellStyle name="쉼표 [0] 2 22 2 2 10 2" xfId="7399" xr:uid="{00000000-0005-0000-0000-0000100E0000}"/>
    <cellStyle name="쉼표 [0] 2 22 2 2 10 2 2" xfId="14716" xr:uid="{E1093C39-8815-49C5-B2EB-19DD2D912EA7}"/>
    <cellStyle name="쉼표 [0] 2 22 2 2 10 3" xfId="11058" xr:uid="{68F43DB6-1FEB-42A6-A675-8669356FE2AF}"/>
    <cellStyle name="쉼표 [0] 2 22 2 2 11" xfId="5570" xr:uid="{00000000-0005-0000-0000-0000110E0000}"/>
    <cellStyle name="쉼표 [0] 2 22 2 2 11 2" xfId="12887" xr:uid="{08F7092A-BC7A-446B-8C67-DD0BFC223B0F}"/>
    <cellStyle name="쉼표 [0] 2 22 2 2 12" xfId="9228" xr:uid="{66F386BB-56A6-4EAA-A591-5FC3E728E82D}"/>
    <cellStyle name="쉼표 [0] 2 22 2 2 2" xfId="1390" xr:uid="{00000000-0005-0000-0000-0000120E0000}"/>
    <cellStyle name="쉼표 [0] 2 22 2 2 2 2" xfId="1391" xr:uid="{00000000-0005-0000-0000-0000130E0000}"/>
    <cellStyle name="쉼표 [0] 2 22 2 2 2 2 2" xfId="3740" xr:uid="{00000000-0005-0000-0000-0000140E0000}"/>
    <cellStyle name="쉼표 [0] 2 22 2 2 2 2 2 2" xfId="7401" xr:uid="{00000000-0005-0000-0000-0000150E0000}"/>
    <cellStyle name="쉼표 [0] 2 22 2 2 2 2 2 2 2" xfId="14718" xr:uid="{4A8F3009-25A8-4E01-990F-07C7C2DEC314}"/>
    <cellStyle name="쉼표 [0] 2 22 2 2 2 2 2 3" xfId="11060" xr:uid="{ABFED1D0-CBE7-4CDA-A43C-F07C5381794B}"/>
    <cellStyle name="쉼표 [0] 2 22 2 2 2 2 3" xfId="5572" xr:uid="{00000000-0005-0000-0000-0000160E0000}"/>
    <cellStyle name="쉼표 [0] 2 22 2 2 2 2 3 2" xfId="12889" xr:uid="{C03F4C52-37C1-414B-A809-AC0838500718}"/>
    <cellStyle name="쉼표 [0] 2 22 2 2 2 2 4" xfId="9230" xr:uid="{82E4CA6A-7758-4988-912F-A2924706C912}"/>
    <cellStyle name="쉼표 [0] 2 22 2 2 2 3" xfId="1392" xr:uid="{00000000-0005-0000-0000-0000170E0000}"/>
    <cellStyle name="쉼표 [0] 2 22 2 2 2 3 2" xfId="3741" xr:uid="{00000000-0005-0000-0000-0000180E0000}"/>
    <cellStyle name="쉼표 [0] 2 22 2 2 2 3 2 2" xfId="7402" xr:uid="{00000000-0005-0000-0000-0000190E0000}"/>
    <cellStyle name="쉼표 [0] 2 22 2 2 2 3 2 2 2" xfId="14719" xr:uid="{CD6B90B8-31EB-4E43-97C8-C34756D9E60B}"/>
    <cellStyle name="쉼표 [0] 2 22 2 2 2 3 2 3" xfId="11061" xr:uid="{4AA7CE48-C92F-4B6A-B632-C899710307F0}"/>
    <cellStyle name="쉼표 [0] 2 22 2 2 2 3 3" xfId="5573" xr:uid="{00000000-0005-0000-0000-00001A0E0000}"/>
    <cellStyle name="쉼표 [0] 2 22 2 2 2 3 3 2" xfId="12890" xr:uid="{BB38DEBD-F57C-4DD7-924A-02E7D4185BA5}"/>
    <cellStyle name="쉼표 [0] 2 22 2 2 2 3 4" xfId="9231" xr:uid="{F3E2EFF8-F85F-4C8A-9DC6-741D057F9F9E}"/>
    <cellStyle name="쉼표 [0] 2 22 2 2 2 4" xfId="3739" xr:uid="{00000000-0005-0000-0000-00001B0E0000}"/>
    <cellStyle name="쉼표 [0] 2 22 2 2 2 4 2" xfId="7400" xr:uid="{00000000-0005-0000-0000-00001C0E0000}"/>
    <cellStyle name="쉼표 [0] 2 22 2 2 2 4 2 2" xfId="14717" xr:uid="{C98C98E3-4E3C-4AD0-8F68-F3501F313428}"/>
    <cellStyle name="쉼표 [0] 2 22 2 2 2 4 3" xfId="11059" xr:uid="{1F963235-715A-457B-8534-94291F487A72}"/>
    <cellStyle name="쉼표 [0] 2 22 2 2 2 5" xfId="5571" xr:uid="{00000000-0005-0000-0000-00001D0E0000}"/>
    <cellStyle name="쉼표 [0] 2 22 2 2 2 5 2" xfId="12888" xr:uid="{D01BFC36-1E9C-4927-A820-AC419FA35A13}"/>
    <cellStyle name="쉼표 [0] 2 22 2 2 2 6" xfId="9229" xr:uid="{5C776EBB-1E15-4B88-AD61-E58BC8789D98}"/>
    <cellStyle name="쉼표 [0] 2 22 2 2 3" xfId="1393" xr:uid="{00000000-0005-0000-0000-00001E0E0000}"/>
    <cellStyle name="쉼표 [0] 2 22 2 2 3 2" xfId="1394" xr:uid="{00000000-0005-0000-0000-00001F0E0000}"/>
    <cellStyle name="쉼표 [0] 2 22 2 2 3 2 2" xfId="3743" xr:uid="{00000000-0005-0000-0000-0000200E0000}"/>
    <cellStyle name="쉼표 [0] 2 22 2 2 3 2 2 2" xfId="7404" xr:uid="{00000000-0005-0000-0000-0000210E0000}"/>
    <cellStyle name="쉼표 [0] 2 22 2 2 3 2 2 2 2" xfId="14721" xr:uid="{67A32BE6-C92E-4244-91C9-7393A912C098}"/>
    <cellStyle name="쉼표 [0] 2 22 2 2 3 2 2 3" xfId="11063" xr:uid="{4B2FBBD6-56D3-4F94-8336-FCB5116CFD64}"/>
    <cellStyle name="쉼표 [0] 2 22 2 2 3 2 3" xfId="5575" xr:uid="{00000000-0005-0000-0000-0000220E0000}"/>
    <cellStyle name="쉼표 [0] 2 22 2 2 3 2 3 2" xfId="12892" xr:uid="{E24A4677-3FF7-4829-8BFA-F4E8B84D6BAA}"/>
    <cellStyle name="쉼표 [0] 2 22 2 2 3 2 4" xfId="9233" xr:uid="{591B3C43-1464-4FEB-848A-F18D11CE74EA}"/>
    <cellStyle name="쉼표 [0] 2 22 2 2 3 3" xfId="1395" xr:uid="{00000000-0005-0000-0000-0000230E0000}"/>
    <cellStyle name="쉼표 [0] 2 22 2 2 3 3 2" xfId="3744" xr:uid="{00000000-0005-0000-0000-0000240E0000}"/>
    <cellStyle name="쉼표 [0] 2 22 2 2 3 3 2 2" xfId="7405" xr:uid="{00000000-0005-0000-0000-0000250E0000}"/>
    <cellStyle name="쉼표 [0] 2 22 2 2 3 3 2 2 2" xfId="14722" xr:uid="{C731DBB4-3D8F-4AF5-8D1F-5C8263C93C3B}"/>
    <cellStyle name="쉼표 [0] 2 22 2 2 3 3 2 3" xfId="11064" xr:uid="{A962ABE5-66F6-45DE-9656-E5BE08BA4DDB}"/>
    <cellStyle name="쉼표 [0] 2 22 2 2 3 3 3" xfId="5576" xr:uid="{00000000-0005-0000-0000-0000260E0000}"/>
    <cellStyle name="쉼표 [0] 2 22 2 2 3 3 3 2" xfId="12893" xr:uid="{4C905F79-8F5E-44C5-A03C-C128D39071DF}"/>
    <cellStyle name="쉼표 [0] 2 22 2 2 3 3 4" xfId="9234" xr:uid="{6711261F-8476-4113-9F07-86EAE12286D0}"/>
    <cellStyle name="쉼표 [0] 2 22 2 2 3 4" xfId="3742" xr:uid="{00000000-0005-0000-0000-0000270E0000}"/>
    <cellStyle name="쉼표 [0] 2 22 2 2 3 4 2" xfId="7403" xr:uid="{00000000-0005-0000-0000-0000280E0000}"/>
    <cellStyle name="쉼표 [0] 2 22 2 2 3 4 2 2" xfId="14720" xr:uid="{FA8F859C-FE10-4527-8F68-D584EE2A5F4E}"/>
    <cellStyle name="쉼표 [0] 2 22 2 2 3 4 3" xfId="11062" xr:uid="{B79A5B57-86E7-40E9-B947-EC4A1440C5AF}"/>
    <cellStyle name="쉼표 [0] 2 22 2 2 3 5" xfId="5574" xr:uid="{00000000-0005-0000-0000-0000290E0000}"/>
    <cellStyle name="쉼표 [0] 2 22 2 2 3 5 2" xfId="12891" xr:uid="{3FE45FE1-DC01-4029-BC53-0FB21D588D31}"/>
    <cellStyle name="쉼표 [0] 2 22 2 2 3 6" xfId="9232" xr:uid="{F193AC32-0AFD-4D98-BD69-5F257F086807}"/>
    <cellStyle name="쉼표 [0] 2 22 2 2 4" xfId="1396" xr:uid="{00000000-0005-0000-0000-00002A0E0000}"/>
    <cellStyle name="쉼표 [0] 2 22 2 2 4 2" xfId="1397" xr:uid="{00000000-0005-0000-0000-00002B0E0000}"/>
    <cellStyle name="쉼표 [0] 2 22 2 2 4 2 2" xfId="3746" xr:uid="{00000000-0005-0000-0000-00002C0E0000}"/>
    <cellStyle name="쉼표 [0] 2 22 2 2 4 2 2 2" xfId="7407" xr:uid="{00000000-0005-0000-0000-00002D0E0000}"/>
    <cellStyle name="쉼표 [0] 2 22 2 2 4 2 2 2 2" xfId="14724" xr:uid="{CE2491EC-F43D-4970-890F-6F38BA0B4DA8}"/>
    <cellStyle name="쉼표 [0] 2 22 2 2 4 2 2 3" xfId="11066" xr:uid="{A007853D-089B-4327-9332-16A32C085487}"/>
    <cellStyle name="쉼표 [0] 2 22 2 2 4 2 3" xfId="5578" xr:uid="{00000000-0005-0000-0000-00002E0E0000}"/>
    <cellStyle name="쉼표 [0] 2 22 2 2 4 2 3 2" xfId="12895" xr:uid="{7511628D-080D-4494-B6DB-A78D92FF6D6E}"/>
    <cellStyle name="쉼표 [0] 2 22 2 2 4 2 4" xfId="9236" xr:uid="{BCD47DE1-BEEE-4586-BFE9-FB3DBED7037A}"/>
    <cellStyle name="쉼표 [0] 2 22 2 2 4 3" xfId="1398" xr:uid="{00000000-0005-0000-0000-00002F0E0000}"/>
    <cellStyle name="쉼표 [0] 2 22 2 2 4 3 2" xfId="3747" xr:uid="{00000000-0005-0000-0000-0000300E0000}"/>
    <cellStyle name="쉼표 [0] 2 22 2 2 4 3 2 2" xfId="7408" xr:uid="{00000000-0005-0000-0000-0000310E0000}"/>
    <cellStyle name="쉼표 [0] 2 22 2 2 4 3 2 2 2" xfId="14725" xr:uid="{2FAD01E7-0421-4F49-AFA9-799225BB864A}"/>
    <cellStyle name="쉼표 [0] 2 22 2 2 4 3 2 3" xfId="11067" xr:uid="{CFAED8C2-2DF4-48EE-A456-3DD1AF1BEEBC}"/>
    <cellStyle name="쉼표 [0] 2 22 2 2 4 3 3" xfId="5579" xr:uid="{00000000-0005-0000-0000-0000320E0000}"/>
    <cellStyle name="쉼표 [0] 2 22 2 2 4 3 3 2" xfId="12896" xr:uid="{A5EAD575-507F-424A-8F47-0EB4B888F385}"/>
    <cellStyle name="쉼표 [0] 2 22 2 2 4 3 4" xfId="9237" xr:uid="{1E6242DC-87B0-4676-B99A-B83F2D07061B}"/>
    <cellStyle name="쉼표 [0] 2 22 2 2 4 4" xfId="3745" xr:uid="{00000000-0005-0000-0000-0000330E0000}"/>
    <cellStyle name="쉼표 [0] 2 22 2 2 4 4 2" xfId="7406" xr:uid="{00000000-0005-0000-0000-0000340E0000}"/>
    <cellStyle name="쉼표 [0] 2 22 2 2 4 4 2 2" xfId="14723" xr:uid="{05844A5B-015C-433D-9F2C-111DE4855B20}"/>
    <cellStyle name="쉼표 [0] 2 22 2 2 4 4 3" xfId="11065" xr:uid="{F93EAE28-712B-483C-AED7-06A3AD79D143}"/>
    <cellStyle name="쉼표 [0] 2 22 2 2 4 5" xfId="5577" xr:uid="{00000000-0005-0000-0000-0000350E0000}"/>
    <cellStyle name="쉼표 [0] 2 22 2 2 4 5 2" xfId="12894" xr:uid="{18A672EA-13B5-4C7F-816C-61B05CF3E24D}"/>
    <cellStyle name="쉼표 [0] 2 22 2 2 4 6" xfId="9235" xr:uid="{9E267363-21DC-42D0-AF9D-36ECBEA1EBE7}"/>
    <cellStyle name="쉼표 [0] 2 22 2 2 5" xfId="1399" xr:uid="{00000000-0005-0000-0000-0000360E0000}"/>
    <cellStyle name="쉼표 [0] 2 22 2 2 5 2" xfId="1400" xr:uid="{00000000-0005-0000-0000-0000370E0000}"/>
    <cellStyle name="쉼표 [0] 2 22 2 2 5 2 2" xfId="3749" xr:uid="{00000000-0005-0000-0000-0000380E0000}"/>
    <cellStyle name="쉼표 [0] 2 22 2 2 5 2 2 2" xfId="7410" xr:uid="{00000000-0005-0000-0000-0000390E0000}"/>
    <cellStyle name="쉼표 [0] 2 22 2 2 5 2 2 2 2" xfId="14727" xr:uid="{BF2D945D-0079-4DC6-9E3C-0CDA6654D18B}"/>
    <cellStyle name="쉼표 [0] 2 22 2 2 5 2 2 3" xfId="11069" xr:uid="{E6B7DCEA-2D32-4B29-B870-3759A8C474A2}"/>
    <cellStyle name="쉼표 [0] 2 22 2 2 5 2 3" xfId="5581" xr:uid="{00000000-0005-0000-0000-00003A0E0000}"/>
    <cellStyle name="쉼표 [0] 2 22 2 2 5 2 3 2" xfId="12898" xr:uid="{0FD712EF-84BC-4E75-94B8-3D97487AB63F}"/>
    <cellStyle name="쉼표 [0] 2 22 2 2 5 2 4" xfId="9239" xr:uid="{A96A060A-515D-4D60-9334-1758BF323ECB}"/>
    <cellStyle name="쉼표 [0] 2 22 2 2 5 3" xfId="1401" xr:uid="{00000000-0005-0000-0000-00003B0E0000}"/>
    <cellStyle name="쉼표 [0] 2 22 2 2 5 3 2" xfId="3750" xr:uid="{00000000-0005-0000-0000-00003C0E0000}"/>
    <cellStyle name="쉼표 [0] 2 22 2 2 5 3 2 2" xfId="7411" xr:uid="{00000000-0005-0000-0000-00003D0E0000}"/>
    <cellStyle name="쉼표 [0] 2 22 2 2 5 3 2 2 2" xfId="14728" xr:uid="{E1B421CB-B35D-4B02-B263-8C7031A2E8B6}"/>
    <cellStyle name="쉼표 [0] 2 22 2 2 5 3 2 3" xfId="11070" xr:uid="{BE6BF903-DEEF-4D43-9147-7FCFF6A4B1F4}"/>
    <cellStyle name="쉼표 [0] 2 22 2 2 5 3 3" xfId="5582" xr:uid="{00000000-0005-0000-0000-00003E0E0000}"/>
    <cellStyle name="쉼표 [0] 2 22 2 2 5 3 3 2" xfId="12899" xr:uid="{00F86505-ADB3-4950-AF23-3869A8B4C0CE}"/>
    <cellStyle name="쉼표 [0] 2 22 2 2 5 3 4" xfId="9240" xr:uid="{E4FC8C20-F793-411D-890D-D5B9EE8CD80B}"/>
    <cellStyle name="쉼표 [0] 2 22 2 2 5 4" xfId="3748" xr:uid="{00000000-0005-0000-0000-00003F0E0000}"/>
    <cellStyle name="쉼표 [0] 2 22 2 2 5 4 2" xfId="7409" xr:uid="{00000000-0005-0000-0000-0000400E0000}"/>
    <cellStyle name="쉼표 [0] 2 22 2 2 5 4 2 2" xfId="14726" xr:uid="{B7F6C7BE-C72B-4E30-8CE3-8D152504CE57}"/>
    <cellStyle name="쉼표 [0] 2 22 2 2 5 4 3" xfId="11068" xr:uid="{4178E232-E071-487B-9B24-9E959EE57264}"/>
    <cellStyle name="쉼표 [0] 2 22 2 2 5 5" xfId="5580" xr:uid="{00000000-0005-0000-0000-0000410E0000}"/>
    <cellStyle name="쉼표 [0] 2 22 2 2 5 5 2" xfId="12897" xr:uid="{C599ACAC-5D87-42F4-A6D4-18C968CBF273}"/>
    <cellStyle name="쉼표 [0] 2 22 2 2 5 6" xfId="9238" xr:uid="{CF0D6E3C-5456-442E-9F4C-457989EDBB0A}"/>
    <cellStyle name="쉼표 [0] 2 22 2 2 6" xfId="1402" xr:uid="{00000000-0005-0000-0000-0000420E0000}"/>
    <cellStyle name="쉼표 [0] 2 22 2 2 6 2" xfId="1403" xr:uid="{00000000-0005-0000-0000-0000430E0000}"/>
    <cellStyle name="쉼표 [0] 2 22 2 2 6 2 2" xfId="3752" xr:uid="{00000000-0005-0000-0000-0000440E0000}"/>
    <cellStyle name="쉼표 [0] 2 22 2 2 6 2 2 2" xfId="7413" xr:uid="{00000000-0005-0000-0000-0000450E0000}"/>
    <cellStyle name="쉼표 [0] 2 22 2 2 6 2 2 2 2" xfId="14730" xr:uid="{BCC57B89-83B5-48C7-9CDD-4A739E2C1A30}"/>
    <cellStyle name="쉼표 [0] 2 22 2 2 6 2 2 3" xfId="11072" xr:uid="{3897AE5B-2106-4A37-AD9D-87122FC44942}"/>
    <cellStyle name="쉼표 [0] 2 22 2 2 6 2 3" xfId="5584" xr:uid="{00000000-0005-0000-0000-0000460E0000}"/>
    <cellStyle name="쉼표 [0] 2 22 2 2 6 2 3 2" xfId="12901" xr:uid="{DC64B234-58EE-4BAE-A853-F5FB43A58A8E}"/>
    <cellStyle name="쉼표 [0] 2 22 2 2 6 2 4" xfId="9242" xr:uid="{33D8F656-1E23-401A-A87D-82CF9DADB81A}"/>
    <cellStyle name="쉼표 [0] 2 22 2 2 6 3" xfId="1404" xr:uid="{00000000-0005-0000-0000-0000470E0000}"/>
    <cellStyle name="쉼표 [0] 2 22 2 2 6 3 2" xfId="3753" xr:uid="{00000000-0005-0000-0000-0000480E0000}"/>
    <cellStyle name="쉼표 [0] 2 22 2 2 6 3 2 2" xfId="7414" xr:uid="{00000000-0005-0000-0000-0000490E0000}"/>
    <cellStyle name="쉼표 [0] 2 22 2 2 6 3 2 2 2" xfId="14731" xr:uid="{7A24BA76-82C2-4FAE-A3DB-A673A006F7EF}"/>
    <cellStyle name="쉼표 [0] 2 22 2 2 6 3 2 3" xfId="11073" xr:uid="{BA4964E9-62BE-4E4A-B22C-7891FF491023}"/>
    <cellStyle name="쉼표 [0] 2 22 2 2 6 3 3" xfId="5585" xr:uid="{00000000-0005-0000-0000-00004A0E0000}"/>
    <cellStyle name="쉼표 [0] 2 22 2 2 6 3 3 2" xfId="12902" xr:uid="{CC42FB0A-B336-40B2-BE9C-B0CDA28F0166}"/>
    <cellStyle name="쉼표 [0] 2 22 2 2 6 3 4" xfId="9243" xr:uid="{98A1E0D8-5A56-4E2B-AF19-79BFF061603C}"/>
    <cellStyle name="쉼표 [0] 2 22 2 2 6 4" xfId="3751" xr:uid="{00000000-0005-0000-0000-00004B0E0000}"/>
    <cellStyle name="쉼표 [0] 2 22 2 2 6 4 2" xfId="7412" xr:uid="{00000000-0005-0000-0000-00004C0E0000}"/>
    <cellStyle name="쉼표 [0] 2 22 2 2 6 4 2 2" xfId="14729" xr:uid="{227F1350-95A7-4E66-BA49-10A4106BB51B}"/>
    <cellStyle name="쉼표 [0] 2 22 2 2 6 4 3" xfId="11071" xr:uid="{99C545C6-A04C-4914-8031-A98B3CF13643}"/>
    <cellStyle name="쉼표 [0] 2 22 2 2 6 5" xfId="5583" xr:uid="{00000000-0005-0000-0000-00004D0E0000}"/>
    <cellStyle name="쉼표 [0] 2 22 2 2 6 5 2" xfId="12900" xr:uid="{BD5A15E8-FDEC-4C2E-B0E7-0B1CFD354464}"/>
    <cellStyle name="쉼표 [0] 2 22 2 2 6 6" xfId="9241" xr:uid="{7FF6E244-9226-4158-958C-E375C4EF58CC}"/>
    <cellStyle name="쉼표 [0] 2 22 2 2 7" xfId="1405" xr:uid="{00000000-0005-0000-0000-00004E0E0000}"/>
    <cellStyle name="쉼표 [0] 2 22 2 2 7 2" xfId="3754" xr:uid="{00000000-0005-0000-0000-00004F0E0000}"/>
    <cellStyle name="쉼표 [0] 2 22 2 2 7 2 2" xfId="7415" xr:uid="{00000000-0005-0000-0000-0000500E0000}"/>
    <cellStyle name="쉼표 [0] 2 22 2 2 7 2 2 2" xfId="14732" xr:uid="{24A9F122-EBA1-4E46-B017-DEB8643D5E27}"/>
    <cellStyle name="쉼표 [0] 2 22 2 2 7 2 3" xfId="11074" xr:uid="{B4356FA2-B63D-433B-8FD2-24DD8E89F0A2}"/>
    <cellStyle name="쉼표 [0] 2 22 2 2 7 3" xfId="5586" xr:uid="{00000000-0005-0000-0000-0000510E0000}"/>
    <cellStyle name="쉼표 [0] 2 22 2 2 7 3 2" xfId="12903" xr:uid="{CFFF13DA-85DD-4131-AD10-9BA95B46ACC0}"/>
    <cellStyle name="쉼표 [0] 2 22 2 2 7 4" xfId="9244" xr:uid="{F5D439B8-A572-4C82-B9D8-C8644C2EDC71}"/>
    <cellStyle name="쉼표 [0] 2 22 2 2 8" xfId="1406" xr:uid="{00000000-0005-0000-0000-0000520E0000}"/>
    <cellStyle name="쉼표 [0] 2 22 2 2 8 2" xfId="3755" xr:uid="{00000000-0005-0000-0000-0000530E0000}"/>
    <cellStyle name="쉼표 [0] 2 22 2 2 8 2 2" xfId="7416" xr:uid="{00000000-0005-0000-0000-0000540E0000}"/>
    <cellStyle name="쉼표 [0] 2 22 2 2 8 2 2 2" xfId="14733" xr:uid="{7EA27E70-811D-4D61-B89B-8E9393495F13}"/>
    <cellStyle name="쉼표 [0] 2 22 2 2 8 2 3" xfId="11075" xr:uid="{3F765C88-E1BF-40AF-8D62-A1945F1F5A38}"/>
    <cellStyle name="쉼표 [0] 2 22 2 2 8 3" xfId="5587" xr:uid="{00000000-0005-0000-0000-0000550E0000}"/>
    <cellStyle name="쉼표 [0] 2 22 2 2 8 3 2" xfId="12904" xr:uid="{DC4F285B-5FF2-4AC2-8E16-8727E26571D9}"/>
    <cellStyle name="쉼표 [0] 2 22 2 2 8 4" xfId="9245" xr:uid="{04E53C61-68EA-4DF0-B87C-4D772D6EB0C3}"/>
    <cellStyle name="쉼표 [0] 2 22 2 2 9" xfId="1407" xr:uid="{00000000-0005-0000-0000-0000560E0000}"/>
    <cellStyle name="쉼표 [0] 2 22 2 2 9 2" xfId="3756" xr:uid="{00000000-0005-0000-0000-0000570E0000}"/>
    <cellStyle name="쉼표 [0] 2 22 2 2 9 2 2" xfId="7417" xr:uid="{00000000-0005-0000-0000-0000580E0000}"/>
    <cellStyle name="쉼표 [0] 2 22 2 2 9 2 2 2" xfId="14734" xr:uid="{17AB1DC2-169B-40D9-9B97-31DBCEDD9677}"/>
    <cellStyle name="쉼표 [0] 2 22 2 2 9 2 3" xfId="11076" xr:uid="{F43C6763-D27B-4264-BF3E-F820DBE293EB}"/>
    <cellStyle name="쉼표 [0] 2 22 2 2 9 3" xfId="5588" xr:uid="{00000000-0005-0000-0000-0000590E0000}"/>
    <cellStyle name="쉼표 [0] 2 22 2 2 9 3 2" xfId="12905" xr:uid="{710FC95C-A11B-4D3C-8F4E-3174AF78FDD6}"/>
    <cellStyle name="쉼표 [0] 2 22 2 2 9 4" xfId="9246" xr:uid="{D26D82A8-F3D6-4F98-A3FC-B94B7A2DB6D9}"/>
    <cellStyle name="쉼표 [0] 2 22 2 3" xfId="1408" xr:uid="{00000000-0005-0000-0000-00005A0E0000}"/>
    <cellStyle name="쉼표 [0] 2 22 2 3 2" xfId="1409" xr:uid="{00000000-0005-0000-0000-00005B0E0000}"/>
    <cellStyle name="쉼표 [0] 2 22 2 3 2 2" xfId="3758" xr:uid="{00000000-0005-0000-0000-00005C0E0000}"/>
    <cellStyle name="쉼표 [0] 2 22 2 3 2 2 2" xfId="7419" xr:uid="{00000000-0005-0000-0000-00005D0E0000}"/>
    <cellStyle name="쉼표 [0] 2 22 2 3 2 2 2 2" xfId="14736" xr:uid="{BCA4D831-4672-4B15-A192-C7EDF669F816}"/>
    <cellStyle name="쉼표 [0] 2 22 2 3 2 2 3" xfId="11078" xr:uid="{F18713EA-7C4E-4F9D-B21B-741079F84DAB}"/>
    <cellStyle name="쉼표 [0] 2 22 2 3 2 3" xfId="5590" xr:uid="{00000000-0005-0000-0000-00005E0E0000}"/>
    <cellStyle name="쉼표 [0] 2 22 2 3 2 3 2" xfId="12907" xr:uid="{B4238394-7CEE-4D7C-82AB-3B30F79ED89D}"/>
    <cellStyle name="쉼표 [0] 2 22 2 3 2 4" xfId="9248" xr:uid="{03F4604F-CB2F-409F-B26F-63185461E9FF}"/>
    <cellStyle name="쉼표 [0] 2 22 2 3 3" xfId="1410" xr:uid="{00000000-0005-0000-0000-00005F0E0000}"/>
    <cellStyle name="쉼표 [0] 2 22 2 3 3 2" xfId="3759" xr:uid="{00000000-0005-0000-0000-0000600E0000}"/>
    <cellStyle name="쉼표 [0] 2 22 2 3 3 2 2" xfId="7420" xr:uid="{00000000-0005-0000-0000-0000610E0000}"/>
    <cellStyle name="쉼표 [0] 2 22 2 3 3 2 2 2" xfId="14737" xr:uid="{26EB8D99-DE98-4BB5-935A-3047FB0E6E27}"/>
    <cellStyle name="쉼표 [0] 2 22 2 3 3 2 3" xfId="11079" xr:uid="{4799AD2B-4F3E-4783-8F6C-352D6881BECA}"/>
    <cellStyle name="쉼표 [0] 2 22 2 3 3 3" xfId="5591" xr:uid="{00000000-0005-0000-0000-0000620E0000}"/>
    <cellStyle name="쉼표 [0] 2 22 2 3 3 3 2" xfId="12908" xr:uid="{376B5EDA-6411-49D6-94B3-BD1A90D4B268}"/>
    <cellStyle name="쉼표 [0] 2 22 2 3 3 4" xfId="9249" xr:uid="{951B3E4B-0C39-4973-80DC-999384CD4A8B}"/>
    <cellStyle name="쉼표 [0] 2 22 2 3 4" xfId="1411" xr:uid="{00000000-0005-0000-0000-0000630E0000}"/>
    <cellStyle name="쉼표 [0] 2 22 2 3 4 2" xfId="3760" xr:uid="{00000000-0005-0000-0000-0000640E0000}"/>
    <cellStyle name="쉼표 [0] 2 22 2 3 4 2 2" xfId="7421" xr:uid="{00000000-0005-0000-0000-0000650E0000}"/>
    <cellStyle name="쉼표 [0] 2 22 2 3 4 2 2 2" xfId="14738" xr:uid="{D6B19B5C-E32D-4E0A-895C-79C6E0B5D09B}"/>
    <cellStyle name="쉼표 [0] 2 22 2 3 4 2 3" xfId="11080" xr:uid="{C61160ED-153C-41B5-9531-9743E4168125}"/>
    <cellStyle name="쉼표 [0] 2 22 2 3 4 3" xfId="5592" xr:uid="{00000000-0005-0000-0000-0000660E0000}"/>
    <cellStyle name="쉼표 [0] 2 22 2 3 4 3 2" xfId="12909" xr:uid="{6352B8DD-C5B6-4062-B471-48122DC9166A}"/>
    <cellStyle name="쉼표 [0] 2 22 2 3 4 4" xfId="9250" xr:uid="{C3CDC3D3-E81A-4A93-BCEA-703C87E5F11F}"/>
    <cellStyle name="쉼표 [0] 2 22 2 3 5" xfId="3757" xr:uid="{00000000-0005-0000-0000-0000670E0000}"/>
    <cellStyle name="쉼표 [0] 2 22 2 3 5 2" xfId="7418" xr:uid="{00000000-0005-0000-0000-0000680E0000}"/>
    <cellStyle name="쉼표 [0] 2 22 2 3 5 2 2" xfId="14735" xr:uid="{3D9DD854-660D-44B4-B1F4-12C767A6E0B6}"/>
    <cellStyle name="쉼표 [0] 2 22 2 3 5 3" xfId="11077" xr:uid="{88FB12DF-FFE8-457B-A7D2-E51D608D6541}"/>
    <cellStyle name="쉼표 [0] 2 22 2 3 6" xfId="5589" xr:uid="{00000000-0005-0000-0000-0000690E0000}"/>
    <cellStyle name="쉼표 [0] 2 22 2 3 6 2" xfId="12906" xr:uid="{7DF65D9E-58DE-402D-B35B-B353F738B2BD}"/>
    <cellStyle name="쉼표 [0] 2 22 2 3 7" xfId="9247" xr:uid="{FE6C74E6-0026-425E-99CD-ED5CE64DB2E0}"/>
    <cellStyle name="쉼표 [0] 2 22 2 4" xfId="1412" xr:uid="{00000000-0005-0000-0000-00006A0E0000}"/>
    <cellStyle name="쉼표 [0] 2 22 2 4 2" xfId="1413" xr:uid="{00000000-0005-0000-0000-00006B0E0000}"/>
    <cellStyle name="쉼표 [0] 2 22 2 4 2 2" xfId="3762" xr:uid="{00000000-0005-0000-0000-00006C0E0000}"/>
    <cellStyle name="쉼표 [0] 2 22 2 4 2 2 2" xfId="7423" xr:uid="{00000000-0005-0000-0000-00006D0E0000}"/>
    <cellStyle name="쉼표 [0] 2 22 2 4 2 2 2 2" xfId="14740" xr:uid="{80E7FCF0-F870-4493-8C00-EF6CA23EB8F6}"/>
    <cellStyle name="쉼표 [0] 2 22 2 4 2 2 3" xfId="11082" xr:uid="{DAA1C2AA-FB58-4AAD-A626-09D7E142ED5D}"/>
    <cellStyle name="쉼표 [0] 2 22 2 4 2 3" xfId="5594" xr:uid="{00000000-0005-0000-0000-00006E0E0000}"/>
    <cellStyle name="쉼표 [0] 2 22 2 4 2 3 2" xfId="12911" xr:uid="{A25E551F-B65D-46FC-B1D0-EC8F0680D006}"/>
    <cellStyle name="쉼표 [0] 2 22 2 4 2 4" xfId="9252" xr:uid="{17CE3F9B-6E5C-487F-B1B9-9AF517996DE7}"/>
    <cellStyle name="쉼표 [0] 2 22 2 4 3" xfId="1414" xr:uid="{00000000-0005-0000-0000-00006F0E0000}"/>
    <cellStyle name="쉼표 [0] 2 22 2 4 3 2" xfId="3763" xr:uid="{00000000-0005-0000-0000-0000700E0000}"/>
    <cellStyle name="쉼표 [0] 2 22 2 4 3 2 2" xfId="7424" xr:uid="{00000000-0005-0000-0000-0000710E0000}"/>
    <cellStyle name="쉼표 [0] 2 22 2 4 3 2 2 2" xfId="14741" xr:uid="{76DFFE94-FA77-4B65-AFEC-32C45B5C9B2B}"/>
    <cellStyle name="쉼표 [0] 2 22 2 4 3 2 3" xfId="11083" xr:uid="{9D0F3143-DB1C-4F81-A628-4109A02FF69D}"/>
    <cellStyle name="쉼표 [0] 2 22 2 4 3 3" xfId="5595" xr:uid="{00000000-0005-0000-0000-0000720E0000}"/>
    <cellStyle name="쉼표 [0] 2 22 2 4 3 3 2" xfId="12912" xr:uid="{4706E42A-98C9-4302-90E2-21F2F074B054}"/>
    <cellStyle name="쉼표 [0] 2 22 2 4 3 4" xfId="9253" xr:uid="{9541520D-F91D-4091-9BEC-7D49DF30E9D1}"/>
    <cellStyle name="쉼표 [0] 2 22 2 4 4" xfId="3761" xr:uid="{00000000-0005-0000-0000-0000730E0000}"/>
    <cellStyle name="쉼표 [0] 2 22 2 4 4 2" xfId="7422" xr:uid="{00000000-0005-0000-0000-0000740E0000}"/>
    <cellStyle name="쉼표 [0] 2 22 2 4 4 2 2" xfId="14739" xr:uid="{E71497E4-2C61-45CD-A420-00972B681291}"/>
    <cellStyle name="쉼표 [0] 2 22 2 4 4 3" xfId="11081" xr:uid="{BD3D318A-7BE2-49EC-BC1B-4D71F5F7E45A}"/>
    <cellStyle name="쉼표 [0] 2 22 2 4 5" xfId="5593" xr:uid="{00000000-0005-0000-0000-0000750E0000}"/>
    <cellStyle name="쉼표 [0] 2 22 2 4 5 2" xfId="12910" xr:uid="{4CAE075F-D317-4976-86F3-9D115A966CBC}"/>
    <cellStyle name="쉼표 [0] 2 22 2 4 6" xfId="9251" xr:uid="{AE69948E-171C-47AC-B053-FD77C4354A4E}"/>
    <cellStyle name="쉼표 [0] 2 22 2 5" xfId="1415" xr:uid="{00000000-0005-0000-0000-0000760E0000}"/>
    <cellStyle name="쉼표 [0] 2 22 2 5 2" xfId="1416" xr:uid="{00000000-0005-0000-0000-0000770E0000}"/>
    <cellStyle name="쉼표 [0] 2 22 2 5 2 2" xfId="3765" xr:uid="{00000000-0005-0000-0000-0000780E0000}"/>
    <cellStyle name="쉼표 [0] 2 22 2 5 2 2 2" xfId="7426" xr:uid="{00000000-0005-0000-0000-0000790E0000}"/>
    <cellStyle name="쉼표 [0] 2 22 2 5 2 2 2 2" xfId="14743" xr:uid="{5A4076E7-21F8-446F-AE61-96FA539F06CC}"/>
    <cellStyle name="쉼표 [0] 2 22 2 5 2 2 3" xfId="11085" xr:uid="{18FDD7A7-7F68-41C2-8035-53772F9E1406}"/>
    <cellStyle name="쉼표 [0] 2 22 2 5 2 3" xfId="5597" xr:uid="{00000000-0005-0000-0000-00007A0E0000}"/>
    <cellStyle name="쉼표 [0] 2 22 2 5 2 3 2" xfId="12914" xr:uid="{07085ECC-EF86-42DB-8E56-F1B7AA48E814}"/>
    <cellStyle name="쉼표 [0] 2 22 2 5 2 4" xfId="9255" xr:uid="{F62168BD-DAAA-4483-B4D2-59779DDD05F9}"/>
    <cellStyle name="쉼표 [0] 2 22 2 5 3" xfId="1417" xr:uid="{00000000-0005-0000-0000-00007B0E0000}"/>
    <cellStyle name="쉼표 [0] 2 22 2 5 3 2" xfId="3766" xr:uid="{00000000-0005-0000-0000-00007C0E0000}"/>
    <cellStyle name="쉼표 [0] 2 22 2 5 3 2 2" xfId="7427" xr:uid="{00000000-0005-0000-0000-00007D0E0000}"/>
    <cellStyle name="쉼표 [0] 2 22 2 5 3 2 2 2" xfId="14744" xr:uid="{012D036F-BB8C-4B99-B26D-F431C9624CED}"/>
    <cellStyle name="쉼표 [0] 2 22 2 5 3 2 3" xfId="11086" xr:uid="{3B52B18E-69CA-4833-99FB-688DCCA086D1}"/>
    <cellStyle name="쉼표 [0] 2 22 2 5 3 3" xfId="5598" xr:uid="{00000000-0005-0000-0000-00007E0E0000}"/>
    <cellStyle name="쉼표 [0] 2 22 2 5 3 3 2" xfId="12915" xr:uid="{4558CF2C-48C8-4F53-A4E1-85E14E25BE54}"/>
    <cellStyle name="쉼표 [0] 2 22 2 5 3 4" xfId="9256" xr:uid="{757A81BD-257D-43D5-A684-41B5E270E081}"/>
    <cellStyle name="쉼표 [0] 2 22 2 5 4" xfId="3764" xr:uid="{00000000-0005-0000-0000-00007F0E0000}"/>
    <cellStyle name="쉼표 [0] 2 22 2 5 4 2" xfId="7425" xr:uid="{00000000-0005-0000-0000-0000800E0000}"/>
    <cellStyle name="쉼표 [0] 2 22 2 5 4 2 2" xfId="14742" xr:uid="{2FBFA61D-5536-4EB5-9DA1-8AE9B1655C69}"/>
    <cellStyle name="쉼표 [0] 2 22 2 5 4 3" xfId="11084" xr:uid="{856F4AF0-CF54-4D6C-9A2B-79838E1CC739}"/>
    <cellStyle name="쉼표 [0] 2 22 2 5 5" xfId="5596" xr:uid="{00000000-0005-0000-0000-0000810E0000}"/>
    <cellStyle name="쉼표 [0] 2 22 2 5 5 2" xfId="12913" xr:uid="{2030743F-6CDB-4AC7-8C6F-F1E0973D9E88}"/>
    <cellStyle name="쉼표 [0] 2 22 2 5 6" xfId="9254" xr:uid="{E63C5988-5441-43D0-8C82-95C6627F6A0A}"/>
    <cellStyle name="쉼표 [0] 2 22 2 6" xfId="1418" xr:uid="{00000000-0005-0000-0000-0000820E0000}"/>
    <cellStyle name="쉼표 [0] 2 22 2 6 2" xfId="1419" xr:uid="{00000000-0005-0000-0000-0000830E0000}"/>
    <cellStyle name="쉼표 [0] 2 22 2 6 2 2" xfId="3768" xr:uid="{00000000-0005-0000-0000-0000840E0000}"/>
    <cellStyle name="쉼표 [0] 2 22 2 6 2 2 2" xfId="7429" xr:uid="{00000000-0005-0000-0000-0000850E0000}"/>
    <cellStyle name="쉼표 [0] 2 22 2 6 2 2 2 2" xfId="14746" xr:uid="{C6A634D2-885D-4672-B811-A46A74F2FA41}"/>
    <cellStyle name="쉼표 [0] 2 22 2 6 2 2 3" xfId="11088" xr:uid="{CEC70637-4AB7-4FA3-BB1E-D2F5F267EADC}"/>
    <cellStyle name="쉼표 [0] 2 22 2 6 2 3" xfId="5600" xr:uid="{00000000-0005-0000-0000-0000860E0000}"/>
    <cellStyle name="쉼표 [0] 2 22 2 6 2 3 2" xfId="12917" xr:uid="{F329A65E-EE34-4359-B447-773BB7FFF518}"/>
    <cellStyle name="쉼표 [0] 2 22 2 6 2 4" xfId="9258" xr:uid="{92738C82-EAE3-4E38-8FE3-62876ACA7258}"/>
    <cellStyle name="쉼표 [0] 2 22 2 6 3" xfId="1420" xr:uid="{00000000-0005-0000-0000-0000870E0000}"/>
    <cellStyle name="쉼표 [0] 2 22 2 6 3 2" xfId="3769" xr:uid="{00000000-0005-0000-0000-0000880E0000}"/>
    <cellStyle name="쉼표 [0] 2 22 2 6 3 2 2" xfId="7430" xr:uid="{00000000-0005-0000-0000-0000890E0000}"/>
    <cellStyle name="쉼표 [0] 2 22 2 6 3 2 2 2" xfId="14747" xr:uid="{F081777F-7A09-4A92-9EEE-0F9C233DA9D8}"/>
    <cellStyle name="쉼표 [0] 2 22 2 6 3 2 3" xfId="11089" xr:uid="{C57EA831-0CBE-4D5C-BD0A-76E4E3D08D49}"/>
    <cellStyle name="쉼표 [0] 2 22 2 6 3 3" xfId="5601" xr:uid="{00000000-0005-0000-0000-00008A0E0000}"/>
    <cellStyle name="쉼표 [0] 2 22 2 6 3 3 2" xfId="12918" xr:uid="{711A6DEB-0656-400E-A68A-F5971B10755C}"/>
    <cellStyle name="쉼표 [0] 2 22 2 6 3 4" xfId="9259" xr:uid="{D8A2C9C4-558B-43C2-BB4C-DDABD01EF563}"/>
    <cellStyle name="쉼표 [0] 2 22 2 6 4" xfId="3767" xr:uid="{00000000-0005-0000-0000-00008B0E0000}"/>
    <cellStyle name="쉼표 [0] 2 22 2 6 4 2" xfId="7428" xr:uid="{00000000-0005-0000-0000-00008C0E0000}"/>
    <cellStyle name="쉼표 [0] 2 22 2 6 4 2 2" xfId="14745" xr:uid="{060F5092-4242-4677-9090-48A4BCEC4ABB}"/>
    <cellStyle name="쉼표 [0] 2 22 2 6 4 3" xfId="11087" xr:uid="{7AF3927D-1FB2-4071-AA98-82AAC9DAE932}"/>
    <cellStyle name="쉼표 [0] 2 22 2 6 5" xfId="5599" xr:uid="{00000000-0005-0000-0000-00008D0E0000}"/>
    <cellStyle name="쉼표 [0] 2 22 2 6 5 2" xfId="12916" xr:uid="{ED45F1CB-8664-48A0-80E9-4B49D31DB2C7}"/>
    <cellStyle name="쉼표 [0] 2 22 2 6 6" xfId="9257" xr:uid="{3F886D2D-547A-40AA-A020-E52798F874DF}"/>
    <cellStyle name="쉼표 [0] 2 22 2 7" xfId="1421" xr:uid="{00000000-0005-0000-0000-00008E0E0000}"/>
    <cellStyle name="쉼표 [0] 2 22 2 7 2" xfId="1422" xr:uid="{00000000-0005-0000-0000-00008F0E0000}"/>
    <cellStyle name="쉼표 [0] 2 22 2 7 2 2" xfId="3771" xr:uid="{00000000-0005-0000-0000-0000900E0000}"/>
    <cellStyle name="쉼표 [0] 2 22 2 7 2 2 2" xfId="7432" xr:uid="{00000000-0005-0000-0000-0000910E0000}"/>
    <cellStyle name="쉼표 [0] 2 22 2 7 2 2 2 2" xfId="14749" xr:uid="{3EC47A33-8C53-4592-8ACA-496DB3C7120D}"/>
    <cellStyle name="쉼표 [0] 2 22 2 7 2 2 3" xfId="11091" xr:uid="{6F375D9A-3F80-4303-BEF2-C29E8C9F6932}"/>
    <cellStyle name="쉼표 [0] 2 22 2 7 2 3" xfId="5603" xr:uid="{00000000-0005-0000-0000-0000920E0000}"/>
    <cellStyle name="쉼표 [0] 2 22 2 7 2 3 2" xfId="12920" xr:uid="{9AEA9074-2B55-4254-A51E-C5BFDFB65130}"/>
    <cellStyle name="쉼표 [0] 2 22 2 7 2 4" xfId="9261" xr:uid="{BFE91278-2BEC-438D-B78C-7BEC2A1FF4B2}"/>
    <cellStyle name="쉼표 [0] 2 22 2 7 3" xfId="1423" xr:uid="{00000000-0005-0000-0000-0000930E0000}"/>
    <cellStyle name="쉼표 [0] 2 22 2 7 3 2" xfId="3772" xr:uid="{00000000-0005-0000-0000-0000940E0000}"/>
    <cellStyle name="쉼표 [0] 2 22 2 7 3 2 2" xfId="7433" xr:uid="{00000000-0005-0000-0000-0000950E0000}"/>
    <cellStyle name="쉼표 [0] 2 22 2 7 3 2 2 2" xfId="14750" xr:uid="{A6E947E0-2A92-46C2-821B-E5B8DBC72BCF}"/>
    <cellStyle name="쉼표 [0] 2 22 2 7 3 2 3" xfId="11092" xr:uid="{269E59B9-9898-4004-9FFF-B17531461E37}"/>
    <cellStyle name="쉼표 [0] 2 22 2 7 3 3" xfId="5604" xr:uid="{00000000-0005-0000-0000-0000960E0000}"/>
    <cellStyle name="쉼표 [0] 2 22 2 7 3 3 2" xfId="12921" xr:uid="{D6B66C7E-51BA-4C85-800E-39A4BDAD7BB2}"/>
    <cellStyle name="쉼표 [0] 2 22 2 7 3 4" xfId="9262" xr:uid="{8A313E99-83CC-4AE0-AF1A-11F92DAD5DA2}"/>
    <cellStyle name="쉼표 [0] 2 22 2 7 4" xfId="3770" xr:uid="{00000000-0005-0000-0000-0000970E0000}"/>
    <cellStyle name="쉼표 [0] 2 22 2 7 4 2" xfId="7431" xr:uid="{00000000-0005-0000-0000-0000980E0000}"/>
    <cellStyle name="쉼표 [0] 2 22 2 7 4 2 2" xfId="14748" xr:uid="{A63799EB-0327-4658-9DF7-8E8C55D9407D}"/>
    <cellStyle name="쉼표 [0] 2 22 2 7 4 3" xfId="11090" xr:uid="{404F0F60-6F53-4042-962A-7F6EAA731246}"/>
    <cellStyle name="쉼표 [0] 2 22 2 7 5" xfId="5602" xr:uid="{00000000-0005-0000-0000-0000990E0000}"/>
    <cellStyle name="쉼표 [0] 2 22 2 7 5 2" xfId="12919" xr:uid="{077C581A-2D4D-422C-86CD-AD65E0C6EF27}"/>
    <cellStyle name="쉼표 [0] 2 22 2 7 6" xfId="9260" xr:uid="{8869945E-233D-45EA-9D51-E67034C79308}"/>
    <cellStyle name="쉼표 [0] 2 22 2 8" xfId="1424" xr:uid="{00000000-0005-0000-0000-00009A0E0000}"/>
    <cellStyle name="쉼표 [0] 2 22 2 8 2" xfId="3773" xr:uid="{00000000-0005-0000-0000-00009B0E0000}"/>
    <cellStyle name="쉼표 [0] 2 22 2 8 2 2" xfId="7434" xr:uid="{00000000-0005-0000-0000-00009C0E0000}"/>
    <cellStyle name="쉼표 [0] 2 22 2 8 2 2 2" xfId="14751" xr:uid="{991B2922-1A97-4D2E-BC75-ADC14C7407F7}"/>
    <cellStyle name="쉼표 [0] 2 22 2 8 2 3" xfId="11093" xr:uid="{92CFCD1D-4BDA-4D84-BAD6-C2C6540515B5}"/>
    <cellStyle name="쉼표 [0] 2 22 2 8 3" xfId="5605" xr:uid="{00000000-0005-0000-0000-00009D0E0000}"/>
    <cellStyle name="쉼표 [0] 2 22 2 8 3 2" xfId="12922" xr:uid="{41FFE604-4C3C-4175-B984-B334D8AE4BB2}"/>
    <cellStyle name="쉼표 [0] 2 22 2 8 4" xfId="9263" xr:uid="{AF0C85F2-0EDA-4D38-A7CB-09AFB3ED8E13}"/>
    <cellStyle name="쉼표 [0] 2 22 2 9" xfId="1425" xr:uid="{00000000-0005-0000-0000-00009E0E0000}"/>
    <cellStyle name="쉼표 [0] 2 22 2 9 2" xfId="3774" xr:uid="{00000000-0005-0000-0000-00009F0E0000}"/>
    <cellStyle name="쉼표 [0] 2 22 2 9 2 2" xfId="7435" xr:uid="{00000000-0005-0000-0000-0000A00E0000}"/>
    <cellStyle name="쉼표 [0] 2 22 2 9 2 2 2" xfId="14752" xr:uid="{A6348AF5-0340-4FFF-95C6-681D634358FF}"/>
    <cellStyle name="쉼표 [0] 2 22 2 9 2 3" xfId="11094" xr:uid="{77D0509C-968C-4FC3-AC01-05705C7761FE}"/>
    <cellStyle name="쉼표 [0] 2 22 2 9 3" xfId="5606" xr:uid="{00000000-0005-0000-0000-0000A10E0000}"/>
    <cellStyle name="쉼표 [0] 2 22 2 9 3 2" xfId="12923" xr:uid="{6515BE43-40B7-424F-BED3-267F85920AA4}"/>
    <cellStyle name="쉼표 [0] 2 22 2 9 4" xfId="9264" xr:uid="{D7D1ECF6-5D86-41AC-BDE2-1649A8DA20F1}"/>
    <cellStyle name="쉼표 [0] 2 22 3" xfId="1426" xr:uid="{00000000-0005-0000-0000-0000A20E0000}"/>
    <cellStyle name="쉼표 [0] 2 22 3 10" xfId="1427" xr:uid="{00000000-0005-0000-0000-0000A30E0000}"/>
    <cellStyle name="쉼표 [0] 2 22 3 10 2" xfId="3776" xr:uid="{00000000-0005-0000-0000-0000A40E0000}"/>
    <cellStyle name="쉼표 [0] 2 22 3 10 2 2" xfId="7437" xr:uid="{00000000-0005-0000-0000-0000A50E0000}"/>
    <cellStyle name="쉼표 [0] 2 22 3 10 2 2 2" xfId="14754" xr:uid="{B4306D9F-E657-490F-B39E-EAC23761BDA6}"/>
    <cellStyle name="쉼표 [0] 2 22 3 10 2 3" xfId="11096" xr:uid="{AF4E6B63-3327-4186-9E7F-C63BD488AC27}"/>
    <cellStyle name="쉼표 [0] 2 22 3 10 3" xfId="5608" xr:uid="{00000000-0005-0000-0000-0000A60E0000}"/>
    <cellStyle name="쉼표 [0] 2 22 3 10 3 2" xfId="12925" xr:uid="{CB0FAFD9-AF3B-4C6E-8623-B3AB0774FADE}"/>
    <cellStyle name="쉼표 [0] 2 22 3 10 4" xfId="9266" xr:uid="{6A19254A-7996-4E1F-9EDD-8B726A572788}"/>
    <cellStyle name="쉼표 [0] 2 22 3 11" xfId="3775" xr:uid="{00000000-0005-0000-0000-0000A70E0000}"/>
    <cellStyle name="쉼표 [0] 2 22 3 11 2" xfId="7436" xr:uid="{00000000-0005-0000-0000-0000A80E0000}"/>
    <cellStyle name="쉼표 [0] 2 22 3 11 2 2" xfId="14753" xr:uid="{0852B371-6968-409E-927A-DE3EA442505A}"/>
    <cellStyle name="쉼표 [0] 2 22 3 11 3" xfId="11095" xr:uid="{F635C179-54A9-4E86-8036-D70338FDC29A}"/>
    <cellStyle name="쉼표 [0] 2 22 3 12" xfId="5607" xr:uid="{00000000-0005-0000-0000-0000A90E0000}"/>
    <cellStyle name="쉼표 [0] 2 22 3 12 2" xfId="12924" xr:uid="{90FE4B95-45C5-46F2-9DC0-1552FABCB55F}"/>
    <cellStyle name="쉼표 [0] 2 22 3 13" xfId="9265" xr:uid="{049B6DB7-4A68-406D-BECB-AEB8848D1784}"/>
    <cellStyle name="쉼표 [0] 2 22 3 2" xfId="1428" xr:uid="{00000000-0005-0000-0000-0000AA0E0000}"/>
    <cellStyle name="쉼표 [0] 2 22 3 2 10" xfId="5609" xr:uid="{00000000-0005-0000-0000-0000AB0E0000}"/>
    <cellStyle name="쉼표 [0] 2 22 3 2 10 2" xfId="12926" xr:uid="{46CD2E97-EB1F-4BDA-A801-83CD5810D520}"/>
    <cellStyle name="쉼표 [0] 2 22 3 2 11" xfId="9267" xr:uid="{B4E20265-E71B-4DD8-8A2A-7DD607F551E4}"/>
    <cellStyle name="쉼표 [0] 2 22 3 2 2" xfId="1429" xr:uid="{00000000-0005-0000-0000-0000AC0E0000}"/>
    <cellStyle name="쉼표 [0] 2 22 3 2 2 2" xfId="1430" xr:uid="{00000000-0005-0000-0000-0000AD0E0000}"/>
    <cellStyle name="쉼표 [0] 2 22 3 2 2 2 2" xfId="3779" xr:uid="{00000000-0005-0000-0000-0000AE0E0000}"/>
    <cellStyle name="쉼표 [0] 2 22 3 2 2 2 2 2" xfId="7440" xr:uid="{00000000-0005-0000-0000-0000AF0E0000}"/>
    <cellStyle name="쉼표 [0] 2 22 3 2 2 2 2 2 2" xfId="14757" xr:uid="{4BBE46CC-445B-40C4-B80A-2DB5BD6E5DEF}"/>
    <cellStyle name="쉼표 [0] 2 22 3 2 2 2 2 3" xfId="11099" xr:uid="{2FA6418D-CB1C-4221-BE33-0B212B735621}"/>
    <cellStyle name="쉼표 [0] 2 22 3 2 2 2 3" xfId="5611" xr:uid="{00000000-0005-0000-0000-0000B00E0000}"/>
    <cellStyle name="쉼표 [0] 2 22 3 2 2 2 3 2" xfId="12928" xr:uid="{835C283F-E1D1-442B-8050-1D96428AD84E}"/>
    <cellStyle name="쉼표 [0] 2 22 3 2 2 2 4" xfId="9269" xr:uid="{AC3AAA7F-B4D0-4EEF-8A04-6657EECCF5EB}"/>
    <cellStyle name="쉼표 [0] 2 22 3 2 2 3" xfId="1431" xr:uid="{00000000-0005-0000-0000-0000B10E0000}"/>
    <cellStyle name="쉼표 [0] 2 22 3 2 2 3 2" xfId="3780" xr:uid="{00000000-0005-0000-0000-0000B20E0000}"/>
    <cellStyle name="쉼표 [0] 2 22 3 2 2 3 2 2" xfId="7441" xr:uid="{00000000-0005-0000-0000-0000B30E0000}"/>
    <cellStyle name="쉼표 [0] 2 22 3 2 2 3 2 2 2" xfId="14758" xr:uid="{FDFFD323-B706-4FED-A5AC-C7757DB34CE7}"/>
    <cellStyle name="쉼표 [0] 2 22 3 2 2 3 2 3" xfId="11100" xr:uid="{1610584E-0BAB-49D1-AA4F-80C2157B8BE2}"/>
    <cellStyle name="쉼표 [0] 2 22 3 2 2 3 3" xfId="5612" xr:uid="{00000000-0005-0000-0000-0000B40E0000}"/>
    <cellStyle name="쉼표 [0] 2 22 3 2 2 3 3 2" xfId="12929" xr:uid="{59ED2F24-D101-41E6-AC7A-FA5402A864D2}"/>
    <cellStyle name="쉼표 [0] 2 22 3 2 2 3 4" xfId="9270" xr:uid="{B4DCE06F-5905-49F4-90BA-61EE9C8742B5}"/>
    <cellStyle name="쉼표 [0] 2 22 3 2 2 4" xfId="3778" xr:uid="{00000000-0005-0000-0000-0000B50E0000}"/>
    <cellStyle name="쉼표 [0] 2 22 3 2 2 4 2" xfId="7439" xr:uid="{00000000-0005-0000-0000-0000B60E0000}"/>
    <cellStyle name="쉼표 [0] 2 22 3 2 2 4 2 2" xfId="14756" xr:uid="{9CDB3899-7F01-42FF-ACFC-A427847DCBA1}"/>
    <cellStyle name="쉼표 [0] 2 22 3 2 2 4 3" xfId="11098" xr:uid="{46D4A1DD-6018-4C14-A037-63D35A14C98A}"/>
    <cellStyle name="쉼표 [0] 2 22 3 2 2 5" xfId="5610" xr:uid="{00000000-0005-0000-0000-0000B70E0000}"/>
    <cellStyle name="쉼표 [0] 2 22 3 2 2 5 2" xfId="12927" xr:uid="{48E13294-9966-4CA4-804B-E440174E19F0}"/>
    <cellStyle name="쉼표 [0] 2 22 3 2 2 6" xfId="9268" xr:uid="{3E2E6427-25A4-4ACE-8587-34DB738F872A}"/>
    <cellStyle name="쉼표 [0] 2 22 3 2 3" xfId="1432" xr:uid="{00000000-0005-0000-0000-0000B80E0000}"/>
    <cellStyle name="쉼표 [0] 2 22 3 2 3 2" xfId="1433" xr:uid="{00000000-0005-0000-0000-0000B90E0000}"/>
    <cellStyle name="쉼표 [0] 2 22 3 2 3 2 2" xfId="3782" xr:uid="{00000000-0005-0000-0000-0000BA0E0000}"/>
    <cellStyle name="쉼표 [0] 2 22 3 2 3 2 2 2" xfId="7443" xr:uid="{00000000-0005-0000-0000-0000BB0E0000}"/>
    <cellStyle name="쉼표 [0] 2 22 3 2 3 2 2 2 2" xfId="14760" xr:uid="{F8697DCE-0863-41CC-AB3D-524CA6CF63A3}"/>
    <cellStyle name="쉼표 [0] 2 22 3 2 3 2 2 3" xfId="11102" xr:uid="{4D0D77AD-CAA3-4DDE-AFC3-E70147CEA59A}"/>
    <cellStyle name="쉼표 [0] 2 22 3 2 3 2 3" xfId="5614" xr:uid="{00000000-0005-0000-0000-0000BC0E0000}"/>
    <cellStyle name="쉼표 [0] 2 22 3 2 3 2 3 2" xfId="12931" xr:uid="{96BAD5AE-BB85-434A-89B6-F5C9394E9BFE}"/>
    <cellStyle name="쉼표 [0] 2 22 3 2 3 2 4" xfId="9272" xr:uid="{8C0B0F3F-66D8-4281-A8B1-513D39A2EF47}"/>
    <cellStyle name="쉼표 [0] 2 22 3 2 3 3" xfId="1434" xr:uid="{00000000-0005-0000-0000-0000BD0E0000}"/>
    <cellStyle name="쉼표 [0] 2 22 3 2 3 3 2" xfId="3783" xr:uid="{00000000-0005-0000-0000-0000BE0E0000}"/>
    <cellStyle name="쉼표 [0] 2 22 3 2 3 3 2 2" xfId="7444" xr:uid="{00000000-0005-0000-0000-0000BF0E0000}"/>
    <cellStyle name="쉼표 [0] 2 22 3 2 3 3 2 2 2" xfId="14761" xr:uid="{99D8CC95-3AB4-4F67-AC9F-A35500FCF158}"/>
    <cellStyle name="쉼표 [0] 2 22 3 2 3 3 2 3" xfId="11103" xr:uid="{96B45842-B031-4A97-A98A-E45DB9E08E23}"/>
    <cellStyle name="쉼표 [0] 2 22 3 2 3 3 3" xfId="5615" xr:uid="{00000000-0005-0000-0000-0000C00E0000}"/>
    <cellStyle name="쉼표 [0] 2 22 3 2 3 3 3 2" xfId="12932" xr:uid="{7917C09B-A86A-473F-A186-31A138E39189}"/>
    <cellStyle name="쉼표 [0] 2 22 3 2 3 3 4" xfId="9273" xr:uid="{4E637C5C-3A2C-49BE-8EFE-5C414AB643C2}"/>
    <cellStyle name="쉼표 [0] 2 22 3 2 3 4" xfId="3781" xr:uid="{00000000-0005-0000-0000-0000C10E0000}"/>
    <cellStyle name="쉼표 [0] 2 22 3 2 3 4 2" xfId="7442" xr:uid="{00000000-0005-0000-0000-0000C20E0000}"/>
    <cellStyle name="쉼표 [0] 2 22 3 2 3 4 2 2" xfId="14759" xr:uid="{CE3E2AB3-D65D-4357-95BD-AF7490593D8F}"/>
    <cellStyle name="쉼표 [0] 2 22 3 2 3 4 3" xfId="11101" xr:uid="{0738E3CD-017F-4041-A98A-B20C6534D68B}"/>
    <cellStyle name="쉼표 [0] 2 22 3 2 3 5" xfId="5613" xr:uid="{00000000-0005-0000-0000-0000C30E0000}"/>
    <cellStyle name="쉼표 [0] 2 22 3 2 3 5 2" xfId="12930" xr:uid="{08E4D312-204B-434C-B0B2-4A0FA738DED3}"/>
    <cellStyle name="쉼표 [0] 2 22 3 2 3 6" xfId="9271" xr:uid="{0EBD7126-0075-4015-B9DF-DB55B55FB39B}"/>
    <cellStyle name="쉼표 [0] 2 22 3 2 4" xfId="1435" xr:uid="{00000000-0005-0000-0000-0000C40E0000}"/>
    <cellStyle name="쉼표 [0] 2 22 3 2 4 2" xfId="1436" xr:uid="{00000000-0005-0000-0000-0000C50E0000}"/>
    <cellStyle name="쉼표 [0] 2 22 3 2 4 2 2" xfId="3785" xr:uid="{00000000-0005-0000-0000-0000C60E0000}"/>
    <cellStyle name="쉼표 [0] 2 22 3 2 4 2 2 2" xfId="7446" xr:uid="{00000000-0005-0000-0000-0000C70E0000}"/>
    <cellStyle name="쉼표 [0] 2 22 3 2 4 2 2 2 2" xfId="14763" xr:uid="{5EB2A6E4-148C-4A1B-9791-606EF4A20394}"/>
    <cellStyle name="쉼표 [0] 2 22 3 2 4 2 2 3" xfId="11105" xr:uid="{A8AA22CE-2D54-438A-BFF5-E5CBEC14E046}"/>
    <cellStyle name="쉼표 [0] 2 22 3 2 4 2 3" xfId="5617" xr:uid="{00000000-0005-0000-0000-0000C80E0000}"/>
    <cellStyle name="쉼표 [0] 2 22 3 2 4 2 3 2" xfId="12934" xr:uid="{8AE4DAC6-8643-4F61-9652-18022DCA3423}"/>
    <cellStyle name="쉼표 [0] 2 22 3 2 4 2 4" xfId="9275" xr:uid="{6DF47FA9-B11F-48CA-879F-ADDAB34C2C22}"/>
    <cellStyle name="쉼표 [0] 2 22 3 2 4 3" xfId="1437" xr:uid="{00000000-0005-0000-0000-0000C90E0000}"/>
    <cellStyle name="쉼표 [0] 2 22 3 2 4 3 2" xfId="3786" xr:uid="{00000000-0005-0000-0000-0000CA0E0000}"/>
    <cellStyle name="쉼표 [0] 2 22 3 2 4 3 2 2" xfId="7447" xr:uid="{00000000-0005-0000-0000-0000CB0E0000}"/>
    <cellStyle name="쉼표 [0] 2 22 3 2 4 3 2 2 2" xfId="14764" xr:uid="{295AE581-B57C-4A5D-82EE-E6A876E8435E}"/>
    <cellStyle name="쉼표 [0] 2 22 3 2 4 3 2 3" xfId="11106" xr:uid="{1B681BE5-5F50-4A2B-84AD-4AE5DD24339C}"/>
    <cellStyle name="쉼표 [0] 2 22 3 2 4 3 3" xfId="5618" xr:uid="{00000000-0005-0000-0000-0000CC0E0000}"/>
    <cellStyle name="쉼표 [0] 2 22 3 2 4 3 3 2" xfId="12935" xr:uid="{0459D414-2F1F-40CA-8715-4E453790A95A}"/>
    <cellStyle name="쉼표 [0] 2 22 3 2 4 3 4" xfId="9276" xr:uid="{CF4B46E3-5481-4687-B86C-7D90DB5FEB64}"/>
    <cellStyle name="쉼표 [0] 2 22 3 2 4 4" xfId="3784" xr:uid="{00000000-0005-0000-0000-0000CD0E0000}"/>
    <cellStyle name="쉼표 [0] 2 22 3 2 4 4 2" xfId="7445" xr:uid="{00000000-0005-0000-0000-0000CE0E0000}"/>
    <cellStyle name="쉼표 [0] 2 22 3 2 4 4 2 2" xfId="14762" xr:uid="{0C847E3E-52EC-48B4-ADAB-DED71AB4BE96}"/>
    <cellStyle name="쉼표 [0] 2 22 3 2 4 4 3" xfId="11104" xr:uid="{CE6B11C5-C18B-405C-9670-B31C5C152DCD}"/>
    <cellStyle name="쉼표 [0] 2 22 3 2 4 5" xfId="5616" xr:uid="{00000000-0005-0000-0000-0000CF0E0000}"/>
    <cellStyle name="쉼표 [0] 2 22 3 2 4 5 2" xfId="12933" xr:uid="{4F7743E9-3168-44C7-B769-4CF5C1351994}"/>
    <cellStyle name="쉼표 [0] 2 22 3 2 4 6" xfId="9274" xr:uid="{191FDEB0-0AB4-4ED6-9007-1BF12FEADFB4}"/>
    <cellStyle name="쉼표 [0] 2 22 3 2 5" xfId="1438" xr:uid="{00000000-0005-0000-0000-0000D00E0000}"/>
    <cellStyle name="쉼표 [0] 2 22 3 2 5 2" xfId="1439" xr:uid="{00000000-0005-0000-0000-0000D10E0000}"/>
    <cellStyle name="쉼표 [0] 2 22 3 2 5 2 2" xfId="3788" xr:uid="{00000000-0005-0000-0000-0000D20E0000}"/>
    <cellStyle name="쉼표 [0] 2 22 3 2 5 2 2 2" xfId="7449" xr:uid="{00000000-0005-0000-0000-0000D30E0000}"/>
    <cellStyle name="쉼표 [0] 2 22 3 2 5 2 2 2 2" xfId="14766" xr:uid="{E6EBA971-C65A-4EEA-A9D9-AC14DD2A6DA8}"/>
    <cellStyle name="쉼표 [0] 2 22 3 2 5 2 2 3" xfId="11108" xr:uid="{CC7B506D-A300-4CB4-A088-B94F05E31BF8}"/>
    <cellStyle name="쉼표 [0] 2 22 3 2 5 2 3" xfId="5620" xr:uid="{00000000-0005-0000-0000-0000D40E0000}"/>
    <cellStyle name="쉼표 [0] 2 22 3 2 5 2 3 2" xfId="12937" xr:uid="{DA0CCCE5-5374-4366-8D51-EE71AE7FBFD3}"/>
    <cellStyle name="쉼표 [0] 2 22 3 2 5 2 4" xfId="9278" xr:uid="{E35CF627-8BD2-4D15-9886-D8CE5D3E0FCA}"/>
    <cellStyle name="쉼표 [0] 2 22 3 2 5 3" xfId="1440" xr:uid="{00000000-0005-0000-0000-0000D50E0000}"/>
    <cellStyle name="쉼표 [0] 2 22 3 2 5 3 2" xfId="3789" xr:uid="{00000000-0005-0000-0000-0000D60E0000}"/>
    <cellStyle name="쉼표 [0] 2 22 3 2 5 3 2 2" xfId="7450" xr:uid="{00000000-0005-0000-0000-0000D70E0000}"/>
    <cellStyle name="쉼표 [0] 2 22 3 2 5 3 2 2 2" xfId="14767" xr:uid="{F5102FD9-F174-47D2-8F05-FE933AB734EE}"/>
    <cellStyle name="쉼표 [0] 2 22 3 2 5 3 2 3" xfId="11109" xr:uid="{24422938-5737-4FD3-A6EF-EE6D74A17949}"/>
    <cellStyle name="쉼표 [0] 2 22 3 2 5 3 3" xfId="5621" xr:uid="{00000000-0005-0000-0000-0000D80E0000}"/>
    <cellStyle name="쉼표 [0] 2 22 3 2 5 3 3 2" xfId="12938" xr:uid="{C19C2D1C-01C0-4ECD-918C-18048E3DB277}"/>
    <cellStyle name="쉼표 [0] 2 22 3 2 5 3 4" xfId="9279" xr:uid="{FEC3E606-C542-4EF8-BF75-149CB78ECCEE}"/>
    <cellStyle name="쉼표 [0] 2 22 3 2 5 4" xfId="3787" xr:uid="{00000000-0005-0000-0000-0000D90E0000}"/>
    <cellStyle name="쉼표 [0] 2 22 3 2 5 4 2" xfId="7448" xr:uid="{00000000-0005-0000-0000-0000DA0E0000}"/>
    <cellStyle name="쉼표 [0] 2 22 3 2 5 4 2 2" xfId="14765" xr:uid="{4B7E7763-F344-4B17-92AD-439465402715}"/>
    <cellStyle name="쉼표 [0] 2 22 3 2 5 4 3" xfId="11107" xr:uid="{09206E35-85F9-4B35-8D12-561614B28332}"/>
    <cellStyle name="쉼표 [0] 2 22 3 2 5 5" xfId="5619" xr:uid="{00000000-0005-0000-0000-0000DB0E0000}"/>
    <cellStyle name="쉼표 [0] 2 22 3 2 5 5 2" xfId="12936" xr:uid="{CF8DFC74-ACAE-4136-BAE3-880CB9BA7A2F}"/>
    <cellStyle name="쉼표 [0] 2 22 3 2 5 6" xfId="9277" xr:uid="{04C96145-710E-47D8-A6D7-8E7F8659055F}"/>
    <cellStyle name="쉼표 [0] 2 22 3 2 6" xfId="1441" xr:uid="{00000000-0005-0000-0000-0000DC0E0000}"/>
    <cellStyle name="쉼표 [0] 2 22 3 2 6 2" xfId="1442" xr:uid="{00000000-0005-0000-0000-0000DD0E0000}"/>
    <cellStyle name="쉼표 [0] 2 22 3 2 6 2 2" xfId="3791" xr:uid="{00000000-0005-0000-0000-0000DE0E0000}"/>
    <cellStyle name="쉼표 [0] 2 22 3 2 6 2 2 2" xfId="7452" xr:uid="{00000000-0005-0000-0000-0000DF0E0000}"/>
    <cellStyle name="쉼표 [0] 2 22 3 2 6 2 2 2 2" xfId="14769" xr:uid="{E5D8668A-1C29-4DE4-AA6E-2A70E18C3C1A}"/>
    <cellStyle name="쉼표 [0] 2 22 3 2 6 2 2 3" xfId="11111" xr:uid="{79340089-984A-46D5-AC54-5C4B5E49F0E7}"/>
    <cellStyle name="쉼표 [0] 2 22 3 2 6 2 3" xfId="5623" xr:uid="{00000000-0005-0000-0000-0000E00E0000}"/>
    <cellStyle name="쉼표 [0] 2 22 3 2 6 2 3 2" xfId="12940" xr:uid="{06A63B5A-2DBB-4897-8226-833BAB11CB2D}"/>
    <cellStyle name="쉼표 [0] 2 22 3 2 6 2 4" xfId="9281" xr:uid="{761BCBD5-DA58-4019-904D-AD877F38FC48}"/>
    <cellStyle name="쉼표 [0] 2 22 3 2 6 3" xfId="1443" xr:uid="{00000000-0005-0000-0000-0000E10E0000}"/>
    <cellStyle name="쉼표 [0] 2 22 3 2 6 3 2" xfId="3792" xr:uid="{00000000-0005-0000-0000-0000E20E0000}"/>
    <cellStyle name="쉼표 [0] 2 22 3 2 6 3 2 2" xfId="7453" xr:uid="{00000000-0005-0000-0000-0000E30E0000}"/>
    <cellStyle name="쉼표 [0] 2 22 3 2 6 3 2 2 2" xfId="14770" xr:uid="{4B2161A4-0898-485F-92B9-FAF8C2691743}"/>
    <cellStyle name="쉼표 [0] 2 22 3 2 6 3 2 3" xfId="11112" xr:uid="{72598CCC-5620-4851-8CC7-CEFA8859EAA5}"/>
    <cellStyle name="쉼표 [0] 2 22 3 2 6 3 3" xfId="5624" xr:uid="{00000000-0005-0000-0000-0000E40E0000}"/>
    <cellStyle name="쉼표 [0] 2 22 3 2 6 3 3 2" xfId="12941" xr:uid="{19CF1518-ACA3-4ADF-9304-941153F5DF66}"/>
    <cellStyle name="쉼표 [0] 2 22 3 2 6 3 4" xfId="9282" xr:uid="{6C5C95C8-917F-4012-967F-D69E2BFC4F9A}"/>
    <cellStyle name="쉼표 [0] 2 22 3 2 6 4" xfId="3790" xr:uid="{00000000-0005-0000-0000-0000E50E0000}"/>
    <cellStyle name="쉼표 [0] 2 22 3 2 6 4 2" xfId="7451" xr:uid="{00000000-0005-0000-0000-0000E60E0000}"/>
    <cellStyle name="쉼표 [0] 2 22 3 2 6 4 2 2" xfId="14768" xr:uid="{389172D1-EB68-4E1D-A40B-1C2114D9A69F}"/>
    <cellStyle name="쉼표 [0] 2 22 3 2 6 4 3" xfId="11110" xr:uid="{46E4DA1D-569A-4B04-BE43-18A00DADFC59}"/>
    <cellStyle name="쉼표 [0] 2 22 3 2 6 5" xfId="5622" xr:uid="{00000000-0005-0000-0000-0000E70E0000}"/>
    <cellStyle name="쉼표 [0] 2 22 3 2 6 5 2" xfId="12939" xr:uid="{188520A4-C991-47C8-817F-21CDBE0D1E56}"/>
    <cellStyle name="쉼표 [0] 2 22 3 2 6 6" xfId="9280" xr:uid="{A3D147C2-4DEC-4F4C-B2F0-2BAD88CCD5AA}"/>
    <cellStyle name="쉼표 [0] 2 22 3 2 7" xfId="1444" xr:uid="{00000000-0005-0000-0000-0000E80E0000}"/>
    <cellStyle name="쉼표 [0] 2 22 3 2 7 2" xfId="3793" xr:uid="{00000000-0005-0000-0000-0000E90E0000}"/>
    <cellStyle name="쉼표 [0] 2 22 3 2 7 2 2" xfId="7454" xr:uid="{00000000-0005-0000-0000-0000EA0E0000}"/>
    <cellStyle name="쉼표 [0] 2 22 3 2 7 2 2 2" xfId="14771" xr:uid="{AB7CB333-3860-4E88-960D-67A74B9B31C0}"/>
    <cellStyle name="쉼표 [0] 2 22 3 2 7 2 3" xfId="11113" xr:uid="{6DF8263E-FE69-4C92-A509-08E8BE9CCD71}"/>
    <cellStyle name="쉼표 [0] 2 22 3 2 7 3" xfId="5625" xr:uid="{00000000-0005-0000-0000-0000EB0E0000}"/>
    <cellStyle name="쉼표 [0] 2 22 3 2 7 3 2" xfId="12942" xr:uid="{6372774B-C8FD-49CA-942E-D14976634091}"/>
    <cellStyle name="쉼표 [0] 2 22 3 2 7 4" xfId="9283" xr:uid="{55BBB874-D599-4B14-8CA6-98352A69682A}"/>
    <cellStyle name="쉼표 [0] 2 22 3 2 8" xfId="1445" xr:uid="{00000000-0005-0000-0000-0000EC0E0000}"/>
    <cellStyle name="쉼표 [0] 2 22 3 2 8 2" xfId="3794" xr:uid="{00000000-0005-0000-0000-0000ED0E0000}"/>
    <cellStyle name="쉼표 [0] 2 22 3 2 8 2 2" xfId="7455" xr:uid="{00000000-0005-0000-0000-0000EE0E0000}"/>
    <cellStyle name="쉼표 [0] 2 22 3 2 8 2 2 2" xfId="14772" xr:uid="{1CE1E5B1-6285-4492-879C-B90FB42EB03E}"/>
    <cellStyle name="쉼표 [0] 2 22 3 2 8 2 3" xfId="11114" xr:uid="{1D14A541-63B3-4EC5-89A6-3827815945C2}"/>
    <cellStyle name="쉼표 [0] 2 22 3 2 8 3" xfId="5626" xr:uid="{00000000-0005-0000-0000-0000EF0E0000}"/>
    <cellStyle name="쉼표 [0] 2 22 3 2 8 3 2" xfId="12943" xr:uid="{75D059A8-DD62-4BCE-8CE5-ED88FBAAC3BE}"/>
    <cellStyle name="쉼표 [0] 2 22 3 2 8 4" xfId="9284" xr:uid="{3DD524BF-B3B7-4F47-9B10-16C40BA85B2B}"/>
    <cellStyle name="쉼표 [0] 2 22 3 2 9" xfId="3777" xr:uid="{00000000-0005-0000-0000-0000F00E0000}"/>
    <cellStyle name="쉼표 [0] 2 22 3 2 9 2" xfId="7438" xr:uid="{00000000-0005-0000-0000-0000F10E0000}"/>
    <cellStyle name="쉼표 [0] 2 22 3 2 9 2 2" xfId="14755" xr:uid="{90075224-0073-4E2F-A06D-F8CD8E1D425F}"/>
    <cellStyle name="쉼표 [0] 2 22 3 2 9 3" xfId="11097" xr:uid="{4D954829-ACC0-433D-8BE0-C912DBAD73E2}"/>
    <cellStyle name="쉼표 [0] 2 22 3 3" xfId="1446" xr:uid="{00000000-0005-0000-0000-0000F20E0000}"/>
    <cellStyle name="쉼표 [0] 2 22 3 3 2" xfId="1447" xr:uid="{00000000-0005-0000-0000-0000F30E0000}"/>
    <cellStyle name="쉼표 [0] 2 22 3 3 2 2" xfId="3796" xr:uid="{00000000-0005-0000-0000-0000F40E0000}"/>
    <cellStyle name="쉼표 [0] 2 22 3 3 2 2 2" xfId="7457" xr:uid="{00000000-0005-0000-0000-0000F50E0000}"/>
    <cellStyle name="쉼표 [0] 2 22 3 3 2 2 2 2" xfId="14774" xr:uid="{F5DCDE41-4553-471E-A0ED-819B2DF09D44}"/>
    <cellStyle name="쉼표 [0] 2 22 3 3 2 2 3" xfId="11116" xr:uid="{BD09D942-5A21-4FAC-8CB4-D7E5BDF92B21}"/>
    <cellStyle name="쉼표 [0] 2 22 3 3 2 3" xfId="5628" xr:uid="{00000000-0005-0000-0000-0000F60E0000}"/>
    <cellStyle name="쉼표 [0] 2 22 3 3 2 3 2" xfId="12945" xr:uid="{300B5281-B383-43EE-990C-B660EDA95237}"/>
    <cellStyle name="쉼표 [0] 2 22 3 3 2 4" xfId="9286" xr:uid="{81575903-B170-41CB-8A73-BF4FBB31D3AE}"/>
    <cellStyle name="쉼표 [0] 2 22 3 3 3" xfId="1448" xr:uid="{00000000-0005-0000-0000-0000F70E0000}"/>
    <cellStyle name="쉼표 [0] 2 22 3 3 3 2" xfId="3797" xr:uid="{00000000-0005-0000-0000-0000F80E0000}"/>
    <cellStyle name="쉼표 [0] 2 22 3 3 3 2 2" xfId="7458" xr:uid="{00000000-0005-0000-0000-0000F90E0000}"/>
    <cellStyle name="쉼표 [0] 2 22 3 3 3 2 2 2" xfId="14775" xr:uid="{4DA08941-01BA-4718-8DCD-5C721E7CE3B6}"/>
    <cellStyle name="쉼표 [0] 2 22 3 3 3 2 3" xfId="11117" xr:uid="{0C29CA6A-0E17-4FB8-86A3-9C20CA5AA41B}"/>
    <cellStyle name="쉼표 [0] 2 22 3 3 3 3" xfId="5629" xr:uid="{00000000-0005-0000-0000-0000FA0E0000}"/>
    <cellStyle name="쉼표 [0] 2 22 3 3 3 3 2" xfId="12946" xr:uid="{33C512E2-5F19-4C58-A122-A1D4BBAEBE39}"/>
    <cellStyle name="쉼표 [0] 2 22 3 3 3 4" xfId="9287" xr:uid="{B09218C2-8B0B-40D0-86E5-931A6655099F}"/>
    <cellStyle name="쉼표 [0] 2 22 3 3 4" xfId="3795" xr:uid="{00000000-0005-0000-0000-0000FB0E0000}"/>
    <cellStyle name="쉼표 [0] 2 22 3 3 4 2" xfId="7456" xr:uid="{00000000-0005-0000-0000-0000FC0E0000}"/>
    <cellStyle name="쉼표 [0] 2 22 3 3 4 2 2" xfId="14773" xr:uid="{9D249CD8-0B11-4822-BE0D-D35111E3CDE1}"/>
    <cellStyle name="쉼표 [0] 2 22 3 3 4 3" xfId="11115" xr:uid="{596AC40E-F837-4A2B-ACC8-DC784446C0BA}"/>
    <cellStyle name="쉼표 [0] 2 22 3 3 5" xfId="5627" xr:uid="{00000000-0005-0000-0000-0000FD0E0000}"/>
    <cellStyle name="쉼표 [0] 2 22 3 3 5 2" xfId="12944" xr:uid="{B84A20A9-AF31-46E9-B2F4-C36CF6D446C6}"/>
    <cellStyle name="쉼표 [0] 2 22 3 3 6" xfId="9285" xr:uid="{C57D2FBB-CC05-40FA-92A7-2CBA89B70F6F}"/>
    <cellStyle name="쉼표 [0] 2 22 3 4" xfId="1449" xr:uid="{00000000-0005-0000-0000-0000FE0E0000}"/>
    <cellStyle name="쉼표 [0] 2 22 3 4 2" xfId="1450" xr:uid="{00000000-0005-0000-0000-0000FF0E0000}"/>
    <cellStyle name="쉼표 [0] 2 22 3 4 2 2" xfId="3799" xr:uid="{00000000-0005-0000-0000-0000000F0000}"/>
    <cellStyle name="쉼표 [0] 2 22 3 4 2 2 2" xfId="7460" xr:uid="{00000000-0005-0000-0000-0000010F0000}"/>
    <cellStyle name="쉼표 [0] 2 22 3 4 2 2 2 2" xfId="14777" xr:uid="{29ABBFDA-7CC9-4632-A59A-0433DCC2A058}"/>
    <cellStyle name="쉼표 [0] 2 22 3 4 2 2 3" xfId="11119" xr:uid="{EE5A8314-1894-42E5-A3A5-4B897C4880A9}"/>
    <cellStyle name="쉼표 [0] 2 22 3 4 2 3" xfId="5631" xr:uid="{00000000-0005-0000-0000-0000020F0000}"/>
    <cellStyle name="쉼표 [0] 2 22 3 4 2 3 2" xfId="12948" xr:uid="{636A37B8-6379-4742-A2ED-9B16A51EEBD1}"/>
    <cellStyle name="쉼표 [0] 2 22 3 4 2 4" xfId="9289" xr:uid="{3EB02B6E-1EA7-4708-804C-8A3BA03BD2CA}"/>
    <cellStyle name="쉼표 [0] 2 22 3 4 3" xfId="1451" xr:uid="{00000000-0005-0000-0000-0000030F0000}"/>
    <cellStyle name="쉼표 [0] 2 22 3 4 3 2" xfId="3800" xr:uid="{00000000-0005-0000-0000-0000040F0000}"/>
    <cellStyle name="쉼표 [0] 2 22 3 4 3 2 2" xfId="7461" xr:uid="{00000000-0005-0000-0000-0000050F0000}"/>
    <cellStyle name="쉼표 [0] 2 22 3 4 3 2 2 2" xfId="14778" xr:uid="{151BF4EF-CA7D-49A4-998E-61AEDAA21037}"/>
    <cellStyle name="쉼표 [0] 2 22 3 4 3 2 3" xfId="11120" xr:uid="{6D4CDD99-4928-4E01-8551-FDD42CC3AA9B}"/>
    <cellStyle name="쉼표 [0] 2 22 3 4 3 3" xfId="5632" xr:uid="{00000000-0005-0000-0000-0000060F0000}"/>
    <cellStyle name="쉼표 [0] 2 22 3 4 3 3 2" xfId="12949" xr:uid="{D031E2AF-59CA-4F6C-A1C2-E0482071941B}"/>
    <cellStyle name="쉼표 [0] 2 22 3 4 3 4" xfId="9290" xr:uid="{24C31422-CCE2-4211-AD3F-A0BEE0839EC5}"/>
    <cellStyle name="쉼표 [0] 2 22 3 4 4" xfId="3798" xr:uid="{00000000-0005-0000-0000-0000070F0000}"/>
    <cellStyle name="쉼표 [0] 2 22 3 4 4 2" xfId="7459" xr:uid="{00000000-0005-0000-0000-0000080F0000}"/>
    <cellStyle name="쉼표 [0] 2 22 3 4 4 2 2" xfId="14776" xr:uid="{FC016D5D-9A25-402E-A832-A25367D44F04}"/>
    <cellStyle name="쉼표 [0] 2 22 3 4 4 3" xfId="11118" xr:uid="{EBDA7DD5-0DFB-4B73-9470-195F56C8904D}"/>
    <cellStyle name="쉼표 [0] 2 22 3 4 5" xfId="5630" xr:uid="{00000000-0005-0000-0000-0000090F0000}"/>
    <cellStyle name="쉼표 [0] 2 22 3 4 5 2" xfId="12947" xr:uid="{ABFA263C-EB46-48C1-AABD-78DAAE5A857F}"/>
    <cellStyle name="쉼표 [0] 2 22 3 4 6" xfId="9288" xr:uid="{628F9B0E-A386-43D5-9925-3B5EC2484C6F}"/>
    <cellStyle name="쉼표 [0] 2 22 3 5" xfId="1452" xr:uid="{00000000-0005-0000-0000-00000A0F0000}"/>
    <cellStyle name="쉼표 [0] 2 22 3 5 2" xfId="1453" xr:uid="{00000000-0005-0000-0000-00000B0F0000}"/>
    <cellStyle name="쉼표 [0] 2 22 3 5 2 2" xfId="3802" xr:uid="{00000000-0005-0000-0000-00000C0F0000}"/>
    <cellStyle name="쉼표 [0] 2 22 3 5 2 2 2" xfId="7463" xr:uid="{00000000-0005-0000-0000-00000D0F0000}"/>
    <cellStyle name="쉼표 [0] 2 22 3 5 2 2 2 2" xfId="14780" xr:uid="{B35F0C13-7279-426A-87E3-B8AE7DEACC8B}"/>
    <cellStyle name="쉼표 [0] 2 22 3 5 2 2 3" xfId="11122" xr:uid="{BA64959E-A4A0-450D-899D-48FE2771ECBB}"/>
    <cellStyle name="쉼표 [0] 2 22 3 5 2 3" xfId="5634" xr:uid="{00000000-0005-0000-0000-00000E0F0000}"/>
    <cellStyle name="쉼표 [0] 2 22 3 5 2 3 2" xfId="12951" xr:uid="{6536A539-E48D-44C5-8408-6AF4C2257950}"/>
    <cellStyle name="쉼표 [0] 2 22 3 5 2 4" xfId="9292" xr:uid="{852A0264-277E-4B50-9F0E-8042AF677E18}"/>
    <cellStyle name="쉼표 [0] 2 22 3 5 3" xfId="1454" xr:uid="{00000000-0005-0000-0000-00000F0F0000}"/>
    <cellStyle name="쉼표 [0] 2 22 3 5 3 2" xfId="3803" xr:uid="{00000000-0005-0000-0000-0000100F0000}"/>
    <cellStyle name="쉼표 [0] 2 22 3 5 3 2 2" xfId="7464" xr:uid="{00000000-0005-0000-0000-0000110F0000}"/>
    <cellStyle name="쉼표 [0] 2 22 3 5 3 2 2 2" xfId="14781" xr:uid="{C31AB1FA-8902-4DF4-A80D-A7C8FD984569}"/>
    <cellStyle name="쉼표 [0] 2 22 3 5 3 2 3" xfId="11123" xr:uid="{73BE732D-708F-4105-A960-8720B65EC280}"/>
    <cellStyle name="쉼표 [0] 2 22 3 5 3 3" xfId="5635" xr:uid="{00000000-0005-0000-0000-0000120F0000}"/>
    <cellStyle name="쉼표 [0] 2 22 3 5 3 3 2" xfId="12952" xr:uid="{0FF1A198-7C1C-4F79-A9E2-7CE20C246137}"/>
    <cellStyle name="쉼표 [0] 2 22 3 5 3 4" xfId="9293" xr:uid="{53269477-968B-4838-8B9D-46780B829EB2}"/>
    <cellStyle name="쉼표 [0] 2 22 3 5 4" xfId="3801" xr:uid="{00000000-0005-0000-0000-0000130F0000}"/>
    <cellStyle name="쉼표 [0] 2 22 3 5 4 2" xfId="7462" xr:uid="{00000000-0005-0000-0000-0000140F0000}"/>
    <cellStyle name="쉼표 [0] 2 22 3 5 4 2 2" xfId="14779" xr:uid="{59AA22D6-9634-4E9E-9EAD-C1FEC547500F}"/>
    <cellStyle name="쉼표 [0] 2 22 3 5 4 3" xfId="11121" xr:uid="{9D1A8124-8E8E-4AC1-AE55-18A779AF87E5}"/>
    <cellStyle name="쉼표 [0] 2 22 3 5 5" xfId="5633" xr:uid="{00000000-0005-0000-0000-0000150F0000}"/>
    <cellStyle name="쉼표 [0] 2 22 3 5 5 2" xfId="12950" xr:uid="{2A6C923B-B7B9-4814-B4F5-69E3C63BFC07}"/>
    <cellStyle name="쉼표 [0] 2 22 3 5 6" xfId="9291" xr:uid="{414B8B44-2590-4D83-82D8-94ADCD187FC3}"/>
    <cellStyle name="쉼표 [0] 2 22 3 6" xfId="1455" xr:uid="{00000000-0005-0000-0000-0000160F0000}"/>
    <cellStyle name="쉼표 [0] 2 22 3 6 2" xfId="1456" xr:uid="{00000000-0005-0000-0000-0000170F0000}"/>
    <cellStyle name="쉼표 [0] 2 22 3 6 2 2" xfId="3805" xr:uid="{00000000-0005-0000-0000-0000180F0000}"/>
    <cellStyle name="쉼표 [0] 2 22 3 6 2 2 2" xfId="7466" xr:uid="{00000000-0005-0000-0000-0000190F0000}"/>
    <cellStyle name="쉼표 [0] 2 22 3 6 2 2 2 2" xfId="14783" xr:uid="{1407678D-CB20-4184-8AFD-62E38FFA97D3}"/>
    <cellStyle name="쉼표 [0] 2 22 3 6 2 2 3" xfId="11125" xr:uid="{BE7A9146-5B6D-4653-8D96-65094B0D7097}"/>
    <cellStyle name="쉼표 [0] 2 22 3 6 2 3" xfId="5637" xr:uid="{00000000-0005-0000-0000-00001A0F0000}"/>
    <cellStyle name="쉼표 [0] 2 22 3 6 2 3 2" xfId="12954" xr:uid="{D63FA3F0-F125-43A8-87E6-B27066AAE4BE}"/>
    <cellStyle name="쉼표 [0] 2 22 3 6 2 4" xfId="9295" xr:uid="{72EDBE62-8DE0-4658-81BE-77A0C9752364}"/>
    <cellStyle name="쉼표 [0] 2 22 3 6 3" xfId="1457" xr:uid="{00000000-0005-0000-0000-00001B0F0000}"/>
    <cellStyle name="쉼표 [0] 2 22 3 6 3 2" xfId="3806" xr:uid="{00000000-0005-0000-0000-00001C0F0000}"/>
    <cellStyle name="쉼표 [0] 2 22 3 6 3 2 2" xfId="7467" xr:uid="{00000000-0005-0000-0000-00001D0F0000}"/>
    <cellStyle name="쉼표 [0] 2 22 3 6 3 2 2 2" xfId="14784" xr:uid="{06D7AEE8-4F6E-4A87-9135-C38C8CE87563}"/>
    <cellStyle name="쉼표 [0] 2 22 3 6 3 2 3" xfId="11126" xr:uid="{6A1A1BF8-D8C3-4667-87BE-8027698FB4E0}"/>
    <cellStyle name="쉼표 [0] 2 22 3 6 3 3" xfId="5638" xr:uid="{00000000-0005-0000-0000-00001E0F0000}"/>
    <cellStyle name="쉼표 [0] 2 22 3 6 3 3 2" xfId="12955" xr:uid="{E25270A9-E785-4BDA-93B7-F2EA478198AF}"/>
    <cellStyle name="쉼표 [0] 2 22 3 6 3 4" xfId="9296" xr:uid="{EC42A73C-1F3F-4900-A5AD-627373FFE485}"/>
    <cellStyle name="쉼표 [0] 2 22 3 6 4" xfId="3804" xr:uid="{00000000-0005-0000-0000-00001F0F0000}"/>
    <cellStyle name="쉼표 [0] 2 22 3 6 4 2" xfId="7465" xr:uid="{00000000-0005-0000-0000-0000200F0000}"/>
    <cellStyle name="쉼표 [0] 2 22 3 6 4 2 2" xfId="14782" xr:uid="{A46C92B8-4A33-4426-A051-AFFC17E98BC1}"/>
    <cellStyle name="쉼표 [0] 2 22 3 6 4 3" xfId="11124" xr:uid="{5382E425-53F3-47FE-B792-B40248E1E97A}"/>
    <cellStyle name="쉼표 [0] 2 22 3 6 5" xfId="5636" xr:uid="{00000000-0005-0000-0000-0000210F0000}"/>
    <cellStyle name="쉼표 [0] 2 22 3 6 5 2" xfId="12953" xr:uid="{49538746-30AE-478E-9BD4-42079D6855BB}"/>
    <cellStyle name="쉼표 [0] 2 22 3 6 6" xfId="9294" xr:uid="{A53076E5-AD8C-4D0D-BB59-E29FD7ECB403}"/>
    <cellStyle name="쉼표 [0] 2 22 3 7" xfId="1458" xr:uid="{00000000-0005-0000-0000-0000220F0000}"/>
    <cellStyle name="쉼표 [0] 2 22 3 7 2" xfId="1459" xr:uid="{00000000-0005-0000-0000-0000230F0000}"/>
    <cellStyle name="쉼표 [0] 2 22 3 7 2 2" xfId="3808" xr:uid="{00000000-0005-0000-0000-0000240F0000}"/>
    <cellStyle name="쉼표 [0] 2 22 3 7 2 2 2" xfId="7469" xr:uid="{00000000-0005-0000-0000-0000250F0000}"/>
    <cellStyle name="쉼표 [0] 2 22 3 7 2 2 2 2" xfId="14786" xr:uid="{AEFB39CB-4B04-4FCF-8356-E943B57392B7}"/>
    <cellStyle name="쉼표 [0] 2 22 3 7 2 2 3" xfId="11128" xr:uid="{51A04C16-B9C7-466C-8094-505D65BC1A46}"/>
    <cellStyle name="쉼표 [0] 2 22 3 7 2 3" xfId="5640" xr:uid="{00000000-0005-0000-0000-0000260F0000}"/>
    <cellStyle name="쉼표 [0] 2 22 3 7 2 3 2" xfId="12957" xr:uid="{E6C3E0F3-7A3A-4F8A-A200-684B139CF9DA}"/>
    <cellStyle name="쉼표 [0] 2 22 3 7 2 4" xfId="9298" xr:uid="{D9950E60-563A-4D3D-82C2-1F97680C8E85}"/>
    <cellStyle name="쉼표 [0] 2 22 3 7 3" xfId="1460" xr:uid="{00000000-0005-0000-0000-0000270F0000}"/>
    <cellStyle name="쉼표 [0] 2 22 3 7 3 2" xfId="3809" xr:uid="{00000000-0005-0000-0000-0000280F0000}"/>
    <cellStyle name="쉼표 [0] 2 22 3 7 3 2 2" xfId="7470" xr:uid="{00000000-0005-0000-0000-0000290F0000}"/>
    <cellStyle name="쉼표 [0] 2 22 3 7 3 2 2 2" xfId="14787" xr:uid="{B5649943-A94E-4149-9935-B861BF1BBA51}"/>
    <cellStyle name="쉼표 [0] 2 22 3 7 3 2 3" xfId="11129" xr:uid="{A6BBF415-54CE-40D4-9C5C-030B477B414A}"/>
    <cellStyle name="쉼표 [0] 2 22 3 7 3 3" xfId="5641" xr:uid="{00000000-0005-0000-0000-00002A0F0000}"/>
    <cellStyle name="쉼표 [0] 2 22 3 7 3 3 2" xfId="12958" xr:uid="{CF429DA8-FB1A-4D67-9040-2B5D1B55A59E}"/>
    <cellStyle name="쉼표 [0] 2 22 3 7 3 4" xfId="9299" xr:uid="{D9778DA5-B689-4FDB-92A5-DC017B95564E}"/>
    <cellStyle name="쉼표 [0] 2 22 3 7 4" xfId="3807" xr:uid="{00000000-0005-0000-0000-00002B0F0000}"/>
    <cellStyle name="쉼표 [0] 2 22 3 7 4 2" xfId="7468" xr:uid="{00000000-0005-0000-0000-00002C0F0000}"/>
    <cellStyle name="쉼표 [0] 2 22 3 7 4 2 2" xfId="14785" xr:uid="{A4750996-948B-48A0-AD0F-329326E37BAF}"/>
    <cellStyle name="쉼표 [0] 2 22 3 7 4 3" xfId="11127" xr:uid="{F418C5BA-9A6C-4922-9F06-A956CCBF1228}"/>
    <cellStyle name="쉼표 [0] 2 22 3 7 5" xfId="5639" xr:uid="{00000000-0005-0000-0000-00002D0F0000}"/>
    <cellStyle name="쉼표 [0] 2 22 3 7 5 2" xfId="12956" xr:uid="{65C77AFE-9DD0-4DDB-80A9-551B87B23DC8}"/>
    <cellStyle name="쉼표 [0] 2 22 3 7 6" xfId="9297" xr:uid="{D1F88810-1E0B-4D5A-89B9-83FB5A331CD3}"/>
    <cellStyle name="쉼표 [0] 2 22 3 8" xfId="1461" xr:uid="{00000000-0005-0000-0000-00002E0F0000}"/>
    <cellStyle name="쉼표 [0] 2 22 3 8 2" xfId="3810" xr:uid="{00000000-0005-0000-0000-00002F0F0000}"/>
    <cellStyle name="쉼표 [0] 2 22 3 8 2 2" xfId="7471" xr:uid="{00000000-0005-0000-0000-0000300F0000}"/>
    <cellStyle name="쉼표 [0] 2 22 3 8 2 2 2" xfId="14788" xr:uid="{096C3D75-200E-4A4A-B35C-7C0D80CB22CE}"/>
    <cellStyle name="쉼표 [0] 2 22 3 8 2 3" xfId="11130" xr:uid="{E233D066-9440-43C5-9A3C-8523F302289D}"/>
    <cellStyle name="쉼표 [0] 2 22 3 8 3" xfId="5642" xr:uid="{00000000-0005-0000-0000-0000310F0000}"/>
    <cellStyle name="쉼표 [0] 2 22 3 8 3 2" xfId="12959" xr:uid="{D8201E18-3519-4AB5-AA92-EB5100F7664D}"/>
    <cellStyle name="쉼표 [0] 2 22 3 8 4" xfId="9300" xr:uid="{794FF61A-0B7F-44AD-A559-AEE1EBA563CE}"/>
    <cellStyle name="쉼표 [0] 2 22 3 9" xfId="1462" xr:uid="{00000000-0005-0000-0000-0000320F0000}"/>
    <cellStyle name="쉼표 [0] 2 22 3 9 2" xfId="3811" xr:uid="{00000000-0005-0000-0000-0000330F0000}"/>
    <cellStyle name="쉼표 [0] 2 22 3 9 2 2" xfId="7472" xr:uid="{00000000-0005-0000-0000-0000340F0000}"/>
    <cellStyle name="쉼표 [0] 2 22 3 9 2 2 2" xfId="14789" xr:uid="{8F4C5F05-E6A6-42D7-B8D2-2368039CD85E}"/>
    <cellStyle name="쉼표 [0] 2 22 3 9 2 3" xfId="11131" xr:uid="{D6AD53FF-055E-4D13-A4E5-CFAD3EF976F8}"/>
    <cellStyle name="쉼표 [0] 2 22 3 9 3" xfId="5643" xr:uid="{00000000-0005-0000-0000-0000350F0000}"/>
    <cellStyle name="쉼표 [0] 2 22 3 9 3 2" xfId="12960" xr:uid="{F04FFE38-E67C-4710-BE4F-676D749028E3}"/>
    <cellStyle name="쉼표 [0] 2 22 3 9 4" xfId="9301" xr:uid="{3ED48E06-DACE-4EE2-AE90-C6E7D5BEFF4A}"/>
    <cellStyle name="쉼표 [0] 2 22 4" xfId="1463" xr:uid="{00000000-0005-0000-0000-0000360F0000}"/>
    <cellStyle name="쉼표 [0] 2 22 4 10" xfId="3812" xr:uid="{00000000-0005-0000-0000-0000370F0000}"/>
    <cellStyle name="쉼표 [0] 2 22 4 10 2" xfId="7473" xr:uid="{00000000-0005-0000-0000-0000380F0000}"/>
    <cellStyle name="쉼표 [0] 2 22 4 10 2 2" xfId="14790" xr:uid="{B1D6C902-9DDC-4FB9-AF92-2EA79562B0D8}"/>
    <cellStyle name="쉼표 [0] 2 22 4 10 3" xfId="11132" xr:uid="{7ABFAA80-1C42-48DA-A8F7-EDDAFF236D34}"/>
    <cellStyle name="쉼표 [0] 2 22 4 11" xfId="5644" xr:uid="{00000000-0005-0000-0000-0000390F0000}"/>
    <cellStyle name="쉼표 [0] 2 22 4 11 2" xfId="12961" xr:uid="{2BA3E631-82C3-445F-B428-99BCDD94DE8B}"/>
    <cellStyle name="쉼표 [0] 2 22 4 12" xfId="9302" xr:uid="{4F339011-AA00-4D20-9912-B962AF0F193A}"/>
    <cellStyle name="쉼표 [0] 2 22 4 2" xfId="1464" xr:uid="{00000000-0005-0000-0000-00003A0F0000}"/>
    <cellStyle name="쉼표 [0] 2 22 4 2 2" xfId="1465" xr:uid="{00000000-0005-0000-0000-00003B0F0000}"/>
    <cellStyle name="쉼표 [0] 2 22 4 2 2 2" xfId="3814" xr:uid="{00000000-0005-0000-0000-00003C0F0000}"/>
    <cellStyle name="쉼표 [0] 2 22 4 2 2 2 2" xfId="7475" xr:uid="{00000000-0005-0000-0000-00003D0F0000}"/>
    <cellStyle name="쉼표 [0] 2 22 4 2 2 2 2 2" xfId="14792" xr:uid="{C65A5F3F-FD96-4C31-B589-46A9A6BE582C}"/>
    <cellStyle name="쉼표 [0] 2 22 4 2 2 2 3" xfId="11134" xr:uid="{9D796285-6A11-47EE-A074-C783ECAD1955}"/>
    <cellStyle name="쉼표 [0] 2 22 4 2 2 3" xfId="5646" xr:uid="{00000000-0005-0000-0000-00003E0F0000}"/>
    <cellStyle name="쉼표 [0] 2 22 4 2 2 3 2" xfId="12963" xr:uid="{F4EE128D-D7E9-467F-8D4A-98E9F14DDD39}"/>
    <cellStyle name="쉼표 [0] 2 22 4 2 2 4" xfId="9304" xr:uid="{7AF38187-C056-4EEF-A471-5C3A46EB37E2}"/>
    <cellStyle name="쉼표 [0] 2 22 4 2 3" xfId="1466" xr:uid="{00000000-0005-0000-0000-00003F0F0000}"/>
    <cellStyle name="쉼표 [0] 2 22 4 2 3 2" xfId="3815" xr:uid="{00000000-0005-0000-0000-0000400F0000}"/>
    <cellStyle name="쉼표 [0] 2 22 4 2 3 2 2" xfId="7476" xr:uid="{00000000-0005-0000-0000-0000410F0000}"/>
    <cellStyle name="쉼표 [0] 2 22 4 2 3 2 2 2" xfId="14793" xr:uid="{73CEA3CF-AA78-4504-9700-C7CC65D9B508}"/>
    <cellStyle name="쉼표 [0] 2 22 4 2 3 2 3" xfId="11135" xr:uid="{A142096F-B9DA-4BD9-8094-DAF1E57D11DF}"/>
    <cellStyle name="쉼표 [0] 2 22 4 2 3 3" xfId="5647" xr:uid="{00000000-0005-0000-0000-0000420F0000}"/>
    <cellStyle name="쉼표 [0] 2 22 4 2 3 3 2" xfId="12964" xr:uid="{77D16785-C058-4C2F-8CFA-3C982B8AFAC6}"/>
    <cellStyle name="쉼표 [0] 2 22 4 2 3 4" xfId="9305" xr:uid="{DECAC118-0808-4BD7-86B2-565ED5ECC334}"/>
    <cellStyle name="쉼표 [0] 2 22 4 2 4" xfId="3813" xr:uid="{00000000-0005-0000-0000-0000430F0000}"/>
    <cellStyle name="쉼표 [0] 2 22 4 2 4 2" xfId="7474" xr:uid="{00000000-0005-0000-0000-0000440F0000}"/>
    <cellStyle name="쉼표 [0] 2 22 4 2 4 2 2" xfId="14791" xr:uid="{D286D345-9E2B-4382-AD74-139458971BFE}"/>
    <cellStyle name="쉼표 [0] 2 22 4 2 4 3" xfId="11133" xr:uid="{0D8B6E84-3244-4CFA-A769-9D970799266E}"/>
    <cellStyle name="쉼표 [0] 2 22 4 2 5" xfId="5645" xr:uid="{00000000-0005-0000-0000-0000450F0000}"/>
    <cellStyle name="쉼표 [0] 2 22 4 2 5 2" xfId="12962" xr:uid="{75132528-77CA-48DF-8663-4FCA681C5885}"/>
    <cellStyle name="쉼표 [0] 2 22 4 2 6" xfId="9303" xr:uid="{3A67B766-3FF8-41C1-9D61-5B7091F4F615}"/>
    <cellStyle name="쉼표 [0] 2 22 4 3" xfId="1467" xr:uid="{00000000-0005-0000-0000-0000460F0000}"/>
    <cellStyle name="쉼표 [0] 2 22 4 3 2" xfId="1468" xr:uid="{00000000-0005-0000-0000-0000470F0000}"/>
    <cellStyle name="쉼표 [0] 2 22 4 3 2 2" xfId="3817" xr:uid="{00000000-0005-0000-0000-0000480F0000}"/>
    <cellStyle name="쉼표 [0] 2 22 4 3 2 2 2" xfId="7478" xr:uid="{00000000-0005-0000-0000-0000490F0000}"/>
    <cellStyle name="쉼표 [0] 2 22 4 3 2 2 2 2" xfId="14795" xr:uid="{6C847BA9-5F7A-463B-9702-402E748FDB60}"/>
    <cellStyle name="쉼표 [0] 2 22 4 3 2 2 3" xfId="11137" xr:uid="{4BF4F63F-C260-4803-8BF2-F3CC02F73D89}"/>
    <cellStyle name="쉼표 [0] 2 22 4 3 2 3" xfId="5649" xr:uid="{00000000-0005-0000-0000-00004A0F0000}"/>
    <cellStyle name="쉼표 [0] 2 22 4 3 2 3 2" xfId="12966" xr:uid="{C7FF41CD-0EF6-4322-9414-FDEC9971C668}"/>
    <cellStyle name="쉼표 [0] 2 22 4 3 2 4" xfId="9307" xr:uid="{BB88CB11-0F9F-43F1-90B2-329F8C890677}"/>
    <cellStyle name="쉼표 [0] 2 22 4 3 3" xfId="1469" xr:uid="{00000000-0005-0000-0000-00004B0F0000}"/>
    <cellStyle name="쉼표 [0] 2 22 4 3 3 2" xfId="3818" xr:uid="{00000000-0005-0000-0000-00004C0F0000}"/>
    <cellStyle name="쉼표 [0] 2 22 4 3 3 2 2" xfId="7479" xr:uid="{00000000-0005-0000-0000-00004D0F0000}"/>
    <cellStyle name="쉼표 [0] 2 22 4 3 3 2 2 2" xfId="14796" xr:uid="{413261E0-08B0-45D1-B0C2-D3F53F0C7A99}"/>
    <cellStyle name="쉼표 [0] 2 22 4 3 3 2 3" xfId="11138" xr:uid="{0B2B2D12-E939-4F31-B422-AA04493A2A51}"/>
    <cellStyle name="쉼표 [0] 2 22 4 3 3 3" xfId="5650" xr:uid="{00000000-0005-0000-0000-00004E0F0000}"/>
    <cellStyle name="쉼표 [0] 2 22 4 3 3 3 2" xfId="12967" xr:uid="{264C8941-1AEF-4411-88DC-225BA82DBFB3}"/>
    <cellStyle name="쉼표 [0] 2 22 4 3 3 4" xfId="9308" xr:uid="{73BC5948-CDE4-4C6F-A15D-E1EAAC20B336}"/>
    <cellStyle name="쉼표 [0] 2 22 4 3 4" xfId="3816" xr:uid="{00000000-0005-0000-0000-00004F0F0000}"/>
    <cellStyle name="쉼표 [0] 2 22 4 3 4 2" xfId="7477" xr:uid="{00000000-0005-0000-0000-0000500F0000}"/>
    <cellStyle name="쉼표 [0] 2 22 4 3 4 2 2" xfId="14794" xr:uid="{84476BC8-1700-4158-BF86-7FA2A92112BF}"/>
    <cellStyle name="쉼표 [0] 2 22 4 3 4 3" xfId="11136" xr:uid="{DDECAB7E-FDE7-45CC-9795-A1AB10F4251E}"/>
    <cellStyle name="쉼표 [0] 2 22 4 3 5" xfId="5648" xr:uid="{00000000-0005-0000-0000-0000510F0000}"/>
    <cellStyle name="쉼표 [0] 2 22 4 3 5 2" xfId="12965" xr:uid="{0C6C22CE-320C-4519-8F7C-7254DBDD447D}"/>
    <cellStyle name="쉼표 [0] 2 22 4 3 6" xfId="9306" xr:uid="{C33D8A22-8E9F-488D-A011-33F1860F1B13}"/>
    <cellStyle name="쉼표 [0] 2 22 4 4" xfId="1470" xr:uid="{00000000-0005-0000-0000-0000520F0000}"/>
    <cellStyle name="쉼표 [0] 2 22 4 4 2" xfId="1471" xr:uid="{00000000-0005-0000-0000-0000530F0000}"/>
    <cellStyle name="쉼표 [0] 2 22 4 4 2 2" xfId="3820" xr:uid="{00000000-0005-0000-0000-0000540F0000}"/>
    <cellStyle name="쉼표 [0] 2 22 4 4 2 2 2" xfId="7481" xr:uid="{00000000-0005-0000-0000-0000550F0000}"/>
    <cellStyle name="쉼표 [0] 2 22 4 4 2 2 2 2" xfId="14798" xr:uid="{05AAD6EB-0C9A-4CF6-9F44-D7EC06FB5FE1}"/>
    <cellStyle name="쉼표 [0] 2 22 4 4 2 2 3" xfId="11140" xr:uid="{6A4F90A8-BBE0-41B8-A6C5-74B3459CAA84}"/>
    <cellStyle name="쉼표 [0] 2 22 4 4 2 3" xfId="5652" xr:uid="{00000000-0005-0000-0000-0000560F0000}"/>
    <cellStyle name="쉼표 [0] 2 22 4 4 2 3 2" xfId="12969" xr:uid="{B625685B-0743-49FB-9630-59870E18CEDE}"/>
    <cellStyle name="쉼표 [0] 2 22 4 4 2 4" xfId="9310" xr:uid="{675D4F3B-3B4E-4ABB-849A-CC599E3535E5}"/>
    <cellStyle name="쉼표 [0] 2 22 4 4 3" xfId="1472" xr:uid="{00000000-0005-0000-0000-0000570F0000}"/>
    <cellStyle name="쉼표 [0] 2 22 4 4 3 2" xfId="3821" xr:uid="{00000000-0005-0000-0000-0000580F0000}"/>
    <cellStyle name="쉼표 [0] 2 22 4 4 3 2 2" xfId="7482" xr:uid="{00000000-0005-0000-0000-0000590F0000}"/>
    <cellStyle name="쉼표 [0] 2 22 4 4 3 2 2 2" xfId="14799" xr:uid="{CC8D2679-CD23-4D77-A499-71A404F2C1B5}"/>
    <cellStyle name="쉼표 [0] 2 22 4 4 3 2 3" xfId="11141" xr:uid="{FF07F237-F5DD-4700-BC3F-D2A6059D5689}"/>
    <cellStyle name="쉼표 [0] 2 22 4 4 3 3" xfId="5653" xr:uid="{00000000-0005-0000-0000-00005A0F0000}"/>
    <cellStyle name="쉼표 [0] 2 22 4 4 3 3 2" xfId="12970" xr:uid="{D6C0357E-31F5-4592-A952-14E5B796703A}"/>
    <cellStyle name="쉼표 [0] 2 22 4 4 3 4" xfId="9311" xr:uid="{2EFBF7BF-9B40-426A-8ADC-49F481035D14}"/>
    <cellStyle name="쉼표 [0] 2 22 4 4 4" xfId="3819" xr:uid="{00000000-0005-0000-0000-00005B0F0000}"/>
    <cellStyle name="쉼표 [0] 2 22 4 4 4 2" xfId="7480" xr:uid="{00000000-0005-0000-0000-00005C0F0000}"/>
    <cellStyle name="쉼표 [0] 2 22 4 4 4 2 2" xfId="14797" xr:uid="{62D8E5FD-0B6C-43FF-84D3-C75E062EB4FF}"/>
    <cellStyle name="쉼표 [0] 2 22 4 4 4 3" xfId="11139" xr:uid="{23AAC916-1AEC-41E3-BEB3-8096E622E170}"/>
    <cellStyle name="쉼표 [0] 2 22 4 4 5" xfId="5651" xr:uid="{00000000-0005-0000-0000-00005D0F0000}"/>
    <cellStyle name="쉼표 [0] 2 22 4 4 5 2" xfId="12968" xr:uid="{25ED2733-02DF-4C64-A7D3-FD1FCF0B04AC}"/>
    <cellStyle name="쉼표 [0] 2 22 4 4 6" xfId="9309" xr:uid="{10A2DC19-066B-4C56-B5EF-76AB0A4094F6}"/>
    <cellStyle name="쉼표 [0] 2 22 4 5" xfId="1473" xr:uid="{00000000-0005-0000-0000-00005E0F0000}"/>
    <cellStyle name="쉼표 [0] 2 22 4 5 2" xfId="1474" xr:uid="{00000000-0005-0000-0000-00005F0F0000}"/>
    <cellStyle name="쉼표 [0] 2 22 4 5 2 2" xfId="3823" xr:uid="{00000000-0005-0000-0000-0000600F0000}"/>
    <cellStyle name="쉼표 [0] 2 22 4 5 2 2 2" xfId="7484" xr:uid="{00000000-0005-0000-0000-0000610F0000}"/>
    <cellStyle name="쉼표 [0] 2 22 4 5 2 2 2 2" xfId="14801" xr:uid="{F58DB8FE-EA97-4D2A-A9F0-6FE7F45496A3}"/>
    <cellStyle name="쉼표 [0] 2 22 4 5 2 2 3" xfId="11143" xr:uid="{FFE0164B-5F72-4385-B85A-A8DD9C027442}"/>
    <cellStyle name="쉼표 [0] 2 22 4 5 2 3" xfId="5655" xr:uid="{00000000-0005-0000-0000-0000620F0000}"/>
    <cellStyle name="쉼표 [0] 2 22 4 5 2 3 2" xfId="12972" xr:uid="{BA1882C3-065B-4B9F-BDAF-656A96ABDC9D}"/>
    <cellStyle name="쉼표 [0] 2 22 4 5 2 4" xfId="9313" xr:uid="{DCBDD6CE-2343-48F2-815D-559470019B6A}"/>
    <cellStyle name="쉼표 [0] 2 22 4 5 3" xfId="1475" xr:uid="{00000000-0005-0000-0000-0000630F0000}"/>
    <cellStyle name="쉼표 [0] 2 22 4 5 3 2" xfId="3824" xr:uid="{00000000-0005-0000-0000-0000640F0000}"/>
    <cellStyle name="쉼표 [0] 2 22 4 5 3 2 2" xfId="7485" xr:uid="{00000000-0005-0000-0000-0000650F0000}"/>
    <cellStyle name="쉼표 [0] 2 22 4 5 3 2 2 2" xfId="14802" xr:uid="{E11B2661-8462-49AD-9AB8-E4CB03DED142}"/>
    <cellStyle name="쉼표 [0] 2 22 4 5 3 2 3" xfId="11144" xr:uid="{E99F77B2-2E1A-4C70-8000-1F378E70F0E3}"/>
    <cellStyle name="쉼표 [0] 2 22 4 5 3 3" xfId="5656" xr:uid="{00000000-0005-0000-0000-0000660F0000}"/>
    <cellStyle name="쉼표 [0] 2 22 4 5 3 3 2" xfId="12973" xr:uid="{E3131672-7556-47D7-B16B-D7D2D6C282FE}"/>
    <cellStyle name="쉼표 [0] 2 22 4 5 3 4" xfId="9314" xr:uid="{9130299A-87F9-4F85-AD84-7A3B29E537F9}"/>
    <cellStyle name="쉼표 [0] 2 22 4 5 4" xfId="3822" xr:uid="{00000000-0005-0000-0000-0000670F0000}"/>
    <cellStyle name="쉼표 [0] 2 22 4 5 4 2" xfId="7483" xr:uid="{00000000-0005-0000-0000-0000680F0000}"/>
    <cellStyle name="쉼표 [0] 2 22 4 5 4 2 2" xfId="14800" xr:uid="{F735B01B-AE04-41C3-9A77-B5D88B155857}"/>
    <cellStyle name="쉼표 [0] 2 22 4 5 4 3" xfId="11142" xr:uid="{7621FE98-01F4-4F1F-87C6-10E723D328E8}"/>
    <cellStyle name="쉼표 [0] 2 22 4 5 5" xfId="5654" xr:uid="{00000000-0005-0000-0000-0000690F0000}"/>
    <cellStyle name="쉼표 [0] 2 22 4 5 5 2" xfId="12971" xr:uid="{B0026BF0-7BBD-4072-B1B0-C651A29B0EAD}"/>
    <cellStyle name="쉼표 [0] 2 22 4 5 6" xfId="9312" xr:uid="{318AEF7A-DC95-4DE4-8BE2-775C3362DF1B}"/>
    <cellStyle name="쉼표 [0] 2 22 4 6" xfId="1476" xr:uid="{00000000-0005-0000-0000-00006A0F0000}"/>
    <cellStyle name="쉼표 [0] 2 22 4 6 2" xfId="1477" xr:uid="{00000000-0005-0000-0000-00006B0F0000}"/>
    <cellStyle name="쉼표 [0] 2 22 4 6 2 2" xfId="3826" xr:uid="{00000000-0005-0000-0000-00006C0F0000}"/>
    <cellStyle name="쉼표 [0] 2 22 4 6 2 2 2" xfId="7487" xr:uid="{00000000-0005-0000-0000-00006D0F0000}"/>
    <cellStyle name="쉼표 [0] 2 22 4 6 2 2 2 2" xfId="14804" xr:uid="{C015863B-3675-4F4F-958E-6FB86813700C}"/>
    <cellStyle name="쉼표 [0] 2 22 4 6 2 2 3" xfId="11146" xr:uid="{70392CC1-29B2-44EA-B61C-378267ED57E4}"/>
    <cellStyle name="쉼표 [0] 2 22 4 6 2 3" xfId="5658" xr:uid="{00000000-0005-0000-0000-00006E0F0000}"/>
    <cellStyle name="쉼표 [0] 2 22 4 6 2 3 2" xfId="12975" xr:uid="{953A9C35-9970-4A6F-BCBA-EF8125324F55}"/>
    <cellStyle name="쉼표 [0] 2 22 4 6 2 4" xfId="9316" xr:uid="{5DCD2197-3D67-4824-BAAB-6B22C2DB684E}"/>
    <cellStyle name="쉼표 [0] 2 22 4 6 3" xfId="1478" xr:uid="{00000000-0005-0000-0000-00006F0F0000}"/>
    <cellStyle name="쉼표 [0] 2 22 4 6 3 2" xfId="3827" xr:uid="{00000000-0005-0000-0000-0000700F0000}"/>
    <cellStyle name="쉼표 [0] 2 22 4 6 3 2 2" xfId="7488" xr:uid="{00000000-0005-0000-0000-0000710F0000}"/>
    <cellStyle name="쉼표 [0] 2 22 4 6 3 2 2 2" xfId="14805" xr:uid="{B95BA53C-05CF-4E4D-A3B1-ED7CB33A6574}"/>
    <cellStyle name="쉼표 [0] 2 22 4 6 3 2 3" xfId="11147" xr:uid="{9D963820-F3EF-4587-B45E-61B2F6C058F1}"/>
    <cellStyle name="쉼표 [0] 2 22 4 6 3 3" xfId="5659" xr:uid="{00000000-0005-0000-0000-0000720F0000}"/>
    <cellStyle name="쉼표 [0] 2 22 4 6 3 3 2" xfId="12976" xr:uid="{E939F2C8-958E-4B62-954F-3E58C8C0591D}"/>
    <cellStyle name="쉼표 [0] 2 22 4 6 3 4" xfId="9317" xr:uid="{8FA02041-83E1-47BE-BE5D-3EBDBCC5AF71}"/>
    <cellStyle name="쉼표 [0] 2 22 4 6 4" xfId="3825" xr:uid="{00000000-0005-0000-0000-0000730F0000}"/>
    <cellStyle name="쉼표 [0] 2 22 4 6 4 2" xfId="7486" xr:uid="{00000000-0005-0000-0000-0000740F0000}"/>
    <cellStyle name="쉼표 [0] 2 22 4 6 4 2 2" xfId="14803" xr:uid="{38EC7D04-6028-4584-A0C2-A725C0C188FD}"/>
    <cellStyle name="쉼표 [0] 2 22 4 6 4 3" xfId="11145" xr:uid="{20309CA5-D19E-4C36-AEEE-43028FF4D77F}"/>
    <cellStyle name="쉼표 [0] 2 22 4 6 5" xfId="5657" xr:uid="{00000000-0005-0000-0000-0000750F0000}"/>
    <cellStyle name="쉼표 [0] 2 22 4 6 5 2" xfId="12974" xr:uid="{E4F81536-7A26-461B-A9F0-B5A9C37D81C8}"/>
    <cellStyle name="쉼표 [0] 2 22 4 6 6" xfId="9315" xr:uid="{2711EE21-B66C-4454-937A-5715DBF315E7}"/>
    <cellStyle name="쉼표 [0] 2 22 4 7" xfId="1479" xr:uid="{00000000-0005-0000-0000-0000760F0000}"/>
    <cellStyle name="쉼표 [0] 2 22 4 7 2" xfId="3828" xr:uid="{00000000-0005-0000-0000-0000770F0000}"/>
    <cellStyle name="쉼표 [0] 2 22 4 7 2 2" xfId="7489" xr:uid="{00000000-0005-0000-0000-0000780F0000}"/>
    <cellStyle name="쉼표 [0] 2 22 4 7 2 2 2" xfId="14806" xr:uid="{D6F225B5-994F-4274-B2BF-0B904508F7C1}"/>
    <cellStyle name="쉼표 [0] 2 22 4 7 2 3" xfId="11148" xr:uid="{9F0FF34A-C8AD-42A6-90E9-09C2CF0EBB49}"/>
    <cellStyle name="쉼표 [0] 2 22 4 7 3" xfId="5660" xr:uid="{00000000-0005-0000-0000-0000790F0000}"/>
    <cellStyle name="쉼표 [0] 2 22 4 7 3 2" xfId="12977" xr:uid="{ECA8412C-DBD6-4808-B636-35C959B5A40F}"/>
    <cellStyle name="쉼표 [0] 2 22 4 7 4" xfId="9318" xr:uid="{2204543F-4D56-442C-BBB2-24D63ACC6FE0}"/>
    <cellStyle name="쉼표 [0] 2 22 4 8" xfId="1480" xr:uid="{00000000-0005-0000-0000-00007A0F0000}"/>
    <cellStyle name="쉼표 [0] 2 22 4 8 2" xfId="3829" xr:uid="{00000000-0005-0000-0000-00007B0F0000}"/>
    <cellStyle name="쉼표 [0] 2 22 4 8 2 2" xfId="7490" xr:uid="{00000000-0005-0000-0000-00007C0F0000}"/>
    <cellStyle name="쉼표 [0] 2 22 4 8 2 2 2" xfId="14807" xr:uid="{99231F7C-5AA6-4566-A789-56706CD9BEEC}"/>
    <cellStyle name="쉼표 [0] 2 22 4 8 2 3" xfId="11149" xr:uid="{EF19825A-3A8D-4889-AF36-2530D86AA249}"/>
    <cellStyle name="쉼표 [0] 2 22 4 8 3" xfId="5661" xr:uid="{00000000-0005-0000-0000-00007D0F0000}"/>
    <cellStyle name="쉼표 [0] 2 22 4 8 3 2" xfId="12978" xr:uid="{351EDD1F-FCFA-4DB7-BFED-931CC56518C4}"/>
    <cellStyle name="쉼표 [0] 2 22 4 8 4" xfId="9319" xr:uid="{40B2F8D0-D1D0-42E9-9A62-378908C4E050}"/>
    <cellStyle name="쉼표 [0] 2 22 4 9" xfId="1481" xr:uid="{00000000-0005-0000-0000-00007E0F0000}"/>
    <cellStyle name="쉼표 [0] 2 22 4 9 2" xfId="3830" xr:uid="{00000000-0005-0000-0000-00007F0F0000}"/>
    <cellStyle name="쉼표 [0] 2 22 4 9 2 2" xfId="7491" xr:uid="{00000000-0005-0000-0000-0000800F0000}"/>
    <cellStyle name="쉼표 [0] 2 22 4 9 2 2 2" xfId="14808" xr:uid="{C8DCE16F-022C-47C5-AF8D-E97A8A6D8A4F}"/>
    <cellStyle name="쉼표 [0] 2 22 4 9 2 3" xfId="11150" xr:uid="{96943821-7B6F-4D87-8E71-AC0773A9A61B}"/>
    <cellStyle name="쉼표 [0] 2 22 4 9 3" xfId="5662" xr:uid="{00000000-0005-0000-0000-0000810F0000}"/>
    <cellStyle name="쉼표 [0] 2 22 4 9 3 2" xfId="12979" xr:uid="{71C18DD1-E54E-448B-B048-2FE2D47E3A98}"/>
    <cellStyle name="쉼표 [0] 2 22 4 9 4" xfId="9320" xr:uid="{78DA3ACC-3A66-431A-918E-8DA21D5EB1D8}"/>
    <cellStyle name="쉼표 [0] 2 22 5" xfId="1482" xr:uid="{00000000-0005-0000-0000-0000820F0000}"/>
    <cellStyle name="쉼표 [0] 2 22 5 10" xfId="5663" xr:uid="{00000000-0005-0000-0000-0000830F0000}"/>
    <cellStyle name="쉼표 [0] 2 22 5 10 2" xfId="12980" xr:uid="{74E55C0D-ADB6-4CA9-82DC-CE8EF74B3385}"/>
    <cellStyle name="쉼표 [0] 2 22 5 11" xfId="9321" xr:uid="{AC9BF5F1-FC5B-48E4-A117-E4F6ACD682C2}"/>
    <cellStyle name="쉼표 [0] 2 22 5 2" xfId="1483" xr:uid="{00000000-0005-0000-0000-0000840F0000}"/>
    <cellStyle name="쉼표 [0] 2 22 5 2 2" xfId="1484" xr:uid="{00000000-0005-0000-0000-0000850F0000}"/>
    <cellStyle name="쉼표 [0] 2 22 5 2 2 2" xfId="3833" xr:uid="{00000000-0005-0000-0000-0000860F0000}"/>
    <cellStyle name="쉼표 [0] 2 22 5 2 2 2 2" xfId="7494" xr:uid="{00000000-0005-0000-0000-0000870F0000}"/>
    <cellStyle name="쉼표 [0] 2 22 5 2 2 2 2 2" xfId="14811" xr:uid="{23775A10-DEF4-46BD-8492-E6A238CC9354}"/>
    <cellStyle name="쉼표 [0] 2 22 5 2 2 2 3" xfId="11153" xr:uid="{D74C2EFE-311C-4EE4-A4C7-25CAF0C0C82E}"/>
    <cellStyle name="쉼표 [0] 2 22 5 2 2 3" xfId="5665" xr:uid="{00000000-0005-0000-0000-0000880F0000}"/>
    <cellStyle name="쉼표 [0] 2 22 5 2 2 3 2" xfId="12982" xr:uid="{A6B2440D-06A4-4DF7-8A82-B64AA53CC2A3}"/>
    <cellStyle name="쉼표 [0] 2 22 5 2 2 4" xfId="9323" xr:uid="{9AC262B3-ACD1-4335-8B48-B4C316690129}"/>
    <cellStyle name="쉼표 [0] 2 22 5 2 3" xfId="1485" xr:uid="{00000000-0005-0000-0000-0000890F0000}"/>
    <cellStyle name="쉼표 [0] 2 22 5 2 3 2" xfId="3834" xr:uid="{00000000-0005-0000-0000-00008A0F0000}"/>
    <cellStyle name="쉼표 [0] 2 22 5 2 3 2 2" xfId="7495" xr:uid="{00000000-0005-0000-0000-00008B0F0000}"/>
    <cellStyle name="쉼표 [0] 2 22 5 2 3 2 2 2" xfId="14812" xr:uid="{AA5E1DCF-B992-4986-89D5-516289638376}"/>
    <cellStyle name="쉼표 [0] 2 22 5 2 3 2 3" xfId="11154" xr:uid="{238A9803-D54B-4781-8B1B-866503D02009}"/>
    <cellStyle name="쉼표 [0] 2 22 5 2 3 3" xfId="5666" xr:uid="{00000000-0005-0000-0000-00008C0F0000}"/>
    <cellStyle name="쉼표 [0] 2 22 5 2 3 3 2" xfId="12983" xr:uid="{62D1E76F-7F77-4D93-98E1-F152684F9A2D}"/>
    <cellStyle name="쉼표 [0] 2 22 5 2 3 4" xfId="9324" xr:uid="{C4224887-4352-4ED3-8F7B-64164A310015}"/>
    <cellStyle name="쉼표 [0] 2 22 5 2 4" xfId="3832" xr:uid="{00000000-0005-0000-0000-00008D0F0000}"/>
    <cellStyle name="쉼표 [0] 2 22 5 2 4 2" xfId="7493" xr:uid="{00000000-0005-0000-0000-00008E0F0000}"/>
    <cellStyle name="쉼표 [0] 2 22 5 2 4 2 2" xfId="14810" xr:uid="{786B3A09-2FF8-4914-A4A4-68A619B6921A}"/>
    <cellStyle name="쉼표 [0] 2 22 5 2 4 3" xfId="11152" xr:uid="{9AC94765-728D-4945-B299-ED33D6E01405}"/>
    <cellStyle name="쉼표 [0] 2 22 5 2 5" xfId="5664" xr:uid="{00000000-0005-0000-0000-00008F0F0000}"/>
    <cellStyle name="쉼표 [0] 2 22 5 2 5 2" xfId="12981" xr:uid="{7BA60D38-4864-42C5-BEE2-AAB50AC61694}"/>
    <cellStyle name="쉼표 [0] 2 22 5 2 6" xfId="9322" xr:uid="{70CB4510-F0EE-43CE-8E78-ABAA39C04072}"/>
    <cellStyle name="쉼표 [0] 2 22 5 3" xfId="1486" xr:uid="{00000000-0005-0000-0000-0000900F0000}"/>
    <cellStyle name="쉼표 [0] 2 22 5 3 2" xfId="1487" xr:uid="{00000000-0005-0000-0000-0000910F0000}"/>
    <cellStyle name="쉼표 [0] 2 22 5 3 2 2" xfId="3836" xr:uid="{00000000-0005-0000-0000-0000920F0000}"/>
    <cellStyle name="쉼표 [0] 2 22 5 3 2 2 2" xfId="7497" xr:uid="{00000000-0005-0000-0000-0000930F0000}"/>
    <cellStyle name="쉼표 [0] 2 22 5 3 2 2 2 2" xfId="14814" xr:uid="{731C0FB4-B5A2-49BD-8E32-8AB82B84862E}"/>
    <cellStyle name="쉼표 [0] 2 22 5 3 2 2 3" xfId="11156" xr:uid="{3155DADB-9C84-4153-A6DF-BE0B77D4D622}"/>
    <cellStyle name="쉼표 [0] 2 22 5 3 2 3" xfId="5668" xr:uid="{00000000-0005-0000-0000-0000940F0000}"/>
    <cellStyle name="쉼표 [0] 2 22 5 3 2 3 2" xfId="12985" xr:uid="{7B2AEEFB-3072-4962-A1AD-A5029B69ECEA}"/>
    <cellStyle name="쉼표 [0] 2 22 5 3 2 4" xfId="9326" xr:uid="{B25A51D2-AA30-4F8F-B6D6-80E3A1FFA3BB}"/>
    <cellStyle name="쉼표 [0] 2 22 5 3 3" xfId="1488" xr:uid="{00000000-0005-0000-0000-0000950F0000}"/>
    <cellStyle name="쉼표 [0] 2 22 5 3 3 2" xfId="3837" xr:uid="{00000000-0005-0000-0000-0000960F0000}"/>
    <cellStyle name="쉼표 [0] 2 22 5 3 3 2 2" xfId="7498" xr:uid="{00000000-0005-0000-0000-0000970F0000}"/>
    <cellStyle name="쉼표 [0] 2 22 5 3 3 2 2 2" xfId="14815" xr:uid="{76C7750A-CD22-4826-BE3C-1653F87DE12C}"/>
    <cellStyle name="쉼표 [0] 2 22 5 3 3 2 3" xfId="11157" xr:uid="{1DCFD6A9-B5FF-4A0B-8EE1-C2B5D79CD950}"/>
    <cellStyle name="쉼표 [0] 2 22 5 3 3 3" xfId="5669" xr:uid="{00000000-0005-0000-0000-0000980F0000}"/>
    <cellStyle name="쉼표 [0] 2 22 5 3 3 3 2" xfId="12986" xr:uid="{E60F319C-CC16-4DC7-BBED-08BBEF3054EE}"/>
    <cellStyle name="쉼표 [0] 2 22 5 3 3 4" xfId="9327" xr:uid="{0836E700-A3A6-48D4-BD2F-2FCCDF182691}"/>
    <cellStyle name="쉼표 [0] 2 22 5 3 4" xfId="3835" xr:uid="{00000000-0005-0000-0000-0000990F0000}"/>
    <cellStyle name="쉼표 [0] 2 22 5 3 4 2" xfId="7496" xr:uid="{00000000-0005-0000-0000-00009A0F0000}"/>
    <cellStyle name="쉼표 [0] 2 22 5 3 4 2 2" xfId="14813" xr:uid="{C7B8F12B-63A3-4C1D-9885-A46A0201A6E9}"/>
    <cellStyle name="쉼표 [0] 2 22 5 3 4 3" xfId="11155" xr:uid="{559B7127-E02E-4FF7-9062-CB8B88FF8E55}"/>
    <cellStyle name="쉼표 [0] 2 22 5 3 5" xfId="5667" xr:uid="{00000000-0005-0000-0000-00009B0F0000}"/>
    <cellStyle name="쉼표 [0] 2 22 5 3 5 2" xfId="12984" xr:uid="{502DC4AD-1AA8-4D80-AC05-D1839B677734}"/>
    <cellStyle name="쉼표 [0] 2 22 5 3 6" xfId="9325" xr:uid="{40CCA9B3-06E3-4DB7-954A-02CE51939AD1}"/>
    <cellStyle name="쉼표 [0] 2 22 5 4" xfId="1489" xr:uid="{00000000-0005-0000-0000-00009C0F0000}"/>
    <cellStyle name="쉼표 [0] 2 22 5 4 2" xfId="1490" xr:uid="{00000000-0005-0000-0000-00009D0F0000}"/>
    <cellStyle name="쉼표 [0] 2 22 5 4 2 2" xfId="3839" xr:uid="{00000000-0005-0000-0000-00009E0F0000}"/>
    <cellStyle name="쉼표 [0] 2 22 5 4 2 2 2" xfId="7500" xr:uid="{00000000-0005-0000-0000-00009F0F0000}"/>
    <cellStyle name="쉼표 [0] 2 22 5 4 2 2 2 2" xfId="14817" xr:uid="{8830168B-146E-4B4D-AC7A-A2C012130C92}"/>
    <cellStyle name="쉼표 [0] 2 22 5 4 2 2 3" xfId="11159" xr:uid="{5908B4A1-590D-468C-A4DC-137E4FCA58B1}"/>
    <cellStyle name="쉼표 [0] 2 22 5 4 2 3" xfId="5671" xr:uid="{00000000-0005-0000-0000-0000A00F0000}"/>
    <cellStyle name="쉼표 [0] 2 22 5 4 2 3 2" xfId="12988" xr:uid="{C296BE6F-004E-4700-95EA-F93545FD4AA0}"/>
    <cellStyle name="쉼표 [0] 2 22 5 4 2 4" xfId="9329" xr:uid="{C1F400DE-3AE7-46B3-BEF8-8D46674A74A4}"/>
    <cellStyle name="쉼표 [0] 2 22 5 4 3" xfId="1491" xr:uid="{00000000-0005-0000-0000-0000A10F0000}"/>
    <cellStyle name="쉼표 [0] 2 22 5 4 3 2" xfId="3840" xr:uid="{00000000-0005-0000-0000-0000A20F0000}"/>
    <cellStyle name="쉼표 [0] 2 22 5 4 3 2 2" xfId="7501" xr:uid="{00000000-0005-0000-0000-0000A30F0000}"/>
    <cellStyle name="쉼표 [0] 2 22 5 4 3 2 2 2" xfId="14818" xr:uid="{06E3F9A1-AF23-40BB-AD2E-5076EFA1B68B}"/>
    <cellStyle name="쉼표 [0] 2 22 5 4 3 2 3" xfId="11160" xr:uid="{890EFCE5-E819-4462-85CB-8ED354333232}"/>
    <cellStyle name="쉼표 [0] 2 22 5 4 3 3" xfId="5672" xr:uid="{00000000-0005-0000-0000-0000A40F0000}"/>
    <cellStyle name="쉼표 [0] 2 22 5 4 3 3 2" xfId="12989" xr:uid="{59C0A076-7D30-4596-9B9F-BB6B4E3E3D2F}"/>
    <cellStyle name="쉼표 [0] 2 22 5 4 3 4" xfId="9330" xr:uid="{962F3032-64E3-4B8B-939D-EFF4B00BE1F5}"/>
    <cellStyle name="쉼표 [0] 2 22 5 4 4" xfId="3838" xr:uid="{00000000-0005-0000-0000-0000A50F0000}"/>
    <cellStyle name="쉼표 [0] 2 22 5 4 4 2" xfId="7499" xr:uid="{00000000-0005-0000-0000-0000A60F0000}"/>
    <cellStyle name="쉼표 [0] 2 22 5 4 4 2 2" xfId="14816" xr:uid="{A544717B-11D3-46AC-BFBA-22088BAE265A}"/>
    <cellStyle name="쉼표 [0] 2 22 5 4 4 3" xfId="11158" xr:uid="{EEC3D108-2432-4CE2-991D-0609477E115B}"/>
    <cellStyle name="쉼표 [0] 2 22 5 4 5" xfId="5670" xr:uid="{00000000-0005-0000-0000-0000A70F0000}"/>
    <cellStyle name="쉼표 [0] 2 22 5 4 5 2" xfId="12987" xr:uid="{277574E6-CF14-49B5-BE97-E26A699B8AED}"/>
    <cellStyle name="쉼표 [0] 2 22 5 4 6" xfId="9328" xr:uid="{B7D212EA-90F9-4162-831E-5B70B8181CE7}"/>
    <cellStyle name="쉼표 [0] 2 22 5 5" xfId="1492" xr:uid="{00000000-0005-0000-0000-0000A80F0000}"/>
    <cellStyle name="쉼표 [0] 2 22 5 5 2" xfId="1493" xr:uid="{00000000-0005-0000-0000-0000A90F0000}"/>
    <cellStyle name="쉼표 [0] 2 22 5 5 2 2" xfId="3842" xr:uid="{00000000-0005-0000-0000-0000AA0F0000}"/>
    <cellStyle name="쉼표 [0] 2 22 5 5 2 2 2" xfId="7503" xr:uid="{00000000-0005-0000-0000-0000AB0F0000}"/>
    <cellStyle name="쉼표 [0] 2 22 5 5 2 2 2 2" xfId="14820" xr:uid="{21574212-8A0C-4DFC-A9E5-29F1514C670E}"/>
    <cellStyle name="쉼표 [0] 2 22 5 5 2 2 3" xfId="11162" xr:uid="{C3776BAF-C206-4F34-9826-B51F0E93EB5F}"/>
    <cellStyle name="쉼표 [0] 2 22 5 5 2 3" xfId="5674" xr:uid="{00000000-0005-0000-0000-0000AC0F0000}"/>
    <cellStyle name="쉼표 [0] 2 22 5 5 2 3 2" xfId="12991" xr:uid="{A914BFB1-7C67-4D88-BA47-D924F568BC84}"/>
    <cellStyle name="쉼표 [0] 2 22 5 5 2 4" xfId="9332" xr:uid="{3199D402-59C4-423F-B942-0E6C821CB23A}"/>
    <cellStyle name="쉼표 [0] 2 22 5 5 3" xfId="1494" xr:uid="{00000000-0005-0000-0000-0000AD0F0000}"/>
    <cellStyle name="쉼표 [0] 2 22 5 5 3 2" xfId="3843" xr:uid="{00000000-0005-0000-0000-0000AE0F0000}"/>
    <cellStyle name="쉼표 [0] 2 22 5 5 3 2 2" xfId="7504" xr:uid="{00000000-0005-0000-0000-0000AF0F0000}"/>
    <cellStyle name="쉼표 [0] 2 22 5 5 3 2 2 2" xfId="14821" xr:uid="{11F7A716-F717-4C29-AD6F-0243881A4959}"/>
    <cellStyle name="쉼표 [0] 2 22 5 5 3 2 3" xfId="11163" xr:uid="{E6FA8FD1-6622-4955-A331-EEEAD60EE1EA}"/>
    <cellStyle name="쉼표 [0] 2 22 5 5 3 3" xfId="5675" xr:uid="{00000000-0005-0000-0000-0000B00F0000}"/>
    <cellStyle name="쉼표 [0] 2 22 5 5 3 3 2" xfId="12992" xr:uid="{F1B7D68B-4348-4326-B06F-40A6D0D09850}"/>
    <cellStyle name="쉼표 [0] 2 22 5 5 3 4" xfId="9333" xr:uid="{EE8F7A84-C872-4687-955B-0CE19E13D474}"/>
    <cellStyle name="쉼표 [0] 2 22 5 5 4" xfId="3841" xr:uid="{00000000-0005-0000-0000-0000B10F0000}"/>
    <cellStyle name="쉼표 [0] 2 22 5 5 4 2" xfId="7502" xr:uid="{00000000-0005-0000-0000-0000B20F0000}"/>
    <cellStyle name="쉼표 [0] 2 22 5 5 4 2 2" xfId="14819" xr:uid="{7677A954-3F50-4C27-B62B-ED40F7475EB6}"/>
    <cellStyle name="쉼표 [0] 2 22 5 5 4 3" xfId="11161" xr:uid="{93803417-ADC8-4A51-BA11-BC284C378551}"/>
    <cellStyle name="쉼표 [0] 2 22 5 5 5" xfId="5673" xr:uid="{00000000-0005-0000-0000-0000B30F0000}"/>
    <cellStyle name="쉼표 [0] 2 22 5 5 5 2" xfId="12990" xr:uid="{7D6A4DA3-2AB8-435F-9C9A-B3883F93663C}"/>
    <cellStyle name="쉼표 [0] 2 22 5 5 6" xfId="9331" xr:uid="{BB9FFF1E-AAC8-48C4-A7C6-99C2D6222850}"/>
    <cellStyle name="쉼표 [0] 2 22 5 6" xfId="1495" xr:uid="{00000000-0005-0000-0000-0000B40F0000}"/>
    <cellStyle name="쉼표 [0] 2 22 5 6 2" xfId="1496" xr:uid="{00000000-0005-0000-0000-0000B50F0000}"/>
    <cellStyle name="쉼표 [0] 2 22 5 6 2 2" xfId="3845" xr:uid="{00000000-0005-0000-0000-0000B60F0000}"/>
    <cellStyle name="쉼표 [0] 2 22 5 6 2 2 2" xfId="7506" xr:uid="{00000000-0005-0000-0000-0000B70F0000}"/>
    <cellStyle name="쉼표 [0] 2 22 5 6 2 2 2 2" xfId="14823" xr:uid="{825D043D-7278-43B9-8681-0D561ED133DC}"/>
    <cellStyle name="쉼표 [0] 2 22 5 6 2 2 3" xfId="11165" xr:uid="{C98CCBF0-4AB2-47E9-B5A9-B29F6BB6CDB5}"/>
    <cellStyle name="쉼표 [0] 2 22 5 6 2 3" xfId="5677" xr:uid="{00000000-0005-0000-0000-0000B80F0000}"/>
    <cellStyle name="쉼표 [0] 2 22 5 6 2 3 2" xfId="12994" xr:uid="{6854FC3D-D640-47B0-9959-C7D2512537D0}"/>
    <cellStyle name="쉼표 [0] 2 22 5 6 2 4" xfId="9335" xr:uid="{9FDDB07B-F0DB-420E-B6DF-D070522DA07D}"/>
    <cellStyle name="쉼표 [0] 2 22 5 6 3" xfId="1497" xr:uid="{00000000-0005-0000-0000-0000B90F0000}"/>
    <cellStyle name="쉼표 [0] 2 22 5 6 3 2" xfId="3846" xr:uid="{00000000-0005-0000-0000-0000BA0F0000}"/>
    <cellStyle name="쉼표 [0] 2 22 5 6 3 2 2" xfId="7507" xr:uid="{00000000-0005-0000-0000-0000BB0F0000}"/>
    <cellStyle name="쉼표 [0] 2 22 5 6 3 2 2 2" xfId="14824" xr:uid="{645F3DA9-EEBA-40BE-82D2-A1F99C67D587}"/>
    <cellStyle name="쉼표 [0] 2 22 5 6 3 2 3" xfId="11166" xr:uid="{27056CF4-5D58-4BA0-9F59-6FD9BD5BC444}"/>
    <cellStyle name="쉼표 [0] 2 22 5 6 3 3" xfId="5678" xr:uid="{00000000-0005-0000-0000-0000BC0F0000}"/>
    <cellStyle name="쉼표 [0] 2 22 5 6 3 3 2" xfId="12995" xr:uid="{0DAD6D6B-8E43-46D6-A3AE-630C671A0D18}"/>
    <cellStyle name="쉼표 [0] 2 22 5 6 3 4" xfId="9336" xr:uid="{CD1DE57C-7CAA-454B-A447-4EB45435A14E}"/>
    <cellStyle name="쉼표 [0] 2 22 5 6 4" xfId="3844" xr:uid="{00000000-0005-0000-0000-0000BD0F0000}"/>
    <cellStyle name="쉼표 [0] 2 22 5 6 4 2" xfId="7505" xr:uid="{00000000-0005-0000-0000-0000BE0F0000}"/>
    <cellStyle name="쉼표 [0] 2 22 5 6 4 2 2" xfId="14822" xr:uid="{3321C21B-7516-42ED-B7FE-8FC8DBC836F3}"/>
    <cellStyle name="쉼표 [0] 2 22 5 6 4 3" xfId="11164" xr:uid="{1C66911F-8D1C-43DC-99B4-1ACDE67C76B9}"/>
    <cellStyle name="쉼표 [0] 2 22 5 6 5" xfId="5676" xr:uid="{00000000-0005-0000-0000-0000BF0F0000}"/>
    <cellStyle name="쉼표 [0] 2 22 5 6 5 2" xfId="12993" xr:uid="{21A41609-4AE1-4B9F-B6FF-E3891B3BEF8C}"/>
    <cellStyle name="쉼표 [0] 2 22 5 6 6" xfId="9334" xr:uid="{DF67FD66-9863-4715-9224-98AC1F7E0CEE}"/>
    <cellStyle name="쉼표 [0] 2 22 5 7" xfId="1498" xr:uid="{00000000-0005-0000-0000-0000C00F0000}"/>
    <cellStyle name="쉼표 [0] 2 22 5 7 2" xfId="3847" xr:uid="{00000000-0005-0000-0000-0000C10F0000}"/>
    <cellStyle name="쉼표 [0] 2 22 5 7 2 2" xfId="7508" xr:uid="{00000000-0005-0000-0000-0000C20F0000}"/>
    <cellStyle name="쉼표 [0] 2 22 5 7 2 2 2" xfId="14825" xr:uid="{DEEC0C6F-5D23-48BF-8BAC-8DAADFADFF0D}"/>
    <cellStyle name="쉼표 [0] 2 22 5 7 2 3" xfId="11167" xr:uid="{F9E5E3FF-5161-4468-B44F-7B892260F58E}"/>
    <cellStyle name="쉼표 [0] 2 22 5 7 3" xfId="5679" xr:uid="{00000000-0005-0000-0000-0000C30F0000}"/>
    <cellStyle name="쉼표 [0] 2 22 5 7 3 2" xfId="12996" xr:uid="{696511EE-DEF4-438E-869E-F49B3AB37558}"/>
    <cellStyle name="쉼표 [0] 2 22 5 7 4" xfId="9337" xr:uid="{F510674E-E71B-406D-B463-670315D703A9}"/>
    <cellStyle name="쉼표 [0] 2 22 5 8" xfId="1499" xr:uid="{00000000-0005-0000-0000-0000C40F0000}"/>
    <cellStyle name="쉼표 [0] 2 22 5 8 2" xfId="3848" xr:uid="{00000000-0005-0000-0000-0000C50F0000}"/>
    <cellStyle name="쉼표 [0] 2 22 5 8 2 2" xfId="7509" xr:uid="{00000000-0005-0000-0000-0000C60F0000}"/>
    <cellStyle name="쉼표 [0] 2 22 5 8 2 2 2" xfId="14826" xr:uid="{19E4C110-EF05-409F-AD9F-5B5F770FFBA0}"/>
    <cellStyle name="쉼표 [0] 2 22 5 8 2 3" xfId="11168" xr:uid="{5FFB7F7E-CC9C-491D-84F0-7BAA91815700}"/>
    <cellStyle name="쉼표 [0] 2 22 5 8 3" xfId="5680" xr:uid="{00000000-0005-0000-0000-0000C70F0000}"/>
    <cellStyle name="쉼표 [0] 2 22 5 8 3 2" xfId="12997" xr:uid="{F2D2F0AA-4B9D-45CF-8660-4AE28713EFA9}"/>
    <cellStyle name="쉼표 [0] 2 22 5 8 4" xfId="9338" xr:uid="{3385D894-F2BE-4FA5-8A12-C072DB2D967C}"/>
    <cellStyle name="쉼표 [0] 2 22 5 9" xfId="3831" xr:uid="{00000000-0005-0000-0000-0000C80F0000}"/>
    <cellStyle name="쉼표 [0] 2 22 5 9 2" xfId="7492" xr:uid="{00000000-0005-0000-0000-0000C90F0000}"/>
    <cellStyle name="쉼표 [0] 2 22 5 9 2 2" xfId="14809" xr:uid="{E0A36591-AD89-486F-9168-E168EF7EF072}"/>
    <cellStyle name="쉼표 [0] 2 22 5 9 3" xfId="11151" xr:uid="{DE9137D1-3546-4B01-8D7E-5C7EF6139D80}"/>
    <cellStyle name="쉼표 [0] 2 22 6" xfId="1500" xr:uid="{00000000-0005-0000-0000-0000CA0F0000}"/>
    <cellStyle name="쉼표 [0] 2 22 6 10" xfId="5681" xr:uid="{00000000-0005-0000-0000-0000CB0F0000}"/>
    <cellStyle name="쉼표 [0] 2 22 6 10 2" xfId="12998" xr:uid="{285753BB-FDEB-4553-ABBC-59815EAE4A3C}"/>
    <cellStyle name="쉼표 [0] 2 22 6 11" xfId="9339" xr:uid="{3C8DCFE9-D29C-4714-9FB3-203BFA1F03B1}"/>
    <cellStyle name="쉼표 [0] 2 22 6 2" xfId="1501" xr:uid="{00000000-0005-0000-0000-0000CC0F0000}"/>
    <cellStyle name="쉼표 [0] 2 22 6 2 2" xfId="1502" xr:uid="{00000000-0005-0000-0000-0000CD0F0000}"/>
    <cellStyle name="쉼표 [0] 2 22 6 2 2 2" xfId="3851" xr:uid="{00000000-0005-0000-0000-0000CE0F0000}"/>
    <cellStyle name="쉼표 [0] 2 22 6 2 2 2 2" xfId="7512" xr:uid="{00000000-0005-0000-0000-0000CF0F0000}"/>
    <cellStyle name="쉼표 [0] 2 22 6 2 2 2 2 2" xfId="14829" xr:uid="{9FE78980-E263-4EE5-AEC0-37888681AF79}"/>
    <cellStyle name="쉼표 [0] 2 22 6 2 2 2 3" xfId="11171" xr:uid="{B694F9B8-4434-4D37-8F5E-F57FEA4AD14F}"/>
    <cellStyle name="쉼표 [0] 2 22 6 2 2 3" xfId="5683" xr:uid="{00000000-0005-0000-0000-0000D00F0000}"/>
    <cellStyle name="쉼표 [0] 2 22 6 2 2 3 2" xfId="13000" xr:uid="{C1117683-0A8C-45F2-839F-AD4DCD6E6C8D}"/>
    <cellStyle name="쉼표 [0] 2 22 6 2 2 4" xfId="9341" xr:uid="{45CAB1FD-2AB7-43DC-A7D8-5ED6B95A581F}"/>
    <cellStyle name="쉼표 [0] 2 22 6 2 3" xfId="1503" xr:uid="{00000000-0005-0000-0000-0000D10F0000}"/>
    <cellStyle name="쉼표 [0] 2 22 6 2 3 2" xfId="3852" xr:uid="{00000000-0005-0000-0000-0000D20F0000}"/>
    <cellStyle name="쉼표 [0] 2 22 6 2 3 2 2" xfId="7513" xr:uid="{00000000-0005-0000-0000-0000D30F0000}"/>
    <cellStyle name="쉼표 [0] 2 22 6 2 3 2 2 2" xfId="14830" xr:uid="{4F8EFA4F-45B4-44BB-A702-E6498824644A}"/>
    <cellStyle name="쉼표 [0] 2 22 6 2 3 2 3" xfId="11172" xr:uid="{7084FC80-73F5-48F1-88B9-708A3B8E27BC}"/>
    <cellStyle name="쉼표 [0] 2 22 6 2 3 3" xfId="5684" xr:uid="{00000000-0005-0000-0000-0000D40F0000}"/>
    <cellStyle name="쉼표 [0] 2 22 6 2 3 3 2" xfId="13001" xr:uid="{76436CFA-47A0-4F23-8A89-00E960B26818}"/>
    <cellStyle name="쉼표 [0] 2 22 6 2 3 4" xfId="9342" xr:uid="{FA04B92D-A5C7-46CB-9207-6EC095441CAF}"/>
    <cellStyle name="쉼표 [0] 2 22 6 2 4" xfId="3850" xr:uid="{00000000-0005-0000-0000-0000D50F0000}"/>
    <cellStyle name="쉼표 [0] 2 22 6 2 4 2" xfId="7511" xr:uid="{00000000-0005-0000-0000-0000D60F0000}"/>
    <cellStyle name="쉼표 [0] 2 22 6 2 4 2 2" xfId="14828" xr:uid="{8185CB9A-C655-4707-9160-7106E5CBF564}"/>
    <cellStyle name="쉼표 [0] 2 22 6 2 4 3" xfId="11170" xr:uid="{D182C830-C401-4C5B-A5FE-FDC1A4E0DB95}"/>
    <cellStyle name="쉼표 [0] 2 22 6 2 5" xfId="5682" xr:uid="{00000000-0005-0000-0000-0000D70F0000}"/>
    <cellStyle name="쉼표 [0] 2 22 6 2 5 2" xfId="12999" xr:uid="{6DFA7C14-1106-49EA-B7E5-15EBBDA23DC1}"/>
    <cellStyle name="쉼표 [0] 2 22 6 2 6" xfId="9340" xr:uid="{048F2008-D86B-48A6-94F7-F4BC27B123B1}"/>
    <cellStyle name="쉼표 [0] 2 22 6 3" xfId="1504" xr:uid="{00000000-0005-0000-0000-0000D80F0000}"/>
    <cellStyle name="쉼표 [0] 2 22 6 3 2" xfId="1505" xr:uid="{00000000-0005-0000-0000-0000D90F0000}"/>
    <cellStyle name="쉼표 [0] 2 22 6 3 2 2" xfId="3854" xr:uid="{00000000-0005-0000-0000-0000DA0F0000}"/>
    <cellStyle name="쉼표 [0] 2 22 6 3 2 2 2" xfId="7515" xr:uid="{00000000-0005-0000-0000-0000DB0F0000}"/>
    <cellStyle name="쉼표 [0] 2 22 6 3 2 2 2 2" xfId="14832" xr:uid="{4799B3F0-9E7D-4BE1-8CA8-D5E03E4BF1D2}"/>
    <cellStyle name="쉼표 [0] 2 22 6 3 2 2 3" xfId="11174" xr:uid="{51B5E27A-12D0-40B8-856F-B7B38B42169A}"/>
    <cellStyle name="쉼표 [0] 2 22 6 3 2 3" xfId="5686" xr:uid="{00000000-0005-0000-0000-0000DC0F0000}"/>
    <cellStyle name="쉼표 [0] 2 22 6 3 2 3 2" xfId="13003" xr:uid="{2911D241-9B58-4A2B-A250-6E4256F3E312}"/>
    <cellStyle name="쉼표 [0] 2 22 6 3 2 4" xfId="9344" xr:uid="{F7C7DB18-393A-4111-8678-553424637345}"/>
    <cellStyle name="쉼표 [0] 2 22 6 3 3" xfId="1506" xr:uid="{00000000-0005-0000-0000-0000DD0F0000}"/>
    <cellStyle name="쉼표 [0] 2 22 6 3 3 2" xfId="3855" xr:uid="{00000000-0005-0000-0000-0000DE0F0000}"/>
    <cellStyle name="쉼표 [0] 2 22 6 3 3 2 2" xfId="7516" xr:uid="{00000000-0005-0000-0000-0000DF0F0000}"/>
    <cellStyle name="쉼표 [0] 2 22 6 3 3 2 2 2" xfId="14833" xr:uid="{42DF408D-4CB8-41DD-AB7F-42C269862A44}"/>
    <cellStyle name="쉼표 [0] 2 22 6 3 3 2 3" xfId="11175" xr:uid="{DC0F5E8A-EE94-4E7E-B8A3-3D61EFB055F1}"/>
    <cellStyle name="쉼표 [0] 2 22 6 3 3 3" xfId="5687" xr:uid="{00000000-0005-0000-0000-0000E00F0000}"/>
    <cellStyle name="쉼표 [0] 2 22 6 3 3 3 2" xfId="13004" xr:uid="{5B68E863-1809-4790-9E76-1EBA04CCF5D3}"/>
    <cellStyle name="쉼표 [0] 2 22 6 3 3 4" xfId="9345" xr:uid="{F3E90A21-D3E6-4A49-A0F4-83651F8CBF78}"/>
    <cellStyle name="쉼표 [0] 2 22 6 3 4" xfId="3853" xr:uid="{00000000-0005-0000-0000-0000E10F0000}"/>
    <cellStyle name="쉼표 [0] 2 22 6 3 4 2" xfId="7514" xr:uid="{00000000-0005-0000-0000-0000E20F0000}"/>
    <cellStyle name="쉼표 [0] 2 22 6 3 4 2 2" xfId="14831" xr:uid="{F38FF2FF-B5C4-42D3-BD3B-0B9566DF6419}"/>
    <cellStyle name="쉼표 [0] 2 22 6 3 4 3" xfId="11173" xr:uid="{CAB85387-047D-4F6B-B239-38B0BDD56EBE}"/>
    <cellStyle name="쉼표 [0] 2 22 6 3 5" xfId="5685" xr:uid="{00000000-0005-0000-0000-0000E30F0000}"/>
    <cellStyle name="쉼표 [0] 2 22 6 3 5 2" xfId="13002" xr:uid="{A88A6342-06EC-4085-A64F-673D2D417A7A}"/>
    <cellStyle name="쉼표 [0] 2 22 6 3 6" xfId="9343" xr:uid="{23410D83-7820-4302-886D-EC03C024274D}"/>
    <cellStyle name="쉼표 [0] 2 22 6 4" xfId="1507" xr:uid="{00000000-0005-0000-0000-0000E40F0000}"/>
    <cellStyle name="쉼표 [0] 2 22 6 4 2" xfId="1508" xr:uid="{00000000-0005-0000-0000-0000E50F0000}"/>
    <cellStyle name="쉼표 [0] 2 22 6 4 2 2" xfId="3857" xr:uid="{00000000-0005-0000-0000-0000E60F0000}"/>
    <cellStyle name="쉼표 [0] 2 22 6 4 2 2 2" xfId="7518" xr:uid="{00000000-0005-0000-0000-0000E70F0000}"/>
    <cellStyle name="쉼표 [0] 2 22 6 4 2 2 2 2" xfId="14835" xr:uid="{C27A0955-1941-4CB2-A9FC-4CB4008705F4}"/>
    <cellStyle name="쉼표 [0] 2 22 6 4 2 2 3" xfId="11177" xr:uid="{470D6259-3454-4B82-AD4B-D5EC81ACFED1}"/>
    <cellStyle name="쉼표 [0] 2 22 6 4 2 3" xfId="5689" xr:uid="{00000000-0005-0000-0000-0000E80F0000}"/>
    <cellStyle name="쉼표 [0] 2 22 6 4 2 3 2" xfId="13006" xr:uid="{156BDFAD-0C9D-4243-B644-164E60D9E508}"/>
    <cellStyle name="쉼표 [0] 2 22 6 4 2 4" xfId="9347" xr:uid="{C08B3BCB-3677-4F44-B04C-B03E31DE80E6}"/>
    <cellStyle name="쉼표 [0] 2 22 6 4 3" xfId="1509" xr:uid="{00000000-0005-0000-0000-0000E90F0000}"/>
    <cellStyle name="쉼표 [0] 2 22 6 4 3 2" xfId="3858" xr:uid="{00000000-0005-0000-0000-0000EA0F0000}"/>
    <cellStyle name="쉼표 [0] 2 22 6 4 3 2 2" xfId="7519" xr:uid="{00000000-0005-0000-0000-0000EB0F0000}"/>
    <cellStyle name="쉼표 [0] 2 22 6 4 3 2 2 2" xfId="14836" xr:uid="{95676055-7AE4-462C-9126-5836C9AC7E40}"/>
    <cellStyle name="쉼표 [0] 2 22 6 4 3 2 3" xfId="11178" xr:uid="{DE2172FE-33DD-43FE-B3F7-771B2CE7CF08}"/>
    <cellStyle name="쉼표 [0] 2 22 6 4 3 3" xfId="5690" xr:uid="{00000000-0005-0000-0000-0000EC0F0000}"/>
    <cellStyle name="쉼표 [0] 2 22 6 4 3 3 2" xfId="13007" xr:uid="{B4C39257-33C5-4E81-8955-479A9D5A168C}"/>
    <cellStyle name="쉼표 [0] 2 22 6 4 3 4" xfId="9348" xr:uid="{F9E34115-7AAA-490D-9EB7-4A9BE53D6717}"/>
    <cellStyle name="쉼표 [0] 2 22 6 4 4" xfId="3856" xr:uid="{00000000-0005-0000-0000-0000ED0F0000}"/>
    <cellStyle name="쉼표 [0] 2 22 6 4 4 2" xfId="7517" xr:uid="{00000000-0005-0000-0000-0000EE0F0000}"/>
    <cellStyle name="쉼표 [0] 2 22 6 4 4 2 2" xfId="14834" xr:uid="{19771B4A-B1E9-4B90-846D-D1C09E70207C}"/>
    <cellStyle name="쉼표 [0] 2 22 6 4 4 3" xfId="11176" xr:uid="{69009D9D-68C2-4FCE-8D5E-B0FF31B6946D}"/>
    <cellStyle name="쉼표 [0] 2 22 6 4 5" xfId="5688" xr:uid="{00000000-0005-0000-0000-0000EF0F0000}"/>
    <cellStyle name="쉼표 [0] 2 22 6 4 5 2" xfId="13005" xr:uid="{BA1C98EC-6FE3-4155-A3F2-3F762FEBD7A6}"/>
    <cellStyle name="쉼표 [0] 2 22 6 4 6" xfId="9346" xr:uid="{AA67B257-C358-417D-A0D2-70EB874DE04B}"/>
    <cellStyle name="쉼표 [0] 2 22 6 5" xfId="1510" xr:uid="{00000000-0005-0000-0000-0000F00F0000}"/>
    <cellStyle name="쉼표 [0] 2 22 6 5 2" xfId="1511" xr:uid="{00000000-0005-0000-0000-0000F10F0000}"/>
    <cellStyle name="쉼표 [0] 2 22 6 5 2 2" xfId="3860" xr:uid="{00000000-0005-0000-0000-0000F20F0000}"/>
    <cellStyle name="쉼표 [0] 2 22 6 5 2 2 2" xfId="7521" xr:uid="{00000000-0005-0000-0000-0000F30F0000}"/>
    <cellStyle name="쉼표 [0] 2 22 6 5 2 2 2 2" xfId="14838" xr:uid="{66EC0A24-001B-4DBA-BA79-CE84381A5133}"/>
    <cellStyle name="쉼표 [0] 2 22 6 5 2 2 3" xfId="11180" xr:uid="{E943BAC6-DE9F-4608-9011-34A80585F229}"/>
    <cellStyle name="쉼표 [0] 2 22 6 5 2 3" xfId="5692" xr:uid="{00000000-0005-0000-0000-0000F40F0000}"/>
    <cellStyle name="쉼표 [0] 2 22 6 5 2 3 2" xfId="13009" xr:uid="{08AE806B-D540-4A67-934C-C857A01910B6}"/>
    <cellStyle name="쉼표 [0] 2 22 6 5 2 4" xfId="9350" xr:uid="{6AFB6C0D-64B3-4575-A1B0-DFB765468D0D}"/>
    <cellStyle name="쉼표 [0] 2 22 6 5 3" xfId="1512" xr:uid="{00000000-0005-0000-0000-0000F50F0000}"/>
    <cellStyle name="쉼표 [0] 2 22 6 5 3 2" xfId="3861" xr:uid="{00000000-0005-0000-0000-0000F60F0000}"/>
    <cellStyle name="쉼표 [0] 2 22 6 5 3 2 2" xfId="7522" xr:uid="{00000000-0005-0000-0000-0000F70F0000}"/>
    <cellStyle name="쉼표 [0] 2 22 6 5 3 2 2 2" xfId="14839" xr:uid="{06541529-B4FA-4CEC-8CB2-0B5E3B0AC61B}"/>
    <cellStyle name="쉼표 [0] 2 22 6 5 3 2 3" xfId="11181" xr:uid="{71ECA440-CD91-4788-B779-71CB8A522EA4}"/>
    <cellStyle name="쉼표 [0] 2 22 6 5 3 3" xfId="5693" xr:uid="{00000000-0005-0000-0000-0000F80F0000}"/>
    <cellStyle name="쉼표 [0] 2 22 6 5 3 3 2" xfId="13010" xr:uid="{D72BB01B-A707-4F8A-A902-4EFEBCBEA768}"/>
    <cellStyle name="쉼표 [0] 2 22 6 5 3 4" xfId="9351" xr:uid="{43A99603-B80A-499A-B234-6F2C2F4BAE36}"/>
    <cellStyle name="쉼표 [0] 2 22 6 5 4" xfId="3859" xr:uid="{00000000-0005-0000-0000-0000F90F0000}"/>
    <cellStyle name="쉼표 [0] 2 22 6 5 4 2" xfId="7520" xr:uid="{00000000-0005-0000-0000-0000FA0F0000}"/>
    <cellStyle name="쉼표 [0] 2 22 6 5 4 2 2" xfId="14837" xr:uid="{A1FA1907-2BCB-47DB-BB2D-01A48B02F0A8}"/>
    <cellStyle name="쉼표 [0] 2 22 6 5 4 3" xfId="11179" xr:uid="{4D755A66-E5C1-463F-8A6D-6CA4D699D329}"/>
    <cellStyle name="쉼표 [0] 2 22 6 5 5" xfId="5691" xr:uid="{00000000-0005-0000-0000-0000FB0F0000}"/>
    <cellStyle name="쉼표 [0] 2 22 6 5 5 2" xfId="13008" xr:uid="{631E4E7D-AF4D-448E-8E5D-871682103BE5}"/>
    <cellStyle name="쉼표 [0] 2 22 6 5 6" xfId="9349" xr:uid="{D928D3CE-E056-432E-9751-515ED6FEECF8}"/>
    <cellStyle name="쉼표 [0] 2 22 6 6" xfId="1513" xr:uid="{00000000-0005-0000-0000-0000FC0F0000}"/>
    <cellStyle name="쉼표 [0] 2 22 6 6 2" xfId="1514" xr:uid="{00000000-0005-0000-0000-0000FD0F0000}"/>
    <cellStyle name="쉼표 [0] 2 22 6 6 2 2" xfId="3863" xr:uid="{00000000-0005-0000-0000-0000FE0F0000}"/>
    <cellStyle name="쉼표 [0] 2 22 6 6 2 2 2" xfId="7524" xr:uid="{00000000-0005-0000-0000-0000FF0F0000}"/>
    <cellStyle name="쉼표 [0] 2 22 6 6 2 2 2 2" xfId="14841" xr:uid="{C9177BC3-7BD1-4CAB-92A3-FE7B285C3BF0}"/>
    <cellStyle name="쉼표 [0] 2 22 6 6 2 2 3" xfId="11183" xr:uid="{8386E5F4-20CC-4B4A-B274-954EEC97568B}"/>
    <cellStyle name="쉼표 [0] 2 22 6 6 2 3" xfId="5695" xr:uid="{00000000-0005-0000-0000-000000100000}"/>
    <cellStyle name="쉼표 [0] 2 22 6 6 2 3 2" xfId="13012" xr:uid="{EFB3134B-B4F4-4D7A-B020-EB6EBC13D73E}"/>
    <cellStyle name="쉼표 [0] 2 22 6 6 2 4" xfId="9353" xr:uid="{CC31EB67-0697-450B-B8E1-90DF46FDC038}"/>
    <cellStyle name="쉼표 [0] 2 22 6 6 3" xfId="1515" xr:uid="{00000000-0005-0000-0000-000001100000}"/>
    <cellStyle name="쉼표 [0] 2 22 6 6 3 2" xfId="3864" xr:uid="{00000000-0005-0000-0000-000002100000}"/>
    <cellStyle name="쉼표 [0] 2 22 6 6 3 2 2" xfId="7525" xr:uid="{00000000-0005-0000-0000-000003100000}"/>
    <cellStyle name="쉼표 [0] 2 22 6 6 3 2 2 2" xfId="14842" xr:uid="{7ACD9FB9-5CC8-436F-BFDE-F02DB3E57900}"/>
    <cellStyle name="쉼표 [0] 2 22 6 6 3 2 3" xfId="11184" xr:uid="{FA382CFC-4A30-41EF-897A-B7239A4494BF}"/>
    <cellStyle name="쉼표 [0] 2 22 6 6 3 3" xfId="5696" xr:uid="{00000000-0005-0000-0000-000004100000}"/>
    <cellStyle name="쉼표 [0] 2 22 6 6 3 3 2" xfId="13013" xr:uid="{FE30FD95-060F-45C1-88B1-7C9DA70CF721}"/>
    <cellStyle name="쉼표 [0] 2 22 6 6 3 4" xfId="9354" xr:uid="{8BF3E810-CB47-412F-B5DD-B5AFE894C92C}"/>
    <cellStyle name="쉼표 [0] 2 22 6 6 4" xfId="3862" xr:uid="{00000000-0005-0000-0000-000005100000}"/>
    <cellStyle name="쉼표 [0] 2 22 6 6 4 2" xfId="7523" xr:uid="{00000000-0005-0000-0000-000006100000}"/>
    <cellStyle name="쉼표 [0] 2 22 6 6 4 2 2" xfId="14840" xr:uid="{4F3C22DC-48CE-49B0-9D65-40CD050C768F}"/>
    <cellStyle name="쉼표 [0] 2 22 6 6 4 3" xfId="11182" xr:uid="{B44AEB5D-2501-42E4-B4D7-F029B9B90C88}"/>
    <cellStyle name="쉼표 [0] 2 22 6 6 5" xfId="5694" xr:uid="{00000000-0005-0000-0000-000007100000}"/>
    <cellStyle name="쉼표 [0] 2 22 6 6 5 2" xfId="13011" xr:uid="{D2CC885B-4FB6-43C8-AFD6-A465A2C8B61E}"/>
    <cellStyle name="쉼표 [0] 2 22 6 6 6" xfId="9352" xr:uid="{B1051D4C-3E34-4F48-9A9E-076324EFE9F7}"/>
    <cellStyle name="쉼표 [0] 2 22 6 7" xfId="1516" xr:uid="{00000000-0005-0000-0000-000008100000}"/>
    <cellStyle name="쉼표 [0] 2 22 6 7 2" xfId="3865" xr:uid="{00000000-0005-0000-0000-000009100000}"/>
    <cellStyle name="쉼표 [0] 2 22 6 7 2 2" xfId="7526" xr:uid="{00000000-0005-0000-0000-00000A100000}"/>
    <cellStyle name="쉼표 [0] 2 22 6 7 2 2 2" xfId="14843" xr:uid="{7B629858-DF9D-4469-8106-5FE944094E2E}"/>
    <cellStyle name="쉼표 [0] 2 22 6 7 2 3" xfId="11185" xr:uid="{33BB11AE-626F-4E13-9FF7-95FFF36129AA}"/>
    <cellStyle name="쉼표 [0] 2 22 6 7 3" xfId="5697" xr:uid="{00000000-0005-0000-0000-00000B100000}"/>
    <cellStyle name="쉼표 [0] 2 22 6 7 3 2" xfId="13014" xr:uid="{C09A6AC1-F23E-441A-B935-421CDA9E7E56}"/>
    <cellStyle name="쉼표 [0] 2 22 6 7 4" xfId="9355" xr:uid="{21BDD7A6-2160-41E9-B4A9-4289C9D8A9B0}"/>
    <cellStyle name="쉼표 [0] 2 22 6 8" xfId="1517" xr:uid="{00000000-0005-0000-0000-00000C100000}"/>
    <cellStyle name="쉼표 [0] 2 22 6 8 2" xfId="3866" xr:uid="{00000000-0005-0000-0000-00000D100000}"/>
    <cellStyle name="쉼표 [0] 2 22 6 8 2 2" xfId="7527" xr:uid="{00000000-0005-0000-0000-00000E100000}"/>
    <cellStyle name="쉼표 [0] 2 22 6 8 2 2 2" xfId="14844" xr:uid="{BE92B7D7-D028-4F0A-BFA9-A6A490341AC4}"/>
    <cellStyle name="쉼표 [0] 2 22 6 8 2 3" xfId="11186" xr:uid="{9EED2DBC-5566-434E-BACC-1CEEAB9BBDFF}"/>
    <cellStyle name="쉼표 [0] 2 22 6 8 3" xfId="5698" xr:uid="{00000000-0005-0000-0000-00000F100000}"/>
    <cellStyle name="쉼표 [0] 2 22 6 8 3 2" xfId="13015" xr:uid="{62452229-6B95-4CC5-A184-030FDDEC735E}"/>
    <cellStyle name="쉼표 [0] 2 22 6 8 4" xfId="9356" xr:uid="{629BCB32-D3C3-4DAC-A5E1-D650A6B461CE}"/>
    <cellStyle name="쉼표 [0] 2 22 6 9" xfId="3849" xr:uid="{00000000-0005-0000-0000-000010100000}"/>
    <cellStyle name="쉼표 [0] 2 22 6 9 2" xfId="7510" xr:uid="{00000000-0005-0000-0000-000011100000}"/>
    <cellStyle name="쉼표 [0] 2 22 6 9 2 2" xfId="14827" xr:uid="{5B12CB37-DF89-4B6C-9014-08B111928D2A}"/>
    <cellStyle name="쉼표 [0] 2 22 6 9 3" xfId="11169" xr:uid="{6A94FD95-FCAD-4CC2-9850-6522C5683663}"/>
    <cellStyle name="쉼표 [0] 2 22 7" xfId="1518" xr:uid="{00000000-0005-0000-0000-000012100000}"/>
    <cellStyle name="쉼표 [0] 2 22 7 2" xfId="1519" xr:uid="{00000000-0005-0000-0000-000013100000}"/>
    <cellStyle name="쉼표 [0] 2 22 7 2 2" xfId="3868" xr:uid="{00000000-0005-0000-0000-000014100000}"/>
    <cellStyle name="쉼표 [0] 2 22 7 2 2 2" xfId="7529" xr:uid="{00000000-0005-0000-0000-000015100000}"/>
    <cellStyle name="쉼표 [0] 2 22 7 2 2 2 2" xfId="14846" xr:uid="{E5F6F7E9-72B4-4585-A2DA-8D23567D31F7}"/>
    <cellStyle name="쉼표 [0] 2 22 7 2 2 3" xfId="11188" xr:uid="{15D6ABF2-8F38-4F50-A466-C60A7E67BC6C}"/>
    <cellStyle name="쉼표 [0] 2 22 7 2 3" xfId="5700" xr:uid="{00000000-0005-0000-0000-000016100000}"/>
    <cellStyle name="쉼표 [0] 2 22 7 2 3 2" xfId="13017" xr:uid="{D79E3DA3-BA4E-4FE5-A3E0-80CA961E5182}"/>
    <cellStyle name="쉼표 [0] 2 22 7 2 4" xfId="9358" xr:uid="{3A73EEC5-83BB-4784-9E93-674EBD062006}"/>
    <cellStyle name="쉼표 [0] 2 22 7 3" xfId="1520" xr:uid="{00000000-0005-0000-0000-000017100000}"/>
    <cellStyle name="쉼표 [0] 2 22 7 3 2" xfId="3869" xr:uid="{00000000-0005-0000-0000-000018100000}"/>
    <cellStyle name="쉼표 [0] 2 22 7 3 2 2" xfId="7530" xr:uid="{00000000-0005-0000-0000-000019100000}"/>
    <cellStyle name="쉼표 [0] 2 22 7 3 2 2 2" xfId="14847" xr:uid="{B1BAB93F-4374-414D-AD2D-23B67C42B345}"/>
    <cellStyle name="쉼표 [0] 2 22 7 3 2 3" xfId="11189" xr:uid="{E8BD09FE-F35B-402F-A910-2EB5EFFA9175}"/>
    <cellStyle name="쉼표 [0] 2 22 7 3 3" xfId="5701" xr:uid="{00000000-0005-0000-0000-00001A100000}"/>
    <cellStyle name="쉼표 [0] 2 22 7 3 3 2" xfId="13018" xr:uid="{0BC7D3E7-28F6-4331-972C-B6F21D3F853A}"/>
    <cellStyle name="쉼표 [0] 2 22 7 3 4" xfId="9359" xr:uid="{7DD60D64-4BCE-4FDE-BBC6-AE1031880877}"/>
    <cellStyle name="쉼표 [0] 2 22 7 4" xfId="3867" xr:uid="{00000000-0005-0000-0000-00001B100000}"/>
    <cellStyle name="쉼표 [0] 2 22 7 4 2" xfId="7528" xr:uid="{00000000-0005-0000-0000-00001C100000}"/>
    <cellStyle name="쉼표 [0] 2 22 7 4 2 2" xfId="14845" xr:uid="{5B136710-9624-4E6E-AF18-9344C8B07B75}"/>
    <cellStyle name="쉼표 [0] 2 22 7 4 3" xfId="11187" xr:uid="{14138D80-8729-4BA3-ADBC-5E95C89EA6E1}"/>
    <cellStyle name="쉼표 [0] 2 22 7 5" xfId="5699" xr:uid="{00000000-0005-0000-0000-00001D100000}"/>
    <cellStyle name="쉼표 [0] 2 22 7 5 2" xfId="13016" xr:uid="{106B3DAD-7978-4447-B94A-298A1FE45EDA}"/>
    <cellStyle name="쉼표 [0] 2 22 7 6" xfId="9357" xr:uid="{78DD9D3E-CDCE-4E53-95BA-AAAB2F5A6B5B}"/>
    <cellStyle name="쉼표 [0] 2 22 8" xfId="1521" xr:uid="{00000000-0005-0000-0000-00001E100000}"/>
    <cellStyle name="쉼표 [0] 2 22 8 2" xfId="1522" xr:uid="{00000000-0005-0000-0000-00001F100000}"/>
    <cellStyle name="쉼표 [0] 2 22 8 2 2" xfId="3871" xr:uid="{00000000-0005-0000-0000-000020100000}"/>
    <cellStyle name="쉼표 [0] 2 22 8 2 2 2" xfId="7532" xr:uid="{00000000-0005-0000-0000-000021100000}"/>
    <cellStyle name="쉼표 [0] 2 22 8 2 2 2 2" xfId="14849" xr:uid="{F8A81F90-8639-40DD-9165-9AFC94DFE7D8}"/>
    <cellStyle name="쉼표 [0] 2 22 8 2 2 3" xfId="11191" xr:uid="{821276FB-08D4-4844-B882-501697EC2FDD}"/>
    <cellStyle name="쉼표 [0] 2 22 8 2 3" xfId="5703" xr:uid="{00000000-0005-0000-0000-000022100000}"/>
    <cellStyle name="쉼표 [0] 2 22 8 2 3 2" xfId="13020" xr:uid="{2B2DBE52-5735-4505-B62F-1EAE22508F14}"/>
    <cellStyle name="쉼표 [0] 2 22 8 2 4" xfId="9361" xr:uid="{4EC4226E-8070-4602-8DB8-4C414FE3A8C8}"/>
    <cellStyle name="쉼표 [0] 2 22 8 3" xfId="1523" xr:uid="{00000000-0005-0000-0000-000023100000}"/>
    <cellStyle name="쉼표 [0] 2 22 8 3 2" xfId="3872" xr:uid="{00000000-0005-0000-0000-000024100000}"/>
    <cellStyle name="쉼표 [0] 2 22 8 3 2 2" xfId="7533" xr:uid="{00000000-0005-0000-0000-000025100000}"/>
    <cellStyle name="쉼표 [0] 2 22 8 3 2 2 2" xfId="14850" xr:uid="{CD410A90-089C-420C-9BCA-3B666A13F5CE}"/>
    <cellStyle name="쉼표 [0] 2 22 8 3 2 3" xfId="11192" xr:uid="{9393640E-6AE2-453D-BB55-E247D8D6AE4C}"/>
    <cellStyle name="쉼표 [0] 2 22 8 3 3" xfId="5704" xr:uid="{00000000-0005-0000-0000-000026100000}"/>
    <cellStyle name="쉼표 [0] 2 22 8 3 3 2" xfId="13021" xr:uid="{69D5AECA-2468-4EB6-8D1B-527739CFBA10}"/>
    <cellStyle name="쉼표 [0] 2 22 8 3 4" xfId="9362" xr:uid="{9D62FBF0-0AE7-4A70-B8FA-B5655599019C}"/>
    <cellStyle name="쉼표 [0] 2 22 8 4" xfId="3870" xr:uid="{00000000-0005-0000-0000-000027100000}"/>
    <cellStyle name="쉼표 [0] 2 22 8 4 2" xfId="7531" xr:uid="{00000000-0005-0000-0000-000028100000}"/>
    <cellStyle name="쉼표 [0] 2 22 8 4 2 2" xfId="14848" xr:uid="{BC6D6C37-3E00-4703-90A6-E39E87D284EE}"/>
    <cellStyle name="쉼표 [0] 2 22 8 4 3" xfId="11190" xr:uid="{03567AEF-D4DE-4CF3-8EC6-89CDDCF8FE50}"/>
    <cellStyle name="쉼표 [0] 2 22 8 5" xfId="5702" xr:uid="{00000000-0005-0000-0000-000029100000}"/>
    <cellStyle name="쉼표 [0] 2 22 8 5 2" xfId="13019" xr:uid="{F159B177-2003-4EB2-B4FD-4005D61ACAD5}"/>
    <cellStyle name="쉼표 [0] 2 22 8 6" xfId="9360" xr:uid="{C5BDC82D-F03C-4445-8831-FF01032FBD84}"/>
    <cellStyle name="쉼표 [0] 2 22 9" xfId="1524" xr:uid="{00000000-0005-0000-0000-00002A100000}"/>
    <cellStyle name="쉼표 [0] 2 22 9 2" xfId="1525" xr:uid="{00000000-0005-0000-0000-00002B100000}"/>
    <cellStyle name="쉼표 [0] 2 22 9 2 2" xfId="3874" xr:uid="{00000000-0005-0000-0000-00002C100000}"/>
    <cellStyle name="쉼표 [0] 2 22 9 2 2 2" xfId="7535" xr:uid="{00000000-0005-0000-0000-00002D100000}"/>
    <cellStyle name="쉼표 [0] 2 22 9 2 2 2 2" xfId="14852" xr:uid="{2AC19FF0-1500-44E7-A2FB-AAB26A27DCDF}"/>
    <cellStyle name="쉼표 [0] 2 22 9 2 2 3" xfId="11194" xr:uid="{0FC30169-D41B-4E36-B759-4F7C4722E2B4}"/>
    <cellStyle name="쉼표 [0] 2 22 9 2 3" xfId="5706" xr:uid="{00000000-0005-0000-0000-00002E100000}"/>
    <cellStyle name="쉼표 [0] 2 22 9 2 3 2" xfId="13023" xr:uid="{C0FDC0EF-AD70-48B1-A965-053879ABFD5B}"/>
    <cellStyle name="쉼표 [0] 2 22 9 2 4" xfId="9364" xr:uid="{9ECA0CAD-80A4-4333-A67F-9ED2C969AAD6}"/>
    <cellStyle name="쉼표 [0] 2 22 9 3" xfId="1526" xr:uid="{00000000-0005-0000-0000-00002F100000}"/>
    <cellStyle name="쉼표 [0] 2 22 9 3 2" xfId="3875" xr:uid="{00000000-0005-0000-0000-000030100000}"/>
    <cellStyle name="쉼표 [0] 2 22 9 3 2 2" xfId="7536" xr:uid="{00000000-0005-0000-0000-000031100000}"/>
    <cellStyle name="쉼표 [0] 2 22 9 3 2 2 2" xfId="14853" xr:uid="{3BE3FE32-B67B-42AA-B30B-74C8895D1786}"/>
    <cellStyle name="쉼표 [0] 2 22 9 3 2 3" xfId="11195" xr:uid="{F7B841FE-F8D2-4008-BC6E-8F2D172F8F2C}"/>
    <cellStyle name="쉼표 [0] 2 22 9 3 3" xfId="5707" xr:uid="{00000000-0005-0000-0000-000032100000}"/>
    <cellStyle name="쉼표 [0] 2 22 9 3 3 2" xfId="13024" xr:uid="{9935E508-D2CE-4D71-A2CD-FD8406FB74D3}"/>
    <cellStyle name="쉼표 [0] 2 22 9 3 4" xfId="9365" xr:uid="{C4356189-FDC7-4F5B-88CE-43045E7F4ED2}"/>
    <cellStyle name="쉼표 [0] 2 22 9 4" xfId="3873" xr:uid="{00000000-0005-0000-0000-000033100000}"/>
    <cellStyle name="쉼표 [0] 2 22 9 4 2" xfId="7534" xr:uid="{00000000-0005-0000-0000-000034100000}"/>
    <cellStyle name="쉼표 [0] 2 22 9 4 2 2" xfId="14851" xr:uid="{8401A28D-CE7E-492D-986F-6FB7A7FDBF1D}"/>
    <cellStyle name="쉼표 [0] 2 22 9 4 3" xfId="11193" xr:uid="{29840370-E811-4236-9C79-377520649B8B}"/>
    <cellStyle name="쉼표 [0] 2 22 9 5" xfId="5705" xr:uid="{00000000-0005-0000-0000-000035100000}"/>
    <cellStyle name="쉼표 [0] 2 22 9 5 2" xfId="13022" xr:uid="{D055A510-177F-4550-98FB-5895AE5AE40C}"/>
    <cellStyle name="쉼표 [0] 2 22 9 6" xfId="9363" xr:uid="{8BDDEA81-922D-4ED6-82C5-C145B7E8CBAC}"/>
    <cellStyle name="쉼표 [0] 2 23" xfId="1527" xr:uid="{00000000-0005-0000-0000-000036100000}"/>
    <cellStyle name="쉼표 [0] 2 23 10" xfId="1528" xr:uid="{00000000-0005-0000-0000-000037100000}"/>
    <cellStyle name="쉼표 [0] 2 23 10 2" xfId="3877" xr:uid="{00000000-0005-0000-0000-000038100000}"/>
    <cellStyle name="쉼표 [0] 2 23 10 2 2" xfId="7538" xr:uid="{00000000-0005-0000-0000-000039100000}"/>
    <cellStyle name="쉼표 [0] 2 23 10 2 2 2" xfId="14855" xr:uid="{AFDF4348-1957-4B14-9D7D-5884134E9098}"/>
    <cellStyle name="쉼표 [0] 2 23 10 2 3" xfId="11197" xr:uid="{AAFE24DB-05BF-4DE2-B093-01624E8CB228}"/>
    <cellStyle name="쉼표 [0] 2 23 10 3" xfId="5709" xr:uid="{00000000-0005-0000-0000-00003A100000}"/>
    <cellStyle name="쉼표 [0] 2 23 10 3 2" xfId="13026" xr:uid="{92323CF0-B74E-48F7-9F92-54F6E4B5AE8B}"/>
    <cellStyle name="쉼표 [0] 2 23 10 4" xfId="9367" xr:uid="{E4BD77FB-F99B-4DB9-A44B-5D20E91ECDE4}"/>
    <cellStyle name="쉼표 [0] 2 23 11" xfId="1529" xr:uid="{00000000-0005-0000-0000-00003B100000}"/>
    <cellStyle name="쉼표 [0] 2 23 11 2" xfId="3878" xr:uid="{00000000-0005-0000-0000-00003C100000}"/>
    <cellStyle name="쉼표 [0] 2 23 11 2 2" xfId="7539" xr:uid="{00000000-0005-0000-0000-00003D100000}"/>
    <cellStyle name="쉼표 [0] 2 23 11 2 2 2" xfId="14856" xr:uid="{D3B08774-B8E1-4225-BEB1-D80869DAB384}"/>
    <cellStyle name="쉼표 [0] 2 23 11 2 3" xfId="11198" xr:uid="{6E5095AD-834B-4E1B-8343-A5C90E9C1309}"/>
    <cellStyle name="쉼표 [0] 2 23 11 3" xfId="5710" xr:uid="{00000000-0005-0000-0000-00003E100000}"/>
    <cellStyle name="쉼표 [0] 2 23 11 3 2" xfId="13027" xr:uid="{DB16EC91-F946-4325-AF52-40BCED70B89F}"/>
    <cellStyle name="쉼표 [0] 2 23 11 4" xfId="9368" xr:uid="{F3874970-0EF3-434A-A36E-654FF1D1B6E5}"/>
    <cellStyle name="쉼표 [0] 2 23 12" xfId="3876" xr:uid="{00000000-0005-0000-0000-00003F100000}"/>
    <cellStyle name="쉼표 [0] 2 23 12 2" xfId="7537" xr:uid="{00000000-0005-0000-0000-000040100000}"/>
    <cellStyle name="쉼표 [0] 2 23 12 2 2" xfId="14854" xr:uid="{83EC6F90-C361-497F-840A-A1F0C06445E9}"/>
    <cellStyle name="쉼표 [0] 2 23 12 3" xfId="11196" xr:uid="{421194AB-E257-465E-92F3-437DF862461C}"/>
    <cellStyle name="쉼표 [0] 2 23 13" xfId="5708" xr:uid="{00000000-0005-0000-0000-000041100000}"/>
    <cellStyle name="쉼표 [0] 2 23 13 2" xfId="13025" xr:uid="{8C147F8A-50F8-4182-8E4F-44C8E23EF6CA}"/>
    <cellStyle name="쉼표 [0] 2 23 14" xfId="9366" xr:uid="{3FA7AE57-B04D-4CA2-BFAF-F2256610D446}"/>
    <cellStyle name="쉼표 [0] 2 23 2" xfId="1530" xr:uid="{00000000-0005-0000-0000-000042100000}"/>
    <cellStyle name="쉼표 [0] 2 23 2 10" xfId="1531" xr:uid="{00000000-0005-0000-0000-000043100000}"/>
    <cellStyle name="쉼표 [0] 2 23 2 10 2" xfId="3880" xr:uid="{00000000-0005-0000-0000-000044100000}"/>
    <cellStyle name="쉼표 [0] 2 23 2 10 2 2" xfId="7541" xr:uid="{00000000-0005-0000-0000-000045100000}"/>
    <cellStyle name="쉼표 [0] 2 23 2 10 2 2 2" xfId="14858" xr:uid="{1D38F168-F464-40A5-834D-BC8526374275}"/>
    <cellStyle name="쉼표 [0] 2 23 2 10 2 3" xfId="11200" xr:uid="{3D6846D9-C4A4-4AF3-AEFF-947704DFA30A}"/>
    <cellStyle name="쉼표 [0] 2 23 2 10 3" xfId="5712" xr:uid="{00000000-0005-0000-0000-000046100000}"/>
    <cellStyle name="쉼표 [0] 2 23 2 10 3 2" xfId="13029" xr:uid="{FA5440CB-468C-4B5E-8DA0-ABB41FEEAE84}"/>
    <cellStyle name="쉼표 [0] 2 23 2 10 4" xfId="9370" xr:uid="{3D11F860-4850-4166-B568-3FD365985BFC}"/>
    <cellStyle name="쉼표 [0] 2 23 2 11" xfId="3879" xr:uid="{00000000-0005-0000-0000-000047100000}"/>
    <cellStyle name="쉼표 [0] 2 23 2 11 2" xfId="7540" xr:uid="{00000000-0005-0000-0000-000048100000}"/>
    <cellStyle name="쉼표 [0] 2 23 2 11 2 2" xfId="14857" xr:uid="{76B0AE74-586E-4458-A425-DFC303D361B1}"/>
    <cellStyle name="쉼표 [0] 2 23 2 11 3" xfId="11199" xr:uid="{CC7E90E4-6F46-4DC1-9BAF-10A4AFE2FE9D}"/>
    <cellStyle name="쉼표 [0] 2 23 2 12" xfId="5711" xr:uid="{00000000-0005-0000-0000-000049100000}"/>
    <cellStyle name="쉼표 [0] 2 23 2 12 2" xfId="13028" xr:uid="{6BA491C2-B3B7-4836-9A19-444DFD57523B}"/>
    <cellStyle name="쉼표 [0] 2 23 2 13" xfId="9369" xr:uid="{76610464-FA94-4311-99EC-D305DE7C0A1E}"/>
    <cellStyle name="쉼표 [0] 2 23 2 2" xfId="1532" xr:uid="{00000000-0005-0000-0000-00004A100000}"/>
    <cellStyle name="쉼표 [0] 2 23 2 2 2" xfId="1533" xr:uid="{00000000-0005-0000-0000-00004B100000}"/>
    <cellStyle name="쉼표 [0] 2 23 2 2 2 2" xfId="3882" xr:uid="{00000000-0005-0000-0000-00004C100000}"/>
    <cellStyle name="쉼표 [0] 2 23 2 2 2 2 2" xfId="7543" xr:uid="{00000000-0005-0000-0000-00004D100000}"/>
    <cellStyle name="쉼표 [0] 2 23 2 2 2 2 2 2" xfId="14860" xr:uid="{A37AF60E-34F9-4CCE-BB0B-FD7B27EEF19B}"/>
    <cellStyle name="쉼표 [0] 2 23 2 2 2 2 3" xfId="11202" xr:uid="{4FF01117-FB76-4765-946A-6AD31A3B1664}"/>
    <cellStyle name="쉼표 [0] 2 23 2 2 2 3" xfId="5714" xr:uid="{00000000-0005-0000-0000-00004E100000}"/>
    <cellStyle name="쉼표 [0] 2 23 2 2 2 3 2" xfId="13031" xr:uid="{99CFE449-23AD-415C-8EAA-693DFE62E363}"/>
    <cellStyle name="쉼표 [0] 2 23 2 2 2 4" xfId="9372" xr:uid="{409CE985-C0CB-4844-9B5E-8BEEA5498667}"/>
    <cellStyle name="쉼표 [0] 2 23 2 2 3" xfId="1534" xr:uid="{00000000-0005-0000-0000-00004F100000}"/>
    <cellStyle name="쉼표 [0] 2 23 2 2 3 2" xfId="3883" xr:uid="{00000000-0005-0000-0000-000050100000}"/>
    <cellStyle name="쉼표 [0] 2 23 2 2 3 2 2" xfId="7544" xr:uid="{00000000-0005-0000-0000-000051100000}"/>
    <cellStyle name="쉼표 [0] 2 23 2 2 3 2 2 2" xfId="14861" xr:uid="{DC5E8CBA-2E4F-4352-AA95-4E7D34BAC68C}"/>
    <cellStyle name="쉼표 [0] 2 23 2 2 3 2 3" xfId="11203" xr:uid="{A993A506-49ED-4B29-8903-8B5E9910BA29}"/>
    <cellStyle name="쉼표 [0] 2 23 2 2 3 3" xfId="5715" xr:uid="{00000000-0005-0000-0000-000052100000}"/>
    <cellStyle name="쉼표 [0] 2 23 2 2 3 3 2" xfId="13032" xr:uid="{40C7D307-12A8-4724-B114-050DEC8CC194}"/>
    <cellStyle name="쉼표 [0] 2 23 2 2 3 4" xfId="9373" xr:uid="{B48BF828-0737-4FDC-820E-CB84BF14420C}"/>
    <cellStyle name="쉼표 [0] 2 23 2 2 4" xfId="1535" xr:uid="{00000000-0005-0000-0000-000053100000}"/>
    <cellStyle name="쉼표 [0] 2 23 2 2 4 2" xfId="3884" xr:uid="{00000000-0005-0000-0000-000054100000}"/>
    <cellStyle name="쉼표 [0] 2 23 2 2 4 2 2" xfId="7545" xr:uid="{00000000-0005-0000-0000-000055100000}"/>
    <cellStyle name="쉼표 [0] 2 23 2 2 4 2 2 2" xfId="14862" xr:uid="{4635F5C3-9C89-41A0-B000-602257E32E7E}"/>
    <cellStyle name="쉼표 [0] 2 23 2 2 4 2 3" xfId="11204" xr:uid="{3033FCB7-4679-4B02-BB28-494D247D9AC0}"/>
    <cellStyle name="쉼표 [0] 2 23 2 2 4 3" xfId="5716" xr:uid="{00000000-0005-0000-0000-000056100000}"/>
    <cellStyle name="쉼표 [0] 2 23 2 2 4 3 2" xfId="13033" xr:uid="{8FDC5A2D-5D7D-4EF6-B3A6-E137D016CB6F}"/>
    <cellStyle name="쉼표 [0] 2 23 2 2 4 4" xfId="9374" xr:uid="{BA5ED089-17A9-432E-9413-FEB8A7B03EB7}"/>
    <cellStyle name="쉼표 [0] 2 23 2 2 5" xfId="3881" xr:uid="{00000000-0005-0000-0000-000057100000}"/>
    <cellStyle name="쉼표 [0] 2 23 2 2 5 2" xfId="7542" xr:uid="{00000000-0005-0000-0000-000058100000}"/>
    <cellStyle name="쉼표 [0] 2 23 2 2 5 2 2" xfId="14859" xr:uid="{0EFF9A3F-069D-4134-A46E-72275891D58C}"/>
    <cellStyle name="쉼표 [0] 2 23 2 2 5 3" xfId="11201" xr:uid="{B71009EE-DC74-4C43-A54D-208F55C07E2C}"/>
    <cellStyle name="쉼표 [0] 2 23 2 2 6" xfId="5713" xr:uid="{00000000-0005-0000-0000-000059100000}"/>
    <cellStyle name="쉼표 [0] 2 23 2 2 6 2" xfId="13030" xr:uid="{6A24A5AD-D5BA-4883-AEDA-899568011EE4}"/>
    <cellStyle name="쉼표 [0] 2 23 2 2 7" xfId="9371" xr:uid="{AB30B5E6-BCB5-47ED-81C1-63B61871AAD7}"/>
    <cellStyle name="쉼표 [0] 2 23 2 3" xfId="1536" xr:uid="{00000000-0005-0000-0000-00005A100000}"/>
    <cellStyle name="쉼표 [0] 2 23 2 3 2" xfId="1537" xr:uid="{00000000-0005-0000-0000-00005B100000}"/>
    <cellStyle name="쉼표 [0] 2 23 2 3 2 2" xfId="3886" xr:uid="{00000000-0005-0000-0000-00005C100000}"/>
    <cellStyle name="쉼표 [0] 2 23 2 3 2 2 2" xfId="7547" xr:uid="{00000000-0005-0000-0000-00005D100000}"/>
    <cellStyle name="쉼표 [0] 2 23 2 3 2 2 2 2" xfId="14864" xr:uid="{9C8EEA7F-2204-46A3-A4A3-2A508F9FFC2F}"/>
    <cellStyle name="쉼표 [0] 2 23 2 3 2 2 3" xfId="11206" xr:uid="{331F17CC-CDEB-45B7-BC28-AFEC5EE205C7}"/>
    <cellStyle name="쉼표 [0] 2 23 2 3 2 3" xfId="5718" xr:uid="{00000000-0005-0000-0000-00005E100000}"/>
    <cellStyle name="쉼표 [0] 2 23 2 3 2 3 2" xfId="13035" xr:uid="{DE8D12D0-2B38-48D8-A551-FE04B515AE6D}"/>
    <cellStyle name="쉼표 [0] 2 23 2 3 2 4" xfId="9376" xr:uid="{896636A0-2C49-45CD-8193-1AC8C3363F02}"/>
    <cellStyle name="쉼표 [0] 2 23 2 3 3" xfId="1538" xr:uid="{00000000-0005-0000-0000-00005F100000}"/>
    <cellStyle name="쉼표 [0] 2 23 2 3 3 2" xfId="3887" xr:uid="{00000000-0005-0000-0000-000060100000}"/>
    <cellStyle name="쉼표 [0] 2 23 2 3 3 2 2" xfId="7548" xr:uid="{00000000-0005-0000-0000-000061100000}"/>
    <cellStyle name="쉼표 [0] 2 23 2 3 3 2 2 2" xfId="14865" xr:uid="{C4DC5C0F-0D0F-442B-88D3-8CA03557E730}"/>
    <cellStyle name="쉼표 [0] 2 23 2 3 3 2 3" xfId="11207" xr:uid="{F62D9413-AC1E-4374-A97C-DFCCC97007CE}"/>
    <cellStyle name="쉼표 [0] 2 23 2 3 3 3" xfId="5719" xr:uid="{00000000-0005-0000-0000-000062100000}"/>
    <cellStyle name="쉼표 [0] 2 23 2 3 3 3 2" xfId="13036" xr:uid="{A0C58614-A196-491E-8088-2659ABABEC7B}"/>
    <cellStyle name="쉼표 [0] 2 23 2 3 3 4" xfId="9377" xr:uid="{DC9F61B9-2823-43E8-B7ED-4716F94710CF}"/>
    <cellStyle name="쉼표 [0] 2 23 2 3 4" xfId="1539" xr:uid="{00000000-0005-0000-0000-000063100000}"/>
    <cellStyle name="쉼표 [0] 2 23 2 3 4 2" xfId="3888" xr:uid="{00000000-0005-0000-0000-000064100000}"/>
    <cellStyle name="쉼표 [0] 2 23 2 3 4 2 2" xfId="7549" xr:uid="{00000000-0005-0000-0000-000065100000}"/>
    <cellStyle name="쉼표 [0] 2 23 2 3 4 2 2 2" xfId="14866" xr:uid="{805D09FD-7376-40CE-88A9-DBCF5952E934}"/>
    <cellStyle name="쉼표 [0] 2 23 2 3 4 2 3" xfId="11208" xr:uid="{56298C24-82E1-48C7-A48C-C23A3C2ADFF9}"/>
    <cellStyle name="쉼표 [0] 2 23 2 3 4 3" xfId="5720" xr:uid="{00000000-0005-0000-0000-000066100000}"/>
    <cellStyle name="쉼표 [0] 2 23 2 3 4 3 2" xfId="13037" xr:uid="{EAD1342A-98D3-4953-BF7F-828088DEFA7B}"/>
    <cellStyle name="쉼표 [0] 2 23 2 3 4 4" xfId="9378" xr:uid="{007594FF-3B08-4A37-9D3C-2064C1A41259}"/>
    <cellStyle name="쉼표 [0] 2 23 2 3 5" xfId="3885" xr:uid="{00000000-0005-0000-0000-000067100000}"/>
    <cellStyle name="쉼표 [0] 2 23 2 3 5 2" xfId="7546" xr:uid="{00000000-0005-0000-0000-000068100000}"/>
    <cellStyle name="쉼표 [0] 2 23 2 3 5 2 2" xfId="14863" xr:uid="{118B70F5-BE21-4C9D-AF59-AE407A292164}"/>
    <cellStyle name="쉼표 [0] 2 23 2 3 5 3" xfId="11205" xr:uid="{51E71ACB-0AE5-4190-825B-D5BE7DF9C0FA}"/>
    <cellStyle name="쉼표 [0] 2 23 2 3 6" xfId="5717" xr:uid="{00000000-0005-0000-0000-000069100000}"/>
    <cellStyle name="쉼표 [0] 2 23 2 3 6 2" xfId="13034" xr:uid="{294D4ADB-7564-4231-A629-71283C2EE89A}"/>
    <cellStyle name="쉼표 [0] 2 23 2 3 7" xfId="9375" xr:uid="{614681F2-AFF3-4079-AD5F-E4CBBAFDF212}"/>
    <cellStyle name="쉼표 [0] 2 23 2 4" xfId="1540" xr:uid="{00000000-0005-0000-0000-00006A100000}"/>
    <cellStyle name="쉼표 [0] 2 23 2 4 2" xfId="1541" xr:uid="{00000000-0005-0000-0000-00006B100000}"/>
    <cellStyle name="쉼표 [0] 2 23 2 4 2 2" xfId="3890" xr:uid="{00000000-0005-0000-0000-00006C100000}"/>
    <cellStyle name="쉼표 [0] 2 23 2 4 2 2 2" xfId="7551" xr:uid="{00000000-0005-0000-0000-00006D100000}"/>
    <cellStyle name="쉼표 [0] 2 23 2 4 2 2 2 2" xfId="14868" xr:uid="{8A23932E-DF1A-424E-AFE1-971CF8D35EB1}"/>
    <cellStyle name="쉼표 [0] 2 23 2 4 2 2 3" xfId="11210" xr:uid="{2CEE4982-5F6D-4BB4-B723-B82DA4CA6701}"/>
    <cellStyle name="쉼표 [0] 2 23 2 4 2 3" xfId="5722" xr:uid="{00000000-0005-0000-0000-00006E100000}"/>
    <cellStyle name="쉼표 [0] 2 23 2 4 2 3 2" xfId="13039" xr:uid="{F83EA92B-43BE-4971-808B-19AB37C7E7BB}"/>
    <cellStyle name="쉼표 [0] 2 23 2 4 2 4" xfId="9380" xr:uid="{16D5DD07-953D-47AD-B473-4170D25B5CAD}"/>
    <cellStyle name="쉼표 [0] 2 23 2 4 3" xfId="1542" xr:uid="{00000000-0005-0000-0000-00006F100000}"/>
    <cellStyle name="쉼표 [0] 2 23 2 4 3 2" xfId="3891" xr:uid="{00000000-0005-0000-0000-000070100000}"/>
    <cellStyle name="쉼표 [0] 2 23 2 4 3 2 2" xfId="7552" xr:uid="{00000000-0005-0000-0000-000071100000}"/>
    <cellStyle name="쉼표 [0] 2 23 2 4 3 2 2 2" xfId="14869" xr:uid="{CA2D6C2F-66E1-4F0E-BADB-93DB1002C821}"/>
    <cellStyle name="쉼표 [0] 2 23 2 4 3 2 3" xfId="11211" xr:uid="{7D43B913-5310-40C6-B4BA-A25A3496D031}"/>
    <cellStyle name="쉼표 [0] 2 23 2 4 3 3" xfId="5723" xr:uid="{00000000-0005-0000-0000-000072100000}"/>
    <cellStyle name="쉼표 [0] 2 23 2 4 3 3 2" xfId="13040" xr:uid="{326F4256-BB12-49D8-8159-FB4C56B78951}"/>
    <cellStyle name="쉼표 [0] 2 23 2 4 3 4" xfId="9381" xr:uid="{9AA48784-FBD9-423E-A916-B7E17ED647DD}"/>
    <cellStyle name="쉼표 [0] 2 23 2 4 4" xfId="3889" xr:uid="{00000000-0005-0000-0000-000073100000}"/>
    <cellStyle name="쉼표 [0] 2 23 2 4 4 2" xfId="7550" xr:uid="{00000000-0005-0000-0000-000074100000}"/>
    <cellStyle name="쉼표 [0] 2 23 2 4 4 2 2" xfId="14867" xr:uid="{7B1BBC0B-C908-414B-9D5F-DE15CC73F0F7}"/>
    <cellStyle name="쉼표 [0] 2 23 2 4 4 3" xfId="11209" xr:uid="{061D65D9-B249-490A-BD41-A4C365E4F966}"/>
    <cellStyle name="쉼표 [0] 2 23 2 4 5" xfId="5721" xr:uid="{00000000-0005-0000-0000-000075100000}"/>
    <cellStyle name="쉼표 [0] 2 23 2 4 5 2" xfId="13038" xr:uid="{D4310ABC-909B-4833-91D5-2B10AF92C369}"/>
    <cellStyle name="쉼표 [0] 2 23 2 4 6" xfId="9379" xr:uid="{3241B8C6-BA73-441D-8175-88194369F147}"/>
    <cellStyle name="쉼표 [0] 2 23 2 5" xfId="1543" xr:uid="{00000000-0005-0000-0000-000076100000}"/>
    <cellStyle name="쉼표 [0] 2 23 2 5 2" xfId="1544" xr:uid="{00000000-0005-0000-0000-000077100000}"/>
    <cellStyle name="쉼표 [0] 2 23 2 5 2 2" xfId="3893" xr:uid="{00000000-0005-0000-0000-000078100000}"/>
    <cellStyle name="쉼표 [0] 2 23 2 5 2 2 2" xfId="7554" xr:uid="{00000000-0005-0000-0000-000079100000}"/>
    <cellStyle name="쉼표 [0] 2 23 2 5 2 2 2 2" xfId="14871" xr:uid="{E9D94658-450E-4D6B-9568-F5C93D5E030C}"/>
    <cellStyle name="쉼표 [0] 2 23 2 5 2 2 3" xfId="11213" xr:uid="{8F2A8B03-DB31-4EC5-8F32-93CE547464D3}"/>
    <cellStyle name="쉼표 [0] 2 23 2 5 2 3" xfId="5725" xr:uid="{00000000-0005-0000-0000-00007A100000}"/>
    <cellStyle name="쉼표 [0] 2 23 2 5 2 3 2" xfId="13042" xr:uid="{861E5449-049F-4299-AF3F-C94AB20FA1B6}"/>
    <cellStyle name="쉼표 [0] 2 23 2 5 2 4" xfId="9383" xr:uid="{12D0C42A-DC25-4A37-A8B3-16B3AB59AB7B}"/>
    <cellStyle name="쉼표 [0] 2 23 2 5 3" xfId="1545" xr:uid="{00000000-0005-0000-0000-00007B100000}"/>
    <cellStyle name="쉼표 [0] 2 23 2 5 3 2" xfId="3894" xr:uid="{00000000-0005-0000-0000-00007C100000}"/>
    <cellStyle name="쉼표 [0] 2 23 2 5 3 2 2" xfId="7555" xr:uid="{00000000-0005-0000-0000-00007D100000}"/>
    <cellStyle name="쉼표 [0] 2 23 2 5 3 2 2 2" xfId="14872" xr:uid="{71E0CB99-F10D-46E3-BD91-12CCDB40A64D}"/>
    <cellStyle name="쉼표 [0] 2 23 2 5 3 2 3" xfId="11214" xr:uid="{F8A4C8F1-BBAE-48DF-B657-E6366A653E0F}"/>
    <cellStyle name="쉼표 [0] 2 23 2 5 3 3" xfId="5726" xr:uid="{00000000-0005-0000-0000-00007E100000}"/>
    <cellStyle name="쉼표 [0] 2 23 2 5 3 3 2" xfId="13043" xr:uid="{A31F07D4-62CB-49B4-8379-BF9A929FDF6E}"/>
    <cellStyle name="쉼표 [0] 2 23 2 5 3 4" xfId="9384" xr:uid="{B64EDABE-8E7A-4C4F-AC09-250A2D79F418}"/>
    <cellStyle name="쉼표 [0] 2 23 2 5 4" xfId="3892" xr:uid="{00000000-0005-0000-0000-00007F100000}"/>
    <cellStyle name="쉼표 [0] 2 23 2 5 4 2" xfId="7553" xr:uid="{00000000-0005-0000-0000-000080100000}"/>
    <cellStyle name="쉼표 [0] 2 23 2 5 4 2 2" xfId="14870" xr:uid="{43385EFC-AF33-4EDC-A8E0-92B07985B2B0}"/>
    <cellStyle name="쉼표 [0] 2 23 2 5 4 3" xfId="11212" xr:uid="{EE24CEBA-DF90-4338-A1C6-FBE02793198C}"/>
    <cellStyle name="쉼표 [0] 2 23 2 5 5" xfId="5724" xr:uid="{00000000-0005-0000-0000-000081100000}"/>
    <cellStyle name="쉼표 [0] 2 23 2 5 5 2" xfId="13041" xr:uid="{124C92E1-97CB-4C4D-B242-053C5193D34C}"/>
    <cellStyle name="쉼표 [0] 2 23 2 5 6" xfId="9382" xr:uid="{BD937DF8-47DC-4410-8118-C5A25D1C28C9}"/>
    <cellStyle name="쉼표 [0] 2 23 2 6" xfId="1546" xr:uid="{00000000-0005-0000-0000-000082100000}"/>
    <cellStyle name="쉼표 [0] 2 23 2 6 2" xfId="1547" xr:uid="{00000000-0005-0000-0000-000083100000}"/>
    <cellStyle name="쉼표 [0] 2 23 2 6 2 2" xfId="3896" xr:uid="{00000000-0005-0000-0000-000084100000}"/>
    <cellStyle name="쉼표 [0] 2 23 2 6 2 2 2" xfId="7557" xr:uid="{00000000-0005-0000-0000-000085100000}"/>
    <cellStyle name="쉼표 [0] 2 23 2 6 2 2 2 2" xfId="14874" xr:uid="{49DD952E-7CFB-46D2-89D5-31B82639AA52}"/>
    <cellStyle name="쉼표 [0] 2 23 2 6 2 2 3" xfId="11216" xr:uid="{14EE055A-4066-4857-9C63-B174C33F5F83}"/>
    <cellStyle name="쉼표 [0] 2 23 2 6 2 3" xfId="5728" xr:uid="{00000000-0005-0000-0000-000086100000}"/>
    <cellStyle name="쉼표 [0] 2 23 2 6 2 3 2" xfId="13045" xr:uid="{173D86A0-F548-430C-8F24-44391D350687}"/>
    <cellStyle name="쉼표 [0] 2 23 2 6 2 4" xfId="9386" xr:uid="{5D115B0B-169A-4A0E-8EB8-7BD4E615ED91}"/>
    <cellStyle name="쉼표 [0] 2 23 2 6 3" xfId="1548" xr:uid="{00000000-0005-0000-0000-000087100000}"/>
    <cellStyle name="쉼표 [0] 2 23 2 6 3 2" xfId="3897" xr:uid="{00000000-0005-0000-0000-000088100000}"/>
    <cellStyle name="쉼표 [0] 2 23 2 6 3 2 2" xfId="7558" xr:uid="{00000000-0005-0000-0000-000089100000}"/>
    <cellStyle name="쉼표 [0] 2 23 2 6 3 2 2 2" xfId="14875" xr:uid="{8CC9C750-38FC-48F8-B96C-66271EE1D383}"/>
    <cellStyle name="쉼표 [0] 2 23 2 6 3 2 3" xfId="11217" xr:uid="{92A5E245-B3A5-45E0-9514-B4D02F56D3D6}"/>
    <cellStyle name="쉼표 [0] 2 23 2 6 3 3" xfId="5729" xr:uid="{00000000-0005-0000-0000-00008A100000}"/>
    <cellStyle name="쉼표 [0] 2 23 2 6 3 3 2" xfId="13046" xr:uid="{AB4E2012-8B20-4388-AC95-1DB2820263AA}"/>
    <cellStyle name="쉼표 [0] 2 23 2 6 3 4" xfId="9387" xr:uid="{37B11A3A-C555-47D2-9F41-1963C8096941}"/>
    <cellStyle name="쉼표 [0] 2 23 2 6 4" xfId="3895" xr:uid="{00000000-0005-0000-0000-00008B100000}"/>
    <cellStyle name="쉼표 [0] 2 23 2 6 4 2" xfId="7556" xr:uid="{00000000-0005-0000-0000-00008C100000}"/>
    <cellStyle name="쉼표 [0] 2 23 2 6 4 2 2" xfId="14873" xr:uid="{82F07597-15A0-491A-8ED9-BBBC3BE49D33}"/>
    <cellStyle name="쉼표 [0] 2 23 2 6 4 3" xfId="11215" xr:uid="{ECB0BD2D-C661-4EDC-86D5-822C8FCF79BB}"/>
    <cellStyle name="쉼표 [0] 2 23 2 6 5" xfId="5727" xr:uid="{00000000-0005-0000-0000-00008D100000}"/>
    <cellStyle name="쉼표 [0] 2 23 2 6 5 2" xfId="13044" xr:uid="{48B548E6-BA98-461E-9FA7-73714EB40322}"/>
    <cellStyle name="쉼표 [0] 2 23 2 6 6" xfId="9385" xr:uid="{8145E6EC-F642-4769-94D3-0D91FA3EE3AE}"/>
    <cellStyle name="쉼표 [0] 2 23 2 7" xfId="1549" xr:uid="{00000000-0005-0000-0000-00008E100000}"/>
    <cellStyle name="쉼표 [0] 2 23 2 7 2" xfId="3898" xr:uid="{00000000-0005-0000-0000-00008F100000}"/>
    <cellStyle name="쉼표 [0] 2 23 2 7 2 2" xfId="7559" xr:uid="{00000000-0005-0000-0000-000090100000}"/>
    <cellStyle name="쉼표 [0] 2 23 2 7 2 2 2" xfId="14876" xr:uid="{88B4BFBC-1989-4276-9C18-414D19C068A6}"/>
    <cellStyle name="쉼표 [0] 2 23 2 7 2 3" xfId="11218" xr:uid="{6EF0903A-2CFF-4C04-8277-E427CBA895D3}"/>
    <cellStyle name="쉼표 [0] 2 23 2 7 3" xfId="5730" xr:uid="{00000000-0005-0000-0000-000091100000}"/>
    <cellStyle name="쉼표 [0] 2 23 2 7 3 2" xfId="13047" xr:uid="{23B85D5D-F495-4D07-9C94-FA66B004601D}"/>
    <cellStyle name="쉼표 [0] 2 23 2 7 4" xfId="9388" xr:uid="{C82EE564-0E4D-41BD-8F2B-CE85250690A3}"/>
    <cellStyle name="쉼표 [0] 2 23 2 8" xfId="1550" xr:uid="{00000000-0005-0000-0000-000092100000}"/>
    <cellStyle name="쉼표 [0] 2 23 2 8 2" xfId="3899" xr:uid="{00000000-0005-0000-0000-000093100000}"/>
    <cellStyle name="쉼표 [0] 2 23 2 8 2 2" xfId="7560" xr:uid="{00000000-0005-0000-0000-000094100000}"/>
    <cellStyle name="쉼표 [0] 2 23 2 8 2 2 2" xfId="14877" xr:uid="{C7062831-B924-462B-9C3C-7F5C22D40A4B}"/>
    <cellStyle name="쉼표 [0] 2 23 2 8 2 3" xfId="11219" xr:uid="{8E9943E9-20C7-4F38-90A1-09013B360D59}"/>
    <cellStyle name="쉼표 [0] 2 23 2 8 3" xfId="5731" xr:uid="{00000000-0005-0000-0000-000095100000}"/>
    <cellStyle name="쉼표 [0] 2 23 2 8 3 2" xfId="13048" xr:uid="{0C968C7E-78C9-4110-A593-D1FAA27C470C}"/>
    <cellStyle name="쉼표 [0] 2 23 2 8 4" xfId="9389" xr:uid="{6F3D62BC-2A2E-4766-9C4C-7506ACE1F224}"/>
    <cellStyle name="쉼표 [0] 2 23 2 9" xfId="1551" xr:uid="{00000000-0005-0000-0000-000096100000}"/>
    <cellStyle name="쉼표 [0] 2 23 2 9 2" xfId="3900" xr:uid="{00000000-0005-0000-0000-000097100000}"/>
    <cellStyle name="쉼표 [0] 2 23 2 9 2 2" xfId="7561" xr:uid="{00000000-0005-0000-0000-000098100000}"/>
    <cellStyle name="쉼표 [0] 2 23 2 9 2 2 2" xfId="14878" xr:uid="{E996DEAD-D8BF-4F9C-B8ED-64430D0596E7}"/>
    <cellStyle name="쉼표 [0] 2 23 2 9 2 3" xfId="11220" xr:uid="{81CEDB0C-A0E0-40E9-B7BD-32E89AF94901}"/>
    <cellStyle name="쉼표 [0] 2 23 2 9 3" xfId="5732" xr:uid="{00000000-0005-0000-0000-000099100000}"/>
    <cellStyle name="쉼표 [0] 2 23 2 9 3 2" xfId="13049" xr:uid="{48004DD9-4E23-48C9-B285-0DCA8AF331DF}"/>
    <cellStyle name="쉼표 [0] 2 23 2 9 4" xfId="9390" xr:uid="{50A1CBA4-BA3A-41BA-ABEC-DC81DCEE9362}"/>
    <cellStyle name="쉼표 [0] 2 23 3" xfId="1552" xr:uid="{00000000-0005-0000-0000-00009A100000}"/>
    <cellStyle name="쉼표 [0] 2 23 3 2" xfId="1553" xr:uid="{00000000-0005-0000-0000-00009B100000}"/>
    <cellStyle name="쉼표 [0] 2 23 3 2 2" xfId="3902" xr:uid="{00000000-0005-0000-0000-00009C100000}"/>
    <cellStyle name="쉼표 [0] 2 23 3 2 2 2" xfId="7563" xr:uid="{00000000-0005-0000-0000-00009D100000}"/>
    <cellStyle name="쉼표 [0] 2 23 3 2 2 2 2" xfId="14880" xr:uid="{8EBA2C01-257F-4C4F-86A0-0928036DAC2B}"/>
    <cellStyle name="쉼표 [0] 2 23 3 2 2 3" xfId="11222" xr:uid="{46A45CFE-9321-4F69-94A1-F298EC979623}"/>
    <cellStyle name="쉼표 [0] 2 23 3 2 3" xfId="5734" xr:uid="{00000000-0005-0000-0000-00009E100000}"/>
    <cellStyle name="쉼표 [0] 2 23 3 2 3 2" xfId="13051" xr:uid="{F12ECA1A-FB66-4334-8E14-AA0760340A9F}"/>
    <cellStyle name="쉼표 [0] 2 23 3 2 4" xfId="9392" xr:uid="{0B0912FC-2EDE-4A17-893A-C37977429518}"/>
    <cellStyle name="쉼표 [0] 2 23 3 3" xfId="1554" xr:uid="{00000000-0005-0000-0000-00009F100000}"/>
    <cellStyle name="쉼표 [0] 2 23 3 3 2" xfId="3903" xr:uid="{00000000-0005-0000-0000-0000A0100000}"/>
    <cellStyle name="쉼표 [0] 2 23 3 3 2 2" xfId="7564" xr:uid="{00000000-0005-0000-0000-0000A1100000}"/>
    <cellStyle name="쉼표 [0] 2 23 3 3 2 2 2" xfId="14881" xr:uid="{BAB2434C-6E5C-4E89-BEF6-A3A8EABCFCA7}"/>
    <cellStyle name="쉼표 [0] 2 23 3 3 2 3" xfId="11223" xr:uid="{36B3CEBF-9D0B-4375-A45F-9399F592D8C0}"/>
    <cellStyle name="쉼표 [0] 2 23 3 3 3" xfId="5735" xr:uid="{00000000-0005-0000-0000-0000A2100000}"/>
    <cellStyle name="쉼표 [0] 2 23 3 3 3 2" xfId="13052" xr:uid="{3759A218-1684-4596-A1C7-9B9172C3E9F8}"/>
    <cellStyle name="쉼표 [0] 2 23 3 3 4" xfId="9393" xr:uid="{F706BDD0-DA84-4ECE-A365-811E4E0F4972}"/>
    <cellStyle name="쉼표 [0] 2 23 3 4" xfId="1555" xr:uid="{00000000-0005-0000-0000-0000A3100000}"/>
    <cellStyle name="쉼표 [0] 2 23 3 4 2" xfId="3904" xr:uid="{00000000-0005-0000-0000-0000A4100000}"/>
    <cellStyle name="쉼표 [0] 2 23 3 4 2 2" xfId="7565" xr:uid="{00000000-0005-0000-0000-0000A5100000}"/>
    <cellStyle name="쉼표 [0] 2 23 3 4 2 2 2" xfId="14882" xr:uid="{B05E523F-0885-43C7-A034-75B649B0828D}"/>
    <cellStyle name="쉼표 [0] 2 23 3 4 2 3" xfId="11224" xr:uid="{82CA53B1-281B-41BE-B520-2D2D1E10A749}"/>
    <cellStyle name="쉼표 [0] 2 23 3 4 3" xfId="5736" xr:uid="{00000000-0005-0000-0000-0000A6100000}"/>
    <cellStyle name="쉼표 [0] 2 23 3 4 3 2" xfId="13053" xr:uid="{4084A533-D2AA-4439-BC08-1FE0FF60A0DE}"/>
    <cellStyle name="쉼표 [0] 2 23 3 4 4" xfId="9394" xr:uid="{C012531F-D8F7-422E-BCE5-00D408AFB52E}"/>
    <cellStyle name="쉼표 [0] 2 23 3 5" xfId="3901" xr:uid="{00000000-0005-0000-0000-0000A7100000}"/>
    <cellStyle name="쉼표 [0] 2 23 3 5 2" xfId="7562" xr:uid="{00000000-0005-0000-0000-0000A8100000}"/>
    <cellStyle name="쉼표 [0] 2 23 3 5 2 2" xfId="14879" xr:uid="{F40352C0-C188-4B41-B52D-C80B839B71C9}"/>
    <cellStyle name="쉼표 [0] 2 23 3 5 3" xfId="11221" xr:uid="{CB0B3A0F-F8F2-464A-BB13-ABD9B60E20E2}"/>
    <cellStyle name="쉼표 [0] 2 23 3 6" xfId="5733" xr:uid="{00000000-0005-0000-0000-0000A9100000}"/>
    <cellStyle name="쉼표 [0] 2 23 3 6 2" xfId="13050" xr:uid="{C08CBE33-9B1B-445C-8F28-70CFB9612E66}"/>
    <cellStyle name="쉼표 [0] 2 23 3 7" xfId="9391" xr:uid="{B5153907-E82B-4BA1-AFDD-1B4116C346CA}"/>
    <cellStyle name="쉼표 [0] 2 23 4" xfId="1556" xr:uid="{00000000-0005-0000-0000-0000AA100000}"/>
    <cellStyle name="쉼표 [0] 2 23 4 2" xfId="1557" xr:uid="{00000000-0005-0000-0000-0000AB100000}"/>
    <cellStyle name="쉼표 [0] 2 23 4 2 2" xfId="3906" xr:uid="{00000000-0005-0000-0000-0000AC100000}"/>
    <cellStyle name="쉼표 [0] 2 23 4 2 2 2" xfId="7567" xr:uid="{00000000-0005-0000-0000-0000AD100000}"/>
    <cellStyle name="쉼표 [0] 2 23 4 2 2 2 2" xfId="14884" xr:uid="{AEBF77F5-E113-416F-9A0B-7F8BE689329D}"/>
    <cellStyle name="쉼표 [0] 2 23 4 2 2 3" xfId="11226" xr:uid="{31078B19-8826-447A-9E0A-62F8432E46A8}"/>
    <cellStyle name="쉼표 [0] 2 23 4 2 3" xfId="5738" xr:uid="{00000000-0005-0000-0000-0000AE100000}"/>
    <cellStyle name="쉼표 [0] 2 23 4 2 3 2" xfId="13055" xr:uid="{DFA2BCA7-983B-45EC-84DF-C046723957B1}"/>
    <cellStyle name="쉼표 [0] 2 23 4 2 4" xfId="9396" xr:uid="{2E9BD1F8-BEFF-42D0-93DB-9673E04C1873}"/>
    <cellStyle name="쉼표 [0] 2 23 4 3" xfId="1558" xr:uid="{00000000-0005-0000-0000-0000AF100000}"/>
    <cellStyle name="쉼표 [0] 2 23 4 3 2" xfId="3907" xr:uid="{00000000-0005-0000-0000-0000B0100000}"/>
    <cellStyle name="쉼표 [0] 2 23 4 3 2 2" xfId="7568" xr:uid="{00000000-0005-0000-0000-0000B1100000}"/>
    <cellStyle name="쉼표 [0] 2 23 4 3 2 2 2" xfId="14885" xr:uid="{68C2FA89-799A-40FD-BF7E-96DD5FA1D5B2}"/>
    <cellStyle name="쉼표 [0] 2 23 4 3 2 3" xfId="11227" xr:uid="{3CA2479B-26A6-42FA-9317-BCF54CAD19EF}"/>
    <cellStyle name="쉼표 [0] 2 23 4 3 3" xfId="5739" xr:uid="{00000000-0005-0000-0000-0000B2100000}"/>
    <cellStyle name="쉼표 [0] 2 23 4 3 3 2" xfId="13056" xr:uid="{D5419BA2-6EDF-4C44-A65A-510E2255C8C9}"/>
    <cellStyle name="쉼표 [0] 2 23 4 3 4" xfId="9397" xr:uid="{A5AE7013-E0E4-47F3-A303-F019114AA2AE}"/>
    <cellStyle name="쉼표 [0] 2 23 4 4" xfId="1559" xr:uid="{00000000-0005-0000-0000-0000B3100000}"/>
    <cellStyle name="쉼표 [0] 2 23 4 4 2" xfId="3908" xr:uid="{00000000-0005-0000-0000-0000B4100000}"/>
    <cellStyle name="쉼표 [0] 2 23 4 4 2 2" xfId="7569" xr:uid="{00000000-0005-0000-0000-0000B5100000}"/>
    <cellStyle name="쉼표 [0] 2 23 4 4 2 2 2" xfId="14886" xr:uid="{C212642D-E168-43DA-A55D-ABB1F617D8F1}"/>
    <cellStyle name="쉼표 [0] 2 23 4 4 2 3" xfId="11228" xr:uid="{53958E3A-ABCE-4E0F-B3D6-BBD08D99DE1E}"/>
    <cellStyle name="쉼표 [0] 2 23 4 4 3" xfId="5740" xr:uid="{00000000-0005-0000-0000-0000B6100000}"/>
    <cellStyle name="쉼표 [0] 2 23 4 4 3 2" xfId="13057" xr:uid="{084F9413-EE84-4562-864A-EB019EA19763}"/>
    <cellStyle name="쉼표 [0] 2 23 4 4 4" xfId="9398" xr:uid="{6DA29852-0FC4-4382-A482-7B14D63D3E60}"/>
    <cellStyle name="쉼표 [0] 2 23 4 5" xfId="3905" xr:uid="{00000000-0005-0000-0000-0000B7100000}"/>
    <cellStyle name="쉼표 [0] 2 23 4 5 2" xfId="7566" xr:uid="{00000000-0005-0000-0000-0000B8100000}"/>
    <cellStyle name="쉼표 [0] 2 23 4 5 2 2" xfId="14883" xr:uid="{3774F836-B0DC-4C80-AE18-EB72A75B38A5}"/>
    <cellStyle name="쉼표 [0] 2 23 4 5 3" xfId="11225" xr:uid="{97D2DE05-E2E2-4F2F-BED7-8C814B52DAB3}"/>
    <cellStyle name="쉼표 [0] 2 23 4 6" xfId="5737" xr:uid="{00000000-0005-0000-0000-0000B9100000}"/>
    <cellStyle name="쉼표 [0] 2 23 4 6 2" xfId="13054" xr:uid="{4DB65301-05B3-4B3E-9090-C3A934A15DC3}"/>
    <cellStyle name="쉼표 [0] 2 23 4 7" xfId="9395" xr:uid="{8D589EF6-6F6E-43EB-BE9A-F8A7CBA268FF}"/>
    <cellStyle name="쉼표 [0] 2 23 5" xfId="1560" xr:uid="{00000000-0005-0000-0000-0000BA100000}"/>
    <cellStyle name="쉼표 [0] 2 23 5 2" xfId="1561" xr:uid="{00000000-0005-0000-0000-0000BB100000}"/>
    <cellStyle name="쉼표 [0] 2 23 5 2 2" xfId="3910" xr:uid="{00000000-0005-0000-0000-0000BC100000}"/>
    <cellStyle name="쉼표 [0] 2 23 5 2 2 2" xfId="7571" xr:uid="{00000000-0005-0000-0000-0000BD100000}"/>
    <cellStyle name="쉼표 [0] 2 23 5 2 2 2 2" xfId="14888" xr:uid="{E91E85AE-16AD-4E28-AD09-BF6B3F5CB9C1}"/>
    <cellStyle name="쉼표 [0] 2 23 5 2 2 3" xfId="11230" xr:uid="{F88F3FDB-2DAB-46A5-A850-91DCB0FE6FE3}"/>
    <cellStyle name="쉼표 [0] 2 23 5 2 3" xfId="5742" xr:uid="{00000000-0005-0000-0000-0000BE100000}"/>
    <cellStyle name="쉼표 [0] 2 23 5 2 3 2" xfId="13059" xr:uid="{5420FD44-5F62-497E-92EF-5CA9EC2E3995}"/>
    <cellStyle name="쉼표 [0] 2 23 5 2 4" xfId="9400" xr:uid="{771337CA-6C42-4984-AA61-285049C317A4}"/>
    <cellStyle name="쉼표 [0] 2 23 5 3" xfId="1562" xr:uid="{00000000-0005-0000-0000-0000BF100000}"/>
    <cellStyle name="쉼표 [0] 2 23 5 3 2" xfId="3911" xr:uid="{00000000-0005-0000-0000-0000C0100000}"/>
    <cellStyle name="쉼표 [0] 2 23 5 3 2 2" xfId="7572" xr:uid="{00000000-0005-0000-0000-0000C1100000}"/>
    <cellStyle name="쉼표 [0] 2 23 5 3 2 2 2" xfId="14889" xr:uid="{E9014706-2791-493B-BC4B-C0057ABA0C22}"/>
    <cellStyle name="쉼표 [0] 2 23 5 3 2 3" xfId="11231" xr:uid="{9C021862-B7BB-4187-B99D-548A9A017051}"/>
    <cellStyle name="쉼표 [0] 2 23 5 3 3" xfId="5743" xr:uid="{00000000-0005-0000-0000-0000C2100000}"/>
    <cellStyle name="쉼표 [0] 2 23 5 3 3 2" xfId="13060" xr:uid="{20CED27F-D6C3-4253-9C47-02125F5A6511}"/>
    <cellStyle name="쉼표 [0] 2 23 5 3 4" xfId="9401" xr:uid="{E6052B79-8329-46B7-9028-1DB32B909E72}"/>
    <cellStyle name="쉼표 [0] 2 23 5 4" xfId="3909" xr:uid="{00000000-0005-0000-0000-0000C3100000}"/>
    <cellStyle name="쉼표 [0] 2 23 5 4 2" xfId="7570" xr:uid="{00000000-0005-0000-0000-0000C4100000}"/>
    <cellStyle name="쉼표 [0] 2 23 5 4 2 2" xfId="14887" xr:uid="{C8437B13-732F-47DD-87E5-84352E89E7B3}"/>
    <cellStyle name="쉼표 [0] 2 23 5 4 3" xfId="11229" xr:uid="{ACCC317F-32D8-4D76-8390-559FF01D9C9E}"/>
    <cellStyle name="쉼표 [0] 2 23 5 5" xfId="5741" xr:uid="{00000000-0005-0000-0000-0000C5100000}"/>
    <cellStyle name="쉼표 [0] 2 23 5 5 2" xfId="13058" xr:uid="{A5EFA302-C9F6-4493-A32C-8F49B0D1A67E}"/>
    <cellStyle name="쉼표 [0] 2 23 5 6" xfId="9399" xr:uid="{4D1A73DE-F1BF-48CF-BE71-D3CD62C85AF0}"/>
    <cellStyle name="쉼표 [0] 2 23 6" xfId="1563" xr:uid="{00000000-0005-0000-0000-0000C6100000}"/>
    <cellStyle name="쉼표 [0] 2 23 6 2" xfId="1564" xr:uid="{00000000-0005-0000-0000-0000C7100000}"/>
    <cellStyle name="쉼표 [0] 2 23 6 2 2" xfId="3913" xr:uid="{00000000-0005-0000-0000-0000C8100000}"/>
    <cellStyle name="쉼표 [0] 2 23 6 2 2 2" xfId="7574" xr:uid="{00000000-0005-0000-0000-0000C9100000}"/>
    <cellStyle name="쉼표 [0] 2 23 6 2 2 2 2" xfId="14891" xr:uid="{2BD36FC1-CE78-4A4F-9E2C-66209E706F06}"/>
    <cellStyle name="쉼표 [0] 2 23 6 2 2 3" xfId="11233" xr:uid="{F9F65E60-DCA2-4911-B478-587ED5E6C962}"/>
    <cellStyle name="쉼표 [0] 2 23 6 2 3" xfId="5745" xr:uid="{00000000-0005-0000-0000-0000CA100000}"/>
    <cellStyle name="쉼표 [0] 2 23 6 2 3 2" xfId="13062" xr:uid="{24D818E1-7160-4205-8EDB-5BF7BFC5BC6A}"/>
    <cellStyle name="쉼표 [0] 2 23 6 2 4" xfId="9403" xr:uid="{E1AA857F-2037-4D72-9257-EF30286E2FFD}"/>
    <cellStyle name="쉼표 [0] 2 23 6 3" xfId="1565" xr:uid="{00000000-0005-0000-0000-0000CB100000}"/>
    <cellStyle name="쉼표 [0] 2 23 6 3 2" xfId="3914" xr:uid="{00000000-0005-0000-0000-0000CC100000}"/>
    <cellStyle name="쉼표 [0] 2 23 6 3 2 2" xfId="7575" xr:uid="{00000000-0005-0000-0000-0000CD100000}"/>
    <cellStyle name="쉼표 [0] 2 23 6 3 2 2 2" xfId="14892" xr:uid="{FB92B258-7EFF-4C06-A8F1-4A8B2922DC4C}"/>
    <cellStyle name="쉼표 [0] 2 23 6 3 2 3" xfId="11234" xr:uid="{AA4FF450-95EB-4F41-AD35-0AABB9A45165}"/>
    <cellStyle name="쉼표 [0] 2 23 6 3 3" xfId="5746" xr:uid="{00000000-0005-0000-0000-0000CE100000}"/>
    <cellStyle name="쉼표 [0] 2 23 6 3 3 2" xfId="13063" xr:uid="{F39282B8-0A51-4723-993C-C482ECAA5944}"/>
    <cellStyle name="쉼표 [0] 2 23 6 3 4" xfId="9404" xr:uid="{A3DFF7CC-3753-4F67-92D8-2C462A75839C}"/>
    <cellStyle name="쉼표 [0] 2 23 6 4" xfId="3912" xr:uid="{00000000-0005-0000-0000-0000CF100000}"/>
    <cellStyle name="쉼표 [0] 2 23 6 4 2" xfId="7573" xr:uid="{00000000-0005-0000-0000-0000D0100000}"/>
    <cellStyle name="쉼표 [0] 2 23 6 4 2 2" xfId="14890" xr:uid="{F54D5F3D-86A3-4DC0-83DD-72AE59E77174}"/>
    <cellStyle name="쉼표 [0] 2 23 6 4 3" xfId="11232" xr:uid="{BE4D1F41-96A8-4F2E-BED4-B23A69941B61}"/>
    <cellStyle name="쉼표 [0] 2 23 6 5" xfId="5744" xr:uid="{00000000-0005-0000-0000-0000D1100000}"/>
    <cellStyle name="쉼표 [0] 2 23 6 5 2" xfId="13061" xr:uid="{1BA006BE-23C1-4E81-AC81-09653DA94AFF}"/>
    <cellStyle name="쉼표 [0] 2 23 6 6" xfId="9402" xr:uid="{FEE745B4-54E4-4768-A3BA-68B338A5CEDC}"/>
    <cellStyle name="쉼표 [0] 2 23 7" xfId="1566" xr:uid="{00000000-0005-0000-0000-0000D2100000}"/>
    <cellStyle name="쉼표 [0] 2 23 7 2" xfId="1567" xr:uid="{00000000-0005-0000-0000-0000D3100000}"/>
    <cellStyle name="쉼표 [0] 2 23 7 2 2" xfId="3916" xr:uid="{00000000-0005-0000-0000-0000D4100000}"/>
    <cellStyle name="쉼표 [0] 2 23 7 2 2 2" xfId="7577" xr:uid="{00000000-0005-0000-0000-0000D5100000}"/>
    <cellStyle name="쉼표 [0] 2 23 7 2 2 2 2" xfId="14894" xr:uid="{94206D31-8188-46D1-B8D4-E81D12A4E487}"/>
    <cellStyle name="쉼표 [0] 2 23 7 2 2 3" xfId="11236" xr:uid="{B81BD285-F78E-4164-8A70-2338D71CE64F}"/>
    <cellStyle name="쉼표 [0] 2 23 7 2 3" xfId="5748" xr:uid="{00000000-0005-0000-0000-0000D6100000}"/>
    <cellStyle name="쉼표 [0] 2 23 7 2 3 2" xfId="13065" xr:uid="{2EDDFDDF-C307-47C6-9105-0BD214D9D717}"/>
    <cellStyle name="쉼표 [0] 2 23 7 2 4" xfId="9406" xr:uid="{587C3AAD-8809-4766-A613-B21F15B48442}"/>
    <cellStyle name="쉼표 [0] 2 23 7 3" xfId="1568" xr:uid="{00000000-0005-0000-0000-0000D7100000}"/>
    <cellStyle name="쉼표 [0] 2 23 7 3 2" xfId="3917" xr:uid="{00000000-0005-0000-0000-0000D8100000}"/>
    <cellStyle name="쉼표 [0] 2 23 7 3 2 2" xfId="7578" xr:uid="{00000000-0005-0000-0000-0000D9100000}"/>
    <cellStyle name="쉼표 [0] 2 23 7 3 2 2 2" xfId="14895" xr:uid="{FF06BA4D-9F04-4B63-BBEC-44AF624BC201}"/>
    <cellStyle name="쉼표 [0] 2 23 7 3 2 3" xfId="11237" xr:uid="{63958102-28C8-4CE6-986F-E4946405E47F}"/>
    <cellStyle name="쉼표 [0] 2 23 7 3 3" xfId="5749" xr:uid="{00000000-0005-0000-0000-0000DA100000}"/>
    <cellStyle name="쉼표 [0] 2 23 7 3 3 2" xfId="13066" xr:uid="{721BF252-C2EE-48BE-96B2-5561069BEA06}"/>
    <cellStyle name="쉼표 [0] 2 23 7 3 4" xfId="9407" xr:uid="{4C4B1CCD-FDE1-4B62-9015-EAE29C30432D}"/>
    <cellStyle name="쉼표 [0] 2 23 7 4" xfId="3915" xr:uid="{00000000-0005-0000-0000-0000DB100000}"/>
    <cellStyle name="쉼표 [0] 2 23 7 4 2" xfId="7576" xr:uid="{00000000-0005-0000-0000-0000DC100000}"/>
    <cellStyle name="쉼표 [0] 2 23 7 4 2 2" xfId="14893" xr:uid="{0E018F9F-A967-4DD5-94AC-A914AC8C30F7}"/>
    <cellStyle name="쉼표 [0] 2 23 7 4 3" xfId="11235" xr:uid="{D68FA9ED-BD81-486E-AD51-9BAD2412AADF}"/>
    <cellStyle name="쉼표 [0] 2 23 7 5" xfId="5747" xr:uid="{00000000-0005-0000-0000-0000DD100000}"/>
    <cellStyle name="쉼표 [0] 2 23 7 5 2" xfId="13064" xr:uid="{5E1332AD-4275-4F0F-8FA8-FC49AEAACCBF}"/>
    <cellStyle name="쉼표 [0] 2 23 7 6" xfId="9405" xr:uid="{D8F6F77A-350A-4A7B-8ECF-4F4EC342D342}"/>
    <cellStyle name="쉼표 [0] 2 23 8" xfId="1569" xr:uid="{00000000-0005-0000-0000-0000DE100000}"/>
    <cellStyle name="쉼표 [0] 2 23 8 2" xfId="3918" xr:uid="{00000000-0005-0000-0000-0000DF100000}"/>
    <cellStyle name="쉼표 [0] 2 23 8 2 2" xfId="7579" xr:uid="{00000000-0005-0000-0000-0000E0100000}"/>
    <cellStyle name="쉼표 [0] 2 23 8 2 2 2" xfId="14896" xr:uid="{9B0F83DE-AA2D-45ED-AB58-2DCFD8725110}"/>
    <cellStyle name="쉼표 [0] 2 23 8 2 3" xfId="11238" xr:uid="{7D70ADD8-4F17-418F-AE5B-C4DB0C3A50A7}"/>
    <cellStyle name="쉼표 [0] 2 23 8 3" xfId="5750" xr:uid="{00000000-0005-0000-0000-0000E1100000}"/>
    <cellStyle name="쉼표 [0] 2 23 8 3 2" xfId="13067" xr:uid="{079463B7-BBC5-494B-AC10-C563EF930243}"/>
    <cellStyle name="쉼표 [0] 2 23 8 4" xfId="9408" xr:uid="{11A66BCC-4996-4995-99E9-3A02ED6E13A5}"/>
    <cellStyle name="쉼표 [0] 2 23 9" xfId="1570" xr:uid="{00000000-0005-0000-0000-0000E2100000}"/>
    <cellStyle name="쉼표 [0] 2 23 9 2" xfId="3919" xr:uid="{00000000-0005-0000-0000-0000E3100000}"/>
    <cellStyle name="쉼표 [0] 2 23 9 2 2" xfId="7580" xr:uid="{00000000-0005-0000-0000-0000E4100000}"/>
    <cellStyle name="쉼표 [0] 2 23 9 2 2 2" xfId="14897" xr:uid="{35FDCF4E-0FDF-4D35-A43E-0817D2087F35}"/>
    <cellStyle name="쉼표 [0] 2 23 9 2 3" xfId="11239" xr:uid="{C6D7720A-2E80-45FA-AE03-2B8D618420F3}"/>
    <cellStyle name="쉼표 [0] 2 23 9 3" xfId="5751" xr:uid="{00000000-0005-0000-0000-0000E5100000}"/>
    <cellStyle name="쉼표 [0] 2 23 9 3 2" xfId="13068" xr:uid="{EB7AACA7-054B-4424-85E5-5A36AB521D45}"/>
    <cellStyle name="쉼표 [0] 2 23 9 4" xfId="9409" xr:uid="{E6EF6111-2300-4CA7-9854-935E06658AC2}"/>
    <cellStyle name="쉼표 [0] 2 24" xfId="1571" xr:uid="{00000000-0005-0000-0000-0000E6100000}"/>
    <cellStyle name="쉼표 [0] 2 24 10" xfId="1572" xr:uid="{00000000-0005-0000-0000-0000E7100000}"/>
    <cellStyle name="쉼표 [0] 2 24 10 2" xfId="3921" xr:uid="{00000000-0005-0000-0000-0000E8100000}"/>
    <cellStyle name="쉼표 [0] 2 24 10 2 2" xfId="7582" xr:uid="{00000000-0005-0000-0000-0000E9100000}"/>
    <cellStyle name="쉼표 [0] 2 24 10 2 2 2" xfId="14899" xr:uid="{5FF08537-3D23-4C03-8D27-8379AA918C27}"/>
    <cellStyle name="쉼표 [0] 2 24 10 2 3" xfId="11241" xr:uid="{859140A9-B484-4FC5-ACC4-60DF799CDB36}"/>
    <cellStyle name="쉼표 [0] 2 24 10 3" xfId="5753" xr:uid="{00000000-0005-0000-0000-0000EA100000}"/>
    <cellStyle name="쉼표 [0] 2 24 10 3 2" xfId="13070" xr:uid="{0CB7632B-B4C0-462E-AAFA-5084C6EFC631}"/>
    <cellStyle name="쉼표 [0] 2 24 10 4" xfId="9411" xr:uid="{B004DE72-356D-48C5-AB88-02199EB3ADA1}"/>
    <cellStyle name="쉼표 [0] 2 24 11" xfId="3920" xr:uid="{00000000-0005-0000-0000-0000EB100000}"/>
    <cellStyle name="쉼표 [0] 2 24 11 2" xfId="7581" xr:uid="{00000000-0005-0000-0000-0000EC100000}"/>
    <cellStyle name="쉼표 [0] 2 24 11 2 2" xfId="14898" xr:uid="{B7939E23-2BFD-401E-8037-839A4A868F93}"/>
    <cellStyle name="쉼표 [0] 2 24 11 3" xfId="11240" xr:uid="{46B096FC-673A-400E-B734-21667CFE2988}"/>
    <cellStyle name="쉼표 [0] 2 24 12" xfId="5752" xr:uid="{00000000-0005-0000-0000-0000ED100000}"/>
    <cellStyle name="쉼표 [0] 2 24 12 2" xfId="13069" xr:uid="{35271FC4-EAA8-4BB8-BFAE-96B8DD2EBB63}"/>
    <cellStyle name="쉼표 [0] 2 24 13" xfId="9410" xr:uid="{918E06EA-4B25-4005-B6D2-25D859BC397F}"/>
    <cellStyle name="쉼표 [0] 2 24 2" xfId="1573" xr:uid="{00000000-0005-0000-0000-0000EE100000}"/>
    <cellStyle name="쉼표 [0] 2 24 2 2" xfId="1574" xr:uid="{00000000-0005-0000-0000-0000EF100000}"/>
    <cellStyle name="쉼표 [0] 2 24 2 2 2" xfId="1575" xr:uid="{00000000-0005-0000-0000-0000F0100000}"/>
    <cellStyle name="쉼표 [0] 2 24 2 2 2 2" xfId="3924" xr:uid="{00000000-0005-0000-0000-0000F1100000}"/>
    <cellStyle name="쉼표 [0] 2 24 2 2 2 2 2" xfId="7585" xr:uid="{00000000-0005-0000-0000-0000F2100000}"/>
    <cellStyle name="쉼표 [0] 2 24 2 2 2 2 2 2" xfId="14902" xr:uid="{8A1C1AF0-8213-4197-93DB-BE324E62845F}"/>
    <cellStyle name="쉼표 [0] 2 24 2 2 2 2 3" xfId="11244" xr:uid="{0154E918-B8C4-4578-AF91-92C4475601E3}"/>
    <cellStyle name="쉼표 [0] 2 24 2 2 2 3" xfId="5756" xr:uid="{00000000-0005-0000-0000-0000F3100000}"/>
    <cellStyle name="쉼표 [0] 2 24 2 2 2 3 2" xfId="13073" xr:uid="{8E3599C5-B20A-4591-9FD5-981967C60507}"/>
    <cellStyle name="쉼표 [0] 2 24 2 2 2 4" xfId="9414" xr:uid="{C04D7FCB-C930-4B47-A95D-C92427B0E9F4}"/>
    <cellStyle name="쉼표 [0] 2 24 2 2 3" xfId="3923" xr:uid="{00000000-0005-0000-0000-0000F4100000}"/>
    <cellStyle name="쉼표 [0] 2 24 2 2 3 2" xfId="7584" xr:uid="{00000000-0005-0000-0000-0000F5100000}"/>
    <cellStyle name="쉼표 [0] 2 24 2 2 3 2 2" xfId="14901" xr:uid="{B1C81029-AAC2-480D-8FEE-FD69E60318C3}"/>
    <cellStyle name="쉼표 [0] 2 24 2 2 3 3" xfId="11243" xr:uid="{67C89E24-4931-45A5-BF69-134582457717}"/>
    <cellStyle name="쉼표 [0] 2 24 2 2 4" xfId="5755" xr:uid="{00000000-0005-0000-0000-0000F6100000}"/>
    <cellStyle name="쉼표 [0] 2 24 2 2 4 2" xfId="13072" xr:uid="{076B7A07-4B11-4A5E-A07C-01A845FC4B1F}"/>
    <cellStyle name="쉼표 [0] 2 24 2 2 5" xfId="9413" xr:uid="{259F897D-399C-4CE4-A4BC-ADF7B6A9DFB6}"/>
    <cellStyle name="쉼표 [0] 2 24 2 3" xfId="1576" xr:uid="{00000000-0005-0000-0000-0000F7100000}"/>
    <cellStyle name="쉼표 [0] 2 24 2 3 2" xfId="1577" xr:uid="{00000000-0005-0000-0000-0000F8100000}"/>
    <cellStyle name="쉼표 [0] 2 24 2 3 2 2" xfId="3926" xr:uid="{00000000-0005-0000-0000-0000F9100000}"/>
    <cellStyle name="쉼표 [0] 2 24 2 3 2 2 2" xfId="7587" xr:uid="{00000000-0005-0000-0000-0000FA100000}"/>
    <cellStyle name="쉼표 [0] 2 24 2 3 2 2 2 2" xfId="14904" xr:uid="{930F35DC-8CF7-49E1-97D1-D5760A4A61AD}"/>
    <cellStyle name="쉼표 [0] 2 24 2 3 2 2 3" xfId="11246" xr:uid="{5655E8C0-0070-4A32-A89D-4D76D6B2EB91}"/>
    <cellStyle name="쉼표 [0] 2 24 2 3 2 3" xfId="5758" xr:uid="{00000000-0005-0000-0000-0000FB100000}"/>
    <cellStyle name="쉼표 [0] 2 24 2 3 2 3 2" xfId="13075" xr:uid="{F684F9A5-4DE0-4CA4-A199-02581F301F08}"/>
    <cellStyle name="쉼표 [0] 2 24 2 3 2 4" xfId="9416" xr:uid="{A22FF688-F044-4D73-B118-3BABA4C07184}"/>
    <cellStyle name="쉼표 [0] 2 24 2 3 3" xfId="3925" xr:uid="{00000000-0005-0000-0000-0000FC100000}"/>
    <cellStyle name="쉼표 [0] 2 24 2 3 3 2" xfId="7586" xr:uid="{00000000-0005-0000-0000-0000FD100000}"/>
    <cellStyle name="쉼표 [0] 2 24 2 3 3 2 2" xfId="14903" xr:uid="{E0C5EB9B-17A7-4845-9B34-BCE42F813604}"/>
    <cellStyle name="쉼표 [0] 2 24 2 3 3 3" xfId="11245" xr:uid="{76C437FA-A91E-4253-86AD-E1F94C311F82}"/>
    <cellStyle name="쉼표 [0] 2 24 2 3 4" xfId="5757" xr:uid="{00000000-0005-0000-0000-0000FE100000}"/>
    <cellStyle name="쉼표 [0] 2 24 2 3 4 2" xfId="13074" xr:uid="{0B4E326B-DA7F-448C-8501-3485EC9F77FE}"/>
    <cellStyle name="쉼표 [0] 2 24 2 3 5" xfId="9415" xr:uid="{A0A728AC-CE50-4E56-9148-DA32F0018120}"/>
    <cellStyle name="쉼표 [0] 2 24 2 4" xfId="1578" xr:uid="{00000000-0005-0000-0000-0000FF100000}"/>
    <cellStyle name="쉼표 [0] 2 24 2 4 2" xfId="3927" xr:uid="{00000000-0005-0000-0000-000000110000}"/>
    <cellStyle name="쉼표 [0] 2 24 2 4 2 2" xfId="7588" xr:uid="{00000000-0005-0000-0000-000001110000}"/>
    <cellStyle name="쉼표 [0] 2 24 2 4 2 2 2" xfId="14905" xr:uid="{56B6FA0C-41B8-458A-ABC3-E112DE4CCF1F}"/>
    <cellStyle name="쉼표 [0] 2 24 2 4 2 3" xfId="11247" xr:uid="{9C25204D-2653-4025-8C85-3DE63C5A7779}"/>
    <cellStyle name="쉼표 [0] 2 24 2 4 3" xfId="5759" xr:uid="{00000000-0005-0000-0000-000002110000}"/>
    <cellStyle name="쉼표 [0] 2 24 2 4 3 2" xfId="13076" xr:uid="{577A950F-B6F7-4DC7-92A3-5ABA8C8AC210}"/>
    <cellStyle name="쉼표 [0] 2 24 2 4 4" xfId="9417" xr:uid="{EFF0C48C-EEF7-4832-94B2-1EF1505A8EA2}"/>
    <cellStyle name="쉼표 [0] 2 24 2 5" xfId="1579" xr:uid="{00000000-0005-0000-0000-000003110000}"/>
    <cellStyle name="쉼표 [0] 2 24 2 5 2" xfId="3928" xr:uid="{00000000-0005-0000-0000-000004110000}"/>
    <cellStyle name="쉼표 [0] 2 24 2 5 2 2" xfId="7589" xr:uid="{00000000-0005-0000-0000-000005110000}"/>
    <cellStyle name="쉼표 [0] 2 24 2 5 2 2 2" xfId="14906" xr:uid="{9ABC5823-36DB-4F13-9686-195A117A462D}"/>
    <cellStyle name="쉼표 [0] 2 24 2 5 2 3" xfId="11248" xr:uid="{BA89F690-9EA4-46E8-8E52-DE671D025F65}"/>
    <cellStyle name="쉼표 [0] 2 24 2 5 3" xfId="5760" xr:uid="{00000000-0005-0000-0000-000006110000}"/>
    <cellStyle name="쉼표 [0] 2 24 2 5 3 2" xfId="13077" xr:uid="{C63CBA37-CDC8-4117-92FD-DA724B700EE5}"/>
    <cellStyle name="쉼표 [0] 2 24 2 5 4" xfId="9418" xr:uid="{EC7FA242-FDF9-476C-A348-BD6825E79E6C}"/>
    <cellStyle name="쉼표 [0] 2 24 2 6" xfId="3922" xr:uid="{00000000-0005-0000-0000-000007110000}"/>
    <cellStyle name="쉼표 [0] 2 24 2 6 2" xfId="7583" xr:uid="{00000000-0005-0000-0000-000008110000}"/>
    <cellStyle name="쉼표 [0] 2 24 2 6 2 2" xfId="14900" xr:uid="{478027A0-0E7C-4D50-8EF3-F363BB3BC381}"/>
    <cellStyle name="쉼표 [0] 2 24 2 6 3" xfId="11242" xr:uid="{FFA275C2-6C78-4F0E-81AB-6BBDD40FA1D5}"/>
    <cellStyle name="쉼표 [0] 2 24 2 7" xfId="5754" xr:uid="{00000000-0005-0000-0000-000009110000}"/>
    <cellStyle name="쉼표 [0] 2 24 2 7 2" xfId="13071" xr:uid="{219D1185-116D-42F7-90F8-5367BABFD6E4}"/>
    <cellStyle name="쉼표 [0] 2 24 2 8" xfId="9412" xr:uid="{D28E7559-F49E-41AF-9E2F-7FE1109B2AEF}"/>
    <cellStyle name="쉼표 [0] 2 24 3" xfId="1580" xr:uid="{00000000-0005-0000-0000-00000A110000}"/>
    <cellStyle name="쉼표 [0] 2 24 3 2" xfId="1581" xr:uid="{00000000-0005-0000-0000-00000B110000}"/>
    <cellStyle name="쉼표 [0] 2 24 3 2 2" xfId="3930" xr:uid="{00000000-0005-0000-0000-00000C110000}"/>
    <cellStyle name="쉼표 [0] 2 24 3 2 2 2" xfId="7591" xr:uid="{00000000-0005-0000-0000-00000D110000}"/>
    <cellStyle name="쉼표 [0] 2 24 3 2 2 2 2" xfId="14908" xr:uid="{6F6B4464-AC4C-4906-AC8E-DBD3787248D2}"/>
    <cellStyle name="쉼표 [0] 2 24 3 2 2 3" xfId="11250" xr:uid="{445B0CAD-F955-4EE2-8E75-F5F2C8E73845}"/>
    <cellStyle name="쉼표 [0] 2 24 3 2 3" xfId="5762" xr:uid="{00000000-0005-0000-0000-00000E110000}"/>
    <cellStyle name="쉼표 [0] 2 24 3 2 3 2" xfId="13079" xr:uid="{ACFB73B6-DDE0-4735-B4F2-67DD6911F8B9}"/>
    <cellStyle name="쉼표 [0] 2 24 3 2 4" xfId="9420" xr:uid="{F3BB293D-A37C-4C66-AF85-B8727224DB29}"/>
    <cellStyle name="쉼표 [0] 2 24 3 3" xfId="1582" xr:uid="{00000000-0005-0000-0000-00000F110000}"/>
    <cellStyle name="쉼표 [0] 2 24 3 3 2" xfId="3931" xr:uid="{00000000-0005-0000-0000-000010110000}"/>
    <cellStyle name="쉼표 [0] 2 24 3 3 2 2" xfId="7592" xr:uid="{00000000-0005-0000-0000-000011110000}"/>
    <cellStyle name="쉼표 [0] 2 24 3 3 2 2 2" xfId="14909" xr:uid="{F7F72CF5-D37D-4123-8C56-2EA906A7D561}"/>
    <cellStyle name="쉼표 [0] 2 24 3 3 2 3" xfId="11251" xr:uid="{FA7BBD1B-69FE-41BC-8398-84643D22AB61}"/>
    <cellStyle name="쉼표 [0] 2 24 3 3 3" xfId="5763" xr:uid="{00000000-0005-0000-0000-000012110000}"/>
    <cellStyle name="쉼표 [0] 2 24 3 3 3 2" xfId="13080" xr:uid="{A7275E73-E31A-49A0-8310-34423152F938}"/>
    <cellStyle name="쉼표 [0] 2 24 3 3 4" xfId="9421" xr:uid="{C2198AD3-721E-411D-BCCE-9BD70537AB9F}"/>
    <cellStyle name="쉼표 [0] 2 24 3 4" xfId="1583" xr:uid="{00000000-0005-0000-0000-000013110000}"/>
    <cellStyle name="쉼표 [0] 2 24 3 4 2" xfId="3932" xr:uid="{00000000-0005-0000-0000-000014110000}"/>
    <cellStyle name="쉼표 [0] 2 24 3 4 2 2" xfId="7593" xr:uid="{00000000-0005-0000-0000-000015110000}"/>
    <cellStyle name="쉼표 [0] 2 24 3 4 2 2 2" xfId="14910" xr:uid="{7E2A69CB-7EAB-4966-84AF-2E9E4D762DF0}"/>
    <cellStyle name="쉼표 [0] 2 24 3 4 2 3" xfId="11252" xr:uid="{3B1EC03E-172F-4FB8-91CB-BDDBDE9ADDA7}"/>
    <cellStyle name="쉼표 [0] 2 24 3 4 3" xfId="5764" xr:uid="{00000000-0005-0000-0000-000016110000}"/>
    <cellStyle name="쉼표 [0] 2 24 3 4 3 2" xfId="13081" xr:uid="{8E9BDC7E-FCAB-4EBD-94E0-61F894410A3B}"/>
    <cellStyle name="쉼표 [0] 2 24 3 4 4" xfId="9422" xr:uid="{83431CE3-9A51-4C5B-B09E-D51F3FF1E3FE}"/>
    <cellStyle name="쉼표 [0] 2 24 3 5" xfId="3929" xr:uid="{00000000-0005-0000-0000-000017110000}"/>
    <cellStyle name="쉼표 [0] 2 24 3 5 2" xfId="7590" xr:uid="{00000000-0005-0000-0000-000018110000}"/>
    <cellStyle name="쉼표 [0] 2 24 3 5 2 2" xfId="14907" xr:uid="{75F6DA79-827C-4270-AC94-411E1AEFC9EA}"/>
    <cellStyle name="쉼표 [0] 2 24 3 5 3" xfId="11249" xr:uid="{EE87CBBE-BD88-43EC-9B85-F3897792FA8D}"/>
    <cellStyle name="쉼표 [0] 2 24 3 6" xfId="5761" xr:uid="{00000000-0005-0000-0000-000019110000}"/>
    <cellStyle name="쉼표 [0] 2 24 3 6 2" xfId="13078" xr:uid="{CCE46A25-A0C6-4476-8B36-089A8C7DE28D}"/>
    <cellStyle name="쉼표 [0] 2 24 3 7" xfId="9419" xr:uid="{6772BD3D-3360-4B1D-96DD-2CCDF6F40A24}"/>
    <cellStyle name="쉼표 [0] 2 24 4" xfId="1584" xr:uid="{00000000-0005-0000-0000-00001A110000}"/>
    <cellStyle name="쉼표 [0] 2 24 4 2" xfId="1585" xr:uid="{00000000-0005-0000-0000-00001B110000}"/>
    <cellStyle name="쉼표 [0] 2 24 4 2 2" xfId="3934" xr:uid="{00000000-0005-0000-0000-00001C110000}"/>
    <cellStyle name="쉼표 [0] 2 24 4 2 2 2" xfId="7595" xr:uid="{00000000-0005-0000-0000-00001D110000}"/>
    <cellStyle name="쉼표 [0] 2 24 4 2 2 2 2" xfId="14912" xr:uid="{FB3666AD-FCED-40FF-AF1F-A1C6EB50003F}"/>
    <cellStyle name="쉼표 [0] 2 24 4 2 2 3" xfId="11254" xr:uid="{54012EA4-E2BA-49B5-AD74-A03E417FA614}"/>
    <cellStyle name="쉼표 [0] 2 24 4 2 3" xfId="5766" xr:uid="{00000000-0005-0000-0000-00001E110000}"/>
    <cellStyle name="쉼표 [0] 2 24 4 2 3 2" xfId="13083" xr:uid="{965FDD3D-5785-4C0F-B640-FEB9C6AE37FD}"/>
    <cellStyle name="쉼표 [0] 2 24 4 2 4" xfId="9424" xr:uid="{7E5B921E-E77D-4ED9-86AE-A7A152A98E1C}"/>
    <cellStyle name="쉼표 [0] 2 24 4 3" xfId="1586" xr:uid="{00000000-0005-0000-0000-00001F110000}"/>
    <cellStyle name="쉼표 [0] 2 24 4 3 2" xfId="3935" xr:uid="{00000000-0005-0000-0000-000020110000}"/>
    <cellStyle name="쉼표 [0] 2 24 4 3 2 2" xfId="7596" xr:uid="{00000000-0005-0000-0000-000021110000}"/>
    <cellStyle name="쉼표 [0] 2 24 4 3 2 2 2" xfId="14913" xr:uid="{E02AD7BA-57D2-425F-98B4-AE689FCCC11C}"/>
    <cellStyle name="쉼표 [0] 2 24 4 3 2 3" xfId="11255" xr:uid="{8716CEEF-2019-4B46-BE5B-0F33DB7100B1}"/>
    <cellStyle name="쉼표 [0] 2 24 4 3 3" xfId="5767" xr:uid="{00000000-0005-0000-0000-000022110000}"/>
    <cellStyle name="쉼표 [0] 2 24 4 3 3 2" xfId="13084" xr:uid="{D291C7C7-15A0-452B-A1C6-F50E7934B6A0}"/>
    <cellStyle name="쉼표 [0] 2 24 4 3 4" xfId="9425" xr:uid="{0C607700-0158-49F7-9917-2B52DEFF8264}"/>
    <cellStyle name="쉼표 [0] 2 24 4 4" xfId="1587" xr:uid="{00000000-0005-0000-0000-000023110000}"/>
    <cellStyle name="쉼표 [0] 2 24 4 4 2" xfId="3936" xr:uid="{00000000-0005-0000-0000-000024110000}"/>
    <cellStyle name="쉼표 [0] 2 24 4 4 2 2" xfId="7597" xr:uid="{00000000-0005-0000-0000-000025110000}"/>
    <cellStyle name="쉼표 [0] 2 24 4 4 2 2 2" xfId="14914" xr:uid="{EC2F95E0-3F6D-4A9D-B052-11BAC39DE4C4}"/>
    <cellStyle name="쉼표 [0] 2 24 4 4 2 3" xfId="11256" xr:uid="{A3701063-42BF-4301-B2F2-1657B06A3A24}"/>
    <cellStyle name="쉼표 [0] 2 24 4 4 3" xfId="5768" xr:uid="{00000000-0005-0000-0000-000026110000}"/>
    <cellStyle name="쉼표 [0] 2 24 4 4 3 2" xfId="13085" xr:uid="{A448346F-6630-4026-8199-4E2DAE77A751}"/>
    <cellStyle name="쉼표 [0] 2 24 4 4 4" xfId="9426" xr:uid="{7024D74C-82E3-4B02-8C47-362CC85F218B}"/>
    <cellStyle name="쉼표 [0] 2 24 4 5" xfId="3933" xr:uid="{00000000-0005-0000-0000-000027110000}"/>
    <cellStyle name="쉼표 [0] 2 24 4 5 2" xfId="7594" xr:uid="{00000000-0005-0000-0000-000028110000}"/>
    <cellStyle name="쉼표 [0] 2 24 4 5 2 2" xfId="14911" xr:uid="{0FD2ECCE-E643-4A76-95B9-0B964AA44D0D}"/>
    <cellStyle name="쉼표 [0] 2 24 4 5 3" xfId="11253" xr:uid="{00532965-A2EE-42ED-95C2-6F047F7C746E}"/>
    <cellStyle name="쉼표 [0] 2 24 4 6" xfId="5765" xr:uid="{00000000-0005-0000-0000-000029110000}"/>
    <cellStyle name="쉼표 [0] 2 24 4 6 2" xfId="13082" xr:uid="{594C8465-32AB-4979-A55B-EACBB4F4D39F}"/>
    <cellStyle name="쉼표 [0] 2 24 4 7" xfId="9423" xr:uid="{77AD45D6-BABD-4F59-9F7C-4313CCF49A2A}"/>
    <cellStyle name="쉼표 [0] 2 24 5" xfId="1588" xr:uid="{00000000-0005-0000-0000-00002A110000}"/>
    <cellStyle name="쉼표 [0] 2 24 5 2" xfId="1589" xr:uid="{00000000-0005-0000-0000-00002B110000}"/>
    <cellStyle name="쉼표 [0] 2 24 5 2 2" xfId="3938" xr:uid="{00000000-0005-0000-0000-00002C110000}"/>
    <cellStyle name="쉼표 [0] 2 24 5 2 2 2" xfId="7599" xr:uid="{00000000-0005-0000-0000-00002D110000}"/>
    <cellStyle name="쉼표 [0] 2 24 5 2 2 2 2" xfId="14916" xr:uid="{69747813-65BB-41D1-8409-9BB36F159EA5}"/>
    <cellStyle name="쉼표 [0] 2 24 5 2 2 3" xfId="11258" xr:uid="{53F710F8-AD04-47DD-A08F-923144107B00}"/>
    <cellStyle name="쉼표 [0] 2 24 5 2 3" xfId="5770" xr:uid="{00000000-0005-0000-0000-00002E110000}"/>
    <cellStyle name="쉼표 [0] 2 24 5 2 3 2" xfId="13087" xr:uid="{9B6F70B2-7172-42CC-9BE2-F285FA555BFF}"/>
    <cellStyle name="쉼표 [0] 2 24 5 2 4" xfId="9428" xr:uid="{07CC9C40-AC5E-4217-9452-7D3BF009E850}"/>
    <cellStyle name="쉼표 [0] 2 24 5 3" xfId="1590" xr:uid="{00000000-0005-0000-0000-00002F110000}"/>
    <cellStyle name="쉼표 [0] 2 24 5 3 2" xfId="3939" xr:uid="{00000000-0005-0000-0000-000030110000}"/>
    <cellStyle name="쉼표 [0] 2 24 5 3 2 2" xfId="7600" xr:uid="{00000000-0005-0000-0000-000031110000}"/>
    <cellStyle name="쉼표 [0] 2 24 5 3 2 2 2" xfId="14917" xr:uid="{C31947C0-D0C1-4098-ADA3-812D08F36172}"/>
    <cellStyle name="쉼표 [0] 2 24 5 3 2 3" xfId="11259" xr:uid="{2C975A23-0BB7-47B3-AD13-3F0E334AF44A}"/>
    <cellStyle name="쉼표 [0] 2 24 5 3 3" xfId="5771" xr:uid="{00000000-0005-0000-0000-000032110000}"/>
    <cellStyle name="쉼표 [0] 2 24 5 3 3 2" xfId="13088" xr:uid="{692F48B8-4E98-4439-9B04-778F5F04B332}"/>
    <cellStyle name="쉼표 [0] 2 24 5 3 4" xfId="9429" xr:uid="{376C1274-0AD9-4DBF-BDCD-27AED559B3CA}"/>
    <cellStyle name="쉼표 [0] 2 24 5 4" xfId="3937" xr:uid="{00000000-0005-0000-0000-000033110000}"/>
    <cellStyle name="쉼표 [0] 2 24 5 4 2" xfId="7598" xr:uid="{00000000-0005-0000-0000-000034110000}"/>
    <cellStyle name="쉼표 [0] 2 24 5 4 2 2" xfId="14915" xr:uid="{0303765A-A913-43D6-B3CE-66A8AA85C2A2}"/>
    <cellStyle name="쉼표 [0] 2 24 5 4 3" xfId="11257" xr:uid="{6A72151F-C22D-4A67-B290-575BF69CCF11}"/>
    <cellStyle name="쉼표 [0] 2 24 5 5" xfId="5769" xr:uid="{00000000-0005-0000-0000-000035110000}"/>
    <cellStyle name="쉼표 [0] 2 24 5 5 2" xfId="13086" xr:uid="{08F2DE63-2CD9-459F-B094-FCA5FA9A3466}"/>
    <cellStyle name="쉼표 [0] 2 24 5 6" xfId="9427" xr:uid="{302A9642-47DB-4884-BB79-893E07030CE3}"/>
    <cellStyle name="쉼표 [0] 2 24 6" xfId="1591" xr:uid="{00000000-0005-0000-0000-000036110000}"/>
    <cellStyle name="쉼표 [0] 2 24 6 2" xfId="1592" xr:uid="{00000000-0005-0000-0000-000037110000}"/>
    <cellStyle name="쉼표 [0] 2 24 6 2 2" xfId="3941" xr:uid="{00000000-0005-0000-0000-000038110000}"/>
    <cellStyle name="쉼표 [0] 2 24 6 2 2 2" xfId="7602" xr:uid="{00000000-0005-0000-0000-000039110000}"/>
    <cellStyle name="쉼표 [0] 2 24 6 2 2 2 2" xfId="14919" xr:uid="{8AEDB733-D469-45E3-9AA7-C52F720E460D}"/>
    <cellStyle name="쉼표 [0] 2 24 6 2 2 3" xfId="11261" xr:uid="{BC432E2F-FC2E-4488-95C0-EF7A4ED27722}"/>
    <cellStyle name="쉼표 [0] 2 24 6 2 3" xfId="5773" xr:uid="{00000000-0005-0000-0000-00003A110000}"/>
    <cellStyle name="쉼표 [0] 2 24 6 2 3 2" xfId="13090" xr:uid="{04B270AB-14C4-4ACF-95D0-83440AB953B5}"/>
    <cellStyle name="쉼표 [0] 2 24 6 2 4" xfId="9431" xr:uid="{AABC14FB-EAF5-485D-987B-2BEA2F3228BA}"/>
    <cellStyle name="쉼표 [0] 2 24 6 3" xfId="1593" xr:uid="{00000000-0005-0000-0000-00003B110000}"/>
    <cellStyle name="쉼표 [0] 2 24 6 3 2" xfId="3942" xr:uid="{00000000-0005-0000-0000-00003C110000}"/>
    <cellStyle name="쉼표 [0] 2 24 6 3 2 2" xfId="7603" xr:uid="{00000000-0005-0000-0000-00003D110000}"/>
    <cellStyle name="쉼표 [0] 2 24 6 3 2 2 2" xfId="14920" xr:uid="{91FE5334-89B8-42DF-81FD-FEB505487A0E}"/>
    <cellStyle name="쉼표 [0] 2 24 6 3 2 3" xfId="11262" xr:uid="{E4AB48C6-4303-4379-B7C5-42BDB7D3039B}"/>
    <cellStyle name="쉼표 [0] 2 24 6 3 3" xfId="5774" xr:uid="{00000000-0005-0000-0000-00003E110000}"/>
    <cellStyle name="쉼표 [0] 2 24 6 3 3 2" xfId="13091" xr:uid="{4F08B8E6-66A1-47A1-89EA-207C0E79726C}"/>
    <cellStyle name="쉼표 [0] 2 24 6 3 4" xfId="9432" xr:uid="{61D5E54A-AD8F-4A5E-8B3A-595281F3DBD9}"/>
    <cellStyle name="쉼표 [0] 2 24 6 4" xfId="3940" xr:uid="{00000000-0005-0000-0000-00003F110000}"/>
    <cellStyle name="쉼표 [0] 2 24 6 4 2" xfId="7601" xr:uid="{00000000-0005-0000-0000-000040110000}"/>
    <cellStyle name="쉼표 [0] 2 24 6 4 2 2" xfId="14918" xr:uid="{4BA101A6-9989-41BB-BD0F-760B06CE4ECD}"/>
    <cellStyle name="쉼표 [0] 2 24 6 4 3" xfId="11260" xr:uid="{E27983EF-93D1-44B8-9793-1FAB0BB5D1BB}"/>
    <cellStyle name="쉼표 [0] 2 24 6 5" xfId="5772" xr:uid="{00000000-0005-0000-0000-000041110000}"/>
    <cellStyle name="쉼표 [0] 2 24 6 5 2" xfId="13089" xr:uid="{EDE64217-CDC7-4732-96D6-9DF9A5EC5CA1}"/>
    <cellStyle name="쉼표 [0] 2 24 6 6" xfId="9430" xr:uid="{FAA31BC3-D3CE-4A1E-8CE6-8B23C53189AD}"/>
    <cellStyle name="쉼표 [0] 2 24 7" xfId="1594" xr:uid="{00000000-0005-0000-0000-000042110000}"/>
    <cellStyle name="쉼표 [0] 2 24 7 2" xfId="3943" xr:uid="{00000000-0005-0000-0000-000043110000}"/>
    <cellStyle name="쉼표 [0] 2 24 7 2 2" xfId="7604" xr:uid="{00000000-0005-0000-0000-000044110000}"/>
    <cellStyle name="쉼표 [0] 2 24 7 2 2 2" xfId="14921" xr:uid="{A67A03C9-8731-472E-BABB-C0F808E7E2B8}"/>
    <cellStyle name="쉼표 [0] 2 24 7 2 3" xfId="11263" xr:uid="{C1956867-7B81-4F19-80EC-9CB6366CAFFF}"/>
    <cellStyle name="쉼표 [0] 2 24 7 3" xfId="5775" xr:uid="{00000000-0005-0000-0000-000045110000}"/>
    <cellStyle name="쉼표 [0] 2 24 7 3 2" xfId="13092" xr:uid="{54AAA3E2-4E98-4722-896C-AE6B98BEE0D0}"/>
    <cellStyle name="쉼표 [0] 2 24 7 4" xfId="9433" xr:uid="{FA55C368-42EB-4193-BD23-D986207ACB6C}"/>
    <cellStyle name="쉼표 [0] 2 24 8" xfId="1595" xr:uid="{00000000-0005-0000-0000-000046110000}"/>
    <cellStyle name="쉼표 [0] 2 24 8 2" xfId="3944" xr:uid="{00000000-0005-0000-0000-000047110000}"/>
    <cellStyle name="쉼표 [0] 2 24 8 2 2" xfId="7605" xr:uid="{00000000-0005-0000-0000-000048110000}"/>
    <cellStyle name="쉼표 [0] 2 24 8 2 2 2" xfId="14922" xr:uid="{3350E651-751A-4510-83C5-9620667ADF3A}"/>
    <cellStyle name="쉼표 [0] 2 24 8 2 3" xfId="11264" xr:uid="{74E46CB5-8857-40AB-B007-4C9F1AB6C4B7}"/>
    <cellStyle name="쉼표 [0] 2 24 8 3" xfId="5776" xr:uid="{00000000-0005-0000-0000-000049110000}"/>
    <cellStyle name="쉼표 [0] 2 24 8 3 2" xfId="13093" xr:uid="{12099EC5-8F23-4D8F-BE8A-9A1279312C6B}"/>
    <cellStyle name="쉼표 [0] 2 24 8 4" xfId="9434" xr:uid="{0C91C17F-0CB2-45D1-8CD5-9FF100990693}"/>
    <cellStyle name="쉼표 [0] 2 24 9" xfId="1596" xr:uid="{00000000-0005-0000-0000-00004A110000}"/>
    <cellStyle name="쉼표 [0] 2 24 9 2" xfId="3945" xr:uid="{00000000-0005-0000-0000-00004B110000}"/>
    <cellStyle name="쉼표 [0] 2 24 9 2 2" xfId="7606" xr:uid="{00000000-0005-0000-0000-00004C110000}"/>
    <cellStyle name="쉼표 [0] 2 24 9 2 2 2" xfId="14923" xr:uid="{C1E18670-8307-4F26-A08A-22079A619748}"/>
    <cellStyle name="쉼표 [0] 2 24 9 2 3" xfId="11265" xr:uid="{3290131F-6CC6-4802-A95C-4C1F7098606B}"/>
    <cellStyle name="쉼표 [0] 2 24 9 3" xfId="5777" xr:uid="{00000000-0005-0000-0000-00004D110000}"/>
    <cellStyle name="쉼표 [0] 2 24 9 3 2" xfId="13094" xr:uid="{6BE2E7E1-03EE-48E7-91B6-60B663FFD60E}"/>
    <cellStyle name="쉼표 [0] 2 24 9 4" xfId="9435" xr:uid="{DC731439-DC74-48A4-835C-F5ACFE046529}"/>
    <cellStyle name="쉼표 [0] 2 25" xfId="1597" xr:uid="{00000000-0005-0000-0000-00004E110000}"/>
    <cellStyle name="쉼표 [0] 2 25 2" xfId="1598" xr:uid="{00000000-0005-0000-0000-00004F110000}"/>
    <cellStyle name="쉼표 [0] 2 25 2 2" xfId="1599" xr:uid="{00000000-0005-0000-0000-000050110000}"/>
    <cellStyle name="쉼표 [0] 2 25 2 2 2" xfId="3948" xr:uid="{00000000-0005-0000-0000-000051110000}"/>
    <cellStyle name="쉼표 [0] 2 25 2 2 2 2" xfId="7609" xr:uid="{00000000-0005-0000-0000-000052110000}"/>
    <cellStyle name="쉼표 [0] 2 25 2 2 2 2 2" xfId="14926" xr:uid="{AD47676B-99BF-4BB6-B5D8-00C231926345}"/>
    <cellStyle name="쉼표 [0] 2 25 2 2 2 3" xfId="11268" xr:uid="{155CA2DD-33EB-4EEE-BC86-E2B22292117F}"/>
    <cellStyle name="쉼표 [0] 2 25 2 2 3" xfId="5780" xr:uid="{00000000-0005-0000-0000-000053110000}"/>
    <cellStyle name="쉼표 [0] 2 25 2 2 3 2" xfId="13097" xr:uid="{9F99F241-C5AB-4CF9-9462-412D166290CB}"/>
    <cellStyle name="쉼표 [0] 2 25 2 2 4" xfId="9438" xr:uid="{A41F0465-4287-4261-AD70-91BAC49EF574}"/>
    <cellStyle name="쉼표 [0] 2 25 2 3" xfId="3947" xr:uid="{00000000-0005-0000-0000-000054110000}"/>
    <cellStyle name="쉼표 [0] 2 25 2 3 2" xfId="7608" xr:uid="{00000000-0005-0000-0000-000055110000}"/>
    <cellStyle name="쉼표 [0] 2 25 2 3 2 2" xfId="14925" xr:uid="{5993F4BF-06BC-4E8B-8C00-92D5C8D8AD84}"/>
    <cellStyle name="쉼표 [0] 2 25 2 3 3" xfId="11267" xr:uid="{DF386BDD-2861-4B26-83B9-484B053B3946}"/>
    <cellStyle name="쉼표 [0] 2 25 2 4" xfId="5779" xr:uid="{00000000-0005-0000-0000-000056110000}"/>
    <cellStyle name="쉼표 [0] 2 25 2 4 2" xfId="13096" xr:uid="{FB8EF192-9948-483A-AE04-70C2CDE74469}"/>
    <cellStyle name="쉼표 [0] 2 25 2 5" xfId="9437" xr:uid="{9AAB8C99-27F5-4E17-AF5E-2A2A4A543C5E}"/>
    <cellStyle name="쉼표 [0] 2 25 3" xfId="1600" xr:uid="{00000000-0005-0000-0000-000057110000}"/>
    <cellStyle name="쉼표 [0] 2 25 3 2" xfId="1601" xr:uid="{00000000-0005-0000-0000-000058110000}"/>
    <cellStyle name="쉼표 [0] 2 25 3 2 2" xfId="3950" xr:uid="{00000000-0005-0000-0000-000059110000}"/>
    <cellStyle name="쉼표 [0] 2 25 3 2 2 2" xfId="7611" xr:uid="{00000000-0005-0000-0000-00005A110000}"/>
    <cellStyle name="쉼표 [0] 2 25 3 2 2 2 2" xfId="14928" xr:uid="{38972169-E496-48CF-B98E-2C2E919876B8}"/>
    <cellStyle name="쉼표 [0] 2 25 3 2 2 3" xfId="11270" xr:uid="{0B69787E-4EE1-42CC-A6FF-6AAB761D0529}"/>
    <cellStyle name="쉼표 [0] 2 25 3 2 3" xfId="5782" xr:uid="{00000000-0005-0000-0000-00005B110000}"/>
    <cellStyle name="쉼표 [0] 2 25 3 2 3 2" xfId="13099" xr:uid="{C865FE67-2D83-4ADC-ADB6-7C75CA1E4240}"/>
    <cellStyle name="쉼표 [0] 2 25 3 2 4" xfId="9440" xr:uid="{51191F55-BC6C-4446-BAB6-04230A568F6D}"/>
    <cellStyle name="쉼표 [0] 2 25 3 3" xfId="3949" xr:uid="{00000000-0005-0000-0000-00005C110000}"/>
    <cellStyle name="쉼표 [0] 2 25 3 3 2" xfId="7610" xr:uid="{00000000-0005-0000-0000-00005D110000}"/>
    <cellStyle name="쉼표 [0] 2 25 3 3 2 2" xfId="14927" xr:uid="{1591F8BE-059C-4B54-A981-27304FBE2CF6}"/>
    <cellStyle name="쉼표 [0] 2 25 3 3 3" xfId="11269" xr:uid="{F957E949-FCC9-43EF-903D-9CF0E65CAF6C}"/>
    <cellStyle name="쉼표 [0] 2 25 3 4" xfId="5781" xr:uid="{00000000-0005-0000-0000-00005E110000}"/>
    <cellStyle name="쉼표 [0] 2 25 3 4 2" xfId="13098" xr:uid="{2F2620CE-5CFF-4440-BC0C-DD0BCA303E72}"/>
    <cellStyle name="쉼표 [0] 2 25 3 5" xfId="9439" xr:uid="{FBA2ECEB-CD00-4706-A188-EF6468CD4873}"/>
    <cellStyle name="쉼표 [0] 2 25 4" xfId="1602" xr:uid="{00000000-0005-0000-0000-00005F110000}"/>
    <cellStyle name="쉼표 [0] 2 25 4 2" xfId="3951" xr:uid="{00000000-0005-0000-0000-000060110000}"/>
    <cellStyle name="쉼표 [0] 2 25 4 2 2" xfId="7612" xr:uid="{00000000-0005-0000-0000-000061110000}"/>
    <cellStyle name="쉼표 [0] 2 25 4 2 2 2" xfId="14929" xr:uid="{5BAC0E50-415F-4C1C-9ED5-995B3796868E}"/>
    <cellStyle name="쉼표 [0] 2 25 4 2 3" xfId="11271" xr:uid="{B77AD60D-9152-473A-B7DA-CBE21B02584F}"/>
    <cellStyle name="쉼표 [0] 2 25 4 3" xfId="5783" xr:uid="{00000000-0005-0000-0000-000062110000}"/>
    <cellStyle name="쉼표 [0] 2 25 4 3 2" xfId="13100" xr:uid="{884B5B83-E876-4BA7-99ED-A790AF75A865}"/>
    <cellStyle name="쉼표 [0] 2 25 4 4" xfId="9441" xr:uid="{6D453DA3-A506-4CF5-A690-6FB288B6FEBA}"/>
    <cellStyle name="쉼표 [0] 2 25 5" xfId="1603" xr:uid="{00000000-0005-0000-0000-000063110000}"/>
    <cellStyle name="쉼표 [0] 2 25 5 2" xfId="3952" xr:uid="{00000000-0005-0000-0000-000064110000}"/>
    <cellStyle name="쉼표 [0] 2 25 5 2 2" xfId="7613" xr:uid="{00000000-0005-0000-0000-000065110000}"/>
    <cellStyle name="쉼표 [0] 2 25 5 2 2 2" xfId="14930" xr:uid="{56BA4FA5-1986-4AE8-916C-C9B4A006220D}"/>
    <cellStyle name="쉼표 [0] 2 25 5 2 3" xfId="11272" xr:uid="{0CD1018D-BA56-4B35-92DC-AE1FE03881C3}"/>
    <cellStyle name="쉼표 [0] 2 25 5 3" xfId="5784" xr:uid="{00000000-0005-0000-0000-000066110000}"/>
    <cellStyle name="쉼표 [0] 2 25 5 3 2" xfId="13101" xr:uid="{9534F21C-A455-4B8E-A133-3A828A3823EC}"/>
    <cellStyle name="쉼표 [0] 2 25 5 4" xfId="9442" xr:uid="{9F0871FE-C277-4214-8BD6-72781B673DB5}"/>
    <cellStyle name="쉼표 [0] 2 25 6" xfId="3946" xr:uid="{00000000-0005-0000-0000-000067110000}"/>
    <cellStyle name="쉼표 [0] 2 25 6 2" xfId="7607" xr:uid="{00000000-0005-0000-0000-000068110000}"/>
    <cellStyle name="쉼표 [0] 2 25 6 2 2" xfId="14924" xr:uid="{B096512F-0F2C-459A-BF14-4D366934707B}"/>
    <cellStyle name="쉼표 [0] 2 25 6 3" xfId="11266" xr:uid="{A012DCFF-96F7-42B7-BA5A-6B5C2DDE6F36}"/>
    <cellStyle name="쉼표 [0] 2 25 7" xfId="5778" xr:uid="{00000000-0005-0000-0000-000069110000}"/>
    <cellStyle name="쉼표 [0] 2 25 7 2" xfId="13095" xr:uid="{34B552FD-4476-4DB9-966D-3C860033BEAF}"/>
    <cellStyle name="쉼표 [0] 2 25 8" xfId="9436" xr:uid="{F5D27093-E891-40C9-A811-6CE1A45FF2B8}"/>
    <cellStyle name="쉼표 [0] 2 26" xfId="1604" xr:uid="{00000000-0005-0000-0000-00006A110000}"/>
    <cellStyle name="쉼표 [0] 2 26 2" xfId="1605" xr:uid="{00000000-0005-0000-0000-00006B110000}"/>
    <cellStyle name="쉼표 [0] 2 26 2 2" xfId="3954" xr:uid="{00000000-0005-0000-0000-00006C110000}"/>
    <cellStyle name="쉼표 [0] 2 26 2 2 2" xfId="7615" xr:uid="{00000000-0005-0000-0000-00006D110000}"/>
    <cellStyle name="쉼표 [0] 2 26 2 2 2 2" xfId="14932" xr:uid="{7B449BB5-9ACF-420B-924C-83D002988C64}"/>
    <cellStyle name="쉼표 [0] 2 26 2 2 3" xfId="11274" xr:uid="{7D8CFAF0-F9E0-4F2E-8823-69AA725AACF4}"/>
    <cellStyle name="쉼표 [0] 2 26 2 3" xfId="5786" xr:uid="{00000000-0005-0000-0000-00006E110000}"/>
    <cellStyle name="쉼표 [0] 2 26 2 3 2" xfId="13103" xr:uid="{6BE703B3-056F-4829-B86C-83CE7235D38C}"/>
    <cellStyle name="쉼표 [0] 2 26 2 4" xfId="9444" xr:uid="{D3AB23A8-BA3B-4B94-8E3F-FE2D9A852E9E}"/>
    <cellStyle name="쉼표 [0] 2 26 3" xfId="1606" xr:uid="{00000000-0005-0000-0000-00006F110000}"/>
    <cellStyle name="쉼표 [0] 2 26 3 2" xfId="3955" xr:uid="{00000000-0005-0000-0000-000070110000}"/>
    <cellStyle name="쉼표 [0] 2 26 3 2 2" xfId="7616" xr:uid="{00000000-0005-0000-0000-000071110000}"/>
    <cellStyle name="쉼표 [0] 2 26 3 2 2 2" xfId="14933" xr:uid="{12431FBB-5B16-4BE7-AB23-9B8051F0CC2A}"/>
    <cellStyle name="쉼표 [0] 2 26 3 2 3" xfId="11275" xr:uid="{149A25B4-9889-4902-B5AA-3EC8431D3F79}"/>
    <cellStyle name="쉼표 [0] 2 26 3 3" xfId="5787" xr:uid="{00000000-0005-0000-0000-000072110000}"/>
    <cellStyle name="쉼표 [0] 2 26 3 3 2" xfId="13104" xr:uid="{9DF59B87-1496-4E88-9ECB-3224C803E93E}"/>
    <cellStyle name="쉼표 [0] 2 26 3 4" xfId="9445" xr:uid="{670DA028-D2F7-4547-A6D1-1E6B7CD32735}"/>
    <cellStyle name="쉼표 [0] 2 26 4" xfId="1607" xr:uid="{00000000-0005-0000-0000-000073110000}"/>
    <cellStyle name="쉼표 [0] 2 26 4 2" xfId="3956" xr:uid="{00000000-0005-0000-0000-000074110000}"/>
    <cellStyle name="쉼표 [0] 2 26 4 2 2" xfId="7617" xr:uid="{00000000-0005-0000-0000-000075110000}"/>
    <cellStyle name="쉼표 [0] 2 26 4 2 2 2" xfId="14934" xr:uid="{59DB6083-9464-47CC-97C0-587966959FF2}"/>
    <cellStyle name="쉼표 [0] 2 26 4 2 3" xfId="11276" xr:uid="{1CAAA483-54FD-40C5-87B8-C026A786BCB6}"/>
    <cellStyle name="쉼표 [0] 2 26 4 3" xfId="5788" xr:uid="{00000000-0005-0000-0000-000076110000}"/>
    <cellStyle name="쉼표 [0] 2 26 4 3 2" xfId="13105" xr:uid="{C75F09EB-9922-42CB-95BF-E3E0E701CB73}"/>
    <cellStyle name="쉼표 [0] 2 26 4 4" xfId="9446" xr:uid="{59CC16F3-1CC1-43C0-8955-A756374E1D3A}"/>
    <cellStyle name="쉼표 [0] 2 26 5" xfId="3953" xr:uid="{00000000-0005-0000-0000-000077110000}"/>
    <cellStyle name="쉼표 [0] 2 26 5 2" xfId="7614" xr:uid="{00000000-0005-0000-0000-000078110000}"/>
    <cellStyle name="쉼표 [0] 2 26 5 2 2" xfId="14931" xr:uid="{35D5A4B8-5910-42BB-87BD-AF111C080A2E}"/>
    <cellStyle name="쉼표 [0] 2 26 5 3" xfId="11273" xr:uid="{00F979AF-24D1-447E-9EEE-F50E33B46940}"/>
    <cellStyle name="쉼표 [0] 2 26 6" xfId="5785" xr:uid="{00000000-0005-0000-0000-000079110000}"/>
    <cellStyle name="쉼표 [0] 2 26 6 2" xfId="13102" xr:uid="{79AA30BC-5DF5-4BC8-90A8-73506D9BC2F6}"/>
    <cellStyle name="쉼표 [0] 2 26 7" xfId="9443" xr:uid="{CC81109F-0378-426C-BB80-8D6605692570}"/>
    <cellStyle name="쉼표 [0] 2 27" xfId="1608" xr:uid="{00000000-0005-0000-0000-00007A110000}"/>
    <cellStyle name="쉼표 [0] 2 27 2" xfId="1609" xr:uid="{00000000-0005-0000-0000-00007B110000}"/>
    <cellStyle name="쉼표 [0] 2 27 2 2" xfId="3958" xr:uid="{00000000-0005-0000-0000-00007C110000}"/>
    <cellStyle name="쉼표 [0] 2 27 2 2 2" xfId="7619" xr:uid="{00000000-0005-0000-0000-00007D110000}"/>
    <cellStyle name="쉼표 [0] 2 27 2 2 2 2" xfId="14936" xr:uid="{F63F272B-4791-4EEC-9388-ED144186DF47}"/>
    <cellStyle name="쉼표 [0] 2 27 2 2 3" xfId="11278" xr:uid="{ADC5FC7F-22EB-46F5-809B-3BB83C6022F3}"/>
    <cellStyle name="쉼표 [0] 2 27 2 3" xfId="5790" xr:uid="{00000000-0005-0000-0000-00007E110000}"/>
    <cellStyle name="쉼표 [0] 2 27 2 3 2" xfId="13107" xr:uid="{1F838BB7-C774-4BCF-9314-4BC13E626DF4}"/>
    <cellStyle name="쉼표 [0] 2 27 2 4" xfId="9448" xr:uid="{21A500DB-BD32-4160-99D4-82F4E77DE9A0}"/>
    <cellStyle name="쉼표 [0] 2 27 3" xfId="1610" xr:uid="{00000000-0005-0000-0000-00007F110000}"/>
    <cellStyle name="쉼표 [0] 2 27 3 2" xfId="3959" xr:uid="{00000000-0005-0000-0000-000080110000}"/>
    <cellStyle name="쉼표 [0] 2 27 3 2 2" xfId="7620" xr:uid="{00000000-0005-0000-0000-000081110000}"/>
    <cellStyle name="쉼표 [0] 2 27 3 2 2 2" xfId="14937" xr:uid="{7C4DC291-68DA-4AF6-8CEE-88F0FF408C51}"/>
    <cellStyle name="쉼표 [0] 2 27 3 2 3" xfId="11279" xr:uid="{A5379CEB-DE07-4D7A-83AE-0C3CE497CED5}"/>
    <cellStyle name="쉼표 [0] 2 27 3 3" xfId="5791" xr:uid="{00000000-0005-0000-0000-000082110000}"/>
    <cellStyle name="쉼표 [0] 2 27 3 3 2" xfId="13108" xr:uid="{3CFA83D6-CDB7-4DAC-8BB0-56CB05B5A8C8}"/>
    <cellStyle name="쉼표 [0] 2 27 3 4" xfId="9449" xr:uid="{C4E8BDE4-8445-4EC2-AD10-11D2EF5CE199}"/>
    <cellStyle name="쉼표 [0] 2 27 4" xfId="1611" xr:uid="{00000000-0005-0000-0000-000083110000}"/>
    <cellStyle name="쉼표 [0] 2 27 4 2" xfId="3960" xr:uid="{00000000-0005-0000-0000-000084110000}"/>
    <cellStyle name="쉼표 [0] 2 27 4 2 2" xfId="7621" xr:uid="{00000000-0005-0000-0000-000085110000}"/>
    <cellStyle name="쉼표 [0] 2 27 4 2 2 2" xfId="14938" xr:uid="{AC67E2D6-6D5A-4F06-99DF-78731501F07D}"/>
    <cellStyle name="쉼표 [0] 2 27 4 2 3" xfId="11280" xr:uid="{457907B0-3617-4C6F-8EFB-2225ABD96CC9}"/>
    <cellStyle name="쉼표 [0] 2 27 4 3" xfId="5792" xr:uid="{00000000-0005-0000-0000-000086110000}"/>
    <cellStyle name="쉼표 [0] 2 27 4 3 2" xfId="13109" xr:uid="{FCAACF61-0C6F-483A-A0BD-A215420BC27A}"/>
    <cellStyle name="쉼표 [0] 2 27 4 4" xfId="9450" xr:uid="{A0B7A8B1-0423-4EE4-967C-A4133DE55EE1}"/>
    <cellStyle name="쉼표 [0] 2 27 5" xfId="3957" xr:uid="{00000000-0005-0000-0000-000087110000}"/>
    <cellStyle name="쉼표 [0] 2 27 5 2" xfId="7618" xr:uid="{00000000-0005-0000-0000-000088110000}"/>
    <cellStyle name="쉼표 [0] 2 27 5 2 2" xfId="14935" xr:uid="{9EAADD85-E6D1-433B-8BF9-189231B21529}"/>
    <cellStyle name="쉼표 [0] 2 27 5 3" xfId="11277" xr:uid="{74401033-BB42-4673-835E-370CD78CF104}"/>
    <cellStyle name="쉼표 [0] 2 27 6" xfId="5789" xr:uid="{00000000-0005-0000-0000-000089110000}"/>
    <cellStyle name="쉼표 [0] 2 27 6 2" xfId="13106" xr:uid="{86DAF954-F5A0-464C-BAF4-AA280E856C17}"/>
    <cellStyle name="쉼표 [0] 2 27 7" xfId="9447" xr:uid="{4A9D1EF2-5C3B-47BA-A958-548A223D9B1A}"/>
    <cellStyle name="쉼표 [0] 2 28" xfId="1612" xr:uid="{00000000-0005-0000-0000-00008A110000}"/>
    <cellStyle name="쉼표 [0] 2 28 2" xfId="1613" xr:uid="{00000000-0005-0000-0000-00008B110000}"/>
    <cellStyle name="쉼표 [0] 2 28 2 2" xfId="3962" xr:uid="{00000000-0005-0000-0000-00008C110000}"/>
    <cellStyle name="쉼표 [0] 2 28 2 2 2" xfId="7623" xr:uid="{00000000-0005-0000-0000-00008D110000}"/>
    <cellStyle name="쉼표 [0] 2 28 2 2 2 2" xfId="14940" xr:uid="{EF0E2A3D-984F-4CD8-9F80-F801D7611FB9}"/>
    <cellStyle name="쉼표 [0] 2 28 2 2 3" xfId="11282" xr:uid="{F069B226-9F62-4FE3-A81D-E872DDA7887B}"/>
    <cellStyle name="쉼표 [0] 2 28 2 3" xfId="5794" xr:uid="{00000000-0005-0000-0000-00008E110000}"/>
    <cellStyle name="쉼표 [0] 2 28 2 3 2" xfId="13111" xr:uid="{89B3429F-F1CD-4D5A-8C61-5E2A0C1282B5}"/>
    <cellStyle name="쉼표 [0] 2 28 2 4" xfId="9452" xr:uid="{246DB962-EAE0-4FEA-982A-6EC39E2F1DBD}"/>
    <cellStyle name="쉼표 [0] 2 28 3" xfId="1614" xr:uid="{00000000-0005-0000-0000-00008F110000}"/>
    <cellStyle name="쉼표 [0] 2 28 3 2" xfId="3963" xr:uid="{00000000-0005-0000-0000-000090110000}"/>
    <cellStyle name="쉼표 [0] 2 28 3 2 2" xfId="7624" xr:uid="{00000000-0005-0000-0000-000091110000}"/>
    <cellStyle name="쉼표 [0] 2 28 3 2 2 2" xfId="14941" xr:uid="{3F4EE9C3-6B23-404B-8753-34F8235EEE24}"/>
    <cellStyle name="쉼표 [0] 2 28 3 2 3" xfId="11283" xr:uid="{32DED82C-7B14-47E9-99F9-BAA9D915B2B7}"/>
    <cellStyle name="쉼표 [0] 2 28 3 3" xfId="5795" xr:uid="{00000000-0005-0000-0000-000092110000}"/>
    <cellStyle name="쉼표 [0] 2 28 3 3 2" xfId="13112" xr:uid="{152826DC-3730-48E2-9BE8-0EA07B860C9D}"/>
    <cellStyle name="쉼표 [0] 2 28 3 4" xfId="9453" xr:uid="{C0D99611-DEEE-485F-A3CB-0872C992D895}"/>
    <cellStyle name="쉼표 [0] 2 28 4" xfId="3961" xr:uid="{00000000-0005-0000-0000-000093110000}"/>
    <cellStyle name="쉼표 [0] 2 28 4 2" xfId="7622" xr:uid="{00000000-0005-0000-0000-000094110000}"/>
    <cellStyle name="쉼표 [0] 2 28 4 2 2" xfId="14939" xr:uid="{FF1D4DA9-F846-49E8-B721-7195723079C3}"/>
    <cellStyle name="쉼표 [0] 2 28 4 3" xfId="11281" xr:uid="{2BF9C7E4-5275-4656-B9A7-6E6FA7F48BC2}"/>
    <cellStyle name="쉼표 [0] 2 28 5" xfId="5793" xr:uid="{00000000-0005-0000-0000-000095110000}"/>
    <cellStyle name="쉼표 [0] 2 28 5 2" xfId="13110" xr:uid="{E88AD58C-DC14-4B95-96A9-29CCC10E6AA9}"/>
    <cellStyle name="쉼표 [0] 2 28 6" xfId="9451" xr:uid="{7A27047C-8264-4DCD-A2A0-523ED6C45BB0}"/>
    <cellStyle name="쉼표 [0] 2 29" xfId="1615" xr:uid="{00000000-0005-0000-0000-000096110000}"/>
    <cellStyle name="쉼표 [0] 2 29 2" xfId="1616" xr:uid="{00000000-0005-0000-0000-000097110000}"/>
    <cellStyle name="쉼표 [0] 2 29 2 2" xfId="3965" xr:uid="{00000000-0005-0000-0000-000098110000}"/>
    <cellStyle name="쉼표 [0] 2 29 2 2 2" xfId="7626" xr:uid="{00000000-0005-0000-0000-000099110000}"/>
    <cellStyle name="쉼표 [0] 2 29 2 2 2 2" xfId="14943" xr:uid="{38D78609-1DF0-4FBB-9741-71E97E528E4B}"/>
    <cellStyle name="쉼표 [0] 2 29 2 2 3" xfId="11285" xr:uid="{6053092B-AD31-41C1-8060-A7800D913980}"/>
    <cellStyle name="쉼표 [0] 2 29 2 3" xfId="5797" xr:uid="{00000000-0005-0000-0000-00009A110000}"/>
    <cellStyle name="쉼표 [0] 2 29 2 3 2" xfId="13114" xr:uid="{C136A335-A586-4450-88B0-5ED4DAB90E55}"/>
    <cellStyle name="쉼표 [0] 2 29 2 4" xfId="9455" xr:uid="{EB0513D9-2079-4000-9E17-D338E4337B43}"/>
    <cellStyle name="쉼표 [0] 2 29 3" xfId="1617" xr:uid="{00000000-0005-0000-0000-00009B110000}"/>
    <cellStyle name="쉼표 [0] 2 29 3 2" xfId="3966" xr:uid="{00000000-0005-0000-0000-00009C110000}"/>
    <cellStyle name="쉼표 [0] 2 29 3 2 2" xfId="7627" xr:uid="{00000000-0005-0000-0000-00009D110000}"/>
    <cellStyle name="쉼표 [0] 2 29 3 2 2 2" xfId="14944" xr:uid="{F5941411-0E38-414C-A68F-4CF2F888DFCC}"/>
    <cellStyle name="쉼표 [0] 2 29 3 2 3" xfId="11286" xr:uid="{0C27C3CD-6C54-4FF6-BE19-1A34CE250FDF}"/>
    <cellStyle name="쉼표 [0] 2 29 3 3" xfId="5798" xr:uid="{00000000-0005-0000-0000-00009E110000}"/>
    <cellStyle name="쉼표 [0] 2 29 3 3 2" xfId="13115" xr:uid="{991D7F20-A68A-4791-9609-2585EA318324}"/>
    <cellStyle name="쉼표 [0] 2 29 3 4" xfId="9456" xr:uid="{91FEDA18-82AA-4ABB-90EC-549216A9E1C8}"/>
    <cellStyle name="쉼표 [0] 2 29 4" xfId="3964" xr:uid="{00000000-0005-0000-0000-00009F110000}"/>
    <cellStyle name="쉼표 [0] 2 29 4 2" xfId="7625" xr:uid="{00000000-0005-0000-0000-0000A0110000}"/>
    <cellStyle name="쉼표 [0] 2 29 4 2 2" xfId="14942" xr:uid="{0967F049-46DF-4F00-8A93-C0B090BDA8A0}"/>
    <cellStyle name="쉼표 [0] 2 29 4 3" xfId="11284" xr:uid="{9C33E206-F111-4F8F-9041-0A288E817315}"/>
    <cellStyle name="쉼표 [0] 2 29 5" xfId="5796" xr:uid="{00000000-0005-0000-0000-0000A1110000}"/>
    <cellStyle name="쉼표 [0] 2 29 5 2" xfId="13113" xr:uid="{E00875D1-878C-4915-B3A7-57CC9AFB782B}"/>
    <cellStyle name="쉼표 [0] 2 29 6" xfId="9454" xr:uid="{F5B331D6-6FDE-4106-B128-BA391461290B}"/>
    <cellStyle name="쉼표 [0] 2 3" xfId="1618" xr:uid="{00000000-0005-0000-0000-0000A2110000}"/>
    <cellStyle name="쉼표 [0] 2 3 10" xfId="3967" xr:uid="{00000000-0005-0000-0000-0000A3110000}"/>
    <cellStyle name="쉼표 [0] 2 3 10 2" xfId="7628" xr:uid="{00000000-0005-0000-0000-0000A4110000}"/>
    <cellStyle name="쉼표 [0] 2 3 10 2 2" xfId="14945" xr:uid="{C900D74C-CFEC-406C-A393-C657897AFF08}"/>
    <cellStyle name="쉼표 [0] 2 3 10 3" xfId="11287" xr:uid="{4534C3D2-F530-4101-A21C-F91E80255BCE}"/>
    <cellStyle name="쉼표 [0] 2 3 11" xfId="5799" xr:uid="{00000000-0005-0000-0000-0000A5110000}"/>
    <cellStyle name="쉼표 [0] 2 3 11 2" xfId="13116" xr:uid="{FD23F7B3-BCEC-4090-B9D1-DE89BA6E7C74}"/>
    <cellStyle name="쉼표 [0] 2 3 12" xfId="9457" xr:uid="{259DDC33-4128-4EC1-93D8-1312F1DDA12D}"/>
    <cellStyle name="쉼표 [0] 2 3 2" xfId="1619" xr:uid="{00000000-0005-0000-0000-0000A6110000}"/>
    <cellStyle name="쉼표 [0] 2 3 2 2" xfId="1620" xr:uid="{00000000-0005-0000-0000-0000A7110000}"/>
    <cellStyle name="쉼표 [0] 2 3 2 2 2" xfId="1621" xr:uid="{00000000-0005-0000-0000-0000A8110000}"/>
    <cellStyle name="쉼표 [0] 2 3 2 2 2 2" xfId="3970" xr:uid="{00000000-0005-0000-0000-0000A9110000}"/>
    <cellStyle name="쉼표 [0] 2 3 2 2 2 2 2" xfId="7631" xr:uid="{00000000-0005-0000-0000-0000AA110000}"/>
    <cellStyle name="쉼표 [0] 2 3 2 2 2 2 2 2" xfId="14948" xr:uid="{3496D73D-D88B-4818-990D-0ACAAC40DD13}"/>
    <cellStyle name="쉼표 [0] 2 3 2 2 2 2 3" xfId="11290" xr:uid="{71C7F7BE-6625-4A73-A950-B016CDA77F07}"/>
    <cellStyle name="쉼표 [0] 2 3 2 2 2 3" xfId="5802" xr:uid="{00000000-0005-0000-0000-0000AB110000}"/>
    <cellStyle name="쉼표 [0] 2 3 2 2 2 3 2" xfId="13119" xr:uid="{841C468E-51E4-4CE5-B6FF-9900661A6FCF}"/>
    <cellStyle name="쉼표 [0] 2 3 2 2 2 4" xfId="9460" xr:uid="{4490CFC4-0EA7-472D-A6E6-A1661C3AEF56}"/>
    <cellStyle name="쉼표 [0] 2 3 2 2 3" xfId="1622" xr:uid="{00000000-0005-0000-0000-0000AC110000}"/>
    <cellStyle name="쉼표 [0] 2 3 2 2 3 2" xfId="3971" xr:uid="{00000000-0005-0000-0000-0000AD110000}"/>
    <cellStyle name="쉼표 [0] 2 3 2 2 3 2 2" xfId="7632" xr:uid="{00000000-0005-0000-0000-0000AE110000}"/>
    <cellStyle name="쉼표 [0] 2 3 2 2 3 2 2 2" xfId="14949" xr:uid="{8D59E191-3B70-4051-B578-46AED7F8DD3A}"/>
    <cellStyle name="쉼표 [0] 2 3 2 2 3 2 3" xfId="11291" xr:uid="{A711DD1F-9588-4C6D-8626-8F7C43EF1920}"/>
    <cellStyle name="쉼표 [0] 2 3 2 2 3 3" xfId="5803" xr:uid="{00000000-0005-0000-0000-0000AF110000}"/>
    <cellStyle name="쉼표 [0] 2 3 2 2 3 3 2" xfId="13120" xr:uid="{ADD1E6B2-0648-46C1-8DA0-F325BC3469AD}"/>
    <cellStyle name="쉼표 [0] 2 3 2 2 3 4" xfId="9461" xr:uid="{A5EFB26B-0331-4008-A193-7A4AA0C7885C}"/>
    <cellStyle name="쉼표 [0] 2 3 2 2 4" xfId="1623" xr:uid="{00000000-0005-0000-0000-0000B0110000}"/>
    <cellStyle name="쉼표 [0] 2 3 2 2 4 2" xfId="3972" xr:uid="{00000000-0005-0000-0000-0000B1110000}"/>
    <cellStyle name="쉼표 [0] 2 3 2 2 4 2 2" xfId="7633" xr:uid="{00000000-0005-0000-0000-0000B2110000}"/>
    <cellStyle name="쉼표 [0] 2 3 2 2 4 2 2 2" xfId="14950" xr:uid="{DA3A7692-CC53-47B0-9409-6C377FB01B03}"/>
    <cellStyle name="쉼표 [0] 2 3 2 2 4 2 3" xfId="11292" xr:uid="{29243F74-90F4-416A-99F7-7E1C7C9C3796}"/>
    <cellStyle name="쉼표 [0] 2 3 2 2 4 3" xfId="5804" xr:uid="{00000000-0005-0000-0000-0000B3110000}"/>
    <cellStyle name="쉼표 [0] 2 3 2 2 4 3 2" xfId="13121" xr:uid="{77DC5F4F-F271-4470-B5F1-BFFA3352E27C}"/>
    <cellStyle name="쉼표 [0] 2 3 2 2 4 4" xfId="9462" xr:uid="{5E7E2B02-A96B-4F43-9958-2DD20D4B1D83}"/>
    <cellStyle name="쉼표 [0] 2 3 2 2 5" xfId="3969" xr:uid="{00000000-0005-0000-0000-0000B4110000}"/>
    <cellStyle name="쉼표 [0] 2 3 2 2 5 2" xfId="7630" xr:uid="{00000000-0005-0000-0000-0000B5110000}"/>
    <cellStyle name="쉼표 [0] 2 3 2 2 5 2 2" xfId="14947" xr:uid="{02B93E9D-139C-4E52-9E8E-BEBE67A34C7B}"/>
    <cellStyle name="쉼표 [0] 2 3 2 2 5 3" xfId="11289" xr:uid="{D01A65A6-2FBE-477A-B965-EC40F60E1BC8}"/>
    <cellStyle name="쉼표 [0] 2 3 2 2 6" xfId="5801" xr:uid="{00000000-0005-0000-0000-0000B6110000}"/>
    <cellStyle name="쉼표 [0] 2 3 2 2 6 2" xfId="13118" xr:uid="{5088CBEC-F9B6-428B-A095-FA3A85A589CB}"/>
    <cellStyle name="쉼표 [0] 2 3 2 2 7" xfId="9459" xr:uid="{466E291C-ABE2-442B-8E8F-BA5595CE0EE0}"/>
    <cellStyle name="쉼표 [0] 2 3 2 3" xfId="1624" xr:uid="{00000000-0005-0000-0000-0000B7110000}"/>
    <cellStyle name="쉼표 [0] 2 3 2 3 2" xfId="1625" xr:uid="{00000000-0005-0000-0000-0000B8110000}"/>
    <cellStyle name="쉼표 [0] 2 3 2 3 2 2" xfId="3974" xr:uid="{00000000-0005-0000-0000-0000B9110000}"/>
    <cellStyle name="쉼표 [0] 2 3 2 3 2 2 2" xfId="7635" xr:uid="{00000000-0005-0000-0000-0000BA110000}"/>
    <cellStyle name="쉼표 [0] 2 3 2 3 2 2 2 2" xfId="14952" xr:uid="{68EE6367-D123-456D-84DD-1750FF974B0F}"/>
    <cellStyle name="쉼표 [0] 2 3 2 3 2 2 3" xfId="11294" xr:uid="{9CA9C7DC-82E7-423F-91F2-658D816E8E47}"/>
    <cellStyle name="쉼표 [0] 2 3 2 3 2 3" xfId="5806" xr:uid="{00000000-0005-0000-0000-0000BB110000}"/>
    <cellStyle name="쉼표 [0] 2 3 2 3 2 3 2" xfId="13123" xr:uid="{3A9DBE0F-9F66-4088-A206-27AC908725CE}"/>
    <cellStyle name="쉼표 [0] 2 3 2 3 2 4" xfId="9464" xr:uid="{3446EF0F-41C6-46AA-A5C4-B86C6EFF8C60}"/>
    <cellStyle name="쉼표 [0] 2 3 2 3 3" xfId="3973" xr:uid="{00000000-0005-0000-0000-0000BC110000}"/>
    <cellStyle name="쉼표 [0] 2 3 2 3 3 2" xfId="7634" xr:uid="{00000000-0005-0000-0000-0000BD110000}"/>
    <cellStyle name="쉼표 [0] 2 3 2 3 3 2 2" xfId="14951" xr:uid="{61E979BE-7078-4D1C-AA99-C3F502119C71}"/>
    <cellStyle name="쉼표 [0] 2 3 2 3 3 3" xfId="11293" xr:uid="{F7D53DB4-A376-45CA-A667-68AE13BA845B}"/>
    <cellStyle name="쉼표 [0] 2 3 2 3 4" xfId="5805" xr:uid="{00000000-0005-0000-0000-0000BE110000}"/>
    <cellStyle name="쉼표 [0] 2 3 2 3 4 2" xfId="13122" xr:uid="{9C5B1F69-4437-40BC-BF4B-C459D3AD1991}"/>
    <cellStyle name="쉼표 [0] 2 3 2 3 5" xfId="9463" xr:uid="{CF9E55FA-E05E-4F1C-9725-A0F069EB6569}"/>
    <cellStyle name="쉼표 [0] 2 3 2 4" xfId="1626" xr:uid="{00000000-0005-0000-0000-0000BF110000}"/>
    <cellStyle name="쉼표 [0] 2 3 2 4 2" xfId="1627" xr:uid="{00000000-0005-0000-0000-0000C0110000}"/>
    <cellStyle name="쉼표 [0] 2 3 2 4 2 2" xfId="3976" xr:uid="{00000000-0005-0000-0000-0000C1110000}"/>
    <cellStyle name="쉼표 [0] 2 3 2 4 2 2 2" xfId="7637" xr:uid="{00000000-0005-0000-0000-0000C2110000}"/>
    <cellStyle name="쉼표 [0] 2 3 2 4 2 2 2 2" xfId="14954" xr:uid="{4158B68E-F6A8-4112-8BC5-2BBE8D07C1C8}"/>
    <cellStyle name="쉼표 [0] 2 3 2 4 2 2 3" xfId="11296" xr:uid="{B5422225-A64F-410C-9565-E83B5B9BD869}"/>
    <cellStyle name="쉼표 [0] 2 3 2 4 2 3" xfId="5808" xr:uid="{00000000-0005-0000-0000-0000C3110000}"/>
    <cellStyle name="쉼표 [0] 2 3 2 4 2 3 2" xfId="13125" xr:uid="{D890269D-56CE-47F8-B818-153E3B72235F}"/>
    <cellStyle name="쉼표 [0] 2 3 2 4 2 4" xfId="9466" xr:uid="{D8C5A632-2285-43A7-AE2B-60953B202814}"/>
    <cellStyle name="쉼표 [0] 2 3 2 4 3" xfId="3975" xr:uid="{00000000-0005-0000-0000-0000C4110000}"/>
    <cellStyle name="쉼표 [0] 2 3 2 4 3 2" xfId="7636" xr:uid="{00000000-0005-0000-0000-0000C5110000}"/>
    <cellStyle name="쉼표 [0] 2 3 2 4 3 2 2" xfId="14953" xr:uid="{C9CD825C-86E1-4C2A-A898-14FBE1852405}"/>
    <cellStyle name="쉼표 [0] 2 3 2 4 3 3" xfId="11295" xr:uid="{E8D64110-DAA8-416A-A067-B6E63F143ABB}"/>
    <cellStyle name="쉼표 [0] 2 3 2 4 4" xfId="5807" xr:uid="{00000000-0005-0000-0000-0000C6110000}"/>
    <cellStyle name="쉼표 [0] 2 3 2 4 4 2" xfId="13124" xr:uid="{CDF5B5E2-D176-4AB4-A5F1-96498530848C}"/>
    <cellStyle name="쉼표 [0] 2 3 2 4 5" xfId="9465" xr:uid="{21C45F56-356C-47E4-A702-94D0E4FE1DF2}"/>
    <cellStyle name="쉼표 [0] 2 3 2 5" xfId="1628" xr:uid="{00000000-0005-0000-0000-0000C7110000}"/>
    <cellStyle name="쉼표 [0] 2 3 2 5 2" xfId="3977" xr:uid="{00000000-0005-0000-0000-0000C8110000}"/>
    <cellStyle name="쉼표 [0] 2 3 2 5 2 2" xfId="7638" xr:uid="{00000000-0005-0000-0000-0000C9110000}"/>
    <cellStyle name="쉼표 [0] 2 3 2 5 2 2 2" xfId="14955" xr:uid="{B5FC9E16-CEBB-4866-B559-28A630469988}"/>
    <cellStyle name="쉼표 [0] 2 3 2 5 2 3" xfId="11297" xr:uid="{BDE08639-4570-4361-989A-4E6C015C9A94}"/>
    <cellStyle name="쉼표 [0] 2 3 2 5 3" xfId="5809" xr:uid="{00000000-0005-0000-0000-0000CA110000}"/>
    <cellStyle name="쉼표 [0] 2 3 2 5 3 2" xfId="13126" xr:uid="{FA436E56-BBA0-4847-87FD-9680D6CC539C}"/>
    <cellStyle name="쉼표 [0] 2 3 2 5 4" xfId="9467" xr:uid="{1A6FC168-F246-4CD6-8345-EED335060DC2}"/>
    <cellStyle name="쉼표 [0] 2 3 2 6" xfId="3968" xr:uid="{00000000-0005-0000-0000-0000CB110000}"/>
    <cellStyle name="쉼표 [0] 2 3 2 6 2" xfId="7629" xr:uid="{00000000-0005-0000-0000-0000CC110000}"/>
    <cellStyle name="쉼표 [0] 2 3 2 6 2 2" xfId="14946" xr:uid="{62D05C71-2F10-4510-95BD-A87F5500B07E}"/>
    <cellStyle name="쉼표 [0] 2 3 2 6 3" xfId="11288" xr:uid="{E3576EBA-F953-44BF-9FE8-65B1D8091B10}"/>
    <cellStyle name="쉼표 [0] 2 3 2 7" xfId="5800" xr:uid="{00000000-0005-0000-0000-0000CD110000}"/>
    <cellStyle name="쉼표 [0] 2 3 2 7 2" xfId="13117" xr:uid="{E58088A4-7F7C-4C58-A65E-6539D1571712}"/>
    <cellStyle name="쉼표 [0] 2 3 2 8" xfId="9458" xr:uid="{16C7CA1A-8884-4D66-8922-245D4FFCF79B}"/>
    <cellStyle name="쉼표 [0] 2 3 3" xfId="1629" xr:uid="{00000000-0005-0000-0000-0000CE110000}"/>
    <cellStyle name="쉼표 [0] 2 3 3 2" xfId="1630" xr:uid="{00000000-0005-0000-0000-0000CF110000}"/>
    <cellStyle name="쉼표 [0] 2 3 3 2 2" xfId="1631" xr:uid="{00000000-0005-0000-0000-0000D0110000}"/>
    <cellStyle name="쉼표 [0] 2 3 3 2 2 2" xfId="1632" xr:uid="{00000000-0005-0000-0000-0000D1110000}"/>
    <cellStyle name="쉼표 [0] 2 3 3 2 2 2 2" xfId="3981" xr:uid="{00000000-0005-0000-0000-0000D2110000}"/>
    <cellStyle name="쉼표 [0] 2 3 3 2 2 2 2 2" xfId="7642" xr:uid="{00000000-0005-0000-0000-0000D3110000}"/>
    <cellStyle name="쉼표 [0] 2 3 3 2 2 2 2 2 2" xfId="14959" xr:uid="{29818112-87D2-432F-87CA-7902420489A3}"/>
    <cellStyle name="쉼표 [0] 2 3 3 2 2 2 2 3" xfId="11301" xr:uid="{350F0644-6681-48B0-911D-85FBC5D308A8}"/>
    <cellStyle name="쉼표 [0] 2 3 3 2 2 2 3" xfId="5813" xr:uid="{00000000-0005-0000-0000-0000D4110000}"/>
    <cellStyle name="쉼표 [0] 2 3 3 2 2 2 3 2" xfId="13130" xr:uid="{63F42F4C-8569-4EA6-8487-3CCC949DF19A}"/>
    <cellStyle name="쉼표 [0] 2 3 3 2 2 2 4" xfId="9471" xr:uid="{D2AD3A5F-8DCE-4255-AE4A-B510E28FAECD}"/>
    <cellStyle name="쉼표 [0] 2 3 3 2 2 3" xfId="1633" xr:uid="{00000000-0005-0000-0000-0000D5110000}"/>
    <cellStyle name="쉼표 [0] 2 3 3 2 2 3 2" xfId="3982" xr:uid="{00000000-0005-0000-0000-0000D6110000}"/>
    <cellStyle name="쉼표 [0] 2 3 3 2 2 3 2 2" xfId="7643" xr:uid="{00000000-0005-0000-0000-0000D7110000}"/>
    <cellStyle name="쉼표 [0] 2 3 3 2 2 3 2 2 2" xfId="14960" xr:uid="{15AE9809-5A83-4680-B908-93BE68BAE779}"/>
    <cellStyle name="쉼표 [0] 2 3 3 2 2 3 2 3" xfId="11302" xr:uid="{7738A7F1-2182-4157-AFC0-B25F73A9A3AA}"/>
    <cellStyle name="쉼표 [0] 2 3 3 2 2 3 3" xfId="5814" xr:uid="{00000000-0005-0000-0000-0000D8110000}"/>
    <cellStyle name="쉼표 [0] 2 3 3 2 2 3 3 2" xfId="13131" xr:uid="{AEBA5353-8899-4208-8C47-6E3D2DF41EC8}"/>
    <cellStyle name="쉼표 [0] 2 3 3 2 2 3 4" xfId="9472" xr:uid="{895F1224-7E9D-44E2-9753-D64714D439B1}"/>
    <cellStyle name="쉼표 [0] 2 3 3 2 2 4" xfId="1634" xr:uid="{00000000-0005-0000-0000-0000D9110000}"/>
    <cellStyle name="쉼표 [0] 2 3 3 2 2 4 2" xfId="3983" xr:uid="{00000000-0005-0000-0000-0000DA110000}"/>
    <cellStyle name="쉼표 [0] 2 3 3 2 2 4 2 2" xfId="7644" xr:uid="{00000000-0005-0000-0000-0000DB110000}"/>
    <cellStyle name="쉼표 [0] 2 3 3 2 2 4 2 2 2" xfId="14961" xr:uid="{73BE199C-2B27-4F32-86E2-A7EF45B073E2}"/>
    <cellStyle name="쉼표 [0] 2 3 3 2 2 4 2 3" xfId="11303" xr:uid="{EC28A9F4-B380-436B-A46B-5EEA3A1B0FA9}"/>
    <cellStyle name="쉼표 [0] 2 3 3 2 2 4 3" xfId="5815" xr:uid="{00000000-0005-0000-0000-0000DC110000}"/>
    <cellStyle name="쉼표 [0] 2 3 3 2 2 4 3 2" xfId="13132" xr:uid="{6E5C386D-F111-4CD8-B801-CD2F039E1AEE}"/>
    <cellStyle name="쉼표 [0] 2 3 3 2 2 4 4" xfId="9473" xr:uid="{D4ABB607-7669-4FA0-AFA9-3173E4E35352}"/>
    <cellStyle name="쉼표 [0] 2 3 3 2 2 5" xfId="3980" xr:uid="{00000000-0005-0000-0000-0000DD110000}"/>
    <cellStyle name="쉼표 [0] 2 3 3 2 2 5 2" xfId="7641" xr:uid="{00000000-0005-0000-0000-0000DE110000}"/>
    <cellStyle name="쉼표 [0] 2 3 3 2 2 5 2 2" xfId="14958" xr:uid="{6AB3D663-6DF8-464B-9D52-1359B73A8D02}"/>
    <cellStyle name="쉼표 [0] 2 3 3 2 2 5 3" xfId="11300" xr:uid="{01007F96-3847-480C-8980-5F1A3AFB6545}"/>
    <cellStyle name="쉼표 [0] 2 3 3 2 2 6" xfId="5812" xr:uid="{00000000-0005-0000-0000-0000DF110000}"/>
    <cellStyle name="쉼표 [0] 2 3 3 2 2 6 2" xfId="13129" xr:uid="{1B1FDBA3-271E-4FEF-9F7C-830C7D513F07}"/>
    <cellStyle name="쉼표 [0] 2 3 3 2 2 7" xfId="9470" xr:uid="{C2C5DE6F-5A1D-4948-88EA-8C57CF248327}"/>
    <cellStyle name="쉼표 [0] 2 3 3 2 3" xfId="1635" xr:uid="{00000000-0005-0000-0000-0000E0110000}"/>
    <cellStyle name="쉼표 [0] 2 3 3 2 3 2" xfId="3984" xr:uid="{00000000-0005-0000-0000-0000E1110000}"/>
    <cellStyle name="쉼표 [0] 2 3 3 2 3 2 2" xfId="7645" xr:uid="{00000000-0005-0000-0000-0000E2110000}"/>
    <cellStyle name="쉼표 [0] 2 3 3 2 3 2 2 2" xfId="14962" xr:uid="{EB30E6A2-95C1-445E-B633-3DFC08F55E7B}"/>
    <cellStyle name="쉼표 [0] 2 3 3 2 3 2 3" xfId="11304" xr:uid="{B093F00B-4D09-4BA5-AC58-C88B1A46A1A0}"/>
    <cellStyle name="쉼표 [0] 2 3 3 2 3 3" xfId="5816" xr:uid="{00000000-0005-0000-0000-0000E3110000}"/>
    <cellStyle name="쉼표 [0] 2 3 3 2 3 3 2" xfId="13133" xr:uid="{DD55564F-224F-427E-9885-F10D9AE27CD0}"/>
    <cellStyle name="쉼표 [0] 2 3 3 2 3 4" xfId="9474" xr:uid="{7E53410A-4DDF-4A4F-A370-D63517632ACB}"/>
    <cellStyle name="쉼표 [0] 2 3 3 2 4" xfId="1636" xr:uid="{00000000-0005-0000-0000-0000E4110000}"/>
    <cellStyle name="쉼표 [0] 2 3 3 2 4 2" xfId="3985" xr:uid="{00000000-0005-0000-0000-0000E5110000}"/>
    <cellStyle name="쉼표 [0] 2 3 3 2 4 2 2" xfId="7646" xr:uid="{00000000-0005-0000-0000-0000E6110000}"/>
    <cellStyle name="쉼표 [0] 2 3 3 2 4 2 2 2" xfId="14963" xr:uid="{B11564EF-BC42-42B0-959B-19CCE49F8EF8}"/>
    <cellStyle name="쉼표 [0] 2 3 3 2 4 2 3" xfId="11305" xr:uid="{AC76D784-A43E-4631-A0C9-10CD0F42BD1B}"/>
    <cellStyle name="쉼표 [0] 2 3 3 2 4 3" xfId="5817" xr:uid="{00000000-0005-0000-0000-0000E7110000}"/>
    <cellStyle name="쉼표 [0] 2 3 3 2 4 3 2" xfId="13134" xr:uid="{E4543F98-57FE-4B4D-903F-A3887EA7503E}"/>
    <cellStyle name="쉼표 [0] 2 3 3 2 4 4" xfId="9475" xr:uid="{200934C2-5CA3-4886-AA15-959DD9F61EC8}"/>
    <cellStyle name="쉼표 [0] 2 3 3 2 5" xfId="1637" xr:uid="{00000000-0005-0000-0000-0000E8110000}"/>
    <cellStyle name="쉼표 [0] 2 3 3 2 5 2" xfId="3986" xr:uid="{00000000-0005-0000-0000-0000E9110000}"/>
    <cellStyle name="쉼표 [0] 2 3 3 2 5 2 2" xfId="7647" xr:uid="{00000000-0005-0000-0000-0000EA110000}"/>
    <cellStyle name="쉼표 [0] 2 3 3 2 5 2 2 2" xfId="14964" xr:uid="{83C697B5-0012-4E69-8016-B4C4B9850956}"/>
    <cellStyle name="쉼표 [0] 2 3 3 2 5 2 3" xfId="11306" xr:uid="{5165E0B8-A6AA-4DA1-8CFB-2914AE9C25CA}"/>
    <cellStyle name="쉼표 [0] 2 3 3 2 5 3" xfId="5818" xr:uid="{00000000-0005-0000-0000-0000EB110000}"/>
    <cellStyle name="쉼표 [0] 2 3 3 2 5 3 2" xfId="13135" xr:uid="{131C64E8-510E-477A-9C30-FEC42793B8D7}"/>
    <cellStyle name="쉼표 [0] 2 3 3 2 5 4" xfId="9476" xr:uid="{7D47714F-53E0-4DFF-833B-B5699A9241D9}"/>
    <cellStyle name="쉼표 [0] 2 3 3 2 6" xfId="3979" xr:uid="{00000000-0005-0000-0000-0000EC110000}"/>
    <cellStyle name="쉼표 [0] 2 3 3 2 6 2" xfId="7640" xr:uid="{00000000-0005-0000-0000-0000ED110000}"/>
    <cellStyle name="쉼표 [0] 2 3 3 2 6 2 2" xfId="14957" xr:uid="{2D7114EA-F700-4BC9-B7D3-390B25DBABC6}"/>
    <cellStyle name="쉼표 [0] 2 3 3 2 6 3" xfId="11299" xr:uid="{79DE8F40-C20F-4D1D-9B89-BA91F3116AC4}"/>
    <cellStyle name="쉼표 [0] 2 3 3 2 7" xfId="5811" xr:uid="{00000000-0005-0000-0000-0000EE110000}"/>
    <cellStyle name="쉼표 [0] 2 3 3 2 7 2" xfId="13128" xr:uid="{81ED35B7-57A9-4CA4-A92F-D891772AAA23}"/>
    <cellStyle name="쉼표 [0] 2 3 3 2 8" xfId="9469" xr:uid="{C06E8BB7-D608-4554-9C12-F21E291594B1}"/>
    <cellStyle name="쉼표 [0] 2 3 3 3" xfId="1638" xr:uid="{00000000-0005-0000-0000-0000EF110000}"/>
    <cellStyle name="쉼표 [0] 2 3 3 3 2" xfId="1639" xr:uid="{00000000-0005-0000-0000-0000F0110000}"/>
    <cellStyle name="쉼표 [0] 2 3 3 3 2 2" xfId="3988" xr:uid="{00000000-0005-0000-0000-0000F1110000}"/>
    <cellStyle name="쉼표 [0] 2 3 3 3 2 2 2" xfId="7649" xr:uid="{00000000-0005-0000-0000-0000F2110000}"/>
    <cellStyle name="쉼표 [0] 2 3 3 3 2 2 2 2" xfId="14966" xr:uid="{BC7F4313-5AA5-4268-BDEB-9DE09EFD879D}"/>
    <cellStyle name="쉼표 [0] 2 3 3 3 2 2 3" xfId="11308" xr:uid="{A5FD7062-6BBA-4E5D-B46B-4290A2E4A674}"/>
    <cellStyle name="쉼표 [0] 2 3 3 3 2 3" xfId="5820" xr:uid="{00000000-0005-0000-0000-0000F3110000}"/>
    <cellStyle name="쉼표 [0] 2 3 3 3 2 3 2" xfId="13137" xr:uid="{728A8AC7-154B-496C-A11C-4BCEBA3A20F2}"/>
    <cellStyle name="쉼표 [0] 2 3 3 3 2 4" xfId="9478" xr:uid="{4C1A5DD3-4A17-49C9-80EC-8414312D61D0}"/>
    <cellStyle name="쉼표 [0] 2 3 3 3 3" xfId="1640" xr:uid="{00000000-0005-0000-0000-0000F4110000}"/>
    <cellStyle name="쉼표 [0] 2 3 3 3 3 2" xfId="3989" xr:uid="{00000000-0005-0000-0000-0000F5110000}"/>
    <cellStyle name="쉼표 [0] 2 3 3 3 3 2 2" xfId="7650" xr:uid="{00000000-0005-0000-0000-0000F6110000}"/>
    <cellStyle name="쉼표 [0] 2 3 3 3 3 2 2 2" xfId="14967" xr:uid="{68CFA666-89F8-4884-B867-3D3492508FB3}"/>
    <cellStyle name="쉼표 [0] 2 3 3 3 3 2 3" xfId="11309" xr:uid="{F68E4075-CD19-44F6-A011-F992AE81F4F8}"/>
    <cellStyle name="쉼표 [0] 2 3 3 3 3 3" xfId="5821" xr:uid="{00000000-0005-0000-0000-0000F7110000}"/>
    <cellStyle name="쉼표 [0] 2 3 3 3 3 3 2" xfId="13138" xr:uid="{2E77D31A-6B3A-45B4-B8A4-AF0542D7BBDC}"/>
    <cellStyle name="쉼표 [0] 2 3 3 3 3 4" xfId="9479" xr:uid="{E7A3C15D-122E-4B76-AD6F-E65C4EFDD5D5}"/>
    <cellStyle name="쉼표 [0] 2 3 3 3 4" xfId="1641" xr:uid="{00000000-0005-0000-0000-0000F8110000}"/>
    <cellStyle name="쉼표 [0] 2 3 3 3 4 2" xfId="3990" xr:uid="{00000000-0005-0000-0000-0000F9110000}"/>
    <cellStyle name="쉼표 [0] 2 3 3 3 4 2 2" xfId="7651" xr:uid="{00000000-0005-0000-0000-0000FA110000}"/>
    <cellStyle name="쉼표 [0] 2 3 3 3 4 2 2 2" xfId="14968" xr:uid="{30306275-DF04-4847-A8C8-F5A016E61267}"/>
    <cellStyle name="쉼표 [0] 2 3 3 3 4 2 3" xfId="11310" xr:uid="{E9CFACB1-A7FB-4F00-9CE2-FB4E1D866102}"/>
    <cellStyle name="쉼표 [0] 2 3 3 3 4 3" xfId="5822" xr:uid="{00000000-0005-0000-0000-0000FB110000}"/>
    <cellStyle name="쉼표 [0] 2 3 3 3 4 3 2" xfId="13139" xr:uid="{784FABDD-729A-49C0-B49F-87710C019E5D}"/>
    <cellStyle name="쉼표 [0] 2 3 3 3 4 4" xfId="9480" xr:uid="{2F0C2755-73C3-4F91-80B8-A4777C8BE417}"/>
    <cellStyle name="쉼표 [0] 2 3 3 3 5" xfId="3987" xr:uid="{00000000-0005-0000-0000-0000FC110000}"/>
    <cellStyle name="쉼표 [0] 2 3 3 3 5 2" xfId="7648" xr:uid="{00000000-0005-0000-0000-0000FD110000}"/>
    <cellStyle name="쉼표 [0] 2 3 3 3 5 2 2" xfId="14965" xr:uid="{B8E5B613-E622-4213-9A4C-25122D7F3625}"/>
    <cellStyle name="쉼표 [0] 2 3 3 3 5 3" xfId="11307" xr:uid="{8F10EBAF-7FC8-4C4D-8B52-48A54B2DAC9E}"/>
    <cellStyle name="쉼표 [0] 2 3 3 3 6" xfId="5819" xr:uid="{00000000-0005-0000-0000-0000FE110000}"/>
    <cellStyle name="쉼표 [0] 2 3 3 3 6 2" xfId="13136" xr:uid="{11493EB6-9414-4BB6-BC0E-D6539F8DAB1A}"/>
    <cellStyle name="쉼표 [0] 2 3 3 3 7" xfId="9477" xr:uid="{962F6AC4-A78A-4CF4-BF20-F6EA03ED440A}"/>
    <cellStyle name="쉼표 [0] 2 3 3 4" xfId="1642" xr:uid="{00000000-0005-0000-0000-0000FF110000}"/>
    <cellStyle name="쉼표 [0] 2 3 3 4 2" xfId="3991" xr:uid="{00000000-0005-0000-0000-000000120000}"/>
    <cellStyle name="쉼표 [0] 2 3 3 4 2 2" xfId="7652" xr:uid="{00000000-0005-0000-0000-000001120000}"/>
    <cellStyle name="쉼표 [0] 2 3 3 4 2 2 2" xfId="14969" xr:uid="{A03F497D-CA57-4550-AF13-EC0EA64EB04F}"/>
    <cellStyle name="쉼표 [0] 2 3 3 4 2 3" xfId="11311" xr:uid="{DB4E6A99-011B-4D1C-9289-B59A39D3AF89}"/>
    <cellStyle name="쉼표 [0] 2 3 3 4 3" xfId="5823" xr:uid="{00000000-0005-0000-0000-000002120000}"/>
    <cellStyle name="쉼표 [0] 2 3 3 4 3 2" xfId="13140" xr:uid="{1925426F-ACF9-4B19-BB8A-F583D0591E42}"/>
    <cellStyle name="쉼표 [0] 2 3 3 4 4" xfId="9481" xr:uid="{21E66378-4559-4E4B-AF13-49F14976DD1B}"/>
    <cellStyle name="쉼표 [0] 2 3 3 5" xfId="1643" xr:uid="{00000000-0005-0000-0000-000003120000}"/>
    <cellStyle name="쉼표 [0] 2 3 3 5 2" xfId="3992" xr:uid="{00000000-0005-0000-0000-000004120000}"/>
    <cellStyle name="쉼표 [0] 2 3 3 5 2 2" xfId="7653" xr:uid="{00000000-0005-0000-0000-000005120000}"/>
    <cellStyle name="쉼표 [0] 2 3 3 5 2 2 2" xfId="14970" xr:uid="{45BA85C6-E4DE-48C8-88EF-0F57B7916779}"/>
    <cellStyle name="쉼표 [0] 2 3 3 5 2 3" xfId="11312" xr:uid="{F8ACBA6C-1117-4A88-B1C2-F075C1276A08}"/>
    <cellStyle name="쉼표 [0] 2 3 3 5 3" xfId="5824" xr:uid="{00000000-0005-0000-0000-000006120000}"/>
    <cellStyle name="쉼표 [0] 2 3 3 5 3 2" xfId="13141" xr:uid="{7245604E-5804-457F-B295-BC4E871F4416}"/>
    <cellStyle name="쉼표 [0] 2 3 3 5 4" xfId="9482" xr:uid="{8E81B0F6-4849-45C3-93A7-B368925B5C69}"/>
    <cellStyle name="쉼표 [0] 2 3 3 6" xfId="1644" xr:uid="{00000000-0005-0000-0000-000007120000}"/>
    <cellStyle name="쉼표 [0] 2 3 3 6 2" xfId="3993" xr:uid="{00000000-0005-0000-0000-000008120000}"/>
    <cellStyle name="쉼표 [0] 2 3 3 6 2 2" xfId="7654" xr:uid="{00000000-0005-0000-0000-000009120000}"/>
    <cellStyle name="쉼표 [0] 2 3 3 6 2 2 2" xfId="14971" xr:uid="{3ED06A4C-5D37-46B7-A967-405CB85D1505}"/>
    <cellStyle name="쉼표 [0] 2 3 3 6 2 3" xfId="11313" xr:uid="{5DB7AF7A-1AA1-427B-8CEB-6B809D2BF5F7}"/>
    <cellStyle name="쉼표 [0] 2 3 3 6 3" xfId="5825" xr:uid="{00000000-0005-0000-0000-00000A120000}"/>
    <cellStyle name="쉼표 [0] 2 3 3 6 3 2" xfId="13142" xr:uid="{8C49DE8A-826D-4753-A34F-89E37DB0C1E3}"/>
    <cellStyle name="쉼표 [0] 2 3 3 6 4" xfId="9483" xr:uid="{8DE05FDF-C7A5-4297-9AEB-D304351F19C6}"/>
    <cellStyle name="쉼표 [0] 2 3 3 7" xfId="3978" xr:uid="{00000000-0005-0000-0000-00000B120000}"/>
    <cellStyle name="쉼표 [0] 2 3 3 7 2" xfId="7639" xr:uid="{00000000-0005-0000-0000-00000C120000}"/>
    <cellStyle name="쉼표 [0] 2 3 3 7 2 2" xfId="14956" xr:uid="{3CC235A7-D7EB-4F49-9C11-9C6C9019F6AC}"/>
    <cellStyle name="쉼표 [0] 2 3 3 7 3" xfId="11298" xr:uid="{92044808-4A18-48CA-B443-428809339CD6}"/>
    <cellStyle name="쉼표 [0] 2 3 3 8" xfId="5810" xr:uid="{00000000-0005-0000-0000-00000D120000}"/>
    <cellStyle name="쉼표 [0] 2 3 3 8 2" xfId="13127" xr:uid="{E80A6941-1443-4257-89EA-8BBEDA5CEDBD}"/>
    <cellStyle name="쉼표 [0] 2 3 3 9" xfId="9468" xr:uid="{4BE5D5AB-4319-485B-BCA3-426C7F48A11F}"/>
    <cellStyle name="쉼표 [0] 2 3 4" xfId="1645" xr:uid="{00000000-0005-0000-0000-00000E120000}"/>
    <cellStyle name="쉼표 [0] 2 3 4 2" xfId="1646" xr:uid="{00000000-0005-0000-0000-00000F120000}"/>
    <cellStyle name="쉼표 [0] 2 3 4 2 2" xfId="1647" xr:uid="{00000000-0005-0000-0000-000010120000}"/>
    <cellStyle name="쉼표 [0] 2 3 4 2 2 2" xfId="3996" xr:uid="{00000000-0005-0000-0000-000011120000}"/>
    <cellStyle name="쉼표 [0] 2 3 4 2 2 2 2" xfId="7657" xr:uid="{00000000-0005-0000-0000-000012120000}"/>
    <cellStyle name="쉼표 [0] 2 3 4 2 2 2 2 2" xfId="14974" xr:uid="{E4E0D56C-9358-476A-8657-D8CD562E975C}"/>
    <cellStyle name="쉼표 [0] 2 3 4 2 2 2 3" xfId="11316" xr:uid="{0E31F817-1F04-44C5-83F1-12F15C9C1BFA}"/>
    <cellStyle name="쉼표 [0] 2 3 4 2 2 3" xfId="5828" xr:uid="{00000000-0005-0000-0000-000013120000}"/>
    <cellStyle name="쉼표 [0] 2 3 4 2 2 3 2" xfId="13145" xr:uid="{A7CE63B3-8418-4128-93F8-659BF637E5CA}"/>
    <cellStyle name="쉼표 [0] 2 3 4 2 2 4" xfId="9486" xr:uid="{06AD5D7F-C2BC-41A9-8A8F-8FDDBC744977}"/>
    <cellStyle name="쉼표 [0] 2 3 4 2 3" xfId="1648" xr:uid="{00000000-0005-0000-0000-000014120000}"/>
    <cellStyle name="쉼표 [0] 2 3 4 2 3 2" xfId="3997" xr:uid="{00000000-0005-0000-0000-000015120000}"/>
    <cellStyle name="쉼표 [0] 2 3 4 2 3 2 2" xfId="7658" xr:uid="{00000000-0005-0000-0000-000016120000}"/>
    <cellStyle name="쉼표 [0] 2 3 4 2 3 2 2 2" xfId="14975" xr:uid="{9B4D0A70-069F-4BC7-BEA0-50EC9A829DB0}"/>
    <cellStyle name="쉼표 [0] 2 3 4 2 3 2 3" xfId="11317" xr:uid="{732C9C3E-F71F-4989-98F7-CB3B096F6471}"/>
    <cellStyle name="쉼표 [0] 2 3 4 2 3 3" xfId="5829" xr:uid="{00000000-0005-0000-0000-000017120000}"/>
    <cellStyle name="쉼표 [0] 2 3 4 2 3 3 2" xfId="13146" xr:uid="{AB4DC73C-6D4B-485C-8A28-7061FABABD70}"/>
    <cellStyle name="쉼표 [0] 2 3 4 2 3 4" xfId="9487" xr:uid="{6AF2A09D-EA13-4313-B674-895E2E87258F}"/>
    <cellStyle name="쉼표 [0] 2 3 4 2 4" xfId="1649" xr:uid="{00000000-0005-0000-0000-000018120000}"/>
    <cellStyle name="쉼표 [0] 2 3 4 2 4 2" xfId="3998" xr:uid="{00000000-0005-0000-0000-000019120000}"/>
    <cellStyle name="쉼표 [0] 2 3 4 2 4 2 2" xfId="7659" xr:uid="{00000000-0005-0000-0000-00001A120000}"/>
    <cellStyle name="쉼표 [0] 2 3 4 2 4 2 2 2" xfId="14976" xr:uid="{D5348AA9-279D-4D93-84DD-F505CDF99280}"/>
    <cellStyle name="쉼표 [0] 2 3 4 2 4 2 3" xfId="11318" xr:uid="{E5482421-5F97-45C4-A945-BAD4A4995BF8}"/>
    <cellStyle name="쉼표 [0] 2 3 4 2 4 3" xfId="5830" xr:uid="{00000000-0005-0000-0000-00001B120000}"/>
    <cellStyle name="쉼표 [0] 2 3 4 2 4 3 2" xfId="13147" xr:uid="{736A0C86-3236-42CF-BEEB-64E9FE7320AF}"/>
    <cellStyle name="쉼표 [0] 2 3 4 2 4 4" xfId="9488" xr:uid="{591154B7-DD86-45FA-AC04-24E6192578F7}"/>
    <cellStyle name="쉼표 [0] 2 3 4 2 5" xfId="3995" xr:uid="{00000000-0005-0000-0000-00001C120000}"/>
    <cellStyle name="쉼표 [0] 2 3 4 2 5 2" xfId="7656" xr:uid="{00000000-0005-0000-0000-00001D120000}"/>
    <cellStyle name="쉼표 [0] 2 3 4 2 5 2 2" xfId="14973" xr:uid="{A464199A-2778-4625-B54E-E4F0FB72A2CA}"/>
    <cellStyle name="쉼표 [0] 2 3 4 2 5 3" xfId="11315" xr:uid="{2DE769A7-5DD7-4E50-8EC0-34AC26195EF4}"/>
    <cellStyle name="쉼표 [0] 2 3 4 2 6" xfId="5827" xr:uid="{00000000-0005-0000-0000-00001E120000}"/>
    <cellStyle name="쉼표 [0] 2 3 4 2 6 2" xfId="13144" xr:uid="{5275DE02-496C-4E49-A4D9-5C64ACD88799}"/>
    <cellStyle name="쉼표 [0] 2 3 4 2 7" xfId="9485" xr:uid="{E2473DB9-AA99-45D7-AC8F-BA737DE4A456}"/>
    <cellStyle name="쉼표 [0] 2 3 4 3" xfId="1650" xr:uid="{00000000-0005-0000-0000-00001F120000}"/>
    <cellStyle name="쉼표 [0] 2 3 4 3 2" xfId="3999" xr:uid="{00000000-0005-0000-0000-000020120000}"/>
    <cellStyle name="쉼표 [0] 2 3 4 3 2 2" xfId="7660" xr:uid="{00000000-0005-0000-0000-000021120000}"/>
    <cellStyle name="쉼표 [0] 2 3 4 3 2 2 2" xfId="14977" xr:uid="{1F7D5109-83CA-4914-A9EE-4521FFB5A6E5}"/>
    <cellStyle name="쉼표 [0] 2 3 4 3 2 3" xfId="11319" xr:uid="{37262B75-AB37-4730-AE3F-F889291BBD95}"/>
    <cellStyle name="쉼표 [0] 2 3 4 3 3" xfId="5831" xr:uid="{00000000-0005-0000-0000-000022120000}"/>
    <cellStyle name="쉼표 [0] 2 3 4 3 3 2" xfId="13148" xr:uid="{395568EB-63BE-4C1E-9E42-635DC31E422D}"/>
    <cellStyle name="쉼표 [0] 2 3 4 3 4" xfId="9489" xr:uid="{4F83CEBA-2DAF-4DB0-B17A-153120C07C1C}"/>
    <cellStyle name="쉼표 [0] 2 3 4 4" xfId="1651" xr:uid="{00000000-0005-0000-0000-000023120000}"/>
    <cellStyle name="쉼표 [0] 2 3 4 4 2" xfId="4000" xr:uid="{00000000-0005-0000-0000-000024120000}"/>
    <cellStyle name="쉼표 [0] 2 3 4 4 2 2" xfId="7661" xr:uid="{00000000-0005-0000-0000-000025120000}"/>
    <cellStyle name="쉼표 [0] 2 3 4 4 2 2 2" xfId="14978" xr:uid="{6078D69B-B9AD-4F7A-850C-D49A675D0B3B}"/>
    <cellStyle name="쉼표 [0] 2 3 4 4 2 3" xfId="11320" xr:uid="{121ADA97-73EC-451A-92CB-4C82EA1C37E2}"/>
    <cellStyle name="쉼표 [0] 2 3 4 4 3" xfId="5832" xr:uid="{00000000-0005-0000-0000-000026120000}"/>
    <cellStyle name="쉼표 [0] 2 3 4 4 3 2" xfId="13149" xr:uid="{E302C5F7-14E9-4FD0-9B7D-CA9FE545C480}"/>
    <cellStyle name="쉼표 [0] 2 3 4 4 4" xfId="9490" xr:uid="{8B7C104E-9205-4978-BE20-2EB57F13A9A2}"/>
    <cellStyle name="쉼표 [0] 2 3 4 5" xfId="1652" xr:uid="{00000000-0005-0000-0000-000027120000}"/>
    <cellStyle name="쉼표 [0] 2 3 4 5 2" xfId="4001" xr:uid="{00000000-0005-0000-0000-000028120000}"/>
    <cellStyle name="쉼표 [0] 2 3 4 5 2 2" xfId="7662" xr:uid="{00000000-0005-0000-0000-000029120000}"/>
    <cellStyle name="쉼표 [0] 2 3 4 5 2 2 2" xfId="14979" xr:uid="{A59E0D7B-4734-440D-9DB7-67FE49D4414C}"/>
    <cellStyle name="쉼표 [0] 2 3 4 5 2 3" xfId="11321" xr:uid="{168D70D6-F13C-4D8B-8899-771EBD5D5310}"/>
    <cellStyle name="쉼표 [0] 2 3 4 5 3" xfId="5833" xr:uid="{00000000-0005-0000-0000-00002A120000}"/>
    <cellStyle name="쉼표 [0] 2 3 4 5 3 2" xfId="13150" xr:uid="{5502E8B9-AD08-4554-9CAF-E1335B063F53}"/>
    <cellStyle name="쉼표 [0] 2 3 4 5 4" xfId="9491" xr:uid="{18BDB93C-5799-485C-863F-D22918EAC258}"/>
    <cellStyle name="쉼표 [0] 2 3 4 6" xfId="3994" xr:uid="{00000000-0005-0000-0000-00002B120000}"/>
    <cellStyle name="쉼표 [0] 2 3 4 6 2" xfId="7655" xr:uid="{00000000-0005-0000-0000-00002C120000}"/>
    <cellStyle name="쉼표 [0] 2 3 4 6 2 2" xfId="14972" xr:uid="{8559694F-9A82-474E-9453-5D5C2E88B3E6}"/>
    <cellStyle name="쉼표 [0] 2 3 4 6 3" xfId="11314" xr:uid="{C817B432-2C8A-4158-B802-BFC74CD5C109}"/>
    <cellStyle name="쉼표 [0] 2 3 4 7" xfId="5826" xr:uid="{00000000-0005-0000-0000-00002D120000}"/>
    <cellStyle name="쉼표 [0] 2 3 4 7 2" xfId="13143" xr:uid="{1AA4C9B3-CC40-4944-A0B7-600DBBDAEC27}"/>
    <cellStyle name="쉼표 [0] 2 3 4 8" xfId="9484" xr:uid="{10E303BF-3223-4514-9345-92B9255D485C}"/>
    <cellStyle name="쉼표 [0] 2 3 5" xfId="1653" xr:uid="{00000000-0005-0000-0000-00002E120000}"/>
    <cellStyle name="쉼표 [0] 2 3 5 2" xfId="1654" xr:uid="{00000000-0005-0000-0000-00002F120000}"/>
    <cellStyle name="쉼표 [0] 2 3 5 2 2" xfId="1655" xr:uid="{00000000-0005-0000-0000-000030120000}"/>
    <cellStyle name="쉼표 [0] 2 3 5 2 2 2" xfId="4004" xr:uid="{00000000-0005-0000-0000-000031120000}"/>
    <cellStyle name="쉼표 [0] 2 3 5 2 2 2 2" xfId="7665" xr:uid="{00000000-0005-0000-0000-000032120000}"/>
    <cellStyle name="쉼표 [0] 2 3 5 2 2 2 2 2" xfId="14982" xr:uid="{D4F319B8-9C6E-4D47-AC04-883E431520BE}"/>
    <cellStyle name="쉼표 [0] 2 3 5 2 2 2 3" xfId="11324" xr:uid="{B80851F6-1DF8-43D7-9BCC-A7CD83E205DB}"/>
    <cellStyle name="쉼표 [0] 2 3 5 2 2 3" xfId="5836" xr:uid="{00000000-0005-0000-0000-000033120000}"/>
    <cellStyle name="쉼표 [0] 2 3 5 2 2 3 2" xfId="13153" xr:uid="{D6D508DF-A53F-4EDE-89F8-589ABDF4394F}"/>
    <cellStyle name="쉼표 [0] 2 3 5 2 2 4" xfId="9494" xr:uid="{A18922AE-C466-4781-887B-576EBB70E82D}"/>
    <cellStyle name="쉼표 [0] 2 3 5 2 3" xfId="1656" xr:uid="{00000000-0005-0000-0000-000034120000}"/>
    <cellStyle name="쉼표 [0] 2 3 5 2 3 2" xfId="4005" xr:uid="{00000000-0005-0000-0000-000035120000}"/>
    <cellStyle name="쉼표 [0] 2 3 5 2 3 2 2" xfId="7666" xr:uid="{00000000-0005-0000-0000-000036120000}"/>
    <cellStyle name="쉼표 [0] 2 3 5 2 3 2 2 2" xfId="14983" xr:uid="{81412E45-8CD1-4839-A6D7-2DC0E8FF5FF1}"/>
    <cellStyle name="쉼표 [0] 2 3 5 2 3 2 3" xfId="11325" xr:uid="{216DFA55-024B-494F-BBCD-F9B49CE48D28}"/>
    <cellStyle name="쉼표 [0] 2 3 5 2 3 3" xfId="5837" xr:uid="{00000000-0005-0000-0000-000037120000}"/>
    <cellStyle name="쉼표 [0] 2 3 5 2 3 3 2" xfId="13154" xr:uid="{6D36FF4F-9549-4853-81F2-31D797A89B96}"/>
    <cellStyle name="쉼표 [0] 2 3 5 2 3 4" xfId="9495" xr:uid="{61B06CC4-B156-4F19-B67F-F6089A115CDB}"/>
    <cellStyle name="쉼표 [0] 2 3 5 2 4" xfId="1657" xr:uid="{00000000-0005-0000-0000-000038120000}"/>
    <cellStyle name="쉼표 [0] 2 3 5 2 4 2" xfId="4006" xr:uid="{00000000-0005-0000-0000-000039120000}"/>
    <cellStyle name="쉼표 [0] 2 3 5 2 4 2 2" xfId="7667" xr:uid="{00000000-0005-0000-0000-00003A120000}"/>
    <cellStyle name="쉼표 [0] 2 3 5 2 4 2 2 2" xfId="14984" xr:uid="{F24C5FA0-23AF-4483-9B22-588D75DDEB77}"/>
    <cellStyle name="쉼표 [0] 2 3 5 2 4 2 3" xfId="11326" xr:uid="{800C7A87-EC19-4D6A-9D00-4A8C47D7158B}"/>
    <cellStyle name="쉼표 [0] 2 3 5 2 4 3" xfId="5838" xr:uid="{00000000-0005-0000-0000-00003B120000}"/>
    <cellStyle name="쉼표 [0] 2 3 5 2 4 3 2" xfId="13155" xr:uid="{0FEDE169-163E-4543-86AA-0A3C1F2B7A3C}"/>
    <cellStyle name="쉼표 [0] 2 3 5 2 4 4" xfId="9496" xr:uid="{FE44E7B6-5CD7-415B-A91D-894C4F7060F4}"/>
    <cellStyle name="쉼표 [0] 2 3 5 2 5" xfId="4003" xr:uid="{00000000-0005-0000-0000-00003C120000}"/>
    <cellStyle name="쉼표 [0] 2 3 5 2 5 2" xfId="7664" xr:uid="{00000000-0005-0000-0000-00003D120000}"/>
    <cellStyle name="쉼표 [0] 2 3 5 2 5 2 2" xfId="14981" xr:uid="{7235F1AF-873A-4160-A296-3075651BE0CF}"/>
    <cellStyle name="쉼표 [0] 2 3 5 2 5 3" xfId="11323" xr:uid="{B149B819-D799-4807-9641-4C8E858BC43B}"/>
    <cellStyle name="쉼표 [0] 2 3 5 2 6" xfId="5835" xr:uid="{00000000-0005-0000-0000-00003E120000}"/>
    <cellStyle name="쉼표 [0] 2 3 5 2 6 2" xfId="13152" xr:uid="{5A5AECC6-572E-43A7-BA68-CBA51368139E}"/>
    <cellStyle name="쉼표 [0] 2 3 5 2 7" xfId="9493" xr:uid="{B6B4A391-8B3A-4D77-80E7-52400E04C0B0}"/>
    <cellStyle name="쉼표 [0] 2 3 5 3" xfId="1658" xr:uid="{00000000-0005-0000-0000-00003F120000}"/>
    <cellStyle name="쉼표 [0] 2 3 5 3 2" xfId="4007" xr:uid="{00000000-0005-0000-0000-000040120000}"/>
    <cellStyle name="쉼표 [0] 2 3 5 3 2 2" xfId="7668" xr:uid="{00000000-0005-0000-0000-000041120000}"/>
    <cellStyle name="쉼표 [0] 2 3 5 3 2 2 2" xfId="14985" xr:uid="{5E711A09-6338-4096-AF37-2AF946BD0FAB}"/>
    <cellStyle name="쉼표 [0] 2 3 5 3 2 3" xfId="11327" xr:uid="{DF33F905-605D-4F21-9737-0AA89D21D1E9}"/>
    <cellStyle name="쉼표 [0] 2 3 5 3 3" xfId="5839" xr:uid="{00000000-0005-0000-0000-000042120000}"/>
    <cellStyle name="쉼표 [0] 2 3 5 3 3 2" xfId="13156" xr:uid="{A15DEFEF-D5F6-42A2-A4AA-4CC4DDE3B882}"/>
    <cellStyle name="쉼표 [0] 2 3 5 3 4" xfId="9497" xr:uid="{89E7F6F0-BBF3-4419-99F9-F32E45AE80BC}"/>
    <cellStyle name="쉼표 [0] 2 3 5 4" xfId="1659" xr:uid="{00000000-0005-0000-0000-000043120000}"/>
    <cellStyle name="쉼표 [0] 2 3 5 4 2" xfId="4008" xr:uid="{00000000-0005-0000-0000-000044120000}"/>
    <cellStyle name="쉼표 [0] 2 3 5 4 2 2" xfId="7669" xr:uid="{00000000-0005-0000-0000-000045120000}"/>
    <cellStyle name="쉼표 [0] 2 3 5 4 2 2 2" xfId="14986" xr:uid="{5558C7DE-6435-4FB8-B38A-D0C852ADD119}"/>
    <cellStyle name="쉼표 [0] 2 3 5 4 2 3" xfId="11328" xr:uid="{077F5A29-35C9-4538-ABF3-106067622B84}"/>
    <cellStyle name="쉼표 [0] 2 3 5 4 3" xfId="5840" xr:uid="{00000000-0005-0000-0000-000046120000}"/>
    <cellStyle name="쉼표 [0] 2 3 5 4 3 2" xfId="13157" xr:uid="{0118EC75-9553-4E7F-8A3C-800503B44E72}"/>
    <cellStyle name="쉼표 [0] 2 3 5 4 4" xfId="9498" xr:uid="{719C5468-54FA-4498-A3F0-E248C4623DFB}"/>
    <cellStyle name="쉼표 [0] 2 3 5 5" xfId="1660" xr:uid="{00000000-0005-0000-0000-000047120000}"/>
    <cellStyle name="쉼표 [0] 2 3 5 5 2" xfId="4009" xr:uid="{00000000-0005-0000-0000-000048120000}"/>
    <cellStyle name="쉼표 [0] 2 3 5 5 2 2" xfId="7670" xr:uid="{00000000-0005-0000-0000-000049120000}"/>
    <cellStyle name="쉼표 [0] 2 3 5 5 2 2 2" xfId="14987" xr:uid="{1774C257-DF5D-4E4E-B255-C7BA44D133F0}"/>
    <cellStyle name="쉼표 [0] 2 3 5 5 2 3" xfId="11329" xr:uid="{E2F6A905-10DB-48A9-8392-F92B21804BF4}"/>
    <cellStyle name="쉼표 [0] 2 3 5 5 3" xfId="5841" xr:uid="{00000000-0005-0000-0000-00004A120000}"/>
    <cellStyle name="쉼표 [0] 2 3 5 5 3 2" xfId="13158" xr:uid="{DC2A44C8-E579-4611-BA33-89298AACD975}"/>
    <cellStyle name="쉼표 [0] 2 3 5 5 4" xfId="9499" xr:uid="{78F74149-E567-4125-8698-767EAAE88CB4}"/>
    <cellStyle name="쉼표 [0] 2 3 5 6" xfId="4002" xr:uid="{00000000-0005-0000-0000-00004B120000}"/>
    <cellStyle name="쉼표 [0] 2 3 5 6 2" xfId="7663" xr:uid="{00000000-0005-0000-0000-00004C120000}"/>
    <cellStyle name="쉼표 [0] 2 3 5 6 2 2" xfId="14980" xr:uid="{98765F70-797C-4A3E-BF02-F4D82CB6BBBA}"/>
    <cellStyle name="쉼표 [0] 2 3 5 6 3" xfId="11322" xr:uid="{81A04906-7816-4B5D-974D-8752BDC23905}"/>
    <cellStyle name="쉼표 [0] 2 3 5 7" xfId="5834" xr:uid="{00000000-0005-0000-0000-00004D120000}"/>
    <cellStyle name="쉼표 [0] 2 3 5 7 2" xfId="13151" xr:uid="{C83A3D2E-0BF7-40D3-B34D-4411D58B0458}"/>
    <cellStyle name="쉼표 [0] 2 3 5 8" xfId="9492" xr:uid="{3B8B51FD-5E60-4C5F-8409-3ED24F8CFA94}"/>
    <cellStyle name="쉼표 [0] 2 3 6" xfId="1661" xr:uid="{00000000-0005-0000-0000-00004E120000}"/>
    <cellStyle name="쉼표 [0] 2 3 6 2" xfId="1662" xr:uid="{00000000-0005-0000-0000-00004F120000}"/>
    <cellStyle name="쉼표 [0] 2 3 6 2 2" xfId="1663" xr:uid="{00000000-0005-0000-0000-000050120000}"/>
    <cellStyle name="쉼표 [0] 2 3 6 2 2 2" xfId="4012" xr:uid="{00000000-0005-0000-0000-000051120000}"/>
    <cellStyle name="쉼표 [0] 2 3 6 2 2 2 2" xfId="7673" xr:uid="{00000000-0005-0000-0000-000052120000}"/>
    <cellStyle name="쉼표 [0] 2 3 6 2 2 2 2 2" xfId="14990" xr:uid="{9395E2C3-DAC4-46B5-8943-248C038622E9}"/>
    <cellStyle name="쉼표 [0] 2 3 6 2 2 2 3" xfId="11332" xr:uid="{D9A90A13-1778-4FAC-92F5-B879364766BD}"/>
    <cellStyle name="쉼표 [0] 2 3 6 2 2 3" xfId="5844" xr:uid="{00000000-0005-0000-0000-000053120000}"/>
    <cellStyle name="쉼표 [0] 2 3 6 2 2 3 2" xfId="13161" xr:uid="{CCCD5272-99CC-49FA-87AE-3B6DD77230A9}"/>
    <cellStyle name="쉼표 [0] 2 3 6 2 2 4" xfId="9502" xr:uid="{1F2B2594-BFD4-4888-AAFC-C231E8A1B580}"/>
    <cellStyle name="쉼표 [0] 2 3 6 2 3" xfId="1664" xr:uid="{00000000-0005-0000-0000-000054120000}"/>
    <cellStyle name="쉼표 [0] 2 3 6 2 3 2" xfId="4013" xr:uid="{00000000-0005-0000-0000-000055120000}"/>
    <cellStyle name="쉼표 [0] 2 3 6 2 3 2 2" xfId="7674" xr:uid="{00000000-0005-0000-0000-000056120000}"/>
    <cellStyle name="쉼표 [0] 2 3 6 2 3 2 2 2" xfId="14991" xr:uid="{333F5AE9-A518-45AB-B4AA-2B69E3D00BCB}"/>
    <cellStyle name="쉼표 [0] 2 3 6 2 3 2 3" xfId="11333" xr:uid="{075E70B6-2172-4C88-BB5D-2696C93DA83F}"/>
    <cellStyle name="쉼표 [0] 2 3 6 2 3 3" xfId="5845" xr:uid="{00000000-0005-0000-0000-000057120000}"/>
    <cellStyle name="쉼표 [0] 2 3 6 2 3 3 2" xfId="13162" xr:uid="{3552497C-8ACC-410C-AE22-CE270FEC8AF7}"/>
    <cellStyle name="쉼표 [0] 2 3 6 2 3 4" xfId="9503" xr:uid="{03D066B0-D851-41F3-8E34-35DE0C4B60BF}"/>
    <cellStyle name="쉼표 [0] 2 3 6 2 4" xfId="1665" xr:uid="{00000000-0005-0000-0000-000058120000}"/>
    <cellStyle name="쉼표 [0] 2 3 6 2 4 2" xfId="4014" xr:uid="{00000000-0005-0000-0000-000059120000}"/>
    <cellStyle name="쉼표 [0] 2 3 6 2 4 2 2" xfId="7675" xr:uid="{00000000-0005-0000-0000-00005A120000}"/>
    <cellStyle name="쉼표 [0] 2 3 6 2 4 2 2 2" xfId="14992" xr:uid="{22CD4079-1555-4DD0-B797-D9B1CC3898F9}"/>
    <cellStyle name="쉼표 [0] 2 3 6 2 4 2 3" xfId="11334" xr:uid="{AD969A24-DA59-49A9-BAF2-0F479D47EBCC}"/>
    <cellStyle name="쉼표 [0] 2 3 6 2 4 3" xfId="5846" xr:uid="{00000000-0005-0000-0000-00005B120000}"/>
    <cellStyle name="쉼표 [0] 2 3 6 2 4 3 2" xfId="13163" xr:uid="{4C9484FC-730E-4D80-B86D-88671EC80D6F}"/>
    <cellStyle name="쉼표 [0] 2 3 6 2 4 4" xfId="9504" xr:uid="{B9A1B52D-5D9A-467E-825B-5A5670A5E0F2}"/>
    <cellStyle name="쉼표 [0] 2 3 6 2 5" xfId="4011" xr:uid="{00000000-0005-0000-0000-00005C120000}"/>
    <cellStyle name="쉼표 [0] 2 3 6 2 5 2" xfId="7672" xr:uid="{00000000-0005-0000-0000-00005D120000}"/>
    <cellStyle name="쉼표 [0] 2 3 6 2 5 2 2" xfId="14989" xr:uid="{FAB3EAE6-CEC7-434A-99E1-40469B57E01E}"/>
    <cellStyle name="쉼표 [0] 2 3 6 2 5 3" xfId="11331" xr:uid="{BB3EAD9B-A7BE-485F-8C7E-433798E6702D}"/>
    <cellStyle name="쉼표 [0] 2 3 6 2 6" xfId="5843" xr:uid="{00000000-0005-0000-0000-00005E120000}"/>
    <cellStyle name="쉼표 [0] 2 3 6 2 6 2" xfId="13160" xr:uid="{6DC19E2C-99C4-4854-86AD-BC6883BDF2CE}"/>
    <cellStyle name="쉼표 [0] 2 3 6 2 7" xfId="9501" xr:uid="{2709EA3E-DEA1-4EAC-AEA2-7A6E1EFC0E15}"/>
    <cellStyle name="쉼표 [0] 2 3 6 3" xfId="1666" xr:uid="{00000000-0005-0000-0000-00005F120000}"/>
    <cellStyle name="쉼표 [0] 2 3 6 3 2" xfId="4015" xr:uid="{00000000-0005-0000-0000-000060120000}"/>
    <cellStyle name="쉼표 [0] 2 3 6 3 2 2" xfId="7676" xr:uid="{00000000-0005-0000-0000-000061120000}"/>
    <cellStyle name="쉼표 [0] 2 3 6 3 2 2 2" xfId="14993" xr:uid="{882793BE-65FE-4987-B315-54C416336066}"/>
    <cellStyle name="쉼표 [0] 2 3 6 3 2 3" xfId="11335" xr:uid="{887E134D-6B5D-4DCE-AA9F-AEAF2AB4D9CC}"/>
    <cellStyle name="쉼표 [0] 2 3 6 3 3" xfId="5847" xr:uid="{00000000-0005-0000-0000-000062120000}"/>
    <cellStyle name="쉼표 [0] 2 3 6 3 3 2" xfId="13164" xr:uid="{D8C66531-DF93-4BAD-914E-306711957208}"/>
    <cellStyle name="쉼표 [0] 2 3 6 3 4" xfId="9505" xr:uid="{9C43D96B-C445-4778-8179-975B156C9406}"/>
    <cellStyle name="쉼표 [0] 2 3 6 4" xfId="1667" xr:uid="{00000000-0005-0000-0000-000063120000}"/>
    <cellStyle name="쉼표 [0] 2 3 6 4 2" xfId="4016" xr:uid="{00000000-0005-0000-0000-000064120000}"/>
    <cellStyle name="쉼표 [0] 2 3 6 4 2 2" xfId="7677" xr:uid="{00000000-0005-0000-0000-000065120000}"/>
    <cellStyle name="쉼표 [0] 2 3 6 4 2 2 2" xfId="14994" xr:uid="{37E3F9C9-66B9-4082-B5EC-F7207FDC2A60}"/>
    <cellStyle name="쉼표 [0] 2 3 6 4 2 3" xfId="11336" xr:uid="{C7BBD6A6-80F7-42FA-8D36-E1273C76F221}"/>
    <cellStyle name="쉼표 [0] 2 3 6 4 3" xfId="5848" xr:uid="{00000000-0005-0000-0000-000066120000}"/>
    <cellStyle name="쉼표 [0] 2 3 6 4 3 2" xfId="13165" xr:uid="{4F72D686-F5A7-489E-8437-53E62678A118}"/>
    <cellStyle name="쉼표 [0] 2 3 6 4 4" xfId="9506" xr:uid="{C6DCD820-893A-47A5-B9B4-2A3490BA4089}"/>
    <cellStyle name="쉼표 [0] 2 3 6 5" xfId="1668" xr:uid="{00000000-0005-0000-0000-000067120000}"/>
    <cellStyle name="쉼표 [0] 2 3 6 5 2" xfId="4017" xr:uid="{00000000-0005-0000-0000-000068120000}"/>
    <cellStyle name="쉼표 [0] 2 3 6 5 2 2" xfId="7678" xr:uid="{00000000-0005-0000-0000-000069120000}"/>
    <cellStyle name="쉼표 [0] 2 3 6 5 2 2 2" xfId="14995" xr:uid="{C2996DC6-0D20-4A67-AA90-4323E50D108D}"/>
    <cellStyle name="쉼표 [0] 2 3 6 5 2 3" xfId="11337" xr:uid="{FF6050D0-0CCC-4518-9C78-14899F811533}"/>
    <cellStyle name="쉼표 [0] 2 3 6 5 3" xfId="5849" xr:uid="{00000000-0005-0000-0000-00006A120000}"/>
    <cellStyle name="쉼표 [0] 2 3 6 5 3 2" xfId="13166" xr:uid="{87C415C9-93D8-4C90-90BF-4CB68ED4AC13}"/>
    <cellStyle name="쉼표 [0] 2 3 6 5 4" xfId="9507" xr:uid="{45653CC8-B84D-4260-A50B-85310971CEA2}"/>
    <cellStyle name="쉼표 [0] 2 3 6 6" xfId="4010" xr:uid="{00000000-0005-0000-0000-00006B120000}"/>
    <cellStyle name="쉼표 [0] 2 3 6 6 2" xfId="7671" xr:uid="{00000000-0005-0000-0000-00006C120000}"/>
    <cellStyle name="쉼표 [0] 2 3 6 6 2 2" xfId="14988" xr:uid="{03D4C159-A589-41B3-9A0D-6EC6B000EA3A}"/>
    <cellStyle name="쉼표 [0] 2 3 6 6 3" xfId="11330" xr:uid="{5CC2C967-FC09-418F-81F0-6ABA3D96DD6B}"/>
    <cellStyle name="쉼표 [0] 2 3 6 7" xfId="5842" xr:uid="{00000000-0005-0000-0000-00006D120000}"/>
    <cellStyle name="쉼표 [0] 2 3 6 7 2" xfId="13159" xr:uid="{36B30DA4-A3DF-4C2B-91C4-304FFB22F069}"/>
    <cellStyle name="쉼표 [0] 2 3 6 8" xfId="9500" xr:uid="{A993AAF5-3DAB-403D-828E-46BB6B2DE5FB}"/>
    <cellStyle name="쉼표 [0] 2 3 7" xfId="1669" xr:uid="{00000000-0005-0000-0000-00006E120000}"/>
    <cellStyle name="쉼표 [0] 2 3 7 2" xfId="1670" xr:uid="{00000000-0005-0000-0000-00006F120000}"/>
    <cellStyle name="쉼표 [0] 2 3 7 2 2" xfId="1671" xr:uid="{00000000-0005-0000-0000-000070120000}"/>
    <cellStyle name="쉼표 [0] 2 3 7 2 2 2" xfId="4020" xr:uid="{00000000-0005-0000-0000-000071120000}"/>
    <cellStyle name="쉼표 [0] 2 3 7 2 2 2 2" xfId="7681" xr:uid="{00000000-0005-0000-0000-000072120000}"/>
    <cellStyle name="쉼표 [0] 2 3 7 2 2 2 2 2" xfId="14998" xr:uid="{34F6341B-8742-414C-9E42-D2BDE0391A43}"/>
    <cellStyle name="쉼표 [0] 2 3 7 2 2 2 3" xfId="11340" xr:uid="{566B0215-0AC5-457E-9FE3-BB83286F1794}"/>
    <cellStyle name="쉼표 [0] 2 3 7 2 2 3" xfId="5852" xr:uid="{00000000-0005-0000-0000-000073120000}"/>
    <cellStyle name="쉼표 [0] 2 3 7 2 2 3 2" xfId="13169" xr:uid="{737D3B0B-B87F-4E84-96C4-1A012915D4F7}"/>
    <cellStyle name="쉼표 [0] 2 3 7 2 2 4" xfId="9510" xr:uid="{F9D749B4-A0DA-4A45-A9EE-3EBD63E6F349}"/>
    <cellStyle name="쉼표 [0] 2 3 7 2 3" xfId="1672" xr:uid="{00000000-0005-0000-0000-000074120000}"/>
    <cellStyle name="쉼표 [0] 2 3 7 2 3 2" xfId="4021" xr:uid="{00000000-0005-0000-0000-000075120000}"/>
    <cellStyle name="쉼표 [0] 2 3 7 2 3 2 2" xfId="7682" xr:uid="{00000000-0005-0000-0000-000076120000}"/>
    <cellStyle name="쉼표 [0] 2 3 7 2 3 2 2 2" xfId="14999" xr:uid="{2F9D5AD4-62E7-4E19-B8C2-BC6E08E8227E}"/>
    <cellStyle name="쉼표 [0] 2 3 7 2 3 2 3" xfId="11341" xr:uid="{2184B497-5CED-4D18-9703-58C861C13E67}"/>
    <cellStyle name="쉼표 [0] 2 3 7 2 3 3" xfId="5853" xr:uid="{00000000-0005-0000-0000-000077120000}"/>
    <cellStyle name="쉼표 [0] 2 3 7 2 3 3 2" xfId="13170" xr:uid="{FCB37B9E-A080-44F9-96B5-C0BCA6045B03}"/>
    <cellStyle name="쉼표 [0] 2 3 7 2 3 4" xfId="9511" xr:uid="{C10BA31F-3EB9-4038-821B-21AE1DD7CC64}"/>
    <cellStyle name="쉼표 [0] 2 3 7 2 4" xfId="1673" xr:uid="{00000000-0005-0000-0000-000078120000}"/>
    <cellStyle name="쉼표 [0] 2 3 7 2 4 2" xfId="4022" xr:uid="{00000000-0005-0000-0000-000079120000}"/>
    <cellStyle name="쉼표 [0] 2 3 7 2 4 2 2" xfId="7683" xr:uid="{00000000-0005-0000-0000-00007A120000}"/>
    <cellStyle name="쉼표 [0] 2 3 7 2 4 2 2 2" xfId="15000" xr:uid="{8BF1D0F8-2B0D-4D3A-B803-692C519CDCE0}"/>
    <cellStyle name="쉼표 [0] 2 3 7 2 4 2 3" xfId="11342" xr:uid="{EE7C64A5-0866-40DF-A790-FDE713F8013C}"/>
    <cellStyle name="쉼표 [0] 2 3 7 2 4 3" xfId="5854" xr:uid="{00000000-0005-0000-0000-00007B120000}"/>
    <cellStyle name="쉼표 [0] 2 3 7 2 4 3 2" xfId="13171" xr:uid="{B03271F4-51EC-4BE2-B1E5-D4EFA2207B56}"/>
    <cellStyle name="쉼표 [0] 2 3 7 2 4 4" xfId="9512" xr:uid="{9BC26CAD-C0D2-44EB-9BC7-16F41841D474}"/>
    <cellStyle name="쉼표 [0] 2 3 7 2 5" xfId="4019" xr:uid="{00000000-0005-0000-0000-00007C120000}"/>
    <cellStyle name="쉼표 [0] 2 3 7 2 5 2" xfId="7680" xr:uid="{00000000-0005-0000-0000-00007D120000}"/>
    <cellStyle name="쉼표 [0] 2 3 7 2 5 2 2" xfId="14997" xr:uid="{0314CA0D-E83B-484D-834B-D13C4AB0DFDA}"/>
    <cellStyle name="쉼표 [0] 2 3 7 2 5 3" xfId="11339" xr:uid="{855C18D2-11BC-45E7-8905-1251AEEC0F7E}"/>
    <cellStyle name="쉼표 [0] 2 3 7 2 6" xfId="5851" xr:uid="{00000000-0005-0000-0000-00007E120000}"/>
    <cellStyle name="쉼표 [0] 2 3 7 2 6 2" xfId="13168" xr:uid="{DC763D64-401E-44A9-A0E1-454B82ADB34C}"/>
    <cellStyle name="쉼표 [0] 2 3 7 2 7" xfId="9509" xr:uid="{10F19F25-7992-4BE3-AD00-C09A30D917DF}"/>
    <cellStyle name="쉼표 [0] 2 3 7 3" xfId="1674" xr:uid="{00000000-0005-0000-0000-00007F120000}"/>
    <cellStyle name="쉼표 [0] 2 3 7 3 2" xfId="4023" xr:uid="{00000000-0005-0000-0000-000080120000}"/>
    <cellStyle name="쉼표 [0] 2 3 7 3 2 2" xfId="7684" xr:uid="{00000000-0005-0000-0000-000081120000}"/>
    <cellStyle name="쉼표 [0] 2 3 7 3 2 2 2" xfId="15001" xr:uid="{482A1446-9B78-499B-96BD-92134CD6D593}"/>
    <cellStyle name="쉼표 [0] 2 3 7 3 2 3" xfId="11343" xr:uid="{B1065C4F-706F-46BE-A956-547225055D90}"/>
    <cellStyle name="쉼표 [0] 2 3 7 3 3" xfId="5855" xr:uid="{00000000-0005-0000-0000-000082120000}"/>
    <cellStyle name="쉼표 [0] 2 3 7 3 3 2" xfId="13172" xr:uid="{488E5BFF-406F-4EC5-880C-8FCD4F81BB30}"/>
    <cellStyle name="쉼표 [0] 2 3 7 3 4" xfId="9513" xr:uid="{DB64CC4C-8C69-4E52-AF1B-CA936B919997}"/>
    <cellStyle name="쉼표 [0] 2 3 7 4" xfId="1675" xr:uid="{00000000-0005-0000-0000-000083120000}"/>
    <cellStyle name="쉼표 [0] 2 3 7 4 2" xfId="4024" xr:uid="{00000000-0005-0000-0000-000084120000}"/>
    <cellStyle name="쉼표 [0] 2 3 7 4 2 2" xfId="7685" xr:uid="{00000000-0005-0000-0000-000085120000}"/>
    <cellStyle name="쉼표 [0] 2 3 7 4 2 2 2" xfId="15002" xr:uid="{31FCD214-588A-4154-AA51-477BEEDFA92E}"/>
    <cellStyle name="쉼표 [0] 2 3 7 4 2 3" xfId="11344" xr:uid="{F9697C00-F1D3-400B-88C9-B70E66CD757E}"/>
    <cellStyle name="쉼표 [0] 2 3 7 4 3" xfId="5856" xr:uid="{00000000-0005-0000-0000-000086120000}"/>
    <cellStyle name="쉼표 [0] 2 3 7 4 3 2" xfId="13173" xr:uid="{94907E19-C14E-47A7-AE57-E6B9DCA38FD7}"/>
    <cellStyle name="쉼표 [0] 2 3 7 4 4" xfId="9514" xr:uid="{FBF627D6-2DF5-4145-9BCE-B58FD12A8BF7}"/>
    <cellStyle name="쉼표 [0] 2 3 7 5" xfId="1676" xr:uid="{00000000-0005-0000-0000-000087120000}"/>
    <cellStyle name="쉼표 [0] 2 3 7 5 2" xfId="4025" xr:uid="{00000000-0005-0000-0000-000088120000}"/>
    <cellStyle name="쉼표 [0] 2 3 7 5 2 2" xfId="7686" xr:uid="{00000000-0005-0000-0000-000089120000}"/>
    <cellStyle name="쉼표 [0] 2 3 7 5 2 2 2" xfId="15003" xr:uid="{A7A3EE34-45E5-4CA9-AE76-A71270A9FAFD}"/>
    <cellStyle name="쉼표 [0] 2 3 7 5 2 3" xfId="11345" xr:uid="{60C6432A-72A1-4E72-9B90-7F00F57B3FEA}"/>
    <cellStyle name="쉼표 [0] 2 3 7 5 3" xfId="5857" xr:uid="{00000000-0005-0000-0000-00008A120000}"/>
    <cellStyle name="쉼표 [0] 2 3 7 5 3 2" xfId="13174" xr:uid="{3656252C-9FFE-48D8-945B-80AA7BC78F46}"/>
    <cellStyle name="쉼표 [0] 2 3 7 5 4" xfId="9515" xr:uid="{BC394913-D9DF-4E8E-A801-701E03F443CC}"/>
    <cellStyle name="쉼표 [0] 2 3 7 6" xfId="4018" xr:uid="{00000000-0005-0000-0000-00008B120000}"/>
    <cellStyle name="쉼표 [0] 2 3 7 6 2" xfId="7679" xr:uid="{00000000-0005-0000-0000-00008C120000}"/>
    <cellStyle name="쉼표 [0] 2 3 7 6 2 2" xfId="14996" xr:uid="{815861FD-880E-4695-B642-8BD76AA70AF8}"/>
    <cellStyle name="쉼표 [0] 2 3 7 6 3" xfId="11338" xr:uid="{046DAE14-EEE9-495F-BFE1-6B29570C1F5A}"/>
    <cellStyle name="쉼표 [0] 2 3 7 7" xfId="5850" xr:uid="{00000000-0005-0000-0000-00008D120000}"/>
    <cellStyle name="쉼표 [0] 2 3 7 7 2" xfId="13167" xr:uid="{520DA413-C09C-42CC-8E95-335DDC025A80}"/>
    <cellStyle name="쉼표 [0] 2 3 7 8" xfId="9508" xr:uid="{DA1C3A87-DAF5-4245-9890-8701C7B2977C}"/>
    <cellStyle name="쉼표 [0] 2 3 8" xfId="1677" xr:uid="{00000000-0005-0000-0000-00008E120000}"/>
    <cellStyle name="쉼표 [0] 2 3 9" xfId="1678" xr:uid="{00000000-0005-0000-0000-00008F120000}"/>
    <cellStyle name="쉼표 [0] 2 3 9 2" xfId="4026" xr:uid="{00000000-0005-0000-0000-000090120000}"/>
    <cellStyle name="쉼표 [0] 2 3 9 2 2" xfId="7687" xr:uid="{00000000-0005-0000-0000-000091120000}"/>
    <cellStyle name="쉼표 [0] 2 3 9 2 2 2" xfId="15004" xr:uid="{696D6416-3CE7-4541-BF52-2C17A4376705}"/>
    <cellStyle name="쉼표 [0] 2 3 9 2 3" xfId="11346" xr:uid="{55E356F8-753D-48E6-802F-2E2730029F6A}"/>
    <cellStyle name="쉼표 [0] 2 3 9 3" xfId="5858" xr:uid="{00000000-0005-0000-0000-000092120000}"/>
    <cellStyle name="쉼표 [0] 2 3 9 3 2" xfId="13175" xr:uid="{ABCB9866-E8DD-462A-AD33-0C717D4A363E}"/>
    <cellStyle name="쉼표 [0] 2 3 9 4" xfId="9516" xr:uid="{7AE13DF2-693B-423D-A1B6-6342978A76EA}"/>
    <cellStyle name="쉼표 [0] 2 30" xfId="1679" xr:uid="{00000000-0005-0000-0000-000093120000}"/>
    <cellStyle name="쉼표 [0] 2 30 2" xfId="1680" xr:uid="{00000000-0005-0000-0000-000094120000}"/>
    <cellStyle name="쉼표 [0] 2 30 2 2" xfId="1681" xr:uid="{00000000-0005-0000-0000-000095120000}"/>
    <cellStyle name="쉼표 [0] 2 30 2 2 2" xfId="4028" xr:uid="{00000000-0005-0000-0000-000096120000}"/>
    <cellStyle name="쉼표 [0] 2 30 2 2 2 2" xfId="7689" xr:uid="{00000000-0005-0000-0000-000097120000}"/>
    <cellStyle name="쉼표 [0] 2 30 2 2 2 2 2" xfId="15006" xr:uid="{04A4BE40-2EC8-4E15-B930-B9659505338B}"/>
    <cellStyle name="쉼표 [0] 2 30 2 2 2 3" xfId="11348" xr:uid="{5F7E1224-C503-471E-BBA2-849D6B19B8E9}"/>
    <cellStyle name="쉼표 [0] 2 30 2 2 3" xfId="5860" xr:uid="{00000000-0005-0000-0000-000098120000}"/>
    <cellStyle name="쉼표 [0] 2 30 2 2 3 2" xfId="13177" xr:uid="{ACCEB27B-198B-4CC5-8E72-97488986B127}"/>
    <cellStyle name="쉼표 [0] 2 30 2 2 4" xfId="9518" xr:uid="{0A20C805-8C8E-434E-B8BD-641FD02D1191}"/>
    <cellStyle name="쉼표 [0] 2 30 2 3" xfId="1682" xr:uid="{00000000-0005-0000-0000-000099120000}"/>
    <cellStyle name="쉼표 [0] 2 30 2 3 2" xfId="4029" xr:uid="{00000000-0005-0000-0000-00009A120000}"/>
    <cellStyle name="쉼표 [0] 2 30 2 3 2 2" xfId="7690" xr:uid="{00000000-0005-0000-0000-00009B120000}"/>
    <cellStyle name="쉼표 [0] 2 30 2 3 2 2 2" xfId="15007" xr:uid="{0F9A848E-C224-4572-83CD-13307725ADDE}"/>
    <cellStyle name="쉼표 [0] 2 30 2 3 2 3" xfId="11349" xr:uid="{F0C2C2E8-BD2B-4A8B-ABC1-4448A0E71377}"/>
    <cellStyle name="쉼표 [0] 2 30 2 3 3" xfId="5861" xr:uid="{00000000-0005-0000-0000-00009C120000}"/>
    <cellStyle name="쉼표 [0] 2 30 2 3 3 2" xfId="13178" xr:uid="{A147B944-C39E-431D-90E2-6D2AAFB776C5}"/>
    <cellStyle name="쉼표 [0] 2 30 2 3 4" xfId="9519" xr:uid="{DE5EFCD2-BA95-4152-9333-AB6A40B44AF6}"/>
    <cellStyle name="쉼표 [0] 2 30 2 4" xfId="1683" xr:uid="{00000000-0005-0000-0000-00009D120000}"/>
    <cellStyle name="쉼표 [0] 2 30 2 4 2" xfId="4030" xr:uid="{00000000-0005-0000-0000-00009E120000}"/>
    <cellStyle name="쉼표 [0] 2 30 2 4 2 2" xfId="7691" xr:uid="{00000000-0005-0000-0000-00009F120000}"/>
    <cellStyle name="쉼표 [0] 2 30 2 4 2 2 2" xfId="15008" xr:uid="{2F48D558-10F9-4D87-8458-0A9A6716BAA8}"/>
    <cellStyle name="쉼표 [0] 2 30 2 4 2 3" xfId="11350" xr:uid="{FCFF6212-A376-4EB9-86E4-BA922337EA79}"/>
    <cellStyle name="쉼표 [0] 2 30 2 4 3" xfId="5862" xr:uid="{00000000-0005-0000-0000-0000A0120000}"/>
    <cellStyle name="쉼표 [0] 2 30 2 4 3 2" xfId="13179" xr:uid="{FEA4D4D4-3A64-4342-8DD3-D30512C145F2}"/>
    <cellStyle name="쉼표 [0] 2 30 2 4 4" xfId="9520" xr:uid="{03D976DF-54EB-4DB6-BDF4-32E150EC533A}"/>
    <cellStyle name="쉼표 [0] 2 30 2 5" xfId="4027" xr:uid="{00000000-0005-0000-0000-0000A1120000}"/>
    <cellStyle name="쉼표 [0] 2 30 2 5 2" xfId="7688" xr:uid="{00000000-0005-0000-0000-0000A2120000}"/>
    <cellStyle name="쉼표 [0] 2 30 2 5 2 2" xfId="15005" xr:uid="{8A5416E0-C421-4B8F-BDB2-447AE2F1C433}"/>
    <cellStyle name="쉼표 [0] 2 30 2 5 3" xfId="11347" xr:uid="{703CFCD0-9874-493A-B263-EAC099753C9B}"/>
    <cellStyle name="쉼표 [0] 2 30 2 6" xfId="5859" xr:uid="{00000000-0005-0000-0000-0000A3120000}"/>
    <cellStyle name="쉼표 [0] 2 30 2 6 2" xfId="13176" xr:uid="{DC8886C7-139A-485F-94F2-21867B3084CD}"/>
    <cellStyle name="쉼표 [0] 2 30 2 7" xfId="9517" xr:uid="{8C79320A-A0C1-42A0-9900-EFE2B42EE4B0}"/>
    <cellStyle name="쉼표 [0] 2 30 3" xfId="1684" xr:uid="{00000000-0005-0000-0000-0000A4120000}"/>
    <cellStyle name="쉼표 [0] 2 30 3 2" xfId="1685" xr:uid="{00000000-0005-0000-0000-0000A5120000}"/>
    <cellStyle name="쉼표 [0] 2 30 3 2 2" xfId="4032" xr:uid="{00000000-0005-0000-0000-0000A6120000}"/>
    <cellStyle name="쉼표 [0] 2 30 3 2 2 2" xfId="7693" xr:uid="{00000000-0005-0000-0000-0000A7120000}"/>
    <cellStyle name="쉼표 [0] 2 30 3 2 2 2 2" xfId="15010" xr:uid="{848FA270-D344-40F7-8AA5-1911A0D03E6B}"/>
    <cellStyle name="쉼표 [0] 2 30 3 2 2 3" xfId="11352" xr:uid="{AECB21FB-8416-4DDD-A55B-999220238B90}"/>
    <cellStyle name="쉼표 [0] 2 30 3 2 3" xfId="5864" xr:uid="{00000000-0005-0000-0000-0000A8120000}"/>
    <cellStyle name="쉼표 [0] 2 30 3 2 3 2" xfId="13181" xr:uid="{9432FF99-9519-4B32-8B7C-AF8AD02D7226}"/>
    <cellStyle name="쉼표 [0] 2 30 3 2 4" xfId="9522" xr:uid="{31EEB862-C724-41F3-A3BE-38BA62B47F9F}"/>
    <cellStyle name="쉼표 [0] 2 30 3 3" xfId="4031" xr:uid="{00000000-0005-0000-0000-0000A9120000}"/>
    <cellStyle name="쉼표 [0] 2 30 3 3 2" xfId="7692" xr:uid="{00000000-0005-0000-0000-0000AA120000}"/>
    <cellStyle name="쉼표 [0] 2 30 3 3 2 2" xfId="15009" xr:uid="{83FA89AC-939F-43A6-8124-E4E61935BB6D}"/>
    <cellStyle name="쉼표 [0] 2 30 3 3 3" xfId="11351" xr:uid="{7DAB4C05-0266-44F1-8A3D-4CA5D1AE16C6}"/>
    <cellStyle name="쉼표 [0] 2 30 3 4" xfId="5863" xr:uid="{00000000-0005-0000-0000-0000AB120000}"/>
    <cellStyle name="쉼표 [0] 2 30 3 4 2" xfId="13180" xr:uid="{F50B6D45-3A1A-4587-A2B3-98D8CE55112A}"/>
    <cellStyle name="쉼표 [0] 2 30 3 5" xfId="9521" xr:uid="{DE56146C-AF0E-4926-B3EF-353110BF4417}"/>
    <cellStyle name="쉼표 [0] 2 30 4" xfId="1686" xr:uid="{00000000-0005-0000-0000-0000AC120000}"/>
    <cellStyle name="쉼표 [0] 2 30 4 2" xfId="4033" xr:uid="{00000000-0005-0000-0000-0000AD120000}"/>
    <cellStyle name="쉼표 [0] 2 30 4 2 2" xfId="7694" xr:uid="{00000000-0005-0000-0000-0000AE120000}"/>
    <cellStyle name="쉼표 [0] 2 30 4 2 2 2" xfId="15011" xr:uid="{1CF9CC44-E43A-4CA9-A951-763ECE574BBC}"/>
    <cellStyle name="쉼표 [0] 2 30 4 2 3" xfId="11353" xr:uid="{CCED824C-49F6-47BE-B0FC-2A5D1C75EA5B}"/>
    <cellStyle name="쉼표 [0] 2 30 4 3" xfId="5865" xr:uid="{00000000-0005-0000-0000-0000AF120000}"/>
    <cellStyle name="쉼표 [0] 2 30 4 3 2" xfId="13182" xr:uid="{7435D1C3-F6F7-4FE4-9395-041A10FC196D}"/>
    <cellStyle name="쉼표 [0] 2 30 4 4" xfId="9523" xr:uid="{269A24E4-65B2-4F81-8ADE-167688BAD667}"/>
    <cellStyle name="쉼표 [0] 2 30 5" xfId="1687" xr:uid="{00000000-0005-0000-0000-0000B0120000}"/>
    <cellStyle name="쉼표 [0] 2 30 5 2" xfId="4034" xr:uid="{00000000-0005-0000-0000-0000B1120000}"/>
    <cellStyle name="쉼표 [0] 2 30 5 2 2" xfId="7695" xr:uid="{00000000-0005-0000-0000-0000B2120000}"/>
    <cellStyle name="쉼표 [0] 2 30 5 2 2 2" xfId="15012" xr:uid="{BF5EEF3A-9DB1-439A-B474-59D880D1B59F}"/>
    <cellStyle name="쉼표 [0] 2 30 5 2 3" xfId="11354" xr:uid="{D2A03461-AA15-4F03-94BF-520879969462}"/>
    <cellStyle name="쉼표 [0] 2 30 5 3" xfId="5866" xr:uid="{00000000-0005-0000-0000-0000B3120000}"/>
    <cellStyle name="쉼표 [0] 2 30 5 3 2" xfId="13183" xr:uid="{5F5BE3C3-D8E3-4272-B58B-3A103DBA7146}"/>
    <cellStyle name="쉼표 [0] 2 30 5 4" xfId="9524" xr:uid="{963597EB-7407-4C99-BA1D-B7BAB460554E}"/>
    <cellStyle name="쉼표 [0] 2 30 6" xfId="1688" xr:uid="{00000000-0005-0000-0000-0000B4120000}"/>
    <cellStyle name="쉼표 [0] 2 30 6 2" xfId="1689" xr:uid="{00000000-0005-0000-0000-0000B5120000}"/>
    <cellStyle name="쉼표 [0] 2 31" xfId="1690" xr:uid="{00000000-0005-0000-0000-0000B6120000}"/>
    <cellStyle name="쉼표 [0] 2 31 2" xfId="4035" xr:uid="{00000000-0005-0000-0000-0000B7120000}"/>
    <cellStyle name="쉼표 [0] 2 31 2 2" xfId="7696" xr:uid="{00000000-0005-0000-0000-0000B8120000}"/>
    <cellStyle name="쉼표 [0] 2 31 2 2 2" xfId="15013" xr:uid="{FC6464B7-140D-45D2-A0E8-7437EB6F26EC}"/>
    <cellStyle name="쉼표 [0] 2 31 2 3" xfId="11355" xr:uid="{CD310CCC-9720-4EEE-86F6-AA9091444B5B}"/>
    <cellStyle name="쉼표 [0] 2 31 3" xfId="5867" xr:uid="{00000000-0005-0000-0000-0000B9120000}"/>
    <cellStyle name="쉼표 [0] 2 31 3 2" xfId="13184" xr:uid="{696ADC85-6039-4F49-8DB5-921AEEA8014A}"/>
    <cellStyle name="쉼표 [0] 2 31 4" xfId="9525" xr:uid="{D4E66FF0-60A0-4C2F-801F-F1961C0D93CA}"/>
    <cellStyle name="쉼표 [0] 2 32" xfId="1691" xr:uid="{00000000-0005-0000-0000-0000BA120000}"/>
    <cellStyle name="쉼표 [0] 2 32 2" xfId="4036" xr:uid="{00000000-0005-0000-0000-0000BB120000}"/>
    <cellStyle name="쉼표 [0] 2 32 2 2" xfId="7697" xr:uid="{00000000-0005-0000-0000-0000BC120000}"/>
    <cellStyle name="쉼표 [0] 2 32 2 2 2" xfId="15014" xr:uid="{59E15F33-682C-4D2C-9A74-B0359E8AB488}"/>
    <cellStyle name="쉼표 [0] 2 32 2 3" xfId="11356" xr:uid="{9D795A42-760E-44E9-8CC5-BEF655F8B9FD}"/>
    <cellStyle name="쉼표 [0] 2 32 3" xfId="5868" xr:uid="{00000000-0005-0000-0000-0000BD120000}"/>
    <cellStyle name="쉼표 [0] 2 32 3 2" xfId="13185" xr:uid="{C0C9CDBB-D09C-4E82-B97A-57C76B36605D}"/>
    <cellStyle name="쉼표 [0] 2 32 4" xfId="9526" xr:uid="{C4A4356B-1B5A-4F38-93B7-F893132240A9}"/>
    <cellStyle name="쉼표 [0] 2 33" xfId="1692" xr:uid="{00000000-0005-0000-0000-0000BE120000}"/>
    <cellStyle name="쉼표 [0] 2 33 2" xfId="4037" xr:uid="{00000000-0005-0000-0000-0000BF120000}"/>
    <cellStyle name="쉼표 [0] 2 33 2 2" xfId="7698" xr:uid="{00000000-0005-0000-0000-0000C0120000}"/>
    <cellStyle name="쉼표 [0] 2 33 2 2 2" xfId="15015" xr:uid="{32D0CCCB-537D-47CB-8988-031993F44801}"/>
    <cellStyle name="쉼표 [0] 2 33 2 3" xfId="11357" xr:uid="{DFC247BF-7F98-4648-95E4-413F25413FF0}"/>
    <cellStyle name="쉼표 [0] 2 33 3" xfId="5869" xr:uid="{00000000-0005-0000-0000-0000C1120000}"/>
    <cellStyle name="쉼표 [0] 2 33 3 2" xfId="13186" xr:uid="{AF017C3F-370A-4AEE-B33F-4B5ECC0716E4}"/>
    <cellStyle name="쉼표 [0] 2 33 4" xfId="9527" xr:uid="{64D1E85B-633F-4097-AC6E-731E571C50F6}"/>
    <cellStyle name="쉼표 [0] 2 34" xfId="1693" xr:uid="{00000000-0005-0000-0000-0000C2120000}"/>
    <cellStyle name="쉼표 [0] 2 34 2" xfId="4038" xr:uid="{00000000-0005-0000-0000-0000C3120000}"/>
    <cellStyle name="쉼표 [0] 2 34 2 2" xfId="7699" xr:uid="{00000000-0005-0000-0000-0000C4120000}"/>
    <cellStyle name="쉼표 [0] 2 34 2 2 2" xfId="15016" xr:uid="{0A958A9A-C835-4C21-97D8-E9ACAA2C787E}"/>
    <cellStyle name="쉼표 [0] 2 34 2 3" xfId="11358" xr:uid="{85158413-732D-4C01-B135-F824E24596FB}"/>
    <cellStyle name="쉼표 [0] 2 34 3" xfId="5870" xr:uid="{00000000-0005-0000-0000-0000C5120000}"/>
    <cellStyle name="쉼표 [0] 2 34 3 2" xfId="13187" xr:uid="{1283656A-1BB3-44C8-8727-44210A00E924}"/>
    <cellStyle name="쉼표 [0] 2 34 4" xfId="9528" xr:uid="{081A187A-A437-46A3-BAB5-0B1549FCC0B5}"/>
    <cellStyle name="쉼표 [0] 2 35" xfId="3062" xr:uid="{00000000-0005-0000-0000-0000C6120000}"/>
    <cellStyle name="쉼표 [0] 2 35 2" xfId="6723" xr:uid="{00000000-0005-0000-0000-0000C7120000}"/>
    <cellStyle name="쉼표 [0] 2 35 2 2" xfId="14040" xr:uid="{CEC01C56-9F66-46F9-B6C8-B04E6E260C53}"/>
    <cellStyle name="쉼표 [0] 2 35 3" xfId="10382" xr:uid="{CFE42C05-5707-4F2A-BE0E-970AF4F5F04F}"/>
    <cellStyle name="쉼표 [0] 2 36" xfId="4894" xr:uid="{00000000-0005-0000-0000-0000C8120000}"/>
    <cellStyle name="쉼표 [0] 2 36 2" xfId="12211" xr:uid="{674B53C2-707F-4DF3-A8EF-2939E23179A7}"/>
    <cellStyle name="쉼표 [0] 2 37" xfId="8552" xr:uid="{CA09EE28-1249-4D28-9638-FCE13DE65E5C}"/>
    <cellStyle name="쉼표 [0] 2 4" xfId="1694" xr:uid="{00000000-0005-0000-0000-0000C9120000}"/>
    <cellStyle name="쉼표 [0] 2 4 2" xfId="1695" xr:uid="{00000000-0005-0000-0000-0000CA120000}"/>
    <cellStyle name="쉼표 [0] 2 4 2 2" xfId="1696" xr:uid="{00000000-0005-0000-0000-0000CB120000}"/>
    <cellStyle name="쉼표 [0] 2 4 2 2 2" xfId="1697" xr:uid="{00000000-0005-0000-0000-0000CC120000}"/>
    <cellStyle name="쉼표 [0] 2 4 2 2 2 2" xfId="4042" xr:uid="{00000000-0005-0000-0000-0000CD120000}"/>
    <cellStyle name="쉼표 [0] 2 4 2 2 2 2 2" xfId="7703" xr:uid="{00000000-0005-0000-0000-0000CE120000}"/>
    <cellStyle name="쉼표 [0] 2 4 2 2 2 2 2 2" xfId="15020" xr:uid="{64690A0F-B0D2-4384-9B88-ADF8D0FB0161}"/>
    <cellStyle name="쉼표 [0] 2 4 2 2 2 2 3" xfId="11362" xr:uid="{D19F8801-AE69-4275-BBA4-9CF29912052A}"/>
    <cellStyle name="쉼표 [0] 2 4 2 2 2 3" xfId="5874" xr:uid="{00000000-0005-0000-0000-0000CF120000}"/>
    <cellStyle name="쉼표 [0] 2 4 2 2 2 3 2" xfId="13191" xr:uid="{FB995E60-CDFD-4B1B-BAEF-D715533B083E}"/>
    <cellStyle name="쉼표 [0] 2 4 2 2 2 4" xfId="9532" xr:uid="{B50E3DA9-B598-484C-9830-30BFCB8CAE1A}"/>
    <cellStyle name="쉼표 [0] 2 4 2 2 3" xfId="1698" xr:uid="{00000000-0005-0000-0000-0000D0120000}"/>
    <cellStyle name="쉼표 [0] 2 4 2 2 3 2" xfId="4043" xr:uid="{00000000-0005-0000-0000-0000D1120000}"/>
    <cellStyle name="쉼표 [0] 2 4 2 2 3 2 2" xfId="7704" xr:uid="{00000000-0005-0000-0000-0000D2120000}"/>
    <cellStyle name="쉼표 [0] 2 4 2 2 3 2 2 2" xfId="15021" xr:uid="{1FA90B42-7C50-4CFF-975B-CDC330A1702B}"/>
    <cellStyle name="쉼표 [0] 2 4 2 2 3 2 3" xfId="11363" xr:uid="{DCFFECD7-65DF-428C-9A9D-8971B7116BF0}"/>
    <cellStyle name="쉼표 [0] 2 4 2 2 3 3" xfId="5875" xr:uid="{00000000-0005-0000-0000-0000D3120000}"/>
    <cellStyle name="쉼표 [0] 2 4 2 2 3 3 2" xfId="13192" xr:uid="{03C8028E-1FA3-43C7-A7F9-27B2BAB9904F}"/>
    <cellStyle name="쉼표 [0] 2 4 2 2 3 4" xfId="9533" xr:uid="{DAE00B51-83A0-4EF6-8CE3-CF65ACB6B3B9}"/>
    <cellStyle name="쉼표 [0] 2 4 2 2 4" xfId="1699" xr:uid="{00000000-0005-0000-0000-0000D4120000}"/>
    <cellStyle name="쉼표 [0] 2 4 2 2 4 2" xfId="4044" xr:uid="{00000000-0005-0000-0000-0000D5120000}"/>
    <cellStyle name="쉼표 [0] 2 4 2 2 4 2 2" xfId="7705" xr:uid="{00000000-0005-0000-0000-0000D6120000}"/>
    <cellStyle name="쉼표 [0] 2 4 2 2 4 2 2 2" xfId="15022" xr:uid="{6C7AA885-DD23-445A-84F3-0D1E3156D8A1}"/>
    <cellStyle name="쉼표 [0] 2 4 2 2 4 2 3" xfId="11364" xr:uid="{CD244868-5135-4544-81E5-05AB2F00847F}"/>
    <cellStyle name="쉼표 [0] 2 4 2 2 4 3" xfId="5876" xr:uid="{00000000-0005-0000-0000-0000D7120000}"/>
    <cellStyle name="쉼표 [0] 2 4 2 2 4 3 2" xfId="13193" xr:uid="{EAE836B4-A02D-4903-8521-AC480DF0CC6B}"/>
    <cellStyle name="쉼표 [0] 2 4 2 2 4 4" xfId="9534" xr:uid="{57BB5FB2-AEAA-4D7D-AE69-9644033E0BC0}"/>
    <cellStyle name="쉼표 [0] 2 4 2 2 5" xfId="4041" xr:uid="{00000000-0005-0000-0000-0000D8120000}"/>
    <cellStyle name="쉼표 [0] 2 4 2 2 5 2" xfId="7702" xr:uid="{00000000-0005-0000-0000-0000D9120000}"/>
    <cellStyle name="쉼표 [0] 2 4 2 2 5 2 2" xfId="15019" xr:uid="{E84568E4-FA0A-4292-9712-3FEAE416FD38}"/>
    <cellStyle name="쉼표 [0] 2 4 2 2 5 3" xfId="11361" xr:uid="{8054D93C-66C0-4792-A6BE-FDD0CAC2FDC3}"/>
    <cellStyle name="쉼표 [0] 2 4 2 2 6" xfId="5873" xr:uid="{00000000-0005-0000-0000-0000DA120000}"/>
    <cellStyle name="쉼표 [0] 2 4 2 2 6 2" xfId="13190" xr:uid="{541F01DF-56BE-4ABD-8DFA-D9B6BE709532}"/>
    <cellStyle name="쉼표 [0] 2 4 2 2 7" xfId="9531" xr:uid="{1690655E-A143-47FD-8964-33E3166D2C45}"/>
    <cellStyle name="쉼표 [0] 2 4 2 3" xfId="1700" xr:uid="{00000000-0005-0000-0000-0000DB120000}"/>
    <cellStyle name="쉼표 [0] 2 4 2 3 2" xfId="1701" xr:uid="{00000000-0005-0000-0000-0000DC120000}"/>
    <cellStyle name="쉼표 [0] 2 4 2 3 2 2" xfId="4046" xr:uid="{00000000-0005-0000-0000-0000DD120000}"/>
    <cellStyle name="쉼표 [0] 2 4 2 3 2 2 2" xfId="7707" xr:uid="{00000000-0005-0000-0000-0000DE120000}"/>
    <cellStyle name="쉼표 [0] 2 4 2 3 2 2 2 2" xfId="15024" xr:uid="{1B4A7C80-A4C8-4881-AC34-EC9804569F93}"/>
    <cellStyle name="쉼표 [0] 2 4 2 3 2 2 3" xfId="11366" xr:uid="{992EAA2A-D56A-4950-BFB6-B5104D60ADE9}"/>
    <cellStyle name="쉼표 [0] 2 4 2 3 2 3" xfId="5878" xr:uid="{00000000-0005-0000-0000-0000DF120000}"/>
    <cellStyle name="쉼표 [0] 2 4 2 3 2 3 2" xfId="13195" xr:uid="{97F90B7A-AFB0-4C42-8C84-04D2F9C4D729}"/>
    <cellStyle name="쉼표 [0] 2 4 2 3 2 4" xfId="9536" xr:uid="{F1A9C08D-1CCB-41FF-A4E4-9D822DAA8B75}"/>
    <cellStyle name="쉼표 [0] 2 4 2 3 3" xfId="4045" xr:uid="{00000000-0005-0000-0000-0000E0120000}"/>
    <cellStyle name="쉼표 [0] 2 4 2 3 3 2" xfId="7706" xr:uid="{00000000-0005-0000-0000-0000E1120000}"/>
    <cellStyle name="쉼표 [0] 2 4 2 3 3 2 2" xfId="15023" xr:uid="{DF5AC09E-CD17-43B8-9944-5F4B9736CB51}"/>
    <cellStyle name="쉼표 [0] 2 4 2 3 3 3" xfId="11365" xr:uid="{6397AA8D-CC74-4F24-A6D9-67F4FB80EEC5}"/>
    <cellStyle name="쉼표 [0] 2 4 2 3 4" xfId="5877" xr:uid="{00000000-0005-0000-0000-0000E2120000}"/>
    <cellStyle name="쉼표 [0] 2 4 2 3 4 2" xfId="13194" xr:uid="{21D5589A-48B5-4E39-B58E-9FE3D41F1FAF}"/>
    <cellStyle name="쉼표 [0] 2 4 2 3 5" xfId="9535" xr:uid="{3CB1BA4E-1566-4476-8CE4-A07A30C52CAD}"/>
    <cellStyle name="쉼표 [0] 2 4 2 4" xfId="1702" xr:uid="{00000000-0005-0000-0000-0000E3120000}"/>
    <cellStyle name="쉼표 [0] 2 4 2 4 2" xfId="1703" xr:uid="{00000000-0005-0000-0000-0000E4120000}"/>
    <cellStyle name="쉼표 [0] 2 4 2 4 2 2" xfId="4048" xr:uid="{00000000-0005-0000-0000-0000E5120000}"/>
    <cellStyle name="쉼표 [0] 2 4 2 4 2 2 2" xfId="7709" xr:uid="{00000000-0005-0000-0000-0000E6120000}"/>
    <cellStyle name="쉼표 [0] 2 4 2 4 2 2 2 2" xfId="15026" xr:uid="{ADDF5BCE-03AE-4E0E-A31D-AB752B22914F}"/>
    <cellStyle name="쉼표 [0] 2 4 2 4 2 2 3" xfId="11368" xr:uid="{3877CF09-4828-4B87-AD9B-1AA8152462EC}"/>
    <cellStyle name="쉼표 [0] 2 4 2 4 2 3" xfId="5880" xr:uid="{00000000-0005-0000-0000-0000E7120000}"/>
    <cellStyle name="쉼표 [0] 2 4 2 4 2 3 2" xfId="13197" xr:uid="{1D179750-EE8E-4EDE-B44C-ACDA843E6E7E}"/>
    <cellStyle name="쉼표 [0] 2 4 2 4 2 4" xfId="9538" xr:uid="{EDD827A3-67F8-4232-A599-B9489B37899E}"/>
    <cellStyle name="쉼표 [0] 2 4 2 4 3" xfId="4047" xr:uid="{00000000-0005-0000-0000-0000E8120000}"/>
    <cellStyle name="쉼표 [0] 2 4 2 4 3 2" xfId="7708" xr:uid="{00000000-0005-0000-0000-0000E9120000}"/>
    <cellStyle name="쉼표 [0] 2 4 2 4 3 2 2" xfId="15025" xr:uid="{5F62F575-71DD-436D-866E-AE40B55DF132}"/>
    <cellStyle name="쉼표 [0] 2 4 2 4 3 3" xfId="11367" xr:uid="{38EC36E7-7512-4557-8B7C-0030662EC557}"/>
    <cellStyle name="쉼표 [0] 2 4 2 4 4" xfId="5879" xr:uid="{00000000-0005-0000-0000-0000EA120000}"/>
    <cellStyle name="쉼표 [0] 2 4 2 4 4 2" xfId="13196" xr:uid="{10CE0F76-8C6C-43A0-868D-B528AE3F4D9E}"/>
    <cellStyle name="쉼표 [0] 2 4 2 4 5" xfId="9537" xr:uid="{02BC7921-3515-429B-93A8-813E039E53AC}"/>
    <cellStyle name="쉼표 [0] 2 4 2 5" xfId="1704" xr:uid="{00000000-0005-0000-0000-0000EB120000}"/>
    <cellStyle name="쉼표 [0] 2 4 2 5 2" xfId="4049" xr:uid="{00000000-0005-0000-0000-0000EC120000}"/>
    <cellStyle name="쉼표 [0] 2 4 2 5 2 2" xfId="7710" xr:uid="{00000000-0005-0000-0000-0000ED120000}"/>
    <cellStyle name="쉼표 [0] 2 4 2 5 2 2 2" xfId="15027" xr:uid="{BA9CFF8F-38A8-4DFD-8521-E9B3249E17CE}"/>
    <cellStyle name="쉼표 [0] 2 4 2 5 2 3" xfId="11369" xr:uid="{113F03CA-273E-4083-961E-52AFDE4580E2}"/>
    <cellStyle name="쉼표 [0] 2 4 2 5 3" xfId="5881" xr:uid="{00000000-0005-0000-0000-0000EE120000}"/>
    <cellStyle name="쉼표 [0] 2 4 2 5 3 2" xfId="13198" xr:uid="{613707D4-6D5A-4EB9-A9C5-7D6E5A2A0991}"/>
    <cellStyle name="쉼표 [0] 2 4 2 5 4" xfId="9539" xr:uid="{4B2546AD-2BBE-4543-8C47-D7633C83F736}"/>
    <cellStyle name="쉼표 [0] 2 4 2 6" xfId="4040" xr:uid="{00000000-0005-0000-0000-0000EF120000}"/>
    <cellStyle name="쉼표 [0] 2 4 2 6 2" xfId="7701" xr:uid="{00000000-0005-0000-0000-0000F0120000}"/>
    <cellStyle name="쉼표 [0] 2 4 2 6 2 2" xfId="15018" xr:uid="{08592E31-E353-4577-AC52-2B7B71FDC099}"/>
    <cellStyle name="쉼표 [0] 2 4 2 6 3" xfId="11360" xr:uid="{52498460-AA88-4AFA-AF45-2CA1A187F95A}"/>
    <cellStyle name="쉼표 [0] 2 4 2 7" xfId="5872" xr:uid="{00000000-0005-0000-0000-0000F1120000}"/>
    <cellStyle name="쉼표 [0] 2 4 2 7 2" xfId="13189" xr:uid="{8657C1E5-42FC-4562-9829-A5BDF6CF1B65}"/>
    <cellStyle name="쉼표 [0] 2 4 2 8" xfId="9530" xr:uid="{066E5D15-42B9-48A1-87F0-B7E96E5C7293}"/>
    <cellStyle name="쉼표 [0] 2 4 3" xfId="1705" xr:uid="{00000000-0005-0000-0000-0000F2120000}"/>
    <cellStyle name="쉼표 [0] 2 4 3 2" xfId="1706" xr:uid="{00000000-0005-0000-0000-0000F3120000}"/>
    <cellStyle name="쉼표 [0] 2 4 3 2 2" xfId="1707" xr:uid="{00000000-0005-0000-0000-0000F4120000}"/>
    <cellStyle name="쉼표 [0] 2 4 3 2 2 2" xfId="4052" xr:uid="{00000000-0005-0000-0000-0000F5120000}"/>
    <cellStyle name="쉼표 [0] 2 4 3 2 2 2 2" xfId="7713" xr:uid="{00000000-0005-0000-0000-0000F6120000}"/>
    <cellStyle name="쉼표 [0] 2 4 3 2 2 2 2 2" xfId="15030" xr:uid="{5751DF15-2484-4DD1-95DB-C49987EAC8D4}"/>
    <cellStyle name="쉼표 [0] 2 4 3 2 2 2 3" xfId="11372" xr:uid="{2C1DC0F5-9E00-483A-88A8-65783E7D8F2B}"/>
    <cellStyle name="쉼표 [0] 2 4 3 2 2 3" xfId="5884" xr:uid="{00000000-0005-0000-0000-0000F7120000}"/>
    <cellStyle name="쉼표 [0] 2 4 3 2 2 3 2" xfId="13201" xr:uid="{708DCA96-C520-4A22-AA3B-E4CEF21686B9}"/>
    <cellStyle name="쉼표 [0] 2 4 3 2 2 4" xfId="9542" xr:uid="{3AD0E6CB-15E1-4ADB-AA08-1F414BBCFBF8}"/>
    <cellStyle name="쉼표 [0] 2 4 3 2 3" xfId="1708" xr:uid="{00000000-0005-0000-0000-0000F8120000}"/>
    <cellStyle name="쉼표 [0] 2 4 3 2 3 2" xfId="4053" xr:uid="{00000000-0005-0000-0000-0000F9120000}"/>
    <cellStyle name="쉼표 [0] 2 4 3 2 3 2 2" xfId="7714" xr:uid="{00000000-0005-0000-0000-0000FA120000}"/>
    <cellStyle name="쉼표 [0] 2 4 3 2 3 2 2 2" xfId="15031" xr:uid="{6650254B-B3E5-4B31-AFBB-DFE38CADE1EF}"/>
    <cellStyle name="쉼표 [0] 2 4 3 2 3 2 3" xfId="11373" xr:uid="{5817117F-5E87-4EEF-BCFF-A000386B4E41}"/>
    <cellStyle name="쉼표 [0] 2 4 3 2 3 3" xfId="5885" xr:uid="{00000000-0005-0000-0000-0000FB120000}"/>
    <cellStyle name="쉼표 [0] 2 4 3 2 3 3 2" xfId="13202" xr:uid="{852E32D6-84B6-441F-BC52-E0C46CB1C738}"/>
    <cellStyle name="쉼표 [0] 2 4 3 2 3 4" xfId="9543" xr:uid="{B35FBB63-FF45-4318-A4B3-69E463C38F79}"/>
    <cellStyle name="쉼표 [0] 2 4 3 2 4" xfId="1709" xr:uid="{00000000-0005-0000-0000-0000FC120000}"/>
    <cellStyle name="쉼표 [0] 2 4 3 2 4 2" xfId="4054" xr:uid="{00000000-0005-0000-0000-0000FD120000}"/>
    <cellStyle name="쉼표 [0] 2 4 3 2 4 2 2" xfId="7715" xr:uid="{00000000-0005-0000-0000-0000FE120000}"/>
    <cellStyle name="쉼표 [0] 2 4 3 2 4 2 2 2" xfId="15032" xr:uid="{7C69314A-86CE-44AA-8107-B9C8E1FB6768}"/>
    <cellStyle name="쉼표 [0] 2 4 3 2 4 2 3" xfId="11374" xr:uid="{BF5080B6-20CE-4557-8EB5-A8B40DB7D483}"/>
    <cellStyle name="쉼표 [0] 2 4 3 2 4 3" xfId="5886" xr:uid="{00000000-0005-0000-0000-0000FF120000}"/>
    <cellStyle name="쉼표 [0] 2 4 3 2 4 3 2" xfId="13203" xr:uid="{E9EC608C-C514-4B26-8F65-C13C8CEF1593}"/>
    <cellStyle name="쉼표 [0] 2 4 3 2 4 4" xfId="9544" xr:uid="{84E34CCB-AD77-4A6C-A4F4-B8168586557B}"/>
    <cellStyle name="쉼표 [0] 2 4 3 2 5" xfId="4051" xr:uid="{00000000-0005-0000-0000-000000130000}"/>
    <cellStyle name="쉼표 [0] 2 4 3 2 5 2" xfId="7712" xr:uid="{00000000-0005-0000-0000-000001130000}"/>
    <cellStyle name="쉼표 [0] 2 4 3 2 5 2 2" xfId="15029" xr:uid="{37D212F5-94FC-417D-B7B5-0C1C8EDE93A8}"/>
    <cellStyle name="쉼표 [0] 2 4 3 2 5 3" xfId="11371" xr:uid="{3DB22018-9E16-4734-A97E-93739A95300E}"/>
    <cellStyle name="쉼표 [0] 2 4 3 2 6" xfId="5883" xr:uid="{00000000-0005-0000-0000-000002130000}"/>
    <cellStyle name="쉼표 [0] 2 4 3 2 6 2" xfId="13200" xr:uid="{33BDAB99-3D8A-43A1-BC4D-4F736B866C51}"/>
    <cellStyle name="쉼표 [0] 2 4 3 2 7" xfId="9541" xr:uid="{821AC8AB-9915-41E4-94FE-B67B3BDCAA1C}"/>
    <cellStyle name="쉼표 [0] 2 4 3 3" xfId="1710" xr:uid="{00000000-0005-0000-0000-000003130000}"/>
    <cellStyle name="쉼표 [0] 2 4 3 3 2" xfId="4055" xr:uid="{00000000-0005-0000-0000-000004130000}"/>
    <cellStyle name="쉼표 [0] 2 4 3 3 2 2" xfId="7716" xr:uid="{00000000-0005-0000-0000-000005130000}"/>
    <cellStyle name="쉼표 [0] 2 4 3 3 2 2 2" xfId="15033" xr:uid="{D17B2896-3D42-473E-9CCE-228FBA2B47C7}"/>
    <cellStyle name="쉼표 [0] 2 4 3 3 2 3" xfId="11375" xr:uid="{1D6EC19C-9E80-4977-9615-2BE47E38837C}"/>
    <cellStyle name="쉼표 [0] 2 4 3 3 3" xfId="5887" xr:uid="{00000000-0005-0000-0000-000006130000}"/>
    <cellStyle name="쉼표 [0] 2 4 3 3 3 2" xfId="13204" xr:uid="{B73F23E8-0488-46BE-9D7D-39D004481133}"/>
    <cellStyle name="쉼표 [0] 2 4 3 3 4" xfId="9545" xr:uid="{0722EC4E-13AE-47B6-AB66-2FE925D824F7}"/>
    <cellStyle name="쉼표 [0] 2 4 3 4" xfId="1711" xr:uid="{00000000-0005-0000-0000-000007130000}"/>
    <cellStyle name="쉼표 [0] 2 4 3 4 2" xfId="4056" xr:uid="{00000000-0005-0000-0000-000008130000}"/>
    <cellStyle name="쉼표 [0] 2 4 3 4 2 2" xfId="7717" xr:uid="{00000000-0005-0000-0000-000009130000}"/>
    <cellStyle name="쉼표 [0] 2 4 3 4 2 2 2" xfId="15034" xr:uid="{A7833789-AE2E-447C-9D10-2DEA900766FD}"/>
    <cellStyle name="쉼표 [0] 2 4 3 4 2 3" xfId="11376" xr:uid="{F9126244-99B7-4148-91F7-DF0794465059}"/>
    <cellStyle name="쉼표 [0] 2 4 3 4 3" xfId="5888" xr:uid="{00000000-0005-0000-0000-00000A130000}"/>
    <cellStyle name="쉼표 [0] 2 4 3 4 3 2" xfId="13205" xr:uid="{339013F7-796C-4DA3-BC49-D501D68177B3}"/>
    <cellStyle name="쉼표 [0] 2 4 3 4 4" xfId="9546" xr:uid="{D0D22C30-7C05-46CA-A8F9-0031CDB6725D}"/>
    <cellStyle name="쉼표 [0] 2 4 3 5" xfId="1712" xr:uid="{00000000-0005-0000-0000-00000B130000}"/>
    <cellStyle name="쉼표 [0] 2 4 3 5 2" xfId="4057" xr:uid="{00000000-0005-0000-0000-00000C130000}"/>
    <cellStyle name="쉼표 [0] 2 4 3 5 2 2" xfId="7718" xr:uid="{00000000-0005-0000-0000-00000D130000}"/>
    <cellStyle name="쉼표 [0] 2 4 3 5 2 2 2" xfId="15035" xr:uid="{3C6456C9-B234-4118-A306-CD837F9EA4A4}"/>
    <cellStyle name="쉼표 [0] 2 4 3 5 2 3" xfId="11377" xr:uid="{2A5A70FB-3B95-4822-8452-13EBDE22C7D1}"/>
    <cellStyle name="쉼표 [0] 2 4 3 5 3" xfId="5889" xr:uid="{00000000-0005-0000-0000-00000E130000}"/>
    <cellStyle name="쉼표 [0] 2 4 3 5 3 2" xfId="13206" xr:uid="{6FE24138-C598-4A62-84A9-E5732AAD28E7}"/>
    <cellStyle name="쉼표 [0] 2 4 3 5 4" xfId="9547" xr:uid="{2EF00AD6-FD80-45AC-AA32-8EA97C030D1D}"/>
    <cellStyle name="쉼표 [0] 2 4 3 6" xfId="4050" xr:uid="{00000000-0005-0000-0000-00000F130000}"/>
    <cellStyle name="쉼표 [0] 2 4 3 6 2" xfId="7711" xr:uid="{00000000-0005-0000-0000-000010130000}"/>
    <cellStyle name="쉼표 [0] 2 4 3 6 2 2" xfId="15028" xr:uid="{6A1AAA58-0FEB-4B9F-AEC5-3E852B887E80}"/>
    <cellStyle name="쉼표 [0] 2 4 3 6 3" xfId="11370" xr:uid="{245447BD-E94B-45DD-8AC1-F03040EF1E8F}"/>
    <cellStyle name="쉼표 [0] 2 4 3 7" xfId="5882" xr:uid="{00000000-0005-0000-0000-000011130000}"/>
    <cellStyle name="쉼표 [0] 2 4 3 7 2" xfId="13199" xr:uid="{E6019344-4D9A-4F59-9791-CC24B9C5798D}"/>
    <cellStyle name="쉼표 [0] 2 4 3 8" xfId="9540" xr:uid="{FAF2452C-805D-457F-A964-16C5B3E1C6E1}"/>
    <cellStyle name="쉼표 [0] 2 4 4" xfId="1713" xr:uid="{00000000-0005-0000-0000-000012130000}"/>
    <cellStyle name="쉼표 [0] 2 4 4 2" xfId="1714" xr:uid="{00000000-0005-0000-0000-000013130000}"/>
    <cellStyle name="쉼표 [0] 2 4 4 2 2" xfId="1715" xr:uid="{00000000-0005-0000-0000-000014130000}"/>
    <cellStyle name="쉼표 [0] 2 4 4 2 2 2" xfId="4060" xr:uid="{00000000-0005-0000-0000-000015130000}"/>
    <cellStyle name="쉼표 [0] 2 4 4 2 2 2 2" xfId="7721" xr:uid="{00000000-0005-0000-0000-000016130000}"/>
    <cellStyle name="쉼표 [0] 2 4 4 2 2 2 2 2" xfId="15038" xr:uid="{88DF26F1-C94C-4FE8-9993-DEDBF3948D8D}"/>
    <cellStyle name="쉼표 [0] 2 4 4 2 2 2 3" xfId="11380" xr:uid="{78982AD4-AFE8-4150-B384-8E68C137C993}"/>
    <cellStyle name="쉼표 [0] 2 4 4 2 2 3" xfId="5892" xr:uid="{00000000-0005-0000-0000-000017130000}"/>
    <cellStyle name="쉼표 [0] 2 4 4 2 2 3 2" xfId="13209" xr:uid="{81993FA2-9DCE-44AE-971F-0D3C07FDE9E1}"/>
    <cellStyle name="쉼표 [0] 2 4 4 2 2 4" xfId="9550" xr:uid="{D9364D92-8C6C-4998-9FE7-8711DDA259F9}"/>
    <cellStyle name="쉼표 [0] 2 4 4 2 3" xfId="1716" xr:uid="{00000000-0005-0000-0000-000018130000}"/>
    <cellStyle name="쉼표 [0] 2 4 4 2 3 2" xfId="4061" xr:uid="{00000000-0005-0000-0000-000019130000}"/>
    <cellStyle name="쉼표 [0] 2 4 4 2 3 2 2" xfId="7722" xr:uid="{00000000-0005-0000-0000-00001A130000}"/>
    <cellStyle name="쉼표 [0] 2 4 4 2 3 2 2 2" xfId="15039" xr:uid="{8BAB2E1C-036A-49E2-9A60-D5AAE6AF88E7}"/>
    <cellStyle name="쉼표 [0] 2 4 4 2 3 2 3" xfId="11381" xr:uid="{D3AA5BC9-B1DE-4BE8-BBE4-BBB844947AC0}"/>
    <cellStyle name="쉼표 [0] 2 4 4 2 3 3" xfId="5893" xr:uid="{00000000-0005-0000-0000-00001B130000}"/>
    <cellStyle name="쉼표 [0] 2 4 4 2 3 3 2" xfId="13210" xr:uid="{E3698063-7B42-43B0-B839-42F8AA9D9F1A}"/>
    <cellStyle name="쉼표 [0] 2 4 4 2 3 4" xfId="9551" xr:uid="{60BA9392-D7C1-4266-AFEE-A123D9F18E93}"/>
    <cellStyle name="쉼표 [0] 2 4 4 2 4" xfId="1717" xr:uid="{00000000-0005-0000-0000-00001C130000}"/>
    <cellStyle name="쉼표 [0] 2 4 4 2 4 2" xfId="4062" xr:uid="{00000000-0005-0000-0000-00001D130000}"/>
    <cellStyle name="쉼표 [0] 2 4 4 2 4 2 2" xfId="7723" xr:uid="{00000000-0005-0000-0000-00001E130000}"/>
    <cellStyle name="쉼표 [0] 2 4 4 2 4 2 2 2" xfId="15040" xr:uid="{ED50E4A0-5BB2-4E4A-865E-602587EA0A7F}"/>
    <cellStyle name="쉼표 [0] 2 4 4 2 4 2 3" xfId="11382" xr:uid="{50B80F9A-32B4-4B2C-9285-74CFEC4E8539}"/>
    <cellStyle name="쉼표 [0] 2 4 4 2 4 3" xfId="5894" xr:uid="{00000000-0005-0000-0000-00001F130000}"/>
    <cellStyle name="쉼표 [0] 2 4 4 2 4 3 2" xfId="13211" xr:uid="{46555E20-E567-47D3-BD27-EE03899A9FB7}"/>
    <cellStyle name="쉼표 [0] 2 4 4 2 4 4" xfId="9552" xr:uid="{A80C4F80-A52B-4E0F-AAA6-83A51E59285A}"/>
    <cellStyle name="쉼표 [0] 2 4 4 2 5" xfId="4059" xr:uid="{00000000-0005-0000-0000-000020130000}"/>
    <cellStyle name="쉼표 [0] 2 4 4 2 5 2" xfId="7720" xr:uid="{00000000-0005-0000-0000-000021130000}"/>
    <cellStyle name="쉼표 [0] 2 4 4 2 5 2 2" xfId="15037" xr:uid="{480F71F1-70FC-4051-968B-E515EBA1212F}"/>
    <cellStyle name="쉼표 [0] 2 4 4 2 5 3" xfId="11379" xr:uid="{DA08C358-79A8-4C04-9E68-292DF15E41D9}"/>
    <cellStyle name="쉼표 [0] 2 4 4 2 6" xfId="5891" xr:uid="{00000000-0005-0000-0000-000022130000}"/>
    <cellStyle name="쉼표 [0] 2 4 4 2 6 2" xfId="13208" xr:uid="{702D722A-976C-4ED8-AB45-9CA2EC6A2F01}"/>
    <cellStyle name="쉼표 [0] 2 4 4 2 7" xfId="9549" xr:uid="{B1416A6C-4E95-4714-B01B-1DB5C60DEE82}"/>
    <cellStyle name="쉼표 [0] 2 4 4 3" xfId="1718" xr:uid="{00000000-0005-0000-0000-000023130000}"/>
    <cellStyle name="쉼표 [0] 2 4 4 3 2" xfId="4063" xr:uid="{00000000-0005-0000-0000-000024130000}"/>
    <cellStyle name="쉼표 [0] 2 4 4 3 2 2" xfId="7724" xr:uid="{00000000-0005-0000-0000-000025130000}"/>
    <cellStyle name="쉼표 [0] 2 4 4 3 2 2 2" xfId="15041" xr:uid="{7C13651B-CDA5-4DA2-8AAD-F3698A21F12C}"/>
    <cellStyle name="쉼표 [0] 2 4 4 3 2 3" xfId="11383" xr:uid="{C05F7F91-E9EE-40C9-9F8C-18414833D295}"/>
    <cellStyle name="쉼표 [0] 2 4 4 3 3" xfId="5895" xr:uid="{00000000-0005-0000-0000-000026130000}"/>
    <cellStyle name="쉼표 [0] 2 4 4 3 3 2" xfId="13212" xr:uid="{EFE9519D-AEC4-4873-9E50-4010806453AD}"/>
    <cellStyle name="쉼표 [0] 2 4 4 3 4" xfId="9553" xr:uid="{4744FC6B-BAB9-4E5E-9328-A450DCA725F7}"/>
    <cellStyle name="쉼표 [0] 2 4 4 4" xfId="1719" xr:uid="{00000000-0005-0000-0000-000027130000}"/>
    <cellStyle name="쉼표 [0] 2 4 4 4 2" xfId="4064" xr:uid="{00000000-0005-0000-0000-000028130000}"/>
    <cellStyle name="쉼표 [0] 2 4 4 4 2 2" xfId="7725" xr:uid="{00000000-0005-0000-0000-000029130000}"/>
    <cellStyle name="쉼표 [0] 2 4 4 4 2 2 2" xfId="15042" xr:uid="{C7CCF5C5-F2B6-4C54-A96B-CC1498D8C460}"/>
    <cellStyle name="쉼표 [0] 2 4 4 4 2 3" xfId="11384" xr:uid="{513945C0-C7B1-48A3-94A6-3249C74781F0}"/>
    <cellStyle name="쉼표 [0] 2 4 4 4 3" xfId="5896" xr:uid="{00000000-0005-0000-0000-00002A130000}"/>
    <cellStyle name="쉼표 [0] 2 4 4 4 3 2" xfId="13213" xr:uid="{55577D75-30B6-449A-9DAA-011D897B4464}"/>
    <cellStyle name="쉼표 [0] 2 4 4 4 4" xfId="9554" xr:uid="{3467964D-48A7-4110-85A8-9ED8EF791A73}"/>
    <cellStyle name="쉼표 [0] 2 4 4 5" xfId="1720" xr:uid="{00000000-0005-0000-0000-00002B130000}"/>
    <cellStyle name="쉼표 [0] 2 4 4 5 2" xfId="4065" xr:uid="{00000000-0005-0000-0000-00002C130000}"/>
    <cellStyle name="쉼표 [0] 2 4 4 5 2 2" xfId="7726" xr:uid="{00000000-0005-0000-0000-00002D130000}"/>
    <cellStyle name="쉼표 [0] 2 4 4 5 2 2 2" xfId="15043" xr:uid="{EE84CC29-C2CB-409F-AEF4-B951D8A76082}"/>
    <cellStyle name="쉼표 [0] 2 4 4 5 2 3" xfId="11385" xr:uid="{9C5D283B-1814-4D9F-8707-DDCA5F13B78C}"/>
    <cellStyle name="쉼표 [0] 2 4 4 5 3" xfId="5897" xr:uid="{00000000-0005-0000-0000-00002E130000}"/>
    <cellStyle name="쉼표 [0] 2 4 4 5 3 2" xfId="13214" xr:uid="{4C7E4826-3C04-4407-B58D-2377345BDE19}"/>
    <cellStyle name="쉼표 [0] 2 4 4 5 4" xfId="9555" xr:uid="{F7DB7D8A-2769-4762-9643-E3392CD975B3}"/>
    <cellStyle name="쉼표 [0] 2 4 4 6" xfId="4058" xr:uid="{00000000-0005-0000-0000-00002F130000}"/>
    <cellStyle name="쉼표 [0] 2 4 4 6 2" xfId="7719" xr:uid="{00000000-0005-0000-0000-000030130000}"/>
    <cellStyle name="쉼표 [0] 2 4 4 6 2 2" xfId="15036" xr:uid="{23632EAF-B01A-402D-827C-756E9903A887}"/>
    <cellStyle name="쉼표 [0] 2 4 4 6 3" xfId="11378" xr:uid="{DDC484EC-A013-4B08-B376-B574B193DD6E}"/>
    <cellStyle name="쉼표 [0] 2 4 4 7" xfId="5890" xr:uid="{00000000-0005-0000-0000-000031130000}"/>
    <cellStyle name="쉼표 [0] 2 4 4 7 2" xfId="13207" xr:uid="{E23FA3B6-742B-4C61-B939-81ED09ADBC4B}"/>
    <cellStyle name="쉼표 [0] 2 4 4 8" xfId="9548" xr:uid="{2B58CC42-87DF-4646-B80F-5C42083C2ADE}"/>
    <cellStyle name="쉼표 [0] 2 4 5" xfId="1721" xr:uid="{00000000-0005-0000-0000-000032130000}"/>
    <cellStyle name="쉼표 [0] 2 4 6" xfId="1722" xr:uid="{00000000-0005-0000-0000-000033130000}"/>
    <cellStyle name="쉼표 [0] 2 4 6 2" xfId="4066" xr:uid="{00000000-0005-0000-0000-000034130000}"/>
    <cellStyle name="쉼표 [0] 2 4 6 2 2" xfId="7727" xr:uid="{00000000-0005-0000-0000-000035130000}"/>
    <cellStyle name="쉼표 [0] 2 4 6 2 2 2" xfId="15044" xr:uid="{34BF50DA-5278-42A1-A31A-F4E2ECA6A25D}"/>
    <cellStyle name="쉼표 [0] 2 4 6 2 3" xfId="11386" xr:uid="{2DA6A683-BF7B-43CF-A8B0-6A126793F605}"/>
    <cellStyle name="쉼표 [0] 2 4 6 3" xfId="5898" xr:uid="{00000000-0005-0000-0000-000036130000}"/>
    <cellStyle name="쉼표 [0] 2 4 6 3 2" xfId="13215" xr:uid="{A88675E5-78FE-4D69-A409-369447885237}"/>
    <cellStyle name="쉼표 [0] 2 4 6 4" xfId="9556" xr:uid="{49789414-4414-4FBE-A794-F4F292750B1B}"/>
    <cellStyle name="쉼표 [0] 2 4 7" xfId="4039" xr:uid="{00000000-0005-0000-0000-000037130000}"/>
    <cellStyle name="쉼표 [0] 2 4 7 2" xfId="7700" xr:uid="{00000000-0005-0000-0000-000038130000}"/>
    <cellStyle name="쉼표 [0] 2 4 7 2 2" xfId="15017" xr:uid="{3F4B0C0F-EA1B-47A6-B3C2-538F33A4D247}"/>
    <cellStyle name="쉼표 [0] 2 4 7 3" xfId="11359" xr:uid="{C3473371-4D24-4277-A9E1-89569D777BBF}"/>
    <cellStyle name="쉼표 [0] 2 4 8" xfId="5871" xr:uid="{00000000-0005-0000-0000-000039130000}"/>
    <cellStyle name="쉼표 [0] 2 4 8 2" xfId="13188" xr:uid="{8CAA1A75-0A6F-435E-A0EA-F527978BA5C8}"/>
    <cellStyle name="쉼표 [0] 2 4 9" xfId="9529" xr:uid="{9FDAEDBE-90EF-4A5B-9117-9B71038F432E}"/>
    <cellStyle name="쉼표 [0] 2 5" xfId="1723" xr:uid="{00000000-0005-0000-0000-00003A130000}"/>
    <cellStyle name="쉼표 [0] 2 5 2" xfId="1724" xr:uid="{00000000-0005-0000-0000-00003B130000}"/>
    <cellStyle name="쉼표 [0] 2 5 2 2" xfId="1725" xr:uid="{00000000-0005-0000-0000-00003C130000}"/>
    <cellStyle name="쉼표 [0] 2 5 2 2 2" xfId="1726" xr:uid="{00000000-0005-0000-0000-00003D130000}"/>
    <cellStyle name="쉼표 [0] 2 5 2 2 2 2" xfId="4070" xr:uid="{00000000-0005-0000-0000-00003E130000}"/>
    <cellStyle name="쉼표 [0] 2 5 2 2 2 2 2" xfId="7731" xr:uid="{00000000-0005-0000-0000-00003F130000}"/>
    <cellStyle name="쉼표 [0] 2 5 2 2 2 2 2 2" xfId="15048" xr:uid="{5201CC53-854C-401C-A98B-5F08498B28EC}"/>
    <cellStyle name="쉼표 [0] 2 5 2 2 2 2 3" xfId="11390" xr:uid="{8519FCCD-8557-4721-86C8-8865DBA9FA5F}"/>
    <cellStyle name="쉼표 [0] 2 5 2 2 2 3" xfId="5902" xr:uid="{00000000-0005-0000-0000-000040130000}"/>
    <cellStyle name="쉼표 [0] 2 5 2 2 2 3 2" xfId="13219" xr:uid="{91356AB0-7A44-412C-8A9C-EA29954E1E70}"/>
    <cellStyle name="쉼표 [0] 2 5 2 2 2 4" xfId="9560" xr:uid="{14B0E720-6744-4B63-96F8-6E16E6C943CD}"/>
    <cellStyle name="쉼표 [0] 2 5 2 2 3" xfId="1727" xr:uid="{00000000-0005-0000-0000-000041130000}"/>
    <cellStyle name="쉼표 [0] 2 5 2 2 3 2" xfId="4071" xr:uid="{00000000-0005-0000-0000-000042130000}"/>
    <cellStyle name="쉼표 [0] 2 5 2 2 3 2 2" xfId="7732" xr:uid="{00000000-0005-0000-0000-000043130000}"/>
    <cellStyle name="쉼표 [0] 2 5 2 2 3 2 2 2" xfId="15049" xr:uid="{AD8C49B5-62B9-4DBB-B5FA-0F5FFB3BF5F3}"/>
    <cellStyle name="쉼표 [0] 2 5 2 2 3 2 3" xfId="11391" xr:uid="{16879BB6-3EC9-476C-8341-4AC5F5840E49}"/>
    <cellStyle name="쉼표 [0] 2 5 2 2 3 3" xfId="5903" xr:uid="{00000000-0005-0000-0000-000044130000}"/>
    <cellStyle name="쉼표 [0] 2 5 2 2 3 3 2" xfId="13220" xr:uid="{5C136B29-0801-4627-885A-CBBC19C405FF}"/>
    <cellStyle name="쉼표 [0] 2 5 2 2 3 4" xfId="9561" xr:uid="{37CB1A83-305F-4241-8AC0-25C2B4BF5BC0}"/>
    <cellStyle name="쉼표 [0] 2 5 2 2 4" xfId="1728" xr:uid="{00000000-0005-0000-0000-000045130000}"/>
    <cellStyle name="쉼표 [0] 2 5 2 2 4 2" xfId="4072" xr:uid="{00000000-0005-0000-0000-000046130000}"/>
    <cellStyle name="쉼표 [0] 2 5 2 2 4 2 2" xfId="7733" xr:uid="{00000000-0005-0000-0000-000047130000}"/>
    <cellStyle name="쉼표 [0] 2 5 2 2 4 2 2 2" xfId="15050" xr:uid="{A3ABC71E-FB72-4D45-BEEB-2C00D0E2AAC9}"/>
    <cellStyle name="쉼표 [0] 2 5 2 2 4 2 3" xfId="11392" xr:uid="{C3151850-4D46-440D-81FD-A65791E2396C}"/>
    <cellStyle name="쉼표 [0] 2 5 2 2 4 3" xfId="5904" xr:uid="{00000000-0005-0000-0000-000048130000}"/>
    <cellStyle name="쉼표 [0] 2 5 2 2 4 3 2" xfId="13221" xr:uid="{2A5C37E5-3379-4809-8A8C-F81C2A447D2B}"/>
    <cellStyle name="쉼표 [0] 2 5 2 2 4 4" xfId="9562" xr:uid="{AA822666-F6AA-4E02-9F0A-8BCC1BF042CF}"/>
    <cellStyle name="쉼표 [0] 2 5 2 2 5" xfId="4069" xr:uid="{00000000-0005-0000-0000-000049130000}"/>
    <cellStyle name="쉼표 [0] 2 5 2 2 5 2" xfId="7730" xr:uid="{00000000-0005-0000-0000-00004A130000}"/>
    <cellStyle name="쉼표 [0] 2 5 2 2 5 2 2" xfId="15047" xr:uid="{FA6FAB49-3DCE-424E-95C5-6A41FB58C403}"/>
    <cellStyle name="쉼표 [0] 2 5 2 2 5 3" xfId="11389" xr:uid="{89D588CB-7F14-4244-ABD3-12F86DFAEADA}"/>
    <cellStyle name="쉼표 [0] 2 5 2 2 6" xfId="5901" xr:uid="{00000000-0005-0000-0000-00004B130000}"/>
    <cellStyle name="쉼표 [0] 2 5 2 2 6 2" xfId="13218" xr:uid="{ACD1B7D8-DC26-452F-8283-0A891F407349}"/>
    <cellStyle name="쉼표 [0] 2 5 2 2 7" xfId="9559" xr:uid="{B7FC4CCE-1EA9-4330-A3D0-D1947AF18192}"/>
    <cellStyle name="쉼표 [0] 2 5 2 3" xfId="1729" xr:uid="{00000000-0005-0000-0000-00004C130000}"/>
    <cellStyle name="쉼표 [0] 2 5 2 3 2" xfId="1730" xr:uid="{00000000-0005-0000-0000-00004D130000}"/>
    <cellStyle name="쉼표 [0] 2 5 2 3 2 2" xfId="4074" xr:uid="{00000000-0005-0000-0000-00004E130000}"/>
    <cellStyle name="쉼표 [0] 2 5 2 3 2 2 2" xfId="7735" xr:uid="{00000000-0005-0000-0000-00004F130000}"/>
    <cellStyle name="쉼표 [0] 2 5 2 3 2 2 2 2" xfId="15052" xr:uid="{FCA29D20-0856-489C-8CE8-6086BE116998}"/>
    <cellStyle name="쉼표 [0] 2 5 2 3 2 2 3" xfId="11394" xr:uid="{1E4527A3-856D-4A31-9B94-25A738DF32D9}"/>
    <cellStyle name="쉼표 [0] 2 5 2 3 2 3" xfId="5906" xr:uid="{00000000-0005-0000-0000-000050130000}"/>
    <cellStyle name="쉼표 [0] 2 5 2 3 2 3 2" xfId="13223" xr:uid="{130CBDE1-2328-4966-A0BC-6FD21F6F14CF}"/>
    <cellStyle name="쉼표 [0] 2 5 2 3 2 4" xfId="9564" xr:uid="{CBDB6A82-F062-40DF-9091-AA4DBAE0F01C}"/>
    <cellStyle name="쉼표 [0] 2 5 2 3 3" xfId="4073" xr:uid="{00000000-0005-0000-0000-000051130000}"/>
    <cellStyle name="쉼표 [0] 2 5 2 3 3 2" xfId="7734" xr:uid="{00000000-0005-0000-0000-000052130000}"/>
    <cellStyle name="쉼표 [0] 2 5 2 3 3 2 2" xfId="15051" xr:uid="{BC4BC383-96FA-4D60-913A-ADA6E28D8089}"/>
    <cellStyle name="쉼표 [0] 2 5 2 3 3 3" xfId="11393" xr:uid="{3AA2B4C0-4ABA-4C58-B828-07F03AFD4A52}"/>
    <cellStyle name="쉼표 [0] 2 5 2 3 4" xfId="5905" xr:uid="{00000000-0005-0000-0000-000053130000}"/>
    <cellStyle name="쉼표 [0] 2 5 2 3 4 2" xfId="13222" xr:uid="{09C43890-BE71-4B14-B4DC-BBE820FE68CC}"/>
    <cellStyle name="쉼표 [0] 2 5 2 3 5" xfId="9563" xr:uid="{A9D29578-C4C7-4016-9A02-FC27419EEC93}"/>
    <cellStyle name="쉼표 [0] 2 5 2 4" xfId="1731" xr:uid="{00000000-0005-0000-0000-000054130000}"/>
    <cellStyle name="쉼표 [0] 2 5 2 4 2" xfId="1732" xr:uid="{00000000-0005-0000-0000-000055130000}"/>
    <cellStyle name="쉼표 [0] 2 5 2 4 2 2" xfId="4076" xr:uid="{00000000-0005-0000-0000-000056130000}"/>
    <cellStyle name="쉼표 [0] 2 5 2 4 2 2 2" xfId="7737" xr:uid="{00000000-0005-0000-0000-000057130000}"/>
    <cellStyle name="쉼표 [0] 2 5 2 4 2 2 2 2" xfId="15054" xr:uid="{DBD7775C-ECF3-4185-B6FD-5A6974C5C185}"/>
    <cellStyle name="쉼표 [0] 2 5 2 4 2 2 3" xfId="11396" xr:uid="{47C35D9E-9F0C-4D53-A70D-10503A354A1F}"/>
    <cellStyle name="쉼표 [0] 2 5 2 4 2 3" xfId="5908" xr:uid="{00000000-0005-0000-0000-000058130000}"/>
    <cellStyle name="쉼표 [0] 2 5 2 4 2 3 2" xfId="13225" xr:uid="{F80611CA-39A0-42E4-A665-9C0157F4AE08}"/>
    <cellStyle name="쉼표 [0] 2 5 2 4 2 4" xfId="9566" xr:uid="{613F8B55-E876-487A-80B7-269D43378B0B}"/>
    <cellStyle name="쉼표 [0] 2 5 2 4 3" xfId="4075" xr:uid="{00000000-0005-0000-0000-000059130000}"/>
    <cellStyle name="쉼표 [0] 2 5 2 4 3 2" xfId="7736" xr:uid="{00000000-0005-0000-0000-00005A130000}"/>
    <cellStyle name="쉼표 [0] 2 5 2 4 3 2 2" xfId="15053" xr:uid="{077EEB33-7162-4280-B9A0-EA932FD3315E}"/>
    <cellStyle name="쉼표 [0] 2 5 2 4 3 3" xfId="11395" xr:uid="{7EFD26B5-A8A8-4204-AE61-E73E4DC7E2C5}"/>
    <cellStyle name="쉼표 [0] 2 5 2 4 4" xfId="5907" xr:uid="{00000000-0005-0000-0000-00005B130000}"/>
    <cellStyle name="쉼표 [0] 2 5 2 4 4 2" xfId="13224" xr:uid="{E26880FD-96CA-40B8-A748-679A6DFE7AC0}"/>
    <cellStyle name="쉼표 [0] 2 5 2 4 5" xfId="9565" xr:uid="{DB31EAE8-649C-447D-8A11-EF5F68881E20}"/>
    <cellStyle name="쉼표 [0] 2 5 2 5" xfId="1733" xr:uid="{00000000-0005-0000-0000-00005C130000}"/>
    <cellStyle name="쉼표 [0] 2 5 2 5 2" xfId="4077" xr:uid="{00000000-0005-0000-0000-00005D130000}"/>
    <cellStyle name="쉼표 [0] 2 5 2 5 2 2" xfId="7738" xr:uid="{00000000-0005-0000-0000-00005E130000}"/>
    <cellStyle name="쉼표 [0] 2 5 2 5 2 2 2" xfId="15055" xr:uid="{7BC387BA-5CFF-4212-8023-03085AA61270}"/>
    <cellStyle name="쉼표 [0] 2 5 2 5 2 3" xfId="11397" xr:uid="{F51B9FF1-C66D-40A9-990E-83A3A041F7B7}"/>
    <cellStyle name="쉼표 [0] 2 5 2 5 3" xfId="5909" xr:uid="{00000000-0005-0000-0000-00005F130000}"/>
    <cellStyle name="쉼표 [0] 2 5 2 5 3 2" xfId="13226" xr:uid="{EF3532BD-06DC-40CE-B7E9-C169544E3DD6}"/>
    <cellStyle name="쉼표 [0] 2 5 2 5 4" xfId="9567" xr:uid="{258DC6B0-1A0C-4988-8FC2-43D608B93E45}"/>
    <cellStyle name="쉼표 [0] 2 5 2 6" xfId="4068" xr:uid="{00000000-0005-0000-0000-000060130000}"/>
    <cellStyle name="쉼표 [0] 2 5 2 6 2" xfId="7729" xr:uid="{00000000-0005-0000-0000-000061130000}"/>
    <cellStyle name="쉼표 [0] 2 5 2 6 2 2" xfId="15046" xr:uid="{7AE564D5-C705-45CF-81A9-EAEE803FFACB}"/>
    <cellStyle name="쉼표 [0] 2 5 2 6 3" xfId="11388" xr:uid="{74BCA8DB-1712-4C4C-AAC1-3DCCEF28BDB6}"/>
    <cellStyle name="쉼표 [0] 2 5 2 7" xfId="5900" xr:uid="{00000000-0005-0000-0000-000062130000}"/>
    <cellStyle name="쉼표 [0] 2 5 2 7 2" xfId="13217" xr:uid="{21397937-5057-4999-9AD6-CF2896465AEF}"/>
    <cellStyle name="쉼표 [0] 2 5 2 8" xfId="9558" xr:uid="{8FC2DE50-1FCF-4289-A044-6EBC879E1084}"/>
    <cellStyle name="쉼표 [0] 2 5 3" xfId="1734" xr:uid="{00000000-0005-0000-0000-000063130000}"/>
    <cellStyle name="쉼표 [0] 2 5 3 2" xfId="1735" xr:uid="{00000000-0005-0000-0000-000064130000}"/>
    <cellStyle name="쉼표 [0] 2 5 3 2 2" xfId="1736" xr:uid="{00000000-0005-0000-0000-000065130000}"/>
    <cellStyle name="쉼표 [0] 2 5 3 2 2 2" xfId="4080" xr:uid="{00000000-0005-0000-0000-000066130000}"/>
    <cellStyle name="쉼표 [0] 2 5 3 2 2 2 2" xfId="7741" xr:uid="{00000000-0005-0000-0000-000067130000}"/>
    <cellStyle name="쉼표 [0] 2 5 3 2 2 2 2 2" xfId="15058" xr:uid="{A5EF7A70-991A-4232-BB3D-19382B991D40}"/>
    <cellStyle name="쉼표 [0] 2 5 3 2 2 2 3" xfId="11400" xr:uid="{48675DC7-BDAD-4BA1-9760-6D5392E8D92D}"/>
    <cellStyle name="쉼표 [0] 2 5 3 2 2 3" xfId="5912" xr:uid="{00000000-0005-0000-0000-000068130000}"/>
    <cellStyle name="쉼표 [0] 2 5 3 2 2 3 2" xfId="13229" xr:uid="{DB462A79-2DB1-4516-8955-183CD2F3B99D}"/>
    <cellStyle name="쉼표 [0] 2 5 3 2 2 4" xfId="9570" xr:uid="{8BDCF88E-E420-4345-9BBE-1C8CB88411EA}"/>
    <cellStyle name="쉼표 [0] 2 5 3 2 3" xfId="1737" xr:uid="{00000000-0005-0000-0000-000069130000}"/>
    <cellStyle name="쉼표 [0] 2 5 3 2 3 2" xfId="4081" xr:uid="{00000000-0005-0000-0000-00006A130000}"/>
    <cellStyle name="쉼표 [0] 2 5 3 2 3 2 2" xfId="7742" xr:uid="{00000000-0005-0000-0000-00006B130000}"/>
    <cellStyle name="쉼표 [0] 2 5 3 2 3 2 2 2" xfId="15059" xr:uid="{CF3E2D6A-CB18-4A0B-BF4F-42E57142FEE4}"/>
    <cellStyle name="쉼표 [0] 2 5 3 2 3 2 3" xfId="11401" xr:uid="{C4A73D43-49AC-427D-A368-6598BC9C6B30}"/>
    <cellStyle name="쉼표 [0] 2 5 3 2 3 3" xfId="5913" xr:uid="{00000000-0005-0000-0000-00006C130000}"/>
    <cellStyle name="쉼표 [0] 2 5 3 2 3 3 2" xfId="13230" xr:uid="{DF676448-A053-48B1-8735-19271BF88509}"/>
    <cellStyle name="쉼표 [0] 2 5 3 2 3 4" xfId="9571" xr:uid="{A9469820-8AE7-4425-8611-9B010B67CCA2}"/>
    <cellStyle name="쉼표 [0] 2 5 3 2 4" xfId="1738" xr:uid="{00000000-0005-0000-0000-00006D130000}"/>
    <cellStyle name="쉼표 [0] 2 5 3 2 4 2" xfId="4082" xr:uid="{00000000-0005-0000-0000-00006E130000}"/>
    <cellStyle name="쉼표 [0] 2 5 3 2 4 2 2" xfId="7743" xr:uid="{00000000-0005-0000-0000-00006F130000}"/>
    <cellStyle name="쉼표 [0] 2 5 3 2 4 2 2 2" xfId="15060" xr:uid="{5285C76E-11AC-46B2-8EC0-3D1A67A59EAE}"/>
    <cellStyle name="쉼표 [0] 2 5 3 2 4 2 3" xfId="11402" xr:uid="{1701572F-8512-4ADB-8B16-DE7198FE23A0}"/>
    <cellStyle name="쉼표 [0] 2 5 3 2 4 3" xfId="5914" xr:uid="{00000000-0005-0000-0000-000070130000}"/>
    <cellStyle name="쉼표 [0] 2 5 3 2 4 3 2" xfId="13231" xr:uid="{0531A37D-A5B0-4A1F-AF69-A4A4646B6C3C}"/>
    <cellStyle name="쉼표 [0] 2 5 3 2 4 4" xfId="9572" xr:uid="{5DE3E60A-79BD-47BF-92B6-085D90C7C7FE}"/>
    <cellStyle name="쉼표 [0] 2 5 3 2 5" xfId="4079" xr:uid="{00000000-0005-0000-0000-000071130000}"/>
    <cellStyle name="쉼표 [0] 2 5 3 2 5 2" xfId="7740" xr:uid="{00000000-0005-0000-0000-000072130000}"/>
    <cellStyle name="쉼표 [0] 2 5 3 2 5 2 2" xfId="15057" xr:uid="{D988CDD9-4DDF-4F53-990D-A93180A8DC13}"/>
    <cellStyle name="쉼표 [0] 2 5 3 2 5 3" xfId="11399" xr:uid="{AC690C27-51EF-4295-BBA6-6F6D6EE10C7F}"/>
    <cellStyle name="쉼표 [0] 2 5 3 2 6" xfId="5911" xr:uid="{00000000-0005-0000-0000-000073130000}"/>
    <cellStyle name="쉼표 [0] 2 5 3 2 6 2" xfId="13228" xr:uid="{A86EE137-D27E-4F7C-B772-B47EE09FEC9A}"/>
    <cellStyle name="쉼표 [0] 2 5 3 2 7" xfId="9569" xr:uid="{1A81D41B-0047-4B26-9BB4-EAF551C7152E}"/>
    <cellStyle name="쉼표 [0] 2 5 3 3" xfId="1739" xr:uid="{00000000-0005-0000-0000-000074130000}"/>
    <cellStyle name="쉼표 [0] 2 5 3 3 2" xfId="4083" xr:uid="{00000000-0005-0000-0000-000075130000}"/>
    <cellStyle name="쉼표 [0] 2 5 3 3 2 2" xfId="7744" xr:uid="{00000000-0005-0000-0000-000076130000}"/>
    <cellStyle name="쉼표 [0] 2 5 3 3 2 2 2" xfId="15061" xr:uid="{22670A2B-3335-468C-B894-077CA524C978}"/>
    <cellStyle name="쉼표 [0] 2 5 3 3 2 3" xfId="11403" xr:uid="{B5C9AED8-B670-41E3-AF37-8E6C297D8CFD}"/>
    <cellStyle name="쉼표 [0] 2 5 3 3 3" xfId="5915" xr:uid="{00000000-0005-0000-0000-000077130000}"/>
    <cellStyle name="쉼표 [0] 2 5 3 3 3 2" xfId="13232" xr:uid="{1DA54038-3904-4903-A86D-896870DE1D46}"/>
    <cellStyle name="쉼표 [0] 2 5 3 3 4" xfId="9573" xr:uid="{74837DEC-709F-401C-A798-2C0F451A657C}"/>
    <cellStyle name="쉼표 [0] 2 5 3 4" xfId="1740" xr:uid="{00000000-0005-0000-0000-000078130000}"/>
    <cellStyle name="쉼표 [0] 2 5 3 4 2" xfId="4084" xr:uid="{00000000-0005-0000-0000-000079130000}"/>
    <cellStyle name="쉼표 [0] 2 5 3 4 2 2" xfId="7745" xr:uid="{00000000-0005-0000-0000-00007A130000}"/>
    <cellStyle name="쉼표 [0] 2 5 3 4 2 2 2" xfId="15062" xr:uid="{3973E2B9-3437-4B58-8F65-46DA8F7AEC09}"/>
    <cellStyle name="쉼표 [0] 2 5 3 4 2 3" xfId="11404" xr:uid="{93F2C7A3-046E-4B8D-818F-0911F3C22BCF}"/>
    <cellStyle name="쉼표 [0] 2 5 3 4 3" xfId="5916" xr:uid="{00000000-0005-0000-0000-00007B130000}"/>
    <cellStyle name="쉼표 [0] 2 5 3 4 3 2" xfId="13233" xr:uid="{73A2AE51-2460-4F48-8AA4-832948E33992}"/>
    <cellStyle name="쉼표 [0] 2 5 3 4 4" xfId="9574" xr:uid="{405607EE-3329-4E17-921F-D78BBC86850A}"/>
    <cellStyle name="쉼표 [0] 2 5 3 5" xfId="1741" xr:uid="{00000000-0005-0000-0000-00007C130000}"/>
    <cellStyle name="쉼표 [0] 2 5 3 5 2" xfId="4085" xr:uid="{00000000-0005-0000-0000-00007D130000}"/>
    <cellStyle name="쉼표 [0] 2 5 3 5 2 2" xfId="7746" xr:uid="{00000000-0005-0000-0000-00007E130000}"/>
    <cellStyle name="쉼표 [0] 2 5 3 5 2 2 2" xfId="15063" xr:uid="{03EF21BC-7C78-46B7-B738-4AD253DA01B6}"/>
    <cellStyle name="쉼표 [0] 2 5 3 5 2 3" xfId="11405" xr:uid="{0E5672EC-B9F1-4EB0-9F40-40941B98646C}"/>
    <cellStyle name="쉼표 [0] 2 5 3 5 3" xfId="5917" xr:uid="{00000000-0005-0000-0000-00007F130000}"/>
    <cellStyle name="쉼표 [0] 2 5 3 5 3 2" xfId="13234" xr:uid="{8CABDCCF-BAD5-4339-BCD4-86E23E101268}"/>
    <cellStyle name="쉼표 [0] 2 5 3 5 4" xfId="9575" xr:uid="{A42EDA1A-ACA9-4AE3-8FA9-79F695983A2B}"/>
    <cellStyle name="쉼표 [0] 2 5 3 6" xfId="4078" xr:uid="{00000000-0005-0000-0000-000080130000}"/>
    <cellStyle name="쉼표 [0] 2 5 3 6 2" xfId="7739" xr:uid="{00000000-0005-0000-0000-000081130000}"/>
    <cellStyle name="쉼표 [0] 2 5 3 6 2 2" xfId="15056" xr:uid="{E00103EC-3AB4-41D2-91CB-21704495C299}"/>
    <cellStyle name="쉼표 [0] 2 5 3 6 3" xfId="11398" xr:uid="{67CFD0B5-246E-4730-A3E9-F45FCA3E91AD}"/>
    <cellStyle name="쉼표 [0] 2 5 3 7" xfId="5910" xr:uid="{00000000-0005-0000-0000-000082130000}"/>
    <cellStyle name="쉼표 [0] 2 5 3 7 2" xfId="13227" xr:uid="{7F10D8FB-02F1-48F2-AB9A-FD924F3AFDE9}"/>
    <cellStyle name="쉼표 [0] 2 5 3 8" xfId="9568" xr:uid="{325EE761-702C-4AA3-A35F-EE240769F9C1}"/>
    <cellStyle name="쉼표 [0] 2 5 4" xfId="1742" xr:uid="{00000000-0005-0000-0000-000083130000}"/>
    <cellStyle name="쉼표 [0] 2 5 4 2" xfId="1743" xr:uid="{00000000-0005-0000-0000-000084130000}"/>
    <cellStyle name="쉼표 [0] 2 5 4 2 2" xfId="1744" xr:uid="{00000000-0005-0000-0000-000085130000}"/>
    <cellStyle name="쉼표 [0] 2 5 4 2 2 2" xfId="4088" xr:uid="{00000000-0005-0000-0000-000086130000}"/>
    <cellStyle name="쉼표 [0] 2 5 4 2 2 2 2" xfId="7749" xr:uid="{00000000-0005-0000-0000-000087130000}"/>
    <cellStyle name="쉼표 [0] 2 5 4 2 2 2 2 2" xfId="15066" xr:uid="{A2606F62-680C-4C70-AFC8-237F4FF01A56}"/>
    <cellStyle name="쉼표 [0] 2 5 4 2 2 2 3" xfId="11408" xr:uid="{9C4E6536-7BDC-48C0-9D32-FF89F72D3956}"/>
    <cellStyle name="쉼표 [0] 2 5 4 2 2 3" xfId="5920" xr:uid="{00000000-0005-0000-0000-000088130000}"/>
    <cellStyle name="쉼표 [0] 2 5 4 2 2 3 2" xfId="13237" xr:uid="{5027E56D-A271-46E1-BE42-93C03C583030}"/>
    <cellStyle name="쉼표 [0] 2 5 4 2 2 4" xfId="9578" xr:uid="{4E5C3ADF-6928-4812-B79B-28E447000FE7}"/>
    <cellStyle name="쉼표 [0] 2 5 4 2 3" xfId="1745" xr:uid="{00000000-0005-0000-0000-000089130000}"/>
    <cellStyle name="쉼표 [0] 2 5 4 2 3 2" xfId="4089" xr:uid="{00000000-0005-0000-0000-00008A130000}"/>
    <cellStyle name="쉼표 [0] 2 5 4 2 3 2 2" xfId="7750" xr:uid="{00000000-0005-0000-0000-00008B130000}"/>
    <cellStyle name="쉼표 [0] 2 5 4 2 3 2 2 2" xfId="15067" xr:uid="{6A7DB08B-ADFE-4C98-A61E-CA5604821237}"/>
    <cellStyle name="쉼표 [0] 2 5 4 2 3 2 3" xfId="11409" xr:uid="{6EC67F8A-72D9-4053-B9AD-094C43EC8973}"/>
    <cellStyle name="쉼표 [0] 2 5 4 2 3 3" xfId="5921" xr:uid="{00000000-0005-0000-0000-00008C130000}"/>
    <cellStyle name="쉼표 [0] 2 5 4 2 3 3 2" xfId="13238" xr:uid="{A32C0B30-EE6E-4D88-AF04-89D0BAB1732E}"/>
    <cellStyle name="쉼표 [0] 2 5 4 2 3 4" xfId="9579" xr:uid="{D2DCB988-49E0-49C4-A386-E43BE1F44559}"/>
    <cellStyle name="쉼표 [0] 2 5 4 2 4" xfId="1746" xr:uid="{00000000-0005-0000-0000-00008D130000}"/>
    <cellStyle name="쉼표 [0] 2 5 4 2 4 2" xfId="4090" xr:uid="{00000000-0005-0000-0000-00008E130000}"/>
    <cellStyle name="쉼표 [0] 2 5 4 2 4 2 2" xfId="7751" xr:uid="{00000000-0005-0000-0000-00008F130000}"/>
    <cellStyle name="쉼표 [0] 2 5 4 2 4 2 2 2" xfId="15068" xr:uid="{F48B7C2C-C4C6-4154-820F-5DF0041C7870}"/>
    <cellStyle name="쉼표 [0] 2 5 4 2 4 2 3" xfId="11410" xr:uid="{00968E29-F9B9-4203-AC07-086890BA0984}"/>
    <cellStyle name="쉼표 [0] 2 5 4 2 4 3" xfId="5922" xr:uid="{00000000-0005-0000-0000-000090130000}"/>
    <cellStyle name="쉼표 [0] 2 5 4 2 4 3 2" xfId="13239" xr:uid="{43D5AC7B-F5C0-47EB-8894-CCA4C91E63AD}"/>
    <cellStyle name="쉼표 [0] 2 5 4 2 4 4" xfId="9580" xr:uid="{B4CDD544-091F-4FC0-ACD8-6A31B80CB8F4}"/>
    <cellStyle name="쉼표 [0] 2 5 4 2 5" xfId="4087" xr:uid="{00000000-0005-0000-0000-000091130000}"/>
    <cellStyle name="쉼표 [0] 2 5 4 2 5 2" xfId="7748" xr:uid="{00000000-0005-0000-0000-000092130000}"/>
    <cellStyle name="쉼표 [0] 2 5 4 2 5 2 2" xfId="15065" xr:uid="{E1C514BB-C10D-4BFA-838C-A762C76CCA53}"/>
    <cellStyle name="쉼표 [0] 2 5 4 2 5 3" xfId="11407" xr:uid="{C9B0FBBA-35A9-4054-A2BF-96E17C645773}"/>
    <cellStyle name="쉼표 [0] 2 5 4 2 6" xfId="5919" xr:uid="{00000000-0005-0000-0000-000093130000}"/>
    <cellStyle name="쉼표 [0] 2 5 4 2 6 2" xfId="13236" xr:uid="{271EDA33-453B-4317-89D9-8C81F7933CE0}"/>
    <cellStyle name="쉼표 [0] 2 5 4 2 7" xfId="9577" xr:uid="{98069E71-9405-448C-B62D-2F1373BA78C0}"/>
    <cellStyle name="쉼표 [0] 2 5 4 3" xfId="1747" xr:uid="{00000000-0005-0000-0000-000094130000}"/>
    <cellStyle name="쉼표 [0] 2 5 4 3 2" xfId="4091" xr:uid="{00000000-0005-0000-0000-000095130000}"/>
    <cellStyle name="쉼표 [0] 2 5 4 3 2 2" xfId="7752" xr:uid="{00000000-0005-0000-0000-000096130000}"/>
    <cellStyle name="쉼표 [0] 2 5 4 3 2 2 2" xfId="15069" xr:uid="{8F6FFDA2-69CD-4674-B134-87325EDF8C11}"/>
    <cellStyle name="쉼표 [0] 2 5 4 3 2 3" xfId="11411" xr:uid="{D99896B6-12C6-418D-A1C3-BF466F655188}"/>
    <cellStyle name="쉼표 [0] 2 5 4 3 3" xfId="5923" xr:uid="{00000000-0005-0000-0000-000097130000}"/>
    <cellStyle name="쉼표 [0] 2 5 4 3 3 2" xfId="13240" xr:uid="{56914C46-67D6-4397-A13D-EEC9D4645C55}"/>
    <cellStyle name="쉼표 [0] 2 5 4 3 4" xfId="9581" xr:uid="{0042B1B8-24E0-4D20-850B-8D0CCEFD4C8C}"/>
    <cellStyle name="쉼표 [0] 2 5 4 4" xfId="1748" xr:uid="{00000000-0005-0000-0000-000098130000}"/>
    <cellStyle name="쉼표 [0] 2 5 4 4 2" xfId="4092" xr:uid="{00000000-0005-0000-0000-000099130000}"/>
    <cellStyle name="쉼표 [0] 2 5 4 4 2 2" xfId="7753" xr:uid="{00000000-0005-0000-0000-00009A130000}"/>
    <cellStyle name="쉼표 [0] 2 5 4 4 2 2 2" xfId="15070" xr:uid="{9F7CA2BD-1C0D-44E0-8159-D37895917B96}"/>
    <cellStyle name="쉼표 [0] 2 5 4 4 2 3" xfId="11412" xr:uid="{6121AC2D-7744-4371-9F04-477E230ACC35}"/>
    <cellStyle name="쉼표 [0] 2 5 4 4 3" xfId="5924" xr:uid="{00000000-0005-0000-0000-00009B130000}"/>
    <cellStyle name="쉼표 [0] 2 5 4 4 3 2" xfId="13241" xr:uid="{0584B395-63F2-4370-93B0-5FD3B960CD86}"/>
    <cellStyle name="쉼표 [0] 2 5 4 4 4" xfId="9582" xr:uid="{374B00CB-A26C-4188-A1D1-531FF9518D5D}"/>
    <cellStyle name="쉼표 [0] 2 5 4 5" xfId="1749" xr:uid="{00000000-0005-0000-0000-00009C130000}"/>
    <cellStyle name="쉼표 [0] 2 5 4 5 2" xfId="4093" xr:uid="{00000000-0005-0000-0000-00009D130000}"/>
    <cellStyle name="쉼표 [0] 2 5 4 5 2 2" xfId="7754" xr:uid="{00000000-0005-0000-0000-00009E130000}"/>
    <cellStyle name="쉼표 [0] 2 5 4 5 2 2 2" xfId="15071" xr:uid="{4294F0A9-D24C-408B-A644-77E57D83C6F8}"/>
    <cellStyle name="쉼표 [0] 2 5 4 5 2 3" xfId="11413" xr:uid="{2D582F22-E9A7-4C4B-861F-0204886CBE9C}"/>
    <cellStyle name="쉼표 [0] 2 5 4 5 3" xfId="5925" xr:uid="{00000000-0005-0000-0000-00009F130000}"/>
    <cellStyle name="쉼표 [0] 2 5 4 5 3 2" xfId="13242" xr:uid="{64B3419C-D960-4E25-8894-5B74BA2C223C}"/>
    <cellStyle name="쉼표 [0] 2 5 4 5 4" xfId="9583" xr:uid="{D3FCB355-F1E1-4315-A109-E22FA6DB7DFE}"/>
    <cellStyle name="쉼표 [0] 2 5 4 6" xfId="4086" xr:uid="{00000000-0005-0000-0000-0000A0130000}"/>
    <cellStyle name="쉼표 [0] 2 5 4 6 2" xfId="7747" xr:uid="{00000000-0005-0000-0000-0000A1130000}"/>
    <cellStyle name="쉼표 [0] 2 5 4 6 2 2" xfId="15064" xr:uid="{A3744F31-CD3D-40D3-8A57-9AAC1FFBE927}"/>
    <cellStyle name="쉼표 [0] 2 5 4 6 3" xfId="11406" xr:uid="{49EA3A79-9D03-450A-BC53-5FA87F9B57EF}"/>
    <cellStyle name="쉼표 [0] 2 5 4 7" xfId="5918" xr:uid="{00000000-0005-0000-0000-0000A2130000}"/>
    <cellStyle name="쉼표 [0] 2 5 4 7 2" xfId="13235" xr:uid="{39B80E54-3BE3-4254-9A21-9D38DE7472D6}"/>
    <cellStyle name="쉼표 [0] 2 5 4 8" xfId="9576" xr:uid="{DFEF9998-1EA3-4028-A30C-B380F9E3B165}"/>
    <cellStyle name="쉼표 [0] 2 5 5" xfId="1750" xr:uid="{00000000-0005-0000-0000-0000A3130000}"/>
    <cellStyle name="쉼표 [0] 2 5 6" xfId="1751" xr:uid="{00000000-0005-0000-0000-0000A4130000}"/>
    <cellStyle name="쉼표 [0] 2 5 6 2" xfId="4094" xr:uid="{00000000-0005-0000-0000-0000A5130000}"/>
    <cellStyle name="쉼표 [0] 2 5 6 2 2" xfId="7755" xr:uid="{00000000-0005-0000-0000-0000A6130000}"/>
    <cellStyle name="쉼표 [0] 2 5 6 2 2 2" xfId="15072" xr:uid="{C05A7A03-1799-468E-8C4E-76765A684466}"/>
    <cellStyle name="쉼표 [0] 2 5 6 2 3" xfId="11414" xr:uid="{3E6C0D0C-9B7F-42F8-B2B5-5F7D2F1BF1B7}"/>
    <cellStyle name="쉼표 [0] 2 5 6 3" xfId="5926" xr:uid="{00000000-0005-0000-0000-0000A7130000}"/>
    <cellStyle name="쉼표 [0] 2 5 6 3 2" xfId="13243" xr:uid="{F7F72A8A-9BF7-425D-A602-E3B30DEB2303}"/>
    <cellStyle name="쉼표 [0] 2 5 6 4" xfId="9584" xr:uid="{51F9B522-B5A3-42C2-A554-DEB40C05D106}"/>
    <cellStyle name="쉼표 [0] 2 5 7" xfId="4067" xr:uid="{00000000-0005-0000-0000-0000A8130000}"/>
    <cellStyle name="쉼표 [0] 2 5 7 2" xfId="7728" xr:uid="{00000000-0005-0000-0000-0000A9130000}"/>
    <cellStyle name="쉼표 [0] 2 5 7 2 2" xfId="15045" xr:uid="{6A713EB8-E8B4-497F-85C1-B52AB4042A68}"/>
    <cellStyle name="쉼표 [0] 2 5 7 3" xfId="11387" xr:uid="{EFEFC157-F8D3-4F48-89E2-4FA0A28E8976}"/>
    <cellStyle name="쉼표 [0] 2 5 8" xfId="5899" xr:uid="{00000000-0005-0000-0000-0000AA130000}"/>
    <cellStyle name="쉼표 [0] 2 5 8 2" xfId="13216" xr:uid="{F53D57CF-0240-4518-A26D-4D45BBF9E1DD}"/>
    <cellStyle name="쉼표 [0] 2 5 9" xfId="9557" xr:uid="{F4DCE362-DD65-4A66-8857-81C917E91A4E}"/>
    <cellStyle name="쉼표 [0] 2 6" xfId="1752" xr:uid="{00000000-0005-0000-0000-0000AB130000}"/>
    <cellStyle name="쉼표 [0] 2 6 2" xfId="1753" xr:uid="{00000000-0005-0000-0000-0000AC130000}"/>
    <cellStyle name="쉼표 [0] 2 6 2 2" xfId="1754" xr:uid="{00000000-0005-0000-0000-0000AD130000}"/>
    <cellStyle name="쉼표 [0] 2 6 2 2 2" xfId="1755" xr:uid="{00000000-0005-0000-0000-0000AE130000}"/>
    <cellStyle name="쉼표 [0] 2 6 2 2 2 2" xfId="4098" xr:uid="{00000000-0005-0000-0000-0000AF130000}"/>
    <cellStyle name="쉼표 [0] 2 6 2 2 2 2 2" xfId="7759" xr:uid="{00000000-0005-0000-0000-0000B0130000}"/>
    <cellStyle name="쉼표 [0] 2 6 2 2 2 2 2 2" xfId="15076" xr:uid="{862A546C-05C6-4476-8FA9-5E6A3E096080}"/>
    <cellStyle name="쉼표 [0] 2 6 2 2 2 2 3" xfId="11418" xr:uid="{D768237F-950E-4E90-8E52-15BBF7D1343A}"/>
    <cellStyle name="쉼표 [0] 2 6 2 2 2 3" xfId="5930" xr:uid="{00000000-0005-0000-0000-0000B1130000}"/>
    <cellStyle name="쉼표 [0] 2 6 2 2 2 3 2" xfId="13247" xr:uid="{D3840494-581D-4D49-8868-BCC51A86F8F0}"/>
    <cellStyle name="쉼표 [0] 2 6 2 2 2 4" xfId="9588" xr:uid="{3DFDD7ED-0059-4CCC-BB44-B0BCDC7ACDD3}"/>
    <cellStyle name="쉼표 [0] 2 6 2 2 3" xfId="4097" xr:uid="{00000000-0005-0000-0000-0000B2130000}"/>
    <cellStyle name="쉼표 [0] 2 6 2 2 3 2" xfId="7758" xr:uid="{00000000-0005-0000-0000-0000B3130000}"/>
    <cellStyle name="쉼표 [0] 2 6 2 2 3 2 2" xfId="15075" xr:uid="{02F1CEAE-576D-4508-B670-8FE89ED37655}"/>
    <cellStyle name="쉼표 [0] 2 6 2 2 3 3" xfId="11417" xr:uid="{EB9896CE-9E8C-4426-BF66-BD078F061447}"/>
    <cellStyle name="쉼표 [0] 2 6 2 2 4" xfId="5929" xr:uid="{00000000-0005-0000-0000-0000B4130000}"/>
    <cellStyle name="쉼표 [0] 2 6 2 2 4 2" xfId="13246" xr:uid="{BE3D4232-2F8B-4F89-A024-39813EC827F5}"/>
    <cellStyle name="쉼표 [0] 2 6 2 2 5" xfId="9587" xr:uid="{9003D666-45DA-4540-A7DA-38BD7340A681}"/>
    <cellStyle name="쉼표 [0] 2 6 2 3" xfId="1756" xr:uid="{00000000-0005-0000-0000-0000B5130000}"/>
    <cellStyle name="쉼표 [0] 2 6 2 3 2" xfId="1757" xr:uid="{00000000-0005-0000-0000-0000B6130000}"/>
    <cellStyle name="쉼표 [0] 2 6 2 3 2 2" xfId="4100" xr:uid="{00000000-0005-0000-0000-0000B7130000}"/>
    <cellStyle name="쉼표 [0] 2 6 2 3 2 2 2" xfId="7761" xr:uid="{00000000-0005-0000-0000-0000B8130000}"/>
    <cellStyle name="쉼표 [0] 2 6 2 3 2 2 2 2" xfId="15078" xr:uid="{D4B8C906-7D2A-4C1C-947D-8C1F8EF4EEBD}"/>
    <cellStyle name="쉼표 [0] 2 6 2 3 2 2 3" xfId="11420" xr:uid="{A9B618EB-99F2-47AB-AC81-D3C641BB404E}"/>
    <cellStyle name="쉼표 [0] 2 6 2 3 2 3" xfId="5932" xr:uid="{00000000-0005-0000-0000-0000B9130000}"/>
    <cellStyle name="쉼표 [0] 2 6 2 3 2 3 2" xfId="13249" xr:uid="{6246A0B6-EBC4-498E-9A7C-1978A2A1CEF4}"/>
    <cellStyle name="쉼표 [0] 2 6 2 3 2 4" xfId="9590" xr:uid="{2DBAE2B5-2247-4499-8DCC-1DC664E02063}"/>
    <cellStyle name="쉼표 [0] 2 6 2 3 3" xfId="4099" xr:uid="{00000000-0005-0000-0000-0000BA130000}"/>
    <cellStyle name="쉼표 [0] 2 6 2 3 3 2" xfId="7760" xr:uid="{00000000-0005-0000-0000-0000BB130000}"/>
    <cellStyle name="쉼표 [0] 2 6 2 3 3 2 2" xfId="15077" xr:uid="{F4D03AB1-E187-435C-BEB0-DF3F03981653}"/>
    <cellStyle name="쉼표 [0] 2 6 2 3 3 3" xfId="11419" xr:uid="{786CBA57-F88E-46F2-AD7D-905A72CBD2DE}"/>
    <cellStyle name="쉼표 [0] 2 6 2 3 4" xfId="5931" xr:uid="{00000000-0005-0000-0000-0000BC130000}"/>
    <cellStyle name="쉼표 [0] 2 6 2 3 4 2" xfId="13248" xr:uid="{809C7DBB-0F8F-4C25-9329-712A85EAD33B}"/>
    <cellStyle name="쉼표 [0] 2 6 2 3 5" xfId="9589" xr:uid="{F66C5223-BF75-43B1-9BF4-92BF86F1E1BC}"/>
    <cellStyle name="쉼표 [0] 2 6 2 4" xfId="1758" xr:uid="{00000000-0005-0000-0000-0000BD130000}"/>
    <cellStyle name="쉼표 [0] 2 6 2 4 2" xfId="4101" xr:uid="{00000000-0005-0000-0000-0000BE130000}"/>
    <cellStyle name="쉼표 [0] 2 6 2 4 2 2" xfId="7762" xr:uid="{00000000-0005-0000-0000-0000BF130000}"/>
    <cellStyle name="쉼표 [0] 2 6 2 4 2 2 2" xfId="15079" xr:uid="{4345CFB9-29DF-479D-8F2D-96D1A722B078}"/>
    <cellStyle name="쉼표 [0] 2 6 2 4 2 3" xfId="11421" xr:uid="{44A54511-26CB-452D-8791-B162C0EDB764}"/>
    <cellStyle name="쉼표 [0] 2 6 2 4 3" xfId="5933" xr:uid="{00000000-0005-0000-0000-0000C0130000}"/>
    <cellStyle name="쉼표 [0] 2 6 2 4 3 2" xfId="13250" xr:uid="{6C58225E-C3EE-4BD8-B912-3AC7A452C8D1}"/>
    <cellStyle name="쉼표 [0] 2 6 2 4 4" xfId="9591" xr:uid="{BFE80091-AA8E-4802-B810-3C3DA55839B3}"/>
    <cellStyle name="쉼표 [0] 2 6 2 5" xfId="4096" xr:uid="{00000000-0005-0000-0000-0000C1130000}"/>
    <cellStyle name="쉼표 [0] 2 6 2 5 2" xfId="7757" xr:uid="{00000000-0005-0000-0000-0000C2130000}"/>
    <cellStyle name="쉼표 [0] 2 6 2 5 2 2" xfId="15074" xr:uid="{AA05EFDE-EEAA-4465-97DD-369E1CDFD22A}"/>
    <cellStyle name="쉼표 [0] 2 6 2 5 3" xfId="11416" xr:uid="{57A991A4-E909-4163-98DF-D51B760AE784}"/>
    <cellStyle name="쉼표 [0] 2 6 2 6" xfId="5928" xr:uid="{00000000-0005-0000-0000-0000C3130000}"/>
    <cellStyle name="쉼표 [0] 2 6 2 6 2" xfId="13245" xr:uid="{800D2997-9252-4A4B-A25B-C79188AE25FA}"/>
    <cellStyle name="쉼표 [0] 2 6 2 7" xfId="9586" xr:uid="{648AD689-F8C2-4E16-B578-DE662D9A4485}"/>
    <cellStyle name="쉼표 [0] 2 6 3" xfId="1759" xr:uid="{00000000-0005-0000-0000-0000C4130000}"/>
    <cellStyle name="쉼표 [0] 2 6 3 2" xfId="1760" xr:uid="{00000000-0005-0000-0000-0000C5130000}"/>
    <cellStyle name="쉼표 [0] 2 6 3 2 2" xfId="4103" xr:uid="{00000000-0005-0000-0000-0000C6130000}"/>
    <cellStyle name="쉼표 [0] 2 6 3 2 2 2" xfId="7764" xr:uid="{00000000-0005-0000-0000-0000C7130000}"/>
    <cellStyle name="쉼표 [0] 2 6 3 2 2 2 2" xfId="15081" xr:uid="{F00D20D2-9C31-4224-AFCB-7CAFA66B540B}"/>
    <cellStyle name="쉼표 [0] 2 6 3 2 2 3" xfId="11423" xr:uid="{D2A8DD5E-A49C-4CEF-B6A0-DA0F1C2B19D1}"/>
    <cellStyle name="쉼표 [0] 2 6 3 2 3" xfId="5935" xr:uid="{00000000-0005-0000-0000-0000C8130000}"/>
    <cellStyle name="쉼표 [0] 2 6 3 2 3 2" xfId="13252" xr:uid="{C49462FB-07E6-4CFF-8E66-B9705216E873}"/>
    <cellStyle name="쉼표 [0] 2 6 3 2 4" xfId="9593" xr:uid="{779DA14E-C514-45E6-9AF1-7DE134586F57}"/>
    <cellStyle name="쉼표 [0] 2 6 3 3" xfId="4102" xr:uid="{00000000-0005-0000-0000-0000C9130000}"/>
    <cellStyle name="쉼표 [0] 2 6 3 3 2" xfId="7763" xr:uid="{00000000-0005-0000-0000-0000CA130000}"/>
    <cellStyle name="쉼표 [0] 2 6 3 3 2 2" xfId="15080" xr:uid="{CEE5FE00-766B-4308-BA2B-25883E9FDAB2}"/>
    <cellStyle name="쉼표 [0] 2 6 3 3 3" xfId="11422" xr:uid="{C5EC5A91-6240-4CFB-909F-D4F6A60A57B7}"/>
    <cellStyle name="쉼표 [0] 2 6 3 4" xfId="5934" xr:uid="{00000000-0005-0000-0000-0000CB130000}"/>
    <cellStyle name="쉼표 [0] 2 6 3 4 2" xfId="13251" xr:uid="{733D2BDA-C095-4A67-99B2-542F35FC2C67}"/>
    <cellStyle name="쉼표 [0] 2 6 3 5" xfId="9592" xr:uid="{31F01D62-C398-4BDA-8F54-76349D46E13A}"/>
    <cellStyle name="쉼표 [0] 2 6 4" xfId="1761" xr:uid="{00000000-0005-0000-0000-0000CC130000}"/>
    <cellStyle name="쉼표 [0] 2 6 4 2" xfId="4104" xr:uid="{00000000-0005-0000-0000-0000CD130000}"/>
    <cellStyle name="쉼표 [0] 2 6 4 2 2" xfId="7765" xr:uid="{00000000-0005-0000-0000-0000CE130000}"/>
    <cellStyle name="쉼표 [0] 2 6 4 2 2 2" xfId="15082" xr:uid="{B2F904AB-A9A9-4C76-8470-17BC416E63A7}"/>
    <cellStyle name="쉼표 [0] 2 6 4 2 3" xfId="11424" xr:uid="{44A0496A-D1AB-46AA-87B4-0A5EC512E915}"/>
    <cellStyle name="쉼표 [0] 2 6 4 3" xfId="5936" xr:uid="{00000000-0005-0000-0000-0000CF130000}"/>
    <cellStyle name="쉼표 [0] 2 6 4 3 2" xfId="13253" xr:uid="{BDB6FC96-1059-4ECB-86E3-CFC6DF7CCFCE}"/>
    <cellStyle name="쉼표 [0] 2 6 4 4" xfId="9594" xr:uid="{002BCBE9-0A73-447A-8D21-233AF07E1897}"/>
    <cellStyle name="쉼표 [0] 2 6 5" xfId="1762" xr:uid="{00000000-0005-0000-0000-0000D0130000}"/>
    <cellStyle name="쉼표 [0] 2 6 5 2" xfId="4105" xr:uid="{00000000-0005-0000-0000-0000D1130000}"/>
    <cellStyle name="쉼표 [0] 2 6 5 2 2" xfId="7766" xr:uid="{00000000-0005-0000-0000-0000D2130000}"/>
    <cellStyle name="쉼표 [0] 2 6 5 2 2 2" xfId="15083" xr:uid="{6A2C03D1-CE43-4D79-AD37-1E2013AF45C4}"/>
    <cellStyle name="쉼표 [0] 2 6 5 2 3" xfId="11425" xr:uid="{310E04C0-DF9F-422F-915D-96C0B28A6746}"/>
    <cellStyle name="쉼표 [0] 2 6 5 3" xfId="5937" xr:uid="{00000000-0005-0000-0000-0000D3130000}"/>
    <cellStyle name="쉼표 [0] 2 6 5 3 2" xfId="13254" xr:uid="{05A3A950-A6E0-400B-8510-8F17B96C1B53}"/>
    <cellStyle name="쉼표 [0] 2 6 5 4" xfId="9595" xr:uid="{4D68F2C5-2340-489D-822F-1191BE006A24}"/>
    <cellStyle name="쉼표 [0] 2 6 6" xfId="1763" xr:uid="{00000000-0005-0000-0000-0000D4130000}"/>
    <cellStyle name="쉼표 [0] 2 6 6 2" xfId="4106" xr:uid="{00000000-0005-0000-0000-0000D5130000}"/>
    <cellStyle name="쉼표 [0] 2 6 6 2 2" xfId="7767" xr:uid="{00000000-0005-0000-0000-0000D6130000}"/>
    <cellStyle name="쉼표 [0] 2 6 6 2 2 2" xfId="15084" xr:uid="{F4367C64-C1FC-4135-9A3C-AFC50AEFA046}"/>
    <cellStyle name="쉼표 [0] 2 6 6 2 3" xfId="11426" xr:uid="{F824F8EB-301C-4572-8E5E-FCB6C84D08DD}"/>
    <cellStyle name="쉼표 [0] 2 6 6 3" xfId="5938" xr:uid="{00000000-0005-0000-0000-0000D7130000}"/>
    <cellStyle name="쉼표 [0] 2 6 6 3 2" xfId="13255" xr:uid="{68FBE9F5-09C1-47F7-A043-8B597F797271}"/>
    <cellStyle name="쉼표 [0] 2 6 6 4" xfId="9596" xr:uid="{F3382ECE-CDBD-4024-A649-96B73C5D13E3}"/>
    <cellStyle name="쉼표 [0] 2 6 7" xfId="4095" xr:uid="{00000000-0005-0000-0000-0000D8130000}"/>
    <cellStyle name="쉼표 [0] 2 6 7 2" xfId="7756" xr:uid="{00000000-0005-0000-0000-0000D9130000}"/>
    <cellStyle name="쉼표 [0] 2 6 7 2 2" xfId="15073" xr:uid="{BD117259-057B-40F9-BC0A-5B2A016A593D}"/>
    <cellStyle name="쉼표 [0] 2 6 7 3" xfId="11415" xr:uid="{BBE2B8C7-516D-4EE4-BB13-A379A2AFA754}"/>
    <cellStyle name="쉼표 [0] 2 6 8" xfId="5927" xr:uid="{00000000-0005-0000-0000-0000DA130000}"/>
    <cellStyle name="쉼표 [0] 2 6 8 2" xfId="13244" xr:uid="{B0164310-1DA5-4021-A6FD-A8DA7B1BDF81}"/>
    <cellStyle name="쉼표 [0] 2 6 9" xfId="9585" xr:uid="{7B86BA60-41AD-4580-986E-239F69124DA3}"/>
    <cellStyle name="쉼표 [0] 2 7" xfId="1764" xr:uid="{00000000-0005-0000-0000-0000DB130000}"/>
    <cellStyle name="쉼표 [0] 2 7 2" xfId="1765" xr:uid="{00000000-0005-0000-0000-0000DC130000}"/>
    <cellStyle name="쉼표 [0] 2 7 2 2" xfId="1766" xr:uid="{00000000-0005-0000-0000-0000DD130000}"/>
    <cellStyle name="쉼표 [0] 2 7 2 2 2" xfId="1767" xr:uid="{00000000-0005-0000-0000-0000DE130000}"/>
    <cellStyle name="쉼표 [0] 2 7 2 2 2 2" xfId="4110" xr:uid="{00000000-0005-0000-0000-0000DF130000}"/>
    <cellStyle name="쉼표 [0] 2 7 2 2 2 2 2" xfId="7771" xr:uid="{00000000-0005-0000-0000-0000E0130000}"/>
    <cellStyle name="쉼표 [0] 2 7 2 2 2 2 2 2" xfId="15088" xr:uid="{731992FB-D129-4ACC-A761-7BF5F9F474D1}"/>
    <cellStyle name="쉼표 [0] 2 7 2 2 2 2 3" xfId="11430" xr:uid="{4CBA3564-C18E-4257-97A2-D9E4877BD134}"/>
    <cellStyle name="쉼표 [0] 2 7 2 2 2 3" xfId="5942" xr:uid="{00000000-0005-0000-0000-0000E1130000}"/>
    <cellStyle name="쉼표 [0] 2 7 2 2 2 3 2" xfId="13259" xr:uid="{395791FA-5A66-4711-8DA3-FB8C01C45035}"/>
    <cellStyle name="쉼표 [0] 2 7 2 2 2 4" xfId="9600" xr:uid="{C71E8EC9-4E78-413A-9A7E-4B8AF9965DD1}"/>
    <cellStyle name="쉼표 [0] 2 7 2 2 3" xfId="4109" xr:uid="{00000000-0005-0000-0000-0000E2130000}"/>
    <cellStyle name="쉼표 [0] 2 7 2 2 3 2" xfId="7770" xr:uid="{00000000-0005-0000-0000-0000E3130000}"/>
    <cellStyle name="쉼표 [0] 2 7 2 2 3 2 2" xfId="15087" xr:uid="{4B0B9C72-F956-4FB8-8B3C-F936C77784BC}"/>
    <cellStyle name="쉼표 [0] 2 7 2 2 3 3" xfId="11429" xr:uid="{ADA5B9B1-361D-4A94-A003-62ADA4A9382B}"/>
    <cellStyle name="쉼표 [0] 2 7 2 2 4" xfId="5941" xr:uid="{00000000-0005-0000-0000-0000E4130000}"/>
    <cellStyle name="쉼표 [0] 2 7 2 2 4 2" xfId="13258" xr:uid="{C9A5F446-F0DE-4A19-BBCF-A6F7DB7C6322}"/>
    <cellStyle name="쉼표 [0] 2 7 2 2 5" xfId="9599" xr:uid="{5F7CF355-238B-466A-AA1B-6016CD5D7AA2}"/>
    <cellStyle name="쉼표 [0] 2 7 2 3" xfId="1768" xr:uid="{00000000-0005-0000-0000-0000E5130000}"/>
    <cellStyle name="쉼표 [0] 2 7 2 3 2" xfId="1769" xr:uid="{00000000-0005-0000-0000-0000E6130000}"/>
    <cellStyle name="쉼표 [0] 2 7 2 3 2 2" xfId="4112" xr:uid="{00000000-0005-0000-0000-0000E7130000}"/>
    <cellStyle name="쉼표 [0] 2 7 2 3 2 2 2" xfId="7773" xr:uid="{00000000-0005-0000-0000-0000E8130000}"/>
    <cellStyle name="쉼표 [0] 2 7 2 3 2 2 2 2" xfId="15090" xr:uid="{3C23A95D-E668-4A83-ABE5-CA354D9D1CF6}"/>
    <cellStyle name="쉼표 [0] 2 7 2 3 2 2 3" xfId="11432" xr:uid="{EDF7C468-767D-4CCC-BD3A-FCC0DD18A9A8}"/>
    <cellStyle name="쉼표 [0] 2 7 2 3 2 3" xfId="5944" xr:uid="{00000000-0005-0000-0000-0000E9130000}"/>
    <cellStyle name="쉼표 [0] 2 7 2 3 2 3 2" xfId="13261" xr:uid="{D81136A5-29CB-41AB-B843-3BD21D7713A9}"/>
    <cellStyle name="쉼표 [0] 2 7 2 3 2 4" xfId="9602" xr:uid="{27337DB9-C84E-46FA-ACD1-927EEF8965B9}"/>
    <cellStyle name="쉼표 [0] 2 7 2 3 3" xfId="4111" xr:uid="{00000000-0005-0000-0000-0000EA130000}"/>
    <cellStyle name="쉼표 [0] 2 7 2 3 3 2" xfId="7772" xr:uid="{00000000-0005-0000-0000-0000EB130000}"/>
    <cellStyle name="쉼표 [0] 2 7 2 3 3 2 2" xfId="15089" xr:uid="{82C726D5-EF1D-473D-B12F-DECEDD4C04FD}"/>
    <cellStyle name="쉼표 [0] 2 7 2 3 3 3" xfId="11431" xr:uid="{08DF2FAB-D0AA-4DFA-8D72-ACDCBB5EBCD9}"/>
    <cellStyle name="쉼표 [0] 2 7 2 3 4" xfId="5943" xr:uid="{00000000-0005-0000-0000-0000EC130000}"/>
    <cellStyle name="쉼표 [0] 2 7 2 3 4 2" xfId="13260" xr:uid="{EE7E30D1-DAFF-4DC9-B8E4-C7788373C85B}"/>
    <cellStyle name="쉼표 [0] 2 7 2 3 5" xfId="9601" xr:uid="{D93C4826-DCC8-445E-9AEE-AE500DBEA0E5}"/>
    <cellStyle name="쉼표 [0] 2 7 2 4" xfId="1770" xr:uid="{00000000-0005-0000-0000-0000ED130000}"/>
    <cellStyle name="쉼표 [0] 2 7 2 4 2" xfId="4113" xr:uid="{00000000-0005-0000-0000-0000EE130000}"/>
    <cellStyle name="쉼표 [0] 2 7 2 4 2 2" xfId="7774" xr:uid="{00000000-0005-0000-0000-0000EF130000}"/>
    <cellStyle name="쉼표 [0] 2 7 2 4 2 2 2" xfId="15091" xr:uid="{2F77E8A7-2EDB-4A2D-B685-35B96EADC449}"/>
    <cellStyle name="쉼표 [0] 2 7 2 4 2 3" xfId="11433" xr:uid="{5AD4349C-E7E9-40B7-B237-B14C45E33B99}"/>
    <cellStyle name="쉼표 [0] 2 7 2 4 3" xfId="5945" xr:uid="{00000000-0005-0000-0000-0000F0130000}"/>
    <cellStyle name="쉼표 [0] 2 7 2 4 3 2" xfId="13262" xr:uid="{801BE0DE-E545-4575-AACF-6566F09F1943}"/>
    <cellStyle name="쉼표 [0] 2 7 2 4 4" xfId="9603" xr:uid="{D30F59F3-0930-4EF3-9CA9-929E5276F54A}"/>
    <cellStyle name="쉼표 [0] 2 7 2 5" xfId="4108" xr:uid="{00000000-0005-0000-0000-0000F1130000}"/>
    <cellStyle name="쉼표 [0] 2 7 2 5 2" xfId="7769" xr:uid="{00000000-0005-0000-0000-0000F2130000}"/>
    <cellStyle name="쉼표 [0] 2 7 2 5 2 2" xfId="15086" xr:uid="{4D587EBD-E9B6-4197-93AE-4D3503BCCD74}"/>
    <cellStyle name="쉼표 [0] 2 7 2 5 3" xfId="11428" xr:uid="{842323E8-4A07-4AED-A56E-E314BD45C86D}"/>
    <cellStyle name="쉼표 [0] 2 7 2 6" xfId="5940" xr:uid="{00000000-0005-0000-0000-0000F3130000}"/>
    <cellStyle name="쉼표 [0] 2 7 2 6 2" xfId="13257" xr:uid="{82781FA9-AA78-4923-A680-213AFE5D4512}"/>
    <cellStyle name="쉼표 [0] 2 7 2 7" xfId="9598" xr:uid="{A57C45BC-EA8E-49EE-8EF8-C37B3E06C3AD}"/>
    <cellStyle name="쉼표 [0] 2 7 3" xfId="1771" xr:uid="{00000000-0005-0000-0000-0000F4130000}"/>
    <cellStyle name="쉼표 [0] 2 7 3 2" xfId="1772" xr:uid="{00000000-0005-0000-0000-0000F5130000}"/>
    <cellStyle name="쉼표 [0] 2 7 3 2 2" xfId="4115" xr:uid="{00000000-0005-0000-0000-0000F6130000}"/>
    <cellStyle name="쉼표 [0] 2 7 3 2 2 2" xfId="7776" xr:uid="{00000000-0005-0000-0000-0000F7130000}"/>
    <cellStyle name="쉼표 [0] 2 7 3 2 2 2 2" xfId="15093" xr:uid="{B4E4B518-18FE-4A76-9288-2570C1B6E579}"/>
    <cellStyle name="쉼표 [0] 2 7 3 2 2 3" xfId="11435" xr:uid="{E1D4508C-3D1D-4A64-B572-1922AD25D60E}"/>
    <cellStyle name="쉼표 [0] 2 7 3 2 3" xfId="5947" xr:uid="{00000000-0005-0000-0000-0000F8130000}"/>
    <cellStyle name="쉼표 [0] 2 7 3 2 3 2" xfId="13264" xr:uid="{C76064DD-E8F8-4492-AE48-FE1297014545}"/>
    <cellStyle name="쉼표 [0] 2 7 3 2 4" xfId="9605" xr:uid="{F550136F-684B-4811-AE1C-219AC6335A4B}"/>
    <cellStyle name="쉼표 [0] 2 7 3 3" xfId="4114" xr:uid="{00000000-0005-0000-0000-0000F9130000}"/>
    <cellStyle name="쉼표 [0] 2 7 3 3 2" xfId="7775" xr:uid="{00000000-0005-0000-0000-0000FA130000}"/>
    <cellStyle name="쉼표 [0] 2 7 3 3 2 2" xfId="15092" xr:uid="{107A2C99-913A-48DD-A8CC-A586AFEB3210}"/>
    <cellStyle name="쉼표 [0] 2 7 3 3 3" xfId="11434" xr:uid="{F8CEE582-58D4-41D7-9247-2F82CC3F7362}"/>
    <cellStyle name="쉼표 [0] 2 7 3 4" xfId="5946" xr:uid="{00000000-0005-0000-0000-0000FB130000}"/>
    <cellStyle name="쉼표 [0] 2 7 3 4 2" xfId="13263" xr:uid="{99ECC911-E0DE-4C86-BB24-280727EF4780}"/>
    <cellStyle name="쉼표 [0] 2 7 3 5" xfId="9604" xr:uid="{3146178A-5CAD-4504-AB61-4BCB7F88DB0D}"/>
    <cellStyle name="쉼표 [0] 2 7 4" xfId="1773" xr:uid="{00000000-0005-0000-0000-0000FC130000}"/>
    <cellStyle name="쉼표 [0] 2 7 4 2" xfId="4116" xr:uid="{00000000-0005-0000-0000-0000FD130000}"/>
    <cellStyle name="쉼표 [0] 2 7 4 2 2" xfId="7777" xr:uid="{00000000-0005-0000-0000-0000FE130000}"/>
    <cellStyle name="쉼표 [0] 2 7 4 2 2 2" xfId="15094" xr:uid="{348F937C-CFC0-4EFF-B89D-1CDFC61FA81C}"/>
    <cellStyle name="쉼표 [0] 2 7 4 2 3" xfId="11436" xr:uid="{E5C40B24-2A7E-49F0-8735-303482B43500}"/>
    <cellStyle name="쉼표 [0] 2 7 4 3" xfId="5948" xr:uid="{00000000-0005-0000-0000-0000FF130000}"/>
    <cellStyle name="쉼표 [0] 2 7 4 3 2" xfId="13265" xr:uid="{9D0AFFA0-B861-46A5-94E1-00FF8668EDB0}"/>
    <cellStyle name="쉼표 [0] 2 7 4 4" xfId="9606" xr:uid="{E9A517CC-A351-4E54-9BB9-1CCC4D28B211}"/>
    <cellStyle name="쉼표 [0] 2 7 5" xfId="1774" xr:uid="{00000000-0005-0000-0000-000000140000}"/>
    <cellStyle name="쉼표 [0] 2 7 5 2" xfId="4117" xr:uid="{00000000-0005-0000-0000-000001140000}"/>
    <cellStyle name="쉼표 [0] 2 7 5 2 2" xfId="7778" xr:uid="{00000000-0005-0000-0000-000002140000}"/>
    <cellStyle name="쉼표 [0] 2 7 5 2 2 2" xfId="15095" xr:uid="{CF6026FD-5F00-4330-9EA0-1076793F025B}"/>
    <cellStyle name="쉼표 [0] 2 7 5 2 3" xfId="11437" xr:uid="{24766077-7531-45B8-9C7D-D79182130FCA}"/>
    <cellStyle name="쉼표 [0] 2 7 5 3" xfId="5949" xr:uid="{00000000-0005-0000-0000-000003140000}"/>
    <cellStyle name="쉼표 [0] 2 7 5 3 2" xfId="13266" xr:uid="{0EA1D69B-16DF-43E8-95B2-5A61213C324A}"/>
    <cellStyle name="쉼표 [0] 2 7 5 4" xfId="9607" xr:uid="{3492BF4F-CEF9-4751-B5EE-95FD07C27939}"/>
    <cellStyle name="쉼표 [0] 2 7 6" xfId="1775" xr:uid="{00000000-0005-0000-0000-000004140000}"/>
    <cellStyle name="쉼표 [0] 2 7 6 2" xfId="4118" xr:uid="{00000000-0005-0000-0000-000005140000}"/>
    <cellStyle name="쉼표 [0] 2 7 6 2 2" xfId="7779" xr:uid="{00000000-0005-0000-0000-000006140000}"/>
    <cellStyle name="쉼표 [0] 2 7 6 2 2 2" xfId="15096" xr:uid="{A8951DF1-A70E-4439-B67B-0A4E7D26E154}"/>
    <cellStyle name="쉼표 [0] 2 7 6 2 3" xfId="11438" xr:uid="{7B193A30-A41B-4E31-BAEA-660287BCC37D}"/>
    <cellStyle name="쉼표 [0] 2 7 6 3" xfId="5950" xr:uid="{00000000-0005-0000-0000-000007140000}"/>
    <cellStyle name="쉼표 [0] 2 7 6 3 2" xfId="13267" xr:uid="{73A4B7FB-B39A-4D38-89C2-474AB5902C0F}"/>
    <cellStyle name="쉼표 [0] 2 7 6 4" xfId="9608" xr:uid="{4949B66B-294C-4492-84FC-3945C4C126B5}"/>
    <cellStyle name="쉼표 [0] 2 7 7" xfId="4107" xr:uid="{00000000-0005-0000-0000-000008140000}"/>
    <cellStyle name="쉼표 [0] 2 7 7 2" xfId="7768" xr:uid="{00000000-0005-0000-0000-000009140000}"/>
    <cellStyle name="쉼표 [0] 2 7 7 2 2" xfId="15085" xr:uid="{F08ADE67-B379-4971-A0B9-80BED7179371}"/>
    <cellStyle name="쉼표 [0] 2 7 7 3" xfId="11427" xr:uid="{8D4A0B24-5272-476F-BF78-8F5A8AE105CF}"/>
    <cellStyle name="쉼표 [0] 2 7 8" xfId="5939" xr:uid="{00000000-0005-0000-0000-00000A140000}"/>
    <cellStyle name="쉼표 [0] 2 7 8 2" xfId="13256" xr:uid="{5139D116-6C0B-4549-8338-E58184676E07}"/>
    <cellStyle name="쉼표 [0] 2 7 9" xfId="9597" xr:uid="{71521C28-A657-4DBC-9518-F5CD9E999FE4}"/>
    <cellStyle name="쉼표 [0] 2 8" xfId="1776" xr:uid="{00000000-0005-0000-0000-00000B140000}"/>
    <cellStyle name="쉼표 [0] 2 8 2" xfId="1777" xr:uid="{00000000-0005-0000-0000-00000C140000}"/>
    <cellStyle name="쉼표 [0] 2 8 2 2" xfId="1778" xr:uid="{00000000-0005-0000-0000-00000D140000}"/>
    <cellStyle name="쉼표 [0] 2 8 2 2 2" xfId="1779" xr:uid="{00000000-0005-0000-0000-00000E140000}"/>
    <cellStyle name="쉼표 [0] 2 8 2 2 2 2" xfId="4122" xr:uid="{00000000-0005-0000-0000-00000F140000}"/>
    <cellStyle name="쉼표 [0] 2 8 2 2 2 2 2" xfId="7783" xr:uid="{00000000-0005-0000-0000-000010140000}"/>
    <cellStyle name="쉼표 [0] 2 8 2 2 2 2 2 2" xfId="15100" xr:uid="{6CFA01DF-12AD-4060-BE6F-CDED522C90B0}"/>
    <cellStyle name="쉼표 [0] 2 8 2 2 2 2 3" xfId="11442" xr:uid="{0FF9EA7D-A065-4065-B08E-1C1CA27AC92D}"/>
    <cellStyle name="쉼표 [0] 2 8 2 2 2 3" xfId="5954" xr:uid="{00000000-0005-0000-0000-000011140000}"/>
    <cellStyle name="쉼표 [0] 2 8 2 2 2 3 2" xfId="13271" xr:uid="{3A59D502-26ED-47DA-A4D6-05B56E84472E}"/>
    <cellStyle name="쉼표 [0] 2 8 2 2 2 4" xfId="9612" xr:uid="{F604B95C-16ED-4513-A193-986FB2B24E5A}"/>
    <cellStyle name="쉼표 [0] 2 8 2 2 3" xfId="1780" xr:uid="{00000000-0005-0000-0000-000012140000}"/>
    <cellStyle name="쉼표 [0] 2 8 2 2 3 2" xfId="4123" xr:uid="{00000000-0005-0000-0000-000013140000}"/>
    <cellStyle name="쉼표 [0] 2 8 2 2 3 2 2" xfId="7784" xr:uid="{00000000-0005-0000-0000-000014140000}"/>
    <cellStyle name="쉼표 [0] 2 8 2 2 3 2 2 2" xfId="15101" xr:uid="{11E85410-9E67-46D4-A6DA-0EE2DF53B5EB}"/>
    <cellStyle name="쉼표 [0] 2 8 2 2 3 2 3" xfId="11443" xr:uid="{201E2A82-32D0-4B12-B28D-A5D7E0B8C4D7}"/>
    <cellStyle name="쉼표 [0] 2 8 2 2 3 3" xfId="5955" xr:uid="{00000000-0005-0000-0000-000015140000}"/>
    <cellStyle name="쉼표 [0] 2 8 2 2 3 3 2" xfId="13272" xr:uid="{F3099F32-536D-49AD-A95A-CD3657D8D977}"/>
    <cellStyle name="쉼표 [0] 2 8 2 2 3 4" xfId="9613" xr:uid="{4E96F3BB-19EF-4C7D-BF6F-5E81BEA5BE44}"/>
    <cellStyle name="쉼표 [0] 2 8 2 2 4" xfId="1781" xr:uid="{00000000-0005-0000-0000-000016140000}"/>
    <cellStyle name="쉼표 [0] 2 8 2 2 4 2" xfId="4124" xr:uid="{00000000-0005-0000-0000-000017140000}"/>
    <cellStyle name="쉼표 [0] 2 8 2 2 4 2 2" xfId="7785" xr:uid="{00000000-0005-0000-0000-000018140000}"/>
    <cellStyle name="쉼표 [0] 2 8 2 2 4 2 2 2" xfId="15102" xr:uid="{72C71B99-A631-49AD-92EE-F556F07D6E00}"/>
    <cellStyle name="쉼표 [0] 2 8 2 2 4 2 3" xfId="11444" xr:uid="{8C5C5DE6-6A81-42F1-8418-C5DFDB650426}"/>
    <cellStyle name="쉼표 [0] 2 8 2 2 4 3" xfId="5956" xr:uid="{00000000-0005-0000-0000-000019140000}"/>
    <cellStyle name="쉼표 [0] 2 8 2 2 4 3 2" xfId="13273" xr:uid="{858F8FE3-E1B7-4C71-858B-980809407875}"/>
    <cellStyle name="쉼표 [0] 2 8 2 2 4 4" xfId="9614" xr:uid="{74BB702F-AD6B-44FC-BB21-DB9A046BFFF0}"/>
    <cellStyle name="쉼표 [0] 2 8 2 2 5" xfId="4121" xr:uid="{00000000-0005-0000-0000-00001A140000}"/>
    <cellStyle name="쉼표 [0] 2 8 2 2 5 2" xfId="7782" xr:uid="{00000000-0005-0000-0000-00001B140000}"/>
    <cellStyle name="쉼표 [0] 2 8 2 2 5 2 2" xfId="15099" xr:uid="{FA3DE37D-FA5B-4939-81D2-A148C8507BAC}"/>
    <cellStyle name="쉼표 [0] 2 8 2 2 5 3" xfId="11441" xr:uid="{FA29D7EE-CE7A-4F60-B3D1-CF86B175998F}"/>
    <cellStyle name="쉼표 [0] 2 8 2 2 6" xfId="5953" xr:uid="{00000000-0005-0000-0000-00001C140000}"/>
    <cellStyle name="쉼표 [0] 2 8 2 2 6 2" xfId="13270" xr:uid="{EEAC79B9-713D-4D57-8DEC-CB428B684D55}"/>
    <cellStyle name="쉼표 [0] 2 8 2 2 7" xfId="9611" xr:uid="{5F454A1D-3CA9-48BA-83A1-3199072CA273}"/>
    <cellStyle name="쉼표 [0] 2 8 2 3" xfId="1782" xr:uid="{00000000-0005-0000-0000-00001D140000}"/>
    <cellStyle name="쉼표 [0] 2 8 2 3 2" xfId="1783" xr:uid="{00000000-0005-0000-0000-00001E140000}"/>
    <cellStyle name="쉼표 [0] 2 8 2 3 2 2" xfId="4126" xr:uid="{00000000-0005-0000-0000-00001F140000}"/>
    <cellStyle name="쉼표 [0] 2 8 2 3 2 2 2" xfId="7787" xr:uid="{00000000-0005-0000-0000-000020140000}"/>
    <cellStyle name="쉼표 [0] 2 8 2 3 2 2 2 2" xfId="15104" xr:uid="{507C3D7F-5F9D-424C-94B1-BA1DDF3EB43F}"/>
    <cellStyle name="쉼표 [0] 2 8 2 3 2 2 3" xfId="11446" xr:uid="{CFC7074E-EC60-47AC-89C6-D4A5567D2D43}"/>
    <cellStyle name="쉼표 [0] 2 8 2 3 2 3" xfId="5958" xr:uid="{00000000-0005-0000-0000-000021140000}"/>
    <cellStyle name="쉼표 [0] 2 8 2 3 2 3 2" xfId="13275" xr:uid="{8B2B2BA6-A031-4E80-A9E7-3E721415C718}"/>
    <cellStyle name="쉼표 [0] 2 8 2 3 2 4" xfId="9616" xr:uid="{01AD856A-AF13-43A3-8DEE-7393FFA2240F}"/>
    <cellStyle name="쉼표 [0] 2 8 2 3 3" xfId="4125" xr:uid="{00000000-0005-0000-0000-000022140000}"/>
    <cellStyle name="쉼표 [0] 2 8 2 3 3 2" xfId="7786" xr:uid="{00000000-0005-0000-0000-000023140000}"/>
    <cellStyle name="쉼표 [0] 2 8 2 3 3 2 2" xfId="15103" xr:uid="{08D075DD-5CA5-4816-8C24-0C948E807ED2}"/>
    <cellStyle name="쉼표 [0] 2 8 2 3 3 3" xfId="11445" xr:uid="{EDD9BEF0-AB1D-403C-B6A1-56F969FDFFE4}"/>
    <cellStyle name="쉼표 [0] 2 8 2 3 4" xfId="5957" xr:uid="{00000000-0005-0000-0000-000024140000}"/>
    <cellStyle name="쉼표 [0] 2 8 2 3 4 2" xfId="13274" xr:uid="{4DC84C7A-96D2-429E-B515-B9A15EF4B279}"/>
    <cellStyle name="쉼표 [0] 2 8 2 3 5" xfId="9615" xr:uid="{4CCC2B81-52F3-44E6-9752-E78BEC94A76F}"/>
    <cellStyle name="쉼표 [0] 2 8 2 4" xfId="1784" xr:uid="{00000000-0005-0000-0000-000025140000}"/>
    <cellStyle name="쉼표 [0] 2 8 2 4 2" xfId="1785" xr:uid="{00000000-0005-0000-0000-000026140000}"/>
    <cellStyle name="쉼표 [0] 2 8 2 4 2 2" xfId="4128" xr:uid="{00000000-0005-0000-0000-000027140000}"/>
    <cellStyle name="쉼표 [0] 2 8 2 4 2 2 2" xfId="7789" xr:uid="{00000000-0005-0000-0000-000028140000}"/>
    <cellStyle name="쉼표 [0] 2 8 2 4 2 2 2 2" xfId="15106" xr:uid="{2E043BBB-5B6B-47AD-9958-30FA274C5D76}"/>
    <cellStyle name="쉼표 [0] 2 8 2 4 2 2 3" xfId="11448" xr:uid="{61DCAFFD-38DF-4779-BB70-46F6D7903B8C}"/>
    <cellStyle name="쉼표 [0] 2 8 2 4 2 3" xfId="5960" xr:uid="{00000000-0005-0000-0000-000029140000}"/>
    <cellStyle name="쉼표 [0] 2 8 2 4 2 3 2" xfId="13277" xr:uid="{69D548D3-EAB6-42C6-A5AA-2FC878541C3B}"/>
    <cellStyle name="쉼표 [0] 2 8 2 4 2 4" xfId="9618" xr:uid="{8C2A76BE-E21D-4E7C-BBCD-075EAE0DAF19}"/>
    <cellStyle name="쉼표 [0] 2 8 2 4 3" xfId="4127" xr:uid="{00000000-0005-0000-0000-00002A140000}"/>
    <cellStyle name="쉼표 [0] 2 8 2 4 3 2" xfId="7788" xr:uid="{00000000-0005-0000-0000-00002B140000}"/>
    <cellStyle name="쉼표 [0] 2 8 2 4 3 2 2" xfId="15105" xr:uid="{655C6545-89A4-4488-BEAA-22358EA08FFA}"/>
    <cellStyle name="쉼표 [0] 2 8 2 4 3 3" xfId="11447" xr:uid="{E5C150FB-C5F4-4100-B3AD-B40AC3B97CC2}"/>
    <cellStyle name="쉼표 [0] 2 8 2 4 4" xfId="5959" xr:uid="{00000000-0005-0000-0000-00002C140000}"/>
    <cellStyle name="쉼표 [0] 2 8 2 4 4 2" xfId="13276" xr:uid="{ABB60922-F0BF-4579-A87A-19974AD5796F}"/>
    <cellStyle name="쉼표 [0] 2 8 2 4 5" xfId="9617" xr:uid="{7E54CD6D-23BC-4CA2-B395-9B8BDA1C0C25}"/>
    <cellStyle name="쉼표 [0] 2 8 2 5" xfId="1786" xr:uid="{00000000-0005-0000-0000-00002D140000}"/>
    <cellStyle name="쉼표 [0] 2 8 2 5 2" xfId="4129" xr:uid="{00000000-0005-0000-0000-00002E140000}"/>
    <cellStyle name="쉼표 [0] 2 8 2 5 2 2" xfId="7790" xr:uid="{00000000-0005-0000-0000-00002F140000}"/>
    <cellStyle name="쉼표 [0] 2 8 2 5 2 2 2" xfId="15107" xr:uid="{88ED9695-3A13-49B6-B1A5-DBB5283749C8}"/>
    <cellStyle name="쉼표 [0] 2 8 2 5 2 3" xfId="11449" xr:uid="{53C09DAC-FF0E-4E0B-91FC-29BC37286119}"/>
    <cellStyle name="쉼표 [0] 2 8 2 5 3" xfId="5961" xr:uid="{00000000-0005-0000-0000-000030140000}"/>
    <cellStyle name="쉼표 [0] 2 8 2 5 3 2" xfId="13278" xr:uid="{F3BF2289-3E32-43DF-B691-0FAE28E90BB4}"/>
    <cellStyle name="쉼표 [0] 2 8 2 5 4" xfId="9619" xr:uid="{A4BDE174-080D-429C-A3FA-CE31C6498C23}"/>
    <cellStyle name="쉼표 [0] 2 8 2 6" xfId="4120" xr:uid="{00000000-0005-0000-0000-000031140000}"/>
    <cellStyle name="쉼표 [0] 2 8 2 6 2" xfId="7781" xr:uid="{00000000-0005-0000-0000-000032140000}"/>
    <cellStyle name="쉼표 [0] 2 8 2 6 2 2" xfId="15098" xr:uid="{BB8520EF-41D0-48FA-8039-BCBFAC9E413D}"/>
    <cellStyle name="쉼표 [0] 2 8 2 6 3" xfId="11440" xr:uid="{4F0B0073-4F63-4942-A24D-B2DE81987109}"/>
    <cellStyle name="쉼표 [0] 2 8 2 7" xfId="5952" xr:uid="{00000000-0005-0000-0000-000033140000}"/>
    <cellStyle name="쉼표 [0] 2 8 2 7 2" xfId="13269" xr:uid="{D649D898-549E-429C-95E8-008C0AC0B5B2}"/>
    <cellStyle name="쉼표 [0] 2 8 2 8" xfId="9610" xr:uid="{76A95A7D-624F-4A9B-99C3-32FA0EE6E4A9}"/>
    <cellStyle name="쉼표 [0] 2 8 3" xfId="1787" xr:uid="{00000000-0005-0000-0000-000034140000}"/>
    <cellStyle name="쉼표 [0] 2 8 3 2" xfId="1788" xr:uid="{00000000-0005-0000-0000-000035140000}"/>
    <cellStyle name="쉼표 [0] 2 8 3 2 2" xfId="1789" xr:uid="{00000000-0005-0000-0000-000036140000}"/>
    <cellStyle name="쉼표 [0] 2 8 3 2 2 2" xfId="4132" xr:uid="{00000000-0005-0000-0000-000037140000}"/>
    <cellStyle name="쉼표 [0] 2 8 3 2 2 2 2" xfId="7793" xr:uid="{00000000-0005-0000-0000-000038140000}"/>
    <cellStyle name="쉼표 [0] 2 8 3 2 2 2 2 2" xfId="15110" xr:uid="{419582AF-E526-478E-9EB0-DCC117E0A987}"/>
    <cellStyle name="쉼표 [0] 2 8 3 2 2 2 3" xfId="11452" xr:uid="{34E21773-9783-4EED-B7E1-8B2DDBC89341}"/>
    <cellStyle name="쉼표 [0] 2 8 3 2 2 3" xfId="5964" xr:uid="{00000000-0005-0000-0000-000039140000}"/>
    <cellStyle name="쉼표 [0] 2 8 3 2 2 3 2" xfId="13281" xr:uid="{FD9EF983-6C8D-49EF-9E5B-99FFCDB16C46}"/>
    <cellStyle name="쉼표 [0] 2 8 3 2 2 4" xfId="9622" xr:uid="{97B0762C-CB55-4478-8E91-263DBC7E014B}"/>
    <cellStyle name="쉼표 [0] 2 8 3 2 3" xfId="1790" xr:uid="{00000000-0005-0000-0000-00003A140000}"/>
    <cellStyle name="쉼표 [0] 2 8 3 2 3 2" xfId="4133" xr:uid="{00000000-0005-0000-0000-00003B140000}"/>
    <cellStyle name="쉼표 [0] 2 8 3 2 3 2 2" xfId="7794" xr:uid="{00000000-0005-0000-0000-00003C140000}"/>
    <cellStyle name="쉼표 [0] 2 8 3 2 3 2 2 2" xfId="15111" xr:uid="{FA64086F-8AD4-43AA-B533-C9C531CA81A0}"/>
    <cellStyle name="쉼표 [0] 2 8 3 2 3 2 3" xfId="11453" xr:uid="{16CE358D-42BD-43B3-9B24-A4F5D070E478}"/>
    <cellStyle name="쉼표 [0] 2 8 3 2 3 3" xfId="5965" xr:uid="{00000000-0005-0000-0000-00003D140000}"/>
    <cellStyle name="쉼표 [0] 2 8 3 2 3 3 2" xfId="13282" xr:uid="{093339B3-6C51-4BAD-9757-424751CE9786}"/>
    <cellStyle name="쉼표 [0] 2 8 3 2 3 4" xfId="9623" xr:uid="{7E0085B8-C991-4D54-97C3-0AF0F1092D7A}"/>
    <cellStyle name="쉼표 [0] 2 8 3 2 4" xfId="1791" xr:uid="{00000000-0005-0000-0000-00003E140000}"/>
    <cellStyle name="쉼표 [0] 2 8 3 2 4 2" xfId="4134" xr:uid="{00000000-0005-0000-0000-00003F140000}"/>
    <cellStyle name="쉼표 [0] 2 8 3 2 4 2 2" xfId="7795" xr:uid="{00000000-0005-0000-0000-000040140000}"/>
    <cellStyle name="쉼표 [0] 2 8 3 2 4 2 2 2" xfId="15112" xr:uid="{A73DCBFC-1B86-48CA-B3F4-D69BB79EE205}"/>
    <cellStyle name="쉼표 [0] 2 8 3 2 4 2 3" xfId="11454" xr:uid="{1836A39C-2C37-492A-B7A1-6AC0825556A2}"/>
    <cellStyle name="쉼표 [0] 2 8 3 2 4 3" xfId="5966" xr:uid="{00000000-0005-0000-0000-000041140000}"/>
    <cellStyle name="쉼표 [0] 2 8 3 2 4 3 2" xfId="13283" xr:uid="{75A5C065-DBDD-49BA-AD81-D450FB1445D0}"/>
    <cellStyle name="쉼표 [0] 2 8 3 2 4 4" xfId="9624" xr:uid="{BD914A23-5088-4ED8-B682-C46028041003}"/>
    <cellStyle name="쉼표 [0] 2 8 3 2 5" xfId="4131" xr:uid="{00000000-0005-0000-0000-000042140000}"/>
    <cellStyle name="쉼표 [0] 2 8 3 2 5 2" xfId="7792" xr:uid="{00000000-0005-0000-0000-000043140000}"/>
    <cellStyle name="쉼표 [0] 2 8 3 2 5 2 2" xfId="15109" xr:uid="{B3308069-F363-4EB6-AA24-CFA38613159B}"/>
    <cellStyle name="쉼표 [0] 2 8 3 2 5 3" xfId="11451" xr:uid="{B44470E5-916A-47EF-9B4A-BD1883D4682E}"/>
    <cellStyle name="쉼표 [0] 2 8 3 2 6" xfId="5963" xr:uid="{00000000-0005-0000-0000-000044140000}"/>
    <cellStyle name="쉼표 [0] 2 8 3 2 6 2" xfId="13280" xr:uid="{A2EC64DE-52F6-497B-BA41-0CFE3A6C407A}"/>
    <cellStyle name="쉼표 [0] 2 8 3 2 7" xfId="9621" xr:uid="{AE51F213-FBE2-4CA7-A1D2-AB31AF8A183C}"/>
    <cellStyle name="쉼표 [0] 2 8 3 3" xfId="1792" xr:uid="{00000000-0005-0000-0000-000045140000}"/>
    <cellStyle name="쉼표 [0] 2 8 3 3 2" xfId="4135" xr:uid="{00000000-0005-0000-0000-000046140000}"/>
    <cellStyle name="쉼표 [0] 2 8 3 3 2 2" xfId="7796" xr:uid="{00000000-0005-0000-0000-000047140000}"/>
    <cellStyle name="쉼표 [0] 2 8 3 3 2 2 2" xfId="15113" xr:uid="{40E3AAC3-C009-4E82-94B9-EEA8CE55737F}"/>
    <cellStyle name="쉼표 [0] 2 8 3 3 2 3" xfId="11455" xr:uid="{6581ED0D-8A98-4672-A036-0BEE1D3A8F46}"/>
    <cellStyle name="쉼표 [0] 2 8 3 3 3" xfId="5967" xr:uid="{00000000-0005-0000-0000-000048140000}"/>
    <cellStyle name="쉼표 [0] 2 8 3 3 3 2" xfId="13284" xr:uid="{303501DC-88CC-4112-B9F5-DE27C3947556}"/>
    <cellStyle name="쉼표 [0] 2 8 3 3 4" xfId="9625" xr:uid="{6C219E2D-B167-45E4-8FBC-548AEB2446F9}"/>
    <cellStyle name="쉼표 [0] 2 8 3 4" xfId="1793" xr:uid="{00000000-0005-0000-0000-000049140000}"/>
    <cellStyle name="쉼표 [0] 2 8 3 4 2" xfId="4136" xr:uid="{00000000-0005-0000-0000-00004A140000}"/>
    <cellStyle name="쉼표 [0] 2 8 3 4 2 2" xfId="7797" xr:uid="{00000000-0005-0000-0000-00004B140000}"/>
    <cellStyle name="쉼표 [0] 2 8 3 4 2 2 2" xfId="15114" xr:uid="{DF8A64AC-C3EF-4738-95E2-DEC5A5C108A0}"/>
    <cellStyle name="쉼표 [0] 2 8 3 4 2 3" xfId="11456" xr:uid="{DD14EC34-5770-4143-AD2F-AB0FFE94BB9E}"/>
    <cellStyle name="쉼표 [0] 2 8 3 4 3" xfId="5968" xr:uid="{00000000-0005-0000-0000-00004C140000}"/>
    <cellStyle name="쉼표 [0] 2 8 3 4 3 2" xfId="13285" xr:uid="{D4D54AA4-B30F-4D3D-93BF-DD341F72524D}"/>
    <cellStyle name="쉼표 [0] 2 8 3 4 4" xfId="9626" xr:uid="{1F321A27-8106-4974-BC1C-E641631A0E1E}"/>
    <cellStyle name="쉼표 [0] 2 8 3 5" xfId="1794" xr:uid="{00000000-0005-0000-0000-00004D140000}"/>
    <cellStyle name="쉼표 [0] 2 8 3 5 2" xfId="4137" xr:uid="{00000000-0005-0000-0000-00004E140000}"/>
    <cellStyle name="쉼표 [0] 2 8 3 5 2 2" xfId="7798" xr:uid="{00000000-0005-0000-0000-00004F140000}"/>
    <cellStyle name="쉼표 [0] 2 8 3 5 2 2 2" xfId="15115" xr:uid="{81A92C38-E600-463E-9EB8-83A76C564A05}"/>
    <cellStyle name="쉼표 [0] 2 8 3 5 2 3" xfId="11457" xr:uid="{E4D0E339-513F-4596-9242-87CD23F4C083}"/>
    <cellStyle name="쉼표 [0] 2 8 3 5 3" xfId="5969" xr:uid="{00000000-0005-0000-0000-000050140000}"/>
    <cellStyle name="쉼표 [0] 2 8 3 5 3 2" xfId="13286" xr:uid="{0BDFF0DD-C1A7-4663-9622-6CAEEEC2BEF6}"/>
    <cellStyle name="쉼표 [0] 2 8 3 5 4" xfId="9627" xr:uid="{3F3F7951-EF7E-474B-A1DE-290B33DA20DD}"/>
    <cellStyle name="쉼표 [0] 2 8 3 6" xfId="4130" xr:uid="{00000000-0005-0000-0000-000051140000}"/>
    <cellStyle name="쉼표 [0] 2 8 3 6 2" xfId="7791" xr:uid="{00000000-0005-0000-0000-000052140000}"/>
    <cellStyle name="쉼표 [0] 2 8 3 6 2 2" xfId="15108" xr:uid="{09881577-8B97-4A4E-AB8B-FB5AE6D7CA1E}"/>
    <cellStyle name="쉼표 [0] 2 8 3 6 3" xfId="11450" xr:uid="{A4E59F6B-D167-4D40-85F4-293046691595}"/>
    <cellStyle name="쉼표 [0] 2 8 3 7" xfId="5962" xr:uid="{00000000-0005-0000-0000-000053140000}"/>
    <cellStyle name="쉼표 [0] 2 8 3 7 2" xfId="13279" xr:uid="{FA89986B-4B76-4592-B759-789766601119}"/>
    <cellStyle name="쉼표 [0] 2 8 3 8" xfId="9620" xr:uid="{28B2E260-4409-48C6-8A83-1E6B906C8AC6}"/>
    <cellStyle name="쉼표 [0] 2 8 4" xfId="1795" xr:uid="{00000000-0005-0000-0000-000054140000}"/>
    <cellStyle name="쉼표 [0] 2 8 4 2" xfId="1796" xr:uid="{00000000-0005-0000-0000-000055140000}"/>
    <cellStyle name="쉼표 [0] 2 8 4 2 2" xfId="1797" xr:uid="{00000000-0005-0000-0000-000056140000}"/>
    <cellStyle name="쉼표 [0] 2 8 4 2 2 2" xfId="4140" xr:uid="{00000000-0005-0000-0000-000057140000}"/>
    <cellStyle name="쉼표 [0] 2 8 4 2 2 2 2" xfId="7801" xr:uid="{00000000-0005-0000-0000-000058140000}"/>
    <cellStyle name="쉼표 [0] 2 8 4 2 2 2 2 2" xfId="15118" xr:uid="{53D75187-EE96-4DCE-9DD0-E892CA9A5DAD}"/>
    <cellStyle name="쉼표 [0] 2 8 4 2 2 2 3" xfId="11460" xr:uid="{55643B73-22BF-4EBF-B48C-1815329A5446}"/>
    <cellStyle name="쉼표 [0] 2 8 4 2 2 3" xfId="5972" xr:uid="{00000000-0005-0000-0000-000059140000}"/>
    <cellStyle name="쉼표 [0] 2 8 4 2 2 3 2" xfId="13289" xr:uid="{ADEF3F84-CEA6-4DCE-B4A7-0ABF98E180EE}"/>
    <cellStyle name="쉼표 [0] 2 8 4 2 2 4" xfId="9630" xr:uid="{FEF4BD7E-EB3D-4C51-8AF6-F3ECCC63E7D7}"/>
    <cellStyle name="쉼표 [0] 2 8 4 2 3" xfId="1798" xr:uid="{00000000-0005-0000-0000-00005A140000}"/>
    <cellStyle name="쉼표 [0] 2 8 4 2 3 2" xfId="4141" xr:uid="{00000000-0005-0000-0000-00005B140000}"/>
    <cellStyle name="쉼표 [0] 2 8 4 2 3 2 2" xfId="7802" xr:uid="{00000000-0005-0000-0000-00005C140000}"/>
    <cellStyle name="쉼표 [0] 2 8 4 2 3 2 2 2" xfId="15119" xr:uid="{B0391AA9-2DD0-4ED5-A22E-2733785EE3D1}"/>
    <cellStyle name="쉼표 [0] 2 8 4 2 3 2 3" xfId="11461" xr:uid="{1FE1A42C-5EEA-4140-B48B-1DC6E7EE98E6}"/>
    <cellStyle name="쉼표 [0] 2 8 4 2 3 3" xfId="5973" xr:uid="{00000000-0005-0000-0000-00005D140000}"/>
    <cellStyle name="쉼표 [0] 2 8 4 2 3 3 2" xfId="13290" xr:uid="{1D44EA40-595E-46D4-837A-65A4CC8BA469}"/>
    <cellStyle name="쉼표 [0] 2 8 4 2 3 4" xfId="9631" xr:uid="{98A040E2-FDA8-4A5E-BDE0-C3F32B6CB633}"/>
    <cellStyle name="쉼표 [0] 2 8 4 2 4" xfId="1799" xr:uid="{00000000-0005-0000-0000-00005E140000}"/>
    <cellStyle name="쉼표 [0] 2 8 4 2 4 2" xfId="4142" xr:uid="{00000000-0005-0000-0000-00005F140000}"/>
    <cellStyle name="쉼표 [0] 2 8 4 2 4 2 2" xfId="7803" xr:uid="{00000000-0005-0000-0000-000060140000}"/>
    <cellStyle name="쉼표 [0] 2 8 4 2 4 2 2 2" xfId="15120" xr:uid="{9A8F3063-F5C2-4DDB-8A94-5A4A1D65C6F5}"/>
    <cellStyle name="쉼표 [0] 2 8 4 2 4 2 3" xfId="11462" xr:uid="{9266E5F2-65AF-4403-939B-181AA1961B89}"/>
    <cellStyle name="쉼표 [0] 2 8 4 2 4 3" xfId="5974" xr:uid="{00000000-0005-0000-0000-000061140000}"/>
    <cellStyle name="쉼표 [0] 2 8 4 2 4 3 2" xfId="13291" xr:uid="{4955F804-D09E-4C72-90CE-9AAEE9EEC04B}"/>
    <cellStyle name="쉼표 [0] 2 8 4 2 4 4" xfId="9632" xr:uid="{B3D7F32A-A3E7-4EDC-AAED-C62C562A3C1E}"/>
    <cellStyle name="쉼표 [0] 2 8 4 2 5" xfId="4139" xr:uid="{00000000-0005-0000-0000-000062140000}"/>
    <cellStyle name="쉼표 [0] 2 8 4 2 5 2" xfId="7800" xr:uid="{00000000-0005-0000-0000-000063140000}"/>
    <cellStyle name="쉼표 [0] 2 8 4 2 5 2 2" xfId="15117" xr:uid="{955455C1-03A7-4C57-8F05-A67B5F0A884E}"/>
    <cellStyle name="쉼표 [0] 2 8 4 2 5 3" xfId="11459" xr:uid="{356015B5-91FC-4D62-B166-A473B6D18F52}"/>
    <cellStyle name="쉼표 [0] 2 8 4 2 6" xfId="5971" xr:uid="{00000000-0005-0000-0000-000064140000}"/>
    <cellStyle name="쉼표 [0] 2 8 4 2 6 2" xfId="13288" xr:uid="{96F464F7-962F-4B36-9AD6-D00EBAA82708}"/>
    <cellStyle name="쉼표 [0] 2 8 4 2 7" xfId="9629" xr:uid="{EDDEB412-1222-4113-943A-F7D06D7135B3}"/>
    <cellStyle name="쉼표 [0] 2 8 4 3" xfId="1800" xr:uid="{00000000-0005-0000-0000-000065140000}"/>
    <cellStyle name="쉼표 [0] 2 8 4 3 2" xfId="4143" xr:uid="{00000000-0005-0000-0000-000066140000}"/>
    <cellStyle name="쉼표 [0] 2 8 4 3 2 2" xfId="7804" xr:uid="{00000000-0005-0000-0000-000067140000}"/>
    <cellStyle name="쉼표 [0] 2 8 4 3 2 2 2" xfId="15121" xr:uid="{3EF26418-00B8-47E7-A881-3C2AD20D1B6A}"/>
    <cellStyle name="쉼표 [0] 2 8 4 3 2 3" xfId="11463" xr:uid="{1B15C1A8-BDB4-46E4-A9C8-6AC831C8E702}"/>
    <cellStyle name="쉼표 [0] 2 8 4 3 3" xfId="5975" xr:uid="{00000000-0005-0000-0000-000068140000}"/>
    <cellStyle name="쉼표 [0] 2 8 4 3 3 2" xfId="13292" xr:uid="{D18E6A29-3599-4836-9ED5-D24EDEB57C59}"/>
    <cellStyle name="쉼표 [0] 2 8 4 3 4" xfId="9633" xr:uid="{6401E857-0964-4F78-B324-7A4E1E949E4F}"/>
    <cellStyle name="쉼표 [0] 2 8 4 4" xfId="1801" xr:uid="{00000000-0005-0000-0000-000069140000}"/>
    <cellStyle name="쉼표 [0] 2 8 4 4 2" xfId="4144" xr:uid="{00000000-0005-0000-0000-00006A140000}"/>
    <cellStyle name="쉼표 [0] 2 8 4 4 2 2" xfId="7805" xr:uid="{00000000-0005-0000-0000-00006B140000}"/>
    <cellStyle name="쉼표 [0] 2 8 4 4 2 2 2" xfId="15122" xr:uid="{E78746BD-2358-4843-BEDA-836DCEC3DB59}"/>
    <cellStyle name="쉼표 [0] 2 8 4 4 2 3" xfId="11464" xr:uid="{BD4A16E5-BFFF-4E6D-8641-7FDBB5226F32}"/>
    <cellStyle name="쉼표 [0] 2 8 4 4 3" xfId="5976" xr:uid="{00000000-0005-0000-0000-00006C140000}"/>
    <cellStyle name="쉼표 [0] 2 8 4 4 3 2" xfId="13293" xr:uid="{D800EDDC-DBED-46CC-B1BC-5118FA0A44B2}"/>
    <cellStyle name="쉼표 [0] 2 8 4 4 4" xfId="9634" xr:uid="{46C03BAB-CDD3-459B-9E11-0E55A19D21EC}"/>
    <cellStyle name="쉼표 [0] 2 8 4 5" xfId="1802" xr:uid="{00000000-0005-0000-0000-00006D140000}"/>
    <cellStyle name="쉼표 [0] 2 8 4 5 2" xfId="4145" xr:uid="{00000000-0005-0000-0000-00006E140000}"/>
    <cellStyle name="쉼표 [0] 2 8 4 5 2 2" xfId="7806" xr:uid="{00000000-0005-0000-0000-00006F140000}"/>
    <cellStyle name="쉼표 [0] 2 8 4 5 2 2 2" xfId="15123" xr:uid="{D6294DDA-804D-4423-AD7F-09714125C78C}"/>
    <cellStyle name="쉼표 [0] 2 8 4 5 2 3" xfId="11465" xr:uid="{0AD731E9-5475-47D5-8C63-8FBE8477E84F}"/>
    <cellStyle name="쉼표 [0] 2 8 4 5 3" xfId="5977" xr:uid="{00000000-0005-0000-0000-000070140000}"/>
    <cellStyle name="쉼표 [0] 2 8 4 5 3 2" xfId="13294" xr:uid="{BA7B65A4-34FF-4C18-B586-2AD17B1FE366}"/>
    <cellStyle name="쉼표 [0] 2 8 4 5 4" xfId="9635" xr:uid="{0A88FF71-AAE8-4C86-B090-06B1F00624FD}"/>
    <cellStyle name="쉼표 [0] 2 8 4 6" xfId="4138" xr:uid="{00000000-0005-0000-0000-000071140000}"/>
    <cellStyle name="쉼표 [0] 2 8 4 6 2" xfId="7799" xr:uid="{00000000-0005-0000-0000-000072140000}"/>
    <cellStyle name="쉼표 [0] 2 8 4 6 2 2" xfId="15116" xr:uid="{AB650E09-17D3-424D-BBBC-79EA12A418FD}"/>
    <cellStyle name="쉼표 [0] 2 8 4 6 3" xfId="11458" xr:uid="{4ABCF2B6-F278-4C2F-ADE1-E2FDC9D6FE83}"/>
    <cellStyle name="쉼표 [0] 2 8 4 7" xfId="5970" xr:uid="{00000000-0005-0000-0000-000073140000}"/>
    <cellStyle name="쉼표 [0] 2 8 4 7 2" xfId="13287" xr:uid="{4AFA6C70-E7B4-4A91-AA72-00147E753D6C}"/>
    <cellStyle name="쉼표 [0] 2 8 4 8" xfId="9628" xr:uid="{AC5B4CB9-2563-4139-8024-9008AE8C1462}"/>
    <cellStyle name="쉼표 [0] 2 8 5" xfId="1803" xr:uid="{00000000-0005-0000-0000-000074140000}"/>
    <cellStyle name="쉼표 [0] 2 8 6" xfId="1804" xr:uid="{00000000-0005-0000-0000-000075140000}"/>
    <cellStyle name="쉼표 [0] 2 8 6 2" xfId="4146" xr:uid="{00000000-0005-0000-0000-000076140000}"/>
    <cellStyle name="쉼표 [0] 2 8 6 2 2" xfId="7807" xr:uid="{00000000-0005-0000-0000-000077140000}"/>
    <cellStyle name="쉼표 [0] 2 8 6 2 2 2" xfId="15124" xr:uid="{FC6FF527-9574-4B28-B58A-DFA24756EC32}"/>
    <cellStyle name="쉼표 [0] 2 8 6 2 3" xfId="11466" xr:uid="{89499A83-8D6C-4BE2-9F5E-E45AA45AD4DC}"/>
    <cellStyle name="쉼표 [0] 2 8 6 3" xfId="5978" xr:uid="{00000000-0005-0000-0000-000078140000}"/>
    <cellStyle name="쉼표 [0] 2 8 6 3 2" xfId="13295" xr:uid="{F729FC62-19EB-4BDA-8893-16F9FC7D7D60}"/>
    <cellStyle name="쉼표 [0] 2 8 6 4" xfId="9636" xr:uid="{65EEC643-FF04-4C47-AED4-AED42DF9EDA3}"/>
    <cellStyle name="쉼표 [0] 2 8 7" xfId="4119" xr:uid="{00000000-0005-0000-0000-000079140000}"/>
    <cellStyle name="쉼표 [0] 2 8 7 2" xfId="7780" xr:uid="{00000000-0005-0000-0000-00007A140000}"/>
    <cellStyle name="쉼표 [0] 2 8 7 2 2" xfId="15097" xr:uid="{83058DB6-41EA-4219-95F1-948C90447898}"/>
    <cellStyle name="쉼표 [0] 2 8 7 3" xfId="11439" xr:uid="{B18430F7-E537-4E94-ABA4-442826193549}"/>
    <cellStyle name="쉼표 [0] 2 8 8" xfId="5951" xr:uid="{00000000-0005-0000-0000-00007B140000}"/>
    <cellStyle name="쉼표 [0] 2 8 8 2" xfId="13268" xr:uid="{317E55EA-23D1-4C84-ABB0-59DB5CD2D684}"/>
    <cellStyle name="쉼표 [0] 2 8 9" xfId="9609" xr:uid="{5989826D-C152-495E-BE44-3062506F5789}"/>
    <cellStyle name="쉼표 [0] 2 9" xfId="1805" xr:uid="{00000000-0005-0000-0000-00007C140000}"/>
    <cellStyle name="쉼표 [0] 2 9 2" xfId="1806" xr:uid="{00000000-0005-0000-0000-00007D140000}"/>
    <cellStyle name="쉼표 [0] 2 9 2 2" xfId="1807" xr:uid="{00000000-0005-0000-0000-00007E140000}"/>
    <cellStyle name="쉼표 [0] 2 9 2 2 2" xfId="1808" xr:uid="{00000000-0005-0000-0000-00007F140000}"/>
    <cellStyle name="쉼표 [0] 2 9 2 2 2 2" xfId="4150" xr:uid="{00000000-0005-0000-0000-000080140000}"/>
    <cellStyle name="쉼표 [0] 2 9 2 2 2 2 2" xfId="7811" xr:uid="{00000000-0005-0000-0000-000081140000}"/>
    <cellStyle name="쉼표 [0] 2 9 2 2 2 2 2 2" xfId="15128" xr:uid="{38328206-96AD-4DEE-AED8-71F69CC1DA8B}"/>
    <cellStyle name="쉼표 [0] 2 9 2 2 2 2 3" xfId="11470" xr:uid="{E6D2DB2B-603D-40B4-9FCD-D1DF18647A46}"/>
    <cellStyle name="쉼표 [0] 2 9 2 2 2 3" xfId="5982" xr:uid="{00000000-0005-0000-0000-000082140000}"/>
    <cellStyle name="쉼표 [0] 2 9 2 2 2 3 2" xfId="13299" xr:uid="{29D9831E-22BF-4F69-BEF7-7AF668B8D92F}"/>
    <cellStyle name="쉼표 [0] 2 9 2 2 2 4" xfId="9640" xr:uid="{78BF5BD3-185D-4E95-8686-5D487E63C9DD}"/>
    <cellStyle name="쉼표 [0] 2 9 2 2 3" xfId="1809" xr:uid="{00000000-0005-0000-0000-000083140000}"/>
    <cellStyle name="쉼표 [0] 2 9 2 2 3 2" xfId="4151" xr:uid="{00000000-0005-0000-0000-000084140000}"/>
    <cellStyle name="쉼표 [0] 2 9 2 2 3 2 2" xfId="7812" xr:uid="{00000000-0005-0000-0000-000085140000}"/>
    <cellStyle name="쉼표 [0] 2 9 2 2 3 2 2 2" xfId="15129" xr:uid="{73F40A7C-A289-4F99-9D55-F3E086DA699F}"/>
    <cellStyle name="쉼표 [0] 2 9 2 2 3 2 3" xfId="11471" xr:uid="{4C3C56F8-16D8-47E7-A6A3-B093599C194F}"/>
    <cellStyle name="쉼표 [0] 2 9 2 2 3 3" xfId="5983" xr:uid="{00000000-0005-0000-0000-000086140000}"/>
    <cellStyle name="쉼표 [0] 2 9 2 2 3 3 2" xfId="13300" xr:uid="{2AD16C62-0A5F-4073-B321-EF543B65FFF1}"/>
    <cellStyle name="쉼표 [0] 2 9 2 2 3 4" xfId="9641" xr:uid="{A39D580F-B362-49C6-BF89-E75F70ED7F26}"/>
    <cellStyle name="쉼표 [0] 2 9 2 2 4" xfId="1810" xr:uid="{00000000-0005-0000-0000-000087140000}"/>
    <cellStyle name="쉼표 [0] 2 9 2 2 4 2" xfId="4152" xr:uid="{00000000-0005-0000-0000-000088140000}"/>
    <cellStyle name="쉼표 [0] 2 9 2 2 4 2 2" xfId="7813" xr:uid="{00000000-0005-0000-0000-000089140000}"/>
    <cellStyle name="쉼표 [0] 2 9 2 2 4 2 2 2" xfId="15130" xr:uid="{65E01DFB-C319-4A96-81C2-AD9630B09C8C}"/>
    <cellStyle name="쉼표 [0] 2 9 2 2 4 2 3" xfId="11472" xr:uid="{4EB27838-6F91-44DC-B475-ACD5554ED8AA}"/>
    <cellStyle name="쉼표 [0] 2 9 2 2 4 3" xfId="5984" xr:uid="{00000000-0005-0000-0000-00008A140000}"/>
    <cellStyle name="쉼표 [0] 2 9 2 2 4 3 2" xfId="13301" xr:uid="{704324B9-48DD-41B0-A719-8564F80C9CED}"/>
    <cellStyle name="쉼표 [0] 2 9 2 2 4 4" xfId="9642" xr:uid="{A678D400-B490-4C55-A5E2-EA28E14E9DB3}"/>
    <cellStyle name="쉼표 [0] 2 9 2 2 5" xfId="4149" xr:uid="{00000000-0005-0000-0000-00008B140000}"/>
    <cellStyle name="쉼표 [0] 2 9 2 2 5 2" xfId="7810" xr:uid="{00000000-0005-0000-0000-00008C140000}"/>
    <cellStyle name="쉼표 [0] 2 9 2 2 5 2 2" xfId="15127" xr:uid="{154DACFC-4171-4AD8-B03E-30909AA676A1}"/>
    <cellStyle name="쉼표 [0] 2 9 2 2 5 3" xfId="11469" xr:uid="{0B926691-7351-49C4-9FC7-74A9D58FF0FC}"/>
    <cellStyle name="쉼표 [0] 2 9 2 2 6" xfId="5981" xr:uid="{00000000-0005-0000-0000-00008D140000}"/>
    <cellStyle name="쉼표 [0] 2 9 2 2 6 2" xfId="13298" xr:uid="{D519D2BF-1B68-4FF9-A6E5-618B456A0988}"/>
    <cellStyle name="쉼표 [0] 2 9 2 2 7" xfId="9639" xr:uid="{395AC3E2-7078-4347-AAAF-7962D1098CC1}"/>
    <cellStyle name="쉼표 [0] 2 9 2 3" xfId="1811" xr:uid="{00000000-0005-0000-0000-00008E140000}"/>
    <cellStyle name="쉼표 [0] 2 9 2 3 2" xfId="1812" xr:uid="{00000000-0005-0000-0000-00008F140000}"/>
    <cellStyle name="쉼표 [0] 2 9 2 3 2 2" xfId="4154" xr:uid="{00000000-0005-0000-0000-000090140000}"/>
    <cellStyle name="쉼표 [0] 2 9 2 3 2 2 2" xfId="7815" xr:uid="{00000000-0005-0000-0000-000091140000}"/>
    <cellStyle name="쉼표 [0] 2 9 2 3 2 2 2 2" xfId="15132" xr:uid="{1B412A0F-0F53-437F-B96A-AA25BA7DB2F5}"/>
    <cellStyle name="쉼표 [0] 2 9 2 3 2 2 3" xfId="11474" xr:uid="{416EF1BC-C8AB-449E-90DF-6FC05B9ACA61}"/>
    <cellStyle name="쉼표 [0] 2 9 2 3 2 3" xfId="5986" xr:uid="{00000000-0005-0000-0000-000092140000}"/>
    <cellStyle name="쉼표 [0] 2 9 2 3 2 3 2" xfId="13303" xr:uid="{11F40A20-4477-43E4-9972-4D3F99931E7A}"/>
    <cellStyle name="쉼표 [0] 2 9 2 3 2 4" xfId="9644" xr:uid="{4B4E9903-D9ED-41FF-87C8-495B3CA0388D}"/>
    <cellStyle name="쉼표 [0] 2 9 2 3 3" xfId="4153" xr:uid="{00000000-0005-0000-0000-000093140000}"/>
    <cellStyle name="쉼표 [0] 2 9 2 3 3 2" xfId="7814" xr:uid="{00000000-0005-0000-0000-000094140000}"/>
    <cellStyle name="쉼표 [0] 2 9 2 3 3 2 2" xfId="15131" xr:uid="{98B3EF2B-87E6-44EE-B6AB-B2B93C5DEE07}"/>
    <cellStyle name="쉼표 [0] 2 9 2 3 3 3" xfId="11473" xr:uid="{B1D11DB7-F41F-4BE7-B34F-6F771BD756F4}"/>
    <cellStyle name="쉼표 [0] 2 9 2 3 4" xfId="5985" xr:uid="{00000000-0005-0000-0000-000095140000}"/>
    <cellStyle name="쉼표 [0] 2 9 2 3 4 2" xfId="13302" xr:uid="{640BD9F5-91AD-467B-82B2-01B92F5FF9B1}"/>
    <cellStyle name="쉼표 [0] 2 9 2 3 5" xfId="9643" xr:uid="{7B85C99F-B359-427F-82AA-24F1F6CAEED7}"/>
    <cellStyle name="쉼표 [0] 2 9 2 4" xfId="1813" xr:uid="{00000000-0005-0000-0000-000096140000}"/>
    <cellStyle name="쉼표 [0] 2 9 2 4 2" xfId="1814" xr:uid="{00000000-0005-0000-0000-000097140000}"/>
    <cellStyle name="쉼표 [0] 2 9 2 4 2 2" xfId="4156" xr:uid="{00000000-0005-0000-0000-000098140000}"/>
    <cellStyle name="쉼표 [0] 2 9 2 4 2 2 2" xfId="7817" xr:uid="{00000000-0005-0000-0000-000099140000}"/>
    <cellStyle name="쉼표 [0] 2 9 2 4 2 2 2 2" xfId="15134" xr:uid="{9997386C-6A68-4D96-9215-4A321A8EBC7B}"/>
    <cellStyle name="쉼표 [0] 2 9 2 4 2 2 3" xfId="11476" xr:uid="{62F03914-4767-4E7C-A68C-A77F7447C425}"/>
    <cellStyle name="쉼표 [0] 2 9 2 4 2 3" xfId="5988" xr:uid="{00000000-0005-0000-0000-00009A140000}"/>
    <cellStyle name="쉼표 [0] 2 9 2 4 2 3 2" xfId="13305" xr:uid="{C577047B-F4EC-421E-9AD8-55A537465B68}"/>
    <cellStyle name="쉼표 [0] 2 9 2 4 2 4" xfId="9646" xr:uid="{CC5F00A1-2101-49CC-8E0E-287E5CE28584}"/>
    <cellStyle name="쉼표 [0] 2 9 2 4 3" xfId="4155" xr:uid="{00000000-0005-0000-0000-00009B140000}"/>
    <cellStyle name="쉼표 [0] 2 9 2 4 3 2" xfId="7816" xr:uid="{00000000-0005-0000-0000-00009C140000}"/>
    <cellStyle name="쉼표 [0] 2 9 2 4 3 2 2" xfId="15133" xr:uid="{4675DE54-0B73-4B1A-B1F6-C73C4B04CE68}"/>
    <cellStyle name="쉼표 [0] 2 9 2 4 3 3" xfId="11475" xr:uid="{A06B3C2C-C254-4A12-912C-5493746E5C89}"/>
    <cellStyle name="쉼표 [0] 2 9 2 4 4" xfId="5987" xr:uid="{00000000-0005-0000-0000-00009D140000}"/>
    <cellStyle name="쉼표 [0] 2 9 2 4 4 2" xfId="13304" xr:uid="{C143A4F8-1BB7-4156-B40B-2AE6F9C38266}"/>
    <cellStyle name="쉼표 [0] 2 9 2 4 5" xfId="9645" xr:uid="{8CA5C103-74E7-450E-8D49-0F45BEB31DB6}"/>
    <cellStyle name="쉼표 [0] 2 9 2 5" xfId="1815" xr:uid="{00000000-0005-0000-0000-00009E140000}"/>
    <cellStyle name="쉼표 [0] 2 9 2 5 2" xfId="4157" xr:uid="{00000000-0005-0000-0000-00009F140000}"/>
    <cellStyle name="쉼표 [0] 2 9 2 5 2 2" xfId="7818" xr:uid="{00000000-0005-0000-0000-0000A0140000}"/>
    <cellStyle name="쉼표 [0] 2 9 2 5 2 2 2" xfId="15135" xr:uid="{D4D02624-9D39-42C4-BCFB-7FA31C66266C}"/>
    <cellStyle name="쉼표 [0] 2 9 2 5 2 3" xfId="11477" xr:uid="{D6C621CE-6095-41E7-B638-80A0272A5477}"/>
    <cellStyle name="쉼표 [0] 2 9 2 5 3" xfId="5989" xr:uid="{00000000-0005-0000-0000-0000A1140000}"/>
    <cellStyle name="쉼표 [0] 2 9 2 5 3 2" xfId="13306" xr:uid="{1C1DB48C-1065-4AA8-AB55-598B21F02071}"/>
    <cellStyle name="쉼표 [0] 2 9 2 5 4" xfId="9647" xr:uid="{0341F3EB-AEB1-437C-A3A0-A1DB8AB9EBD9}"/>
    <cellStyle name="쉼표 [0] 2 9 2 6" xfId="4148" xr:uid="{00000000-0005-0000-0000-0000A2140000}"/>
    <cellStyle name="쉼표 [0] 2 9 2 6 2" xfId="7809" xr:uid="{00000000-0005-0000-0000-0000A3140000}"/>
    <cellStyle name="쉼표 [0] 2 9 2 6 2 2" xfId="15126" xr:uid="{AEB3CC2F-2D38-4B4F-99BE-2C943A03391B}"/>
    <cellStyle name="쉼표 [0] 2 9 2 6 3" xfId="11468" xr:uid="{8EA1CF4D-E4DB-4FD3-84F7-8490C2627E83}"/>
    <cellStyle name="쉼표 [0] 2 9 2 7" xfId="5980" xr:uid="{00000000-0005-0000-0000-0000A4140000}"/>
    <cellStyle name="쉼표 [0] 2 9 2 7 2" xfId="13297" xr:uid="{9BDEA2ED-F515-4BEB-826D-B18B6C659EBE}"/>
    <cellStyle name="쉼표 [0] 2 9 2 8" xfId="9638" xr:uid="{1D772B59-98F1-40A9-8D50-CA30CC9BD044}"/>
    <cellStyle name="쉼표 [0] 2 9 3" xfId="1816" xr:uid="{00000000-0005-0000-0000-0000A5140000}"/>
    <cellStyle name="쉼표 [0] 2 9 3 2" xfId="1817" xr:uid="{00000000-0005-0000-0000-0000A6140000}"/>
    <cellStyle name="쉼표 [0] 2 9 3 2 2" xfId="1818" xr:uid="{00000000-0005-0000-0000-0000A7140000}"/>
    <cellStyle name="쉼표 [0] 2 9 3 2 2 2" xfId="4160" xr:uid="{00000000-0005-0000-0000-0000A8140000}"/>
    <cellStyle name="쉼표 [0] 2 9 3 2 2 2 2" xfId="7821" xr:uid="{00000000-0005-0000-0000-0000A9140000}"/>
    <cellStyle name="쉼표 [0] 2 9 3 2 2 2 2 2" xfId="15138" xr:uid="{0F8F6781-F83B-48E8-958E-35638B6494E5}"/>
    <cellStyle name="쉼표 [0] 2 9 3 2 2 2 3" xfId="11480" xr:uid="{2D018E75-D113-4176-94AF-6A1C1C225B41}"/>
    <cellStyle name="쉼표 [0] 2 9 3 2 2 3" xfId="5992" xr:uid="{00000000-0005-0000-0000-0000AA140000}"/>
    <cellStyle name="쉼표 [0] 2 9 3 2 2 3 2" xfId="13309" xr:uid="{0D08B44F-54D7-420F-86B2-4C7555A432A7}"/>
    <cellStyle name="쉼표 [0] 2 9 3 2 2 4" xfId="9650" xr:uid="{AAB537AF-7857-4E51-A5CA-12CDBF88F834}"/>
    <cellStyle name="쉼표 [0] 2 9 3 2 3" xfId="1819" xr:uid="{00000000-0005-0000-0000-0000AB140000}"/>
    <cellStyle name="쉼표 [0] 2 9 3 2 3 2" xfId="4161" xr:uid="{00000000-0005-0000-0000-0000AC140000}"/>
    <cellStyle name="쉼표 [0] 2 9 3 2 3 2 2" xfId="7822" xr:uid="{00000000-0005-0000-0000-0000AD140000}"/>
    <cellStyle name="쉼표 [0] 2 9 3 2 3 2 2 2" xfId="15139" xr:uid="{EAB1BC8A-8299-4873-8A1F-AF0617D10DA9}"/>
    <cellStyle name="쉼표 [0] 2 9 3 2 3 2 3" xfId="11481" xr:uid="{8CFFEA78-C264-4849-B26D-E2CE42FE5859}"/>
    <cellStyle name="쉼표 [0] 2 9 3 2 3 3" xfId="5993" xr:uid="{00000000-0005-0000-0000-0000AE140000}"/>
    <cellStyle name="쉼표 [0] 2 9 3 2 3 3 2" xfId="13310" xr:uid="{5A2BEF66-5C35-471D-A2B6-B47E43A942B6}"/>
    <cellStyle name="쉼표 [0] 2 9 3 2 3 4" xfId="9651" xr:uid="{0B8507C3-7F4E-46A7-8265-E6576C7B9F97}"/>
    <cellStyle name="쉼표 [0] 2 9 3 2 4" xfId="1820" xr:uid="{00000000-0005-0000-0000-0000AF140000}"/>
    <cellStyle name="쉼표 [0] 2 9 3 2 4 2" xfId="4162" xr:uid="{00000000-0005-0000-0000-0000B0140000}"/>
    <cellStyle name="쉼표 [0] 2 9 3 2 4 2 2" xfId="7823" xr:uid="{00000000-0005-0000-0000-0000B1140000}"/>
    <cellStyle name="쉼표 [0] 2 9 3 2 4 2 2 2" xfId="15140" xr:uid="{F6AAF325-47D2-4549-91C5-C496CB93772A}"/>
    <cellStyle name="쉼표 [0] 2 9 3 2 4 2 3" xfId="11482" xr:uid="{98696927-ECFD-4CD6-A2D1-511AB7C0B658}"/>
    <cellStyle name="쉼표 [0] 2 9 3 2 4 3" xfId="5994" xr:uid="{00000000-0005-0000-0000-0000B2140000}"/>
    <cellStyle name="쉼표 [0] 2 9 3 2 4 3 2" xfId="13311" xr:uid="{7923CA03-E0BA-4704-9E9B-42120D70BB3D}"/>
    <cellStyle name="쉼표 [0] 2 9 3 2 4 4" xfId="9652" xr:uid="{D8210E19-9284-45C5-9547-174BC22A8E4D}"/>
    <cellStyle name="쉼표 [0] 2 9 3 2 5" xfId="4159" xr:uid="{00000000-0005-0000-0000-0000B3140000}"/>
    <cellStyle name="쉼표 [0] 2 9 3 2 5 2" xfId="7820" xr:uid="{00000000-0005-0000-0000-0000B4140000}"/>
    <cellStyle name="쉼표 [0] 2 9 3 2 5 2 2" xfId="15137" xr:uid="{D0D67AEC-4D0D-4D95-9CA8-BD7F0A32B315}"/>
    <cellStyle name="쉼표 [0] 2 9 3 2 5 3" xfId="11479" xr:uid="{C94DDA96-9365-47CE-8AA5-884BC297B0E0}"/>
    <cellStyle name="쉼표 [0] 2 9 3 2 6" xfId="5991" xr:uid="{00000000-0005-0000-0000-0000B5140000}"/>
    <cellStyle name="쉼표 [0] 2 9 3 2 6 2" xfId="13308" xr:uid="{A46BFECB-C290-4D78-BD3B-2E50CEE4DFF0}"/>
    <cellStyle name="쉼표 [0] 2 9 3 2 7" xfId="9649" xr:uid="{CF9AFFF1-0DF6-451D-9774-382EEFFD5710}"/>
    <cellStyle name="쉼표 [0] 2 9 3 3" xfId="1821" xr:uid="{00000000-0005-0000-0000-0000B6140000}"/>
    <cellStyle name="쉼표 [0] 2 9 3 3 2" xfId="4163" xr:uid="{00000000-0005-0000-0000-0000B7140000}"/>
    <cellStyle name="쉼표 [0] 2 9 3 3 2 2" xfId="7824" xr:uid="{00000000-0005-0000-0000-0000B8140000}"/>
    <cellStyle name="쉼표 [0] 2 9 3 3 2 2 2" xfId="15141" xr:uid="{AE7A5C6C-727C-4528-BCB8-D16D44835005}"/>
    <cellStyle name="쉼표 [0] 2 9 3 3 2 3" xfId="11483" xr:uid="{0A786B63-D641-4F7C-A873-832524472D0F}"/>
    <cellStyle name="쉼표 [0] 2 9 3 3 3" xfId="5995" xr:uid="{00000000-0005-0000-0000-0000B9140000}"/>
    <cellStyle name="쉼표 [0] 2 9 3 3 3 2" xfId="13312" xr:uid="{04E45CC9-6965-46AF-B905-48207157FC36}"/>
    <cellStyle name="쉼표 [0] 2 9 3 3 4" xfId="9653" xr:uid="{6326D1B5-D909-4552-8B76-B5B6C20AE581}"/>
    <cellStyle name="쉼표 [0] 2 9 3 4" xfId="1822" xr:uid="{00000000-0005-0000-0000-0000BA140000}"/>
    <cellStyle name="쉼표 [0] 2 9 3 4 2" xfId="4164" xr:uid="{00000000-0005-0000-0000-0000BB140000}"/>
    <cellStyle name="쉼표 [0] 2 9 3 4 2 2" xfId="7825" xr:uid="{00000000-0005-0000-0000-0000BC140000}"/>
    <cellStyle name="쉼표 [0] 2 9 3 4 2 2 2" xfId="15142" xr:uid="{ABC80390-49EA-4D58-8207-052E8B4DE373}"/>
    <cellStyle name="쉼표 [0] 2 9 3 4 2 3" xfId="11484" xr:uid="{AF952929-8374-49E7-BBE5-7AA9AF15F5BE}"/>
    <cellStyle name="쉼표 [0] 2 9 3 4 3" xfId="5996" xr:uid="{00000000-0005-0000-0000-0000BD140000}"/>
    <cellStyle name="쉼표 [0] 2 9 3 4 3 2" xfId="13313" xr:uid="{5C2151E0-0E4E-4A9F-B488-03D5E907D16F}"/>
    <cellStyle name="쉼표 [0] 2 9 3 4 4" xfId="9654" xr:uid="{16C7AE0B-396D-41A8-8804-197AB26E7DEE}"/>
    <cellStyle name="쉼표 [0] 2 9 3 5" xfId="1823" xr:uid="{00000000-0005-0000-0000-0000BE140000}"/>
    <cellStyle name="쉼표 [0] 2 9 3 5 2" xfId="4165" xr:uid="{00000000-0005-0000-0000-0000BF140000}"/>
    <cellStyle name="쉼표 [0] 2 9 3 5 2 2" xfId="7826" xr:uid="{00000000-0005-0000-0000-0000C0140000}"/>
    <cellStyle name="쉼표 [0] 2 9 3 5 2 2 2" xfId="15143" xr:uid="{32435B6A-347F-44B1-881D-E21430E8F8F6}"/>
    <cellStyle name="쉼표 [0] 2 9 3 5 2 3" xfId="11485" xr:uid="{41A22A75-6552-438C-A8E6-EAEAD2CAB7E2}"/>
    <cellStyle name="쉼표 [0] 2 9 3 5 3" xfId="5997" xr:uid="{00000000-0005-0000-0000-0000C1140000}"/>
    <cellStyle name="쉼표 [0] 2 9 3 5 3 2" xfId="13314" xr:uid="{383D834A-0091-4F9A-83F5-44B38CB09601}"/>
    <cellStyle name="쉼표 [0] 2 9 3 5 4" xfId="9655" xr:uid="{CB630E63-EF7C-4F08-8B5A-23598A209E37}"/>
    <cellStyle name="쉼표 [0] 2 9 3 6" xfId="4158" xr:uid="{00000000-0005-0000-0000-0000C2140000}"/>
    <cellStyle name="쉼표 [0] 2 9 3 6 2" xfId="7819" xr:uid="{00000000-0005-0000-0000-0000C3140000}"/>
    <cellStyle name="쉼표 [0] 2 9 3 6 2 2" xfId="15136" xr:uid="{A1AFBF14-156B-4830-A0D9-82265B2A9B72}"/>
    <cellStyle name="쉼표 [0] 2 9 3 6 3" xfId="11478" xr:uid="{41A213C3-66CF-4E37-80DE-2EC760EFA593}"/>
    <cellStyle name="쉼표 [0] 2 9 3 7" xfId="5990" xr:uid="{00000000-0005-0000-0000-0000C4140000}"/>
    <cellStyle name="쉼표 [0] 2 9 3 7 2" xfId="13307" xr:uid="{CC9DE869-2321-4E57-A0CE-70C201018572}"/>
    <cellStyle name="쉼표 [0] 2 9 3 8" xfId="9648" xr:uid="{F8770E5A-A860-4260-A118-6BB736F6D04D}"/>
    <cellStyle name="쉼표 [0] 2 9 4" xfId="1824" xr:uid="{00000000-0005-0000-0000-0000C5140000}"/>
    <cellStyle name="쉼표 [0] 2 9 4 2" xfId="1825" xr:uid="{00000000-0005-0000-0000-0000C6140000}"/>
    <cellStyle name="쉼표 [0] 2 9 4 2 2" xfId="1826" xr:uid="{00000000-0005-0000-0000-0000C7140000}"/>
    <cellStyle name="쉼표 [0] 2 9 4 2 2 2" xfId="4168" xr:uid="{00000000-0005-0000-0000-0000C8140000}"/>
    <cellStyle name="쉼표 [0] 2 9 4 2 2 2 2" xfId="7829" xr:uid="{00000000-0005-0000-0000-0000C9140000}"/>
    <cellStyle name="쉼표 [0] 2 9 4 2 2 2 2 2" xfId="15146" xr:uid="{DBC9FBB1-4FBB-4873-B442-8D1973CB8DE9}"/>
    <cellStyle name="쉼표 [0] 2 9 4 2 2 2 3" xfId="11488" xr:uid="{8A015F16-150E-4DEF-8528-AD82A80E942F}"/>
    <cellStyle name="쉼표 [0] 2 9 4 2 2 3" xfId="6000" xr:uid="{00000000-0005-0000-0000-0000CA140000}"/>
    <cellStyle name="쉼표 [0] 2 9 4 2 2 3 2" xfId="13317" xr:uid="{C4F76219-5E42-4F12-B443-3198BAA9AD82}"/>
    <cellStyle name="쉼표 [0] 2 9 4 2 2 4" xfId="9658" xr:uid="{7A5A643E-438F-429C-82C3-947BB1B19841}"/>
    <cellStyle name="쉼표 [0] 2 9 4 2 3" xfId="1827" xr:uid="{00000000-0005-0000-0000-0000CB140000}"/>
    <cellStyle name="쉼표 [0] 2 9 4 2 3 2" xfId="4169" xr:uid="{00000000-0005-0000-0000-0000CC140000}"/>
    <cellStyle name="쉼표 [0] 2 9 4 2 3 2 2" xfId="7830" xr:uid="{00000000-0005-0000-0000-0000CD140000}"/>
    <cellStyle name="쉼표 [0] 2 9 4 2 3 2 2 2" xfId="15147" xr:uid="{5B6C6488-4686-4CA9-AB83-0C8826C82109}"/>
    <cellStyle name="쉼표 [0] 2 9 4 2 3 2 3" xfId="11489" xr:uid="{F0D4F637-16CD-4EBD-B37B-62B3A0F9AE85}"/>
    <cellStyle name="쉼표 [0] 2 9 4 2 3 3" xfId="6001" xr:uid="{00000000-0005-0000-0000-0000CE140000}"/>
    <cellStyle name="쉼표 [0] 2 9 4 2 3 3 2" xfId="13318" xr:uid="{236C081B-43A4-4D85-ADB8-3DEFD42FBBF3}"/>
    <cellStyle name="쉼표 [0] 2 9 4 2 3 4" xfId="9659" xr:uid="{45A09761-8E8A-40EA-A4D9-D0AE70036F1D}"/>
    <cellStyle name="쉼표 [0] 2 9 4 2 4" xfId="1828" xr:uid="{00000000-0005-0000-0000-0000CF140000}"/>
    <cellStyle name="쉼표 [0] 2 9 4 2 4 2" xfId="4170" xr:uid="{00000000-0005-0000-0000-0000D0140000}"/>
    <cellStyle name="쉼표 [0] 2 9 4 2 4 2 2" xfId="7831" xr:uid="{00000000-0005-0000-0000-0000D1140000}"/>
    <cellStyle name="쉼표 [0] 2 9 4 2 4 2 2 2" xfId="15148" xr:uid="{D0EA36D8-E121-4F83-9405-CD6F3B9474EC}"/>
    <cellStyle name="쉼표 [0] 2 9 4 2 4 2 3" xfId="11490" xr:uid="{3F17F654-ED34-467F-972D-F2B0D40547FB}"/>
    <cellStyle name="쉼표 [0] 2 9 4 2 4 3" xfId="6002" xr:uid="{00000000-0005-0000-0000-0000D2140000}"/>
    <cellStyle name="쉼표 [0] 2 9 4 2 4 3 2" xfId="13319" xr:uid="{C20763B3-9E86-4E53-900E-4AD9D4799F02}"/>
    <cellStyle name="쉼표 [0] 2 9 4 2 4 4" xfId="9660" xr:uid="{AD85FB38-0FA2-407A-BA63-8D6599D89BBC}"/>
    <cellStyle name="쉼표 [0] 2 9 4 2 5" xfId="4167" xr:uid="{00000000-0005-0000-0000-0000D3140000}"/>
    <cellStyle name="쉼표 [0] 2 9 4 2 5 2" xfId="7828" xr:uid="{00000000-0005-0000-0000-0000D4140000}"/>
    <cellStyle name="쉼표 [0] 2 9 4 2 5 2 2" xfId="15145" xr:uid="{B301F6CD-8A49-419B-AF68-6F393FDAB0A1}"/>
    <cellStyle name="쉼표 [0] 2 9 4 2 5 3" xfId="11487" xr:uid="{144CAB86-7B1C-42D6-BB6E-C999049611C8}"/>
    <cellStyle name="쉼표 [0] 2 9 4 2 6" xfId="5999" xr:uid="{00000000-0005-0000-0000-0000D5140000}"/>
    <cellStyle name="쉼표 [0] 2 9 4 2 6 2" xfId="13316" xr:uid="{7C21D0FD-B814-4DD9-AE99-21EEAADFC1FF}"/>
    <cellStyle name="쉼표 [0] 2 9 4 2 7" xfId="9657" xr:uid="{61E02756-1DDA-498F-A998-4F1752590C47}"/>
    <cellStyle name="쉼표 [0] 2 9 4 3" xfId="1829" xr:uid="{00000000-0005-0000-0000-0000D6140000}"/>
    <cellStyle name="쉼표 [0] 2 9 4 3 2" xfId="4171" xr:uid="{00000000-0005-0000-0000-0000D7140000}"/>
    <cellStyle name="쉼표 [0] 2 9 4 3 2 2" xfId="7832" xr:uid="{00000000-0005-0000-0000-0000D8140000}"/>
    <cellStyle name="쉼표 [0] 2 9 4 3 2 2 2" xfId="15149" xr:uid="{CAA4E9D1-9CFF-4BA7-97F9-56A2C273A76E}"/>
    <cellStyle name="쉼표 [0] 2 9 4 3 2 3" xfId="11491" xr:uid="{05C6889E-E2EB-4F8A-AE5B-44DF73CD3051}"/>
    <cellStyle name="쉼표 [0] 2 9 4 3 3" xfId="6003" xr:uid="{00000000-0005-0000-0000-0000D9140000}"/>
    <cellStyle name="쉼표 [0] 2 9 4 3 3 2" xfId="13320" xr:uid="{69C4D884-4DCC-4292-B698-D9EB4307FE54}"/>
    <cellStyle name="쉼표 [0] 2 9 4 3 4" xfId="9661" xr:uid="{E5C0C34F-7F58-499C-9557-B012FCA10B90}"/>
    <cellStyle name="쉼표 [0] 2 9 4 4" xfId="1830" xr:uid="{00000000-0005-0000-0000-0000DA140000}"/>
    <cellStyle name="쉼표 [0] 2 9 4 4 2" xfId="4172" xr:uid="{00000000-0005-0000-0000-0000DB140000}"/>
    <cellStyle name="쉼표 [0] 2 9 4 4 2 2" xfId="7833" xr:uid="{00000000-0005-0000-0000-0000DC140000}"/>
    <cellStyle name="쉼표 [0] 2 9 4 4 2 2 2" xfId="15150" xr:uid="{2791DEB3-9897-4DD1-B5D6-F221DB39665E}"/>
    <cellStyle name="쉼표 [0] 2 9 4 4 2 3" xfId="11492" xr:uid="{1A548804-05E8-4C99-B08A-AF386855EE8A}"/>
    <cellStyle name="쉼표 [0] 2 9 4 4 3" xfId="6004" xr:uid="{00000000-0005-0000-0000-0000DD140000}"/>
    <cellStyle name="쉼표 [0] 2 9 4 4 3 2" xfId="13321" xr:uid="{B75F3951-C469-4134-98AA-E5A9DB2668EB}"/>
    <cellStyle name="쉼표 [0] 2 9 4 4 4" xfId="9662" xr:uid="{6A955A15-1CEB-46F6-9FBF-9A112C993864}"/>
    <cellStyle name="쉼표 [0] 2 9 4 5" xfId="1831" xr:uid="{00000000-0005-0000-0000-0000DE140000}"/>
    <cellStyle name="쉼표 [0] 2 9 4 5 2" xfId="4173" xr:uid="{00000000-0005-0000-0000-0000DF140000}"/>
    <cellStyle name="쉼표 [0] 2 9 4 5 2 2" xfId="7834" xr:uid="{00000000-0005-0000-0000-0000E0140000}"/>
    <cellStyle name="쉼표 [0] 2 9 4 5 2 2 2" xfId="15151" xr:uid="{14092D9B-52CE-4013-B590-309A8D14B3C2}"/>
    <cellStyle name="쉼표 [0] 2 9 4 5 2 3" xfId="11493" xr:uid="{FCCC4CBB-3BA4-4975-9876-4BE69C410B0D}"/>
    <cellStyle name="쉼표 [0] 2 9 4 5 3" xfId="6005" xr:uid="{00000000-0005-0000-0000-0000E1140000}"/>
    <cellStyle name="쉼표 [0] 2 9 4 5 3 2" xfId="13322" xr:uid="{AE028B15-D6D4-4AF7-B1F1-9B93FDAFD4E7}"/>
    <cellStyle name="쉼표 [0] 2 9 4 5 4" xfId="9663" xr:uid="{A8A13796-0A4A-4AAF-A605-06CCB29744BA}"/>
    <cellStyle name="쉼표 [0] 2 9 4 6" xfId="4166" xr:uid="{00000000-0005-0000-0000-0000E2140000}"/>
    <cellStyle name="쉼표 [0] 2 9 4 6 2" xfId="7827" xr:uid="{00000000-0005-0000-0000-0000E3140000}"/>
    <cellStyle name="쉼표 [0] 2 9 4 6 2 2" xfId="15144" xr:uid="{6644C253-006F-4FC2-93E8-2DE00D300A6E}"/>
    <cellStyle name="쉼표 [0] 2 9 4 6 3" xfId="11486" xr:uid="{DF0AAFF0-961D-40A6-8067-CAE67FC71273}"/>
    <cellStyle name="쉼표 [0] 2 9 4 7" xfId="5998" xr:uid="{00000000-0005-0000-0000-0000E4140000}"/>
    <cellStyle name="쉼표 [0] 2 9 4 7 2" xfId="13315" xr:uid="{D316215B-3500-4BB1-8EEA-7024D7430458}"/>
    <cellStyle name="쉼표 [0] 2 9 4 8" xfId="9656" xr:uid="{1A77C385-FF20-488F-9BD7-CEFA71DABC0C}"/>
    <cellStyle name="쉼표 [0] 2 9 5" xfId="1832" xr:uid="{00000000-0005-0000-0000-0000E5140000}"/>
    <cellStyle name="쉼표 [0] 2 9 6" xfId="1833" xr:uid="{00000000-0005-0000-0000-0000E6140000}"/>
    <cellStyle name="쉼표 [0] 2 9 6 2" xfId="4174" xr:uid="{00000000-0005-0000-0000-0000E7140000}"/>
    <cellStyle name="쉼표 [0] 2 9 6 2 2" xfId="7835" xr:uid="{00000000-0005-0000-0000-0000E8140000}"/>
    <cellStyle name="쉼표 [0] 2 9 6 2 2 2" xfId="15152" xr:uid="{FAB6F60F-B29F-48F0-A6A9-6D18D08114BD}"/>
    <cellStyle name="쉼표 [0] 2 9 6 2 3" xfId="11494" xr:uid="{2119CB7B-CED6-405E-A993-4E9163EA6F94}"/>
    <cellStyle name="쉼표 [0] 2 9 6 3" xfId="6006" xr:uid="{00000000-0005-0000-0000-0000E9140000}"/>
    <cellStyle name="쉼표 [0] 2 9 6 3 2" xfId="13323" xr:uid="{39A6F47F-0B3B-44F5-887C-201206D8A303}"/>
    <cellStyle name="쉼표 [0] 2 9 6 4" xfId="9664" xr:uid="{4EFB7D07-8D74-4983-B588-6884A433AB7A}"/>
    <cellStyle name="쉼표 [0] 2 9 7" xfId="4147" xr:uid="{00000000-0005-0000-0000-0000EA140000}"/>
    <cellStyle name="쉼표 [0] 2 9 7 2" xfId="7808" xr:uid="{00000000-0005-0000-0000-0000EB140000}"/>
    <cellStyle name="쉼표 [0] 2 9 7 2 2" xfId="15125" xr:uid="{C5BAC38D-B1E5-44A3-9769-AD8E585F4433}"/>
    <cellStyle name="쉼표 [0] 2 9 7 3" xfId="11467" xr:uid="{A0F5832A-752C-49ED-ACBC-E907B664F27A}"/>
    <cellStyle name="쉼표 [0] 2 9 8" xfId="5979" xr:uid="{00000000-0005-0000-0000-0000EC140000}"/>
    <cellStyle name="쉼표 [0] 2 9 8 2" xfId="13296" xr:uid="{4CC86B3B-2AEF-484C-9A74-5BF81D112A4B}"/>
    <cellStyle name="쉼표 [0] 2 9 9" xfId="9637" xr:uid="{2A2FD78A-4096-43FE-AF0F-6B875DEB5C50}"/>
    <cellStyle name="쉼표 [0] 20" xfId="1834" xr:uid="{00000000-0005-0000-0000-0000ED140000}"/>
    <cellStyle name="쉼표 [0] 20 2" xfId="4175" xr:uid="{00000000-0005-0000-0000-0000EE140000}"/>
    <cellStyle name="쉼표 [0] 20 2 2" xfId="7836" xr:uid="{00000000-0005-0000-0000-0000EF140000}"/>
    <cellStyle name="쉼표 [0] 20 2 2 2" xfId="15153" xr:uid="{13E6734D-268A-410E-A923-2D4BBF038661}"/>
    <cellStyle name="쉼표 [0] 20 2 3" xfId="11495" xr:uid="{54F4937D-E177-42F7-B515-89A515E0E25C}"/>
    <cellStyle name="쉼표 [0] 20 3" xfId="6007" xr:uid="{00000000-0005-0000-0000-0000F0140000}"/>
    <cellStyle name="쉼표 [0] 20 3 2" xfId="13324" xr:uid="{599E1E6A-CE51-4670-BA7D-52874AA03AAC}"/>
    <cellStyle name="쉼표 [0] 20 4" xfId="9665" xr:uid="{C94747AA-C8CC-4953-B0D6-F4612231B665}"/>
    <cellStyle name="쉼표 [0] 21" xfId="1835" xr:uid="{00000000-0005-0000-0000-0000F1140000}"/>
    <cellStyle name="쉼표 [0] 21 2" xfId="1836" xr:uid="{00000000-0005-0000-0000-0000F2140000}"/>
    <cellStyle name="쉼표 [0] 21 2 2" xfId="4177" xr:uid="{00000000-0005-0000-0000-0000F3140000}"/>
    <cellStyle name="쉼표 [0] 21 2 2 2" xfId="7838" xr:uid="{00000000-0005-0000-0000-0000F4140000}"/>
    <cellStyle name="쉼표 [0] 21 2 2 2 2" xfId="15155" xr:uid="{81031EA1-E2A2-45A5-983E-DB14455940DE}"/>
    <cellStyle name="쉼표 [0] 21 2 2 3" xfId="11497" xr:uid="{2522E7B3-E83A-4170-AE04-97BA1D575BCF}"/>
    <cellStyle name="쉼표 [0] 21 2 3" xfId="6009" xr:uid="{00000000-0005-0000-0000-0000F5140000}"/>
    <cellStyle name="쉼표 [0] 21 2 3 2" xfId="13326" xr:uid="{1762B795-B9D6-4EF1-8DC4-395E8B687202}"/>
    <cellStyle name="쉼표 [0] 21 2 4" xfId="9667" xr:uid="{024EC6F5-0F09-4D22-BDF2-984877FC3C81}"/>
    <cellStyle name="쉼표 [0] 21 3" xfId="4176" xr:uid="{00000000-0005-0000-0000-0000F6140000}"/>
    <cellStyle name="쉼표 [0] 21 3 2" xfId="7837" xr:uid="{00000000-0005-0000-0000-0000F7140000}"/>
    <cellStyle name="쉼표 [0] 21 3 2 2" xfId="15154" xr:uid="{EF0CD9D4-50C0-4494-A771-1BE562929972}"/>
    <cellStyle name="쉼표 [0] 21 3 3" xfId="11496" xr:uid="{9AE465E1-2CA1-48A0-AD2D-62BA77C2C79C}"/>
    <cellStyle name="쉼표 [0] 21 4" xfId="6008" xr:uid="{00000000-0005-0000-0000-0000F8140000}"/>
    <cellStyle name="쉼표 [0] 21 4 2" xfId="13325" xr:uid="{7199B2F5-E811-430A-ABD2-527A7898EC33}"/>
    <cellStyle name="쉼표 [0] 21 5" xfId="9666" xr:uid="{E5F2AA34-830B-4AD1-B8B4-5DEA9B41E07F}"/>
    <cellStyle name="쉼표 [0] 22" xfId="1837" xr:uid="{00000000-0005-0000-0000-0000F9140000}"/>
    <cellStyle name="쉼표 [0] 22 2" xfId="4178" xr:uid="{00000000-0005-0000-0000-0000FA140000}"/>
    <cellStyle name="쉼표 [0] 22 2 2" xfId="7839" xr:uid="{00000000-0005-0000-0000-0000FB140000}"/>
    <cellStyle name="쉼표 [0] 22 2 2 2" xfId="15156" xr:uid="{53C8A625-5F44-4DE4-B24D-03FA1AA3670C}"/>
    <cellStyle name="쉼표 [0] 22 2 3" xfId="11498" xr:uid="{2772F2A2-A0C8-4B54-85DB-85AF5D851DF6}"/>
    <cellStyle name="쉼표 [0] 22 3" xfId="6010" xr:uid="{00000000-0005-0000-0000-0000FC140000}"/>
    <cellStyle name="쉼표 [0] 22 3 2" xfId="13327" xr:uid="{868A0457-1617-46C7-BE31-7B19CADADF3F}"/>
    <cellStyle name="쉼표 [0] 22 4" xfId="9668" xr:uid="{F06AF8D6-3425-4F1D-AD13-5CFE93FD93E0}"/>
    <cellStyle name="쉼표 [0] 23" xfId="3001" xr:uid="{00000000-0005-0000-0000-0000FD140000}"/>
    <cellStyle name="쉼표 [0] 23 2" xfId="6662" xr:uid="{00000000-0005-0000-0000-0000FE140000}"/>
    <cellStyle name="쉼표 [0] 23 2 2" xfId="13979" xr:uid="{F4780F35-2E84-4831-8799-A33A58B244CC}"/>
    <cellStyle name="쉼표 [0] 23 3" xfId="10321" xr:uid="{1AA23690-24CB-4E46-98BB-779F103A7C15}"/>
    <cellStyle name="쉼표 [0] 24" xfId="4833" xr:uid="{00000000-0005-0000-0000-0000FF140000}"/>
    <cellStyle name="쉼표 [0] 24 2" xfId="12150" xr:uid="{2B3E8851-5167-4F11-BE75-AC83361F2A0F}"/>
    <cellStyle name="쉼표 [0] 25" xfId="8491" xr:uid="{9E50E9E4-2A9F-480D-BFF8-987B8571F1D0}"/>
    <cellStyle name="쉼표 [0] 3" xfId="1838" xr:uid="{00000000-0005-0000-0000-000000150000}"/>
    <cellStyle name="쉼표 [0] 3 10" xfId="1839" xr:uid="{00000000-0005-0000-0000-000001150000}"/>
    <cellStyle name="쉼표 [0] 3 10 2" xfId="1840" xr:uid="{00000000-0005-0000-0000-000002150000}"/>
    <cellStyle name="쉼표 [0] 3 10 2 2" xfId="4181" xr:uid="{00000000-0005-0000-0000-000003150000}"/>
    <cellStyle name="쉼표 [0] 3 10 2 2 2" xfId="7842" xr:uid="{00000000-0005-0000-0000-000004150000}"/>
    <cellStyle name="쉼표 [0] 3 10 2 2 2 2" xfId="15159" xr:uid="{3170E8D5-FD38-4099-BB49-70853B63271A}"/>
    <cellStyle name="쉼표 [0] 3 10 2 2 3" xfId="11501" xr:uid="{BD8E8986-00FC-4C80-9118-3378828F8B4C}"/>
    <cellStyle name="쉼표 [0] 3 10 2 3" xfId="6013" xr:uid="{00000000-0005-0000-0000-000005150000}"/>
    <cellStyle name="쉼표 [0] 3 10 2 3 2" xfId="13330" xr:uid="{3446A844-EA6B-44F4-9FB7-0591EC9F5418}"/>
    <cellStyle name="쉼표 [0] 3 10 2 4" xfId="9671" xr:uid="{22F11357-A40C-4026-8EFA-414231440CDF}"/>
    <cellStyle name="쉼표 [0] 3 10 3" xfId="1841" xr:uid="{00000000-0005-0000-0000-000006150000}"/>
    <cellStyle name="쉼표 [0] 3 10 3 2" xfId="4182" xr:uid="{00000000-0005-0000-0000-000007150000}"/>
    <cellStyle name="쉼표 [0] 3 10 3 2 2" xfId="7843" xr:uid="{00000000-0005-0000-0000-000008150000}"/>
    <cellStyle name="쉼표 [0] 3 10 3 2 2 2" xfId="15160" xr:uid="{B2C34B4F-2B9E-47F0-BF64-E494B8E447E7}"/>
    <cellStyle name="쉼표 [0] 3 10 3 2 3" xfId="11502" xr:uid="{1EEF1E4B-1A8C-4036-8937-491A664024F9}"/>
    <cellStyle name="쉼표 [0] 3 10 3 3" xfId="6014" xr:uid="{00000000-0005-0000-0000-000009150000}"/>
    <cellStyle name="쉼표 [0] 3 10 3 3 2" xfId="13331" xr:uid="{1CA73F3E-F005-45AA-8CDD-01FB1DC40B01}"/>
    <cellStyle name="쉼표 [0] 3 10 3 4" xfId="9672" xr:uid="{3FA9D55A-9534-452B-897B-12BC4BEC1A34}"/>
    <cellStyle name="쉼표 [0] 3 10 4" xfId="4180" xr:uid="{00000000-0005-0000-0000-00000A150000}"/>
    <cellStyle name="쉼표 [0] 3 10 4 2" xfId="7841" xr:uid="{00000000-0005-0000-0000-00000B150000}"/>
    <cellStyle name="쉼표 [0] 3 10 4 2 2" xfId="15158" xr:uid="{B202E215-54DF-4058-B802-866939205825}"/>
    <cellStyle name="쉼표 [0] 3 10 4 3" xfId="11500" xr:uid="{6B1CC0EC-A744-43B7-AAA4-1D2AA3404D57}"/>
    <cellStyle name="쉼표 [0] 3 10 5" xfId="6012" xr:uid="{00000000-0005-0000-0000-00000C150000}"/>
    <cellStyle name="쉼표 [0] 3 10 5 2" xfId="13329" xr:uid="{E400276D-A51A-4117-956E-1D016E05B4E3}"/>
    <cellStyle name="쉼표 [0] 3 10 6" xfId="9670" xr:uid="{17D76168-985A-4C7F-8784-4652295057A5}"/>
    <cellStyle name="쉼표 [0] 3 11" xfId="1842" xr:uid="{00000000-0005-0000-0000-00000D150000}"/>
    <cellStyle name="쉼표 [0] 3 11 2" xfId="1843" xr:uid="{00000000-0005-0000-0000-00000E150000}"/>
    <cellStyle name="쉼표 [0] 3 11 2 2" xfId="4184" xr:uid="{00000000-0005-0000-0000-00000F150000}"/>
    <cellStyle name="쉼표 [0] 3 11 2 2 2" xfId="7845" xr:uid="{00000000-0005-0000-0000-000010150000}"/>
    <cellStyle name="쉼표 [0] 3 11 2 2 2 2" xfId="15162" xr:uid="{7BE432D6-8C1B-47DA-8609-78DDE77A8415}"/>
    <cellStyle name="쉼표 [0] 3 11 2 2 3" xfId="11504" xr:uid="{A74A180E-A6AA-46CF-9375-4A35DD08175C}"/>
    <cellStyle name="쉼표 [0] 3 11 2 3" xfId="6016" xr:uid="{00000000-0005-0000-0000-000011150000}"/>
    <cellStyle name="쉼표 [0] 3 11 2 3 2" xfId="13333" xr:uid="{8A9AE86C-93AC-4B05-82B2-7015C7C66692}"/>
    <cellStyle name="쉼표 [0] 3 11 2 4" xfId="9674" xr:uid="{50688171-2AC9-43CC-9462-C95DE0B92A33}"/>
    <cellStyle name="쉼표 [0] 3 11 3" xfId="1844" xr:uid="{00000000-0005-0000-0000-000012150000}"/>
    <cellStyle name="쉼표 [0] 3 11 3 2" xfId="4185" xr:uid="{00000000-0005-0000-0000-000013150000}"/>
    <cellStyle name="쉼표 [0] 3 11 3 2 2" xfId="7846" xr:uid="{00000000-0005-0000-0000-000014150000}"/>
    <cellStyle name="쉼표 [0] 3 11 3 2 2 2" xfId="15163" xr:uid="{C820896F-BF2A-4815-8D7D-EE59ACBC51C9}"/>
    <cellStyle name="쉼표 [0] 3 11 3 2 3" xfId="11505" xr:uid="{68DF2164-7824-44A0-AE51-7CE80990F14E}"/>
    <cellStyle name="쉼표 [0] 3 11 3 3" xfId="6017" xr:uid="{00000000-0005-0000-0000-000015150000}"/>
    <cellStyle name="쉼표 [0] 3 11 3 3 2" xfId="13334" xr:uid="{78E097DB-E824-4461-A4D7-2E9863083E6B}"/>
    <cellStyle name="쉼표 [0] 3 11 3 4" xfId="9675" xr:uid="{85B9BC55-08C0-46C4-802E-3CF7A7BFFABA}"/>
    <cellStyle name="쉼표 [0] 3 11 4" xfId="4183" xr:uid="{00000000-0005-0000-0000-000016150000}"/>
    <cellStyle name="쉼표 [0] 3 11 4 2" xfId="7844" xr:uid="{00000000-0005-0000-0000-000017150000}"/>
    <cellStyle name="쉼표 [0] 3 11 4 2 2" xfId="15161" xr:uid="{600339D3-CAC9-40DD-A195-1C5C1D568F31}"/>
    <cellStyle name="쉼표 [0] 3 11 4 3" xfId="11503" xr:uid="{75B57CE7-DE41-4C2D-92FC-43338CD8DE75}"/>
    <cellStyle name="쉼표 [0] 3 11 5" xfId="6015" xr:uid="{00000000-0005-0000-0000-000018150000}"/>
    <cellStyle name="쉼표 [0] 3 11 5 2" xfId="13332" xr:uid="{239CCCED-BCC7-464C-B4F3-D6CDBA190732}"/>
    <cellStyle name="쉼표 [0] 3 11 6" xfId="9673" xr:uid="{B598C786-BA76-4B5C-A29C-C98B033842EE}"/>
    <cellStyle name="쉼표 [0] 3 12" xfId="1845" xr:uid="{00000000-0005-0000-0000-000019150000}"/>
    <cellStyle name="쉼표 [0] 3 12 2" xfId="4186" xr:uid="{00000000-0005-0000-0000-00001A150000}"/>
    <cellStyle name="쉼표 [0] 3 12 2 2" xfId="7847" xr:uid="{00000000-0005-0000-0000-00001B150000}"/>
    <cellStyle name="쉼표 [0] 3 12 2 2 2" xfId="15164" xr:uid="{93C70BDD-BF5B-4280-A0D2-2EB51D283EF0}"/>
    <cellStyle name="쉼표 [0] 3 12 2 3" xfId="11506" xr:uid="{7D6E741E-30EA-4515-B2E3-91A8E20251D5}"/>
    <cellStyle name="쉼표 [0] 3 12 3" xfId="6018" xr:uid="{00000000-0005-0000-0000-00001C150000}"/>
    <cellStyle name="쉼표 [0] 3 12 3 2" xfId="13335" xr:uid="{79E0B2B2-89D7-4FBB-938B-D6450D68F7F4}"/>
    <cellStyle name="쉼표 [0] 3 12 4" xfId="9676" xr:uid="{C0D633A5-9A90-425E-A272-E44944437E3A}"/>
    <cellStyle name="쉼표 [0] 3 13" xfId="1846" xr:uid="{00000000-0005-0000-0000-00001D150000}"/>
    <cellStyle name="쉼표 [0] 3 13 2" xfId="4187" xr:uid="{00000000-0005-0000-0000-00001E150000}"/>
    <cellStyle name="쉼표 [0] 3 13 2 2" xfId="7848" xr:uid="{00000000-0005-0000-0000-00001F150000}"/>
    <cellStyle name="쉼표 [0] 3 13 2 2 2" xfId="15165" xr:uid="{5AB2DFEB-E3A6-43A8-B267-476FDED30617}"/>
    <cellStyle name="쉼표 [0] 3 13 2 3" xfId="11507" xr:uid="{D78A3FD0-3BF9-4984-888E-512A8C2A33F6}"/>
    <cellStyle name="쉼표 [0] 3 13 3" xfId="6019" xr:uid="{00000000-0005-0000-0000-000020150000}"/>
    <cellStyle name="쉼표 [0] 3 13 3 2" xfId="13336" xr:uid="{191EC0C2-E07B-4697-B721-C1B95CD02FA8}"/>
    <cellStyle name="쉼표 [0] 3 13 4" xfId="9677" xr:uid="{654B17BA-8A1F-4EDB-BF66-B3195A666D02}"/>
    <cellStyle name="쉼표 [0] 3 14" xfId="1847" xr:uid="{00000000-0005-0000-0000-000021150000}"/>
    <cellStyle name="쉼표 [0] 3 14 2" xfId="4188" xr:uid="{00000000-0005-0000-0000-000022150000}"/>
    <cellStyle name="쉼표 [0] 3 14 2 2" xfId="7849" xr:uid="{00000000-0005-0000-0000-000023150000}"/>
    <cellStyle name="쉼표 [0] 3 14 2 2 2" xfId="15166" xr:uid="{6341E4E4-70AE-478D-B5CD-7B1BD79871F2}"/>
    <cellStyle name="쉼표 [0] 3 14 2 3" xfId="11508" xr:uid="{8D8BA65B-F18B-4744-A034-631CF31E617A}"/>
    <cellStyle name="쉼표 [0] 3 14 3" xfId="6020" xr:uid="{00000000-0005-0000-0000-000024150000}"/>
    <cellStyle name="쉼표 [0] 3 14 3 2" xfId="13337" xr:uid="{6D613816-837E-4BC3-8516-31C01C077E21}"/>
    <cellStyle name="쉼표 [0] 3 14 4" xfId="9678" xr:uid="{7FB0568A-F834-48E6-A9F9-801474C73F1F}"/>
    <cellStyle name="쉼표 [0] 3 15" xfId="1848" xr:uid="{00000000-0005-0000-0000-000025150000}"/>
    <cellStyle name="쉼표 [0] 3 15 2" xfId="4189" xr:uid="{00000000-0005-0000-0000-000026150000}"/>
    <cellStyle name="쉼표 [0] 3 15 2 2" xfId="7850" xr:uid="{00000000-0005-0000-0000-000027150000}"/>
    <cellStyle name="쉼표 [0] 3 15 2 2 2" xfId="15167" xr:uid="{508DD765-4B1C-489E-83A5-AB293DCDE822}"/>
    <cellStyle name="쉼표 [0] 3 15 2 3" xfId="11509" xr:uid="{992EB1FF-3A2B-4616-ADE0-F994870C6716}"/>
    <cellStyle name="쉼표 [0] 3 15 3" xfId="6021" xr:uid="{00000000-0005-0000-0000-000028150000}"/>
    <cellStyle name="쉼표 [0] 3 15 3 2" xfId="13338" xr:uid="{82A02F9E-0AC2-42C3-8639-9225012AEA35}"/>
    <cellStyle name="쉼표 [0] 3 15 4" xfId="9679" xr:uid="{29E5A9F6-1A76-42FC-A432-6212B2076450}"/>
    <cellStyle name="쉼표 [0] 3 16" xfId="4179" xr:uid="{00000000-0005-0000-0000-000029150000}"/>
    <cellStyle name="쉼표 [0] 3 16 2" xfId="7840" xr:uid="{00000000-0005-0000-0000-00002A150000}"/>
    <cellStyle name="쉼표 [0] 3 16 2 2" xfId="15157" xr:uid="{F7A079C9-C7B2-4C63-8272-E06F94B5844F}"/>
    <cellStyle name="쉼표 [0] 3 16 3" xfId="11499" xr:uid="{C039F8EF-B0E8-4BE5-8F7C-D475AB614638}"/>
    <cellStyle name="쉼표 [0] 3 17" xfId="6011" xr:uid="{00000000-0005-0000-0000-00002B150000}"/>
    <cellStyle name="쉼표 [0] 3 17 2" xfId="13328" xr:uid="{F0F88DC1-C80A-4071-B507-F2601577E4E5}"/>
    <cellStyle name="쉼표 [0] 3 18" xfId="9669" xr:uid="{5F4C0802-4B97-4D2A-919F-E041EADC1A90}"/>
    <cellStyle name="쉼표 [0] 3 2" xfId="1849" xr:uid="{00000000-0005-0000-0000-00002C150000}"/>
    <cellStyle name="쉼표 [0] 3 2 10" xfId="1850" xr:uid="{00000000-0005-0000-0000-00002D150000}"/>
    <cellStyle name="쉼표 [0] 3 2 10 2" xfId="4191" xr:uid="{00000000-0005-0000-0000-00002E150000}"/>
    <cellStyle name="쉼표 [0] 3 2 10 2 2" xfId="7852" xr:uid="{00000000-0005-0000-0000-00002F150000}"/>
    <cellStyle name="쉼표 [0] 3 2 10 2 2 2" xfId="15169" xr:uid="{09879F13-EB39-4EA7-A6EE-D3CFA2170DD3}"/>
    <cellStyle name="쉼표 [0] 3 2 10 2 3" xfId="11511" xr:uid="{19632559-DACD-46B8-8E29-BA082322BDA0}"/>
    <cellStyle name="쉼표 [0] 3 2 10 3" xfId="6023" xr:uid="{00000000-0005-0000-0000-000030150000}"/>
    <cellStyle name="쉼표 [0] 3 2 10 3 2" xfId="13340" xr:uid="{8DF2EA66-7BE0-4CB4-ABF8-ADA15D0D92B4}"/>
    <cellStyle name="쉼표 [0] 3 2 10 4" xfId="9681" xr:uid="{203C7167-04B8-4A13-9C92-F45C603AE787}"/>
    <cellStyle name="쉼표 [0] 3 2 11" xfId="1851" xr:uid="{00000000-0005-0000-0000-000031150000}"/>
    <cellStyle name="쉼표 [0] 3 2 11 2" xfId="4192" xr:uid="{00000000-0005-0000-0000-000032150000}"/>
    <cellStyle name="쉼표 [0] 3 2 11 2 2" xfId="7853" xr:uid="{00000000-0005-0000-0000-000033150000}"/>
    <cellStyle name="쉼표 [0] 3 2 11 2 2 2" xfId="15170" xr:uid="{371AAE40-93C9-444C-8C59-DB2C857CD033}"/>
    <cellStyle name="쉼표 [0] 3 2 11 2 3" xfId="11512" xr:uid="{3451DDC4-8EA1-4273-AB8B-763C38740CF0}"/>
    <cellStyle name="쉼표 [0] 3 2 11 3" xfId="6024" xr:uid="{00000000-0005-0000-0000-000034150000}"/>
    <cellStyle name="쉼표 [0] 3 2 11 3 2" xfId="13341" xr:uid="{3C8E62A9-E1CC-4DD9-86C0-001E31EF5CA4}"/>
    <cellStyle name="쉼표 [0] 3 2 11 4" xfId="9682" xr:uid="{3BCFD007-BF9E-4214-873A-DC86731FE589}"/>
    <cellStyle name="쉼표 [0] 3 2 12" xfId="4190" xr:uid="{00000000-0005-0000-0000-000035150000}"/>
    <cellStyle name="쉼표 [0] 3 2 12 2" xfId="7851" xr:uid="{00000000-0005-0000-0000-000036150000}"/>
    <cellStyle name="쉼표 [0] 3 2 12 2 2" xfId="15168" xr:uid="{52847D3C-BE23-49B3-A183-0B267FBF6BBF}"/>
    <cellStyle name="쉼표 [0] 3 2 12 3" xfId="11510" xr:uid="{D171A678-50CC-4D27-9DA7-260F5F206ED9}"/>
    <cellStyle name="쉼표 [0] 3 2 13" xfId="6022" xr:uid="{00000000-0005-0000-0000-000037150000}"/>
    <cellStyle name="쉼표 [0] 3 2 13 2" xfId="13339" xr:uid="{C963DB27-7668-4947-8155-E1E3A0504BE5}"/>
    <cellStyle name="쉼표 [0] 3 2 14" xfId="9680" xr:uid="{1CCCEF7C-2A6B-4C4A-B044-95E80D1C4021}"/>
    <cellStyle name="쉼표 [0] 3 2 2" xfId="1852" xr:uid="{00000000-0005-0000-0000-000038150000}"/>
    <cellStyle name="쉼표 [0] 3 2 2 10" xfId="1853" xr:uid="{00000000-0005-0000-0000-000039150000}"/>
    <cellStyle name="쉼표 [0] 3 2 2 10 2" xfId="4194" xr:uid="{00000000-0005-0000-0000-00003A150000}"/>
    <cellStyle name="쉼표 [0] 3 2 2 10 2 2" xfId="7855" xr:uid="{00000000-0005-0000-0000-00003B150000}"/>
    <cellStyle name="쉼표 [0] 3 2 2 10 2 2 2" xfId="15172" xr:uid="{5A952038-1D33-40AA-9F97-F91E24685BDF}"/>
    <cellStyle name="쉼표 [0] 3 2 2 10 2 3" xfId="11514" xr:uid="{C4459D51-3A94-4B33-9D74-BFF9C5BFE7B0}"/>
    <cellStyle name="쉼표 [0] 3 2 2 10 3" xfId="6026" xr:uid="{00000000-0005-0000-0000-00003C150000}"/>
    <cellStyle name="쉼표 [0] 3 2 2 10 3 2" xfId="13343" xr:uid="{AC15A2A6-2588-4BED-9B41-12716210B862}"/>
    <cellStyle name="쉼표 [0] 3 2 2 10 4" xfId="9684" xr:uid="{EEDD6312-C50B-481C-A62E-5E6ACAC14C14}"/>
    <cellStyle name="쉼표 [0] 3 2 2 11" xfId="4193" xr:uid="{00000000-0005-0000-0000-00003D150000}"/>
    <cellStyle name="쉼표 [0] 3 2 2 11 2" xfId="7854" xr:uid="{00000000-0005-0000-0000-00003E150000}"/>
    <cellStyle name="쉼표 [0] 3 2 2 11 2 2" xfId="15171" xr:uid="{C42E2795-8D0E-467C-9D4F-9C5A3A4BE9C9}"/>
    <cellStyle name="쉼표 [0] 3 2 2 11 3" xfId="11513" xr:uid="{34F0F9A6-7B06-4DFE-A4CF-E57BD8D9799D}"/>
    <cellStyle name="쉼표 [0] 3 2 2 12" xfId="6025" xr:uid="{00000000-0005-0000-0000-00003F150000}"/>
    <cellStyle name="쉼표 [0] 3 2 2 12 2" xfId="13342" xr:uid="{703947E2-3B98-4F7C-8D6D-9515BB87E617}"/>
    <cellStyle name="쉼표 [0] 3 2 2 13" xfId="9683" xr:uid="{5F52D180-F7C8-4F26-BB2B-D2E126CA4CC5}"/>
    <cellStyle name="쉼표 [0] 3 2 2 2" xfId="1854" xr:uid="{00000000-0005-0000-0000-000040150000}"/>
    <cellStyle name="쉼표 [0] 3 2 2 2 2" xfId="1855" xr:uid="{00000000-0005-0000-0000-000041150000}"/>
    <cellStyle name="쉼표 [0] 3 2 2 2 2 2" xfId="4196" xr:uid="{00000000-0005-0000-0000-000042150000}"/>
    <cellStyle name="쉼표 [0] 3 2 2 2 2 2 2" xfId="7857" xr:uid="{00000000-0005-0000-0000-000043150000}"/>
    <cellStyle name="쉼표 [0] 3 2 2 2 2 2 2 2" xfId="15174" xr:uid="{75E0BAAA-B2D3-4664-B351-0AFD9132066C}"/>
    <cellStyle name="쉼표 [0] 3 2 2 2 2 2 3" xfId="11516" xr:uid="{BFAFA3FC-BD57-4C8C-B01E-60026ED59138}"/>
    <cellStyle name="쉼표 [0] 3 2 2 2 2 3" xfId="6028" xr:uid="{00000000-0005-0000-0000-000044150000}"/>
    <cellStyle name="쉼표 [0] 3 2 2 2 2 3 2" xfId="13345" xr:uid="{110D43D7-181C-4744-9081-6327DFBAB613}"/>
    <cellStyle name="쉼표 [0] 3 2 2 2 2 4" xfId="9686" xr:uid="{673B9982-11E8-48BA-94F6-0F69B2F4A6E9}"/>
    <cellStyle name="쉼표 [0] 3 2 2 2 3" xfId="1856" xr:uid="{00000000-0005-0000-0000-000045150000}"/>
    <cellStyle name="쉼표 [0] 3 2 2 2 3 2" xfId="4197" xr:uid="{00000000-0005-0000-0000-000046150000}"/>
    <cellStyle name="쉼표 [0] 3 2 2 2 3 2 2" xfId="7858" xr:uid="{00000000-0005-0000-0000-000047150000}"/>
    <cellStyle name="쉼표 [0] 3 2 2 2 3 2 2 2" xfId="15175" xr:uid="{2A2226F8-3AF2-4601-AD53-25E5FC706140}"/>
    <cellStyle name="쉼표 [0] 3 2 2 2 3 2 3" xfId="11517" xr:uid="{9ACE54A4-777C-49DA-BCDB-876F3334FD09}"/>
    <cellStyle name="쉼표 [0] 3 2 2 2 3 3" xfId="6029" xr:uid="{00000000-0005-0000-0000-000048150000}"/>
    <cellStyle name="쉼표 [0] 3 2 2 2 3 3 2" xfId="13346" xr:uid="{295CC04F-2974-4C1A-A5C5-3FD8FC9A2D24}"/>
    <cellStyle name="쉼표 [0] 3 2 2 2 3 4" xfId="9687" xr:uid="{4AC4904F-6C72-44DD-8433-7A46F986D38F}"/>
    <cellStyle name="쉼표 [0] 3 2 2 2 4" xfId="1857" xr:uid="{00000000-0005-0000-0000-000049150000}"/>
    <cellStyle name="쉼표 [0] 3 2 2 2 4 2" xfId="4198" xr:uid="{00000000-0005-0000-0000-00004A150000}"/>
    <cellStyle name="쉼표 [0] 3 2 2 2 4 2 2" xfId="7859" xr:uid="{00000000-0005-0000-0000-00004B150000}"/>
    <cellStyle name="쉼표 [0] 3 2 2 2 4 2 2 2" xfId="15176" xr:uid="{173FDF57-397E-4E09-89D8-F27D4053BA1D}"/>
    <cellStyle name="쉼표 [0] 3 2 2 2 4 2 3" xfId="11518" xr:uid="{57DAF871-5291-4CCC-B274-1C4B79C8166E}"/>
    <cellStyle name="쉼표 [0] 3 2 2 2 4 3" xfId="6030" xr:uid="{00000000-0005-0000-0000-00004C150000}"/>
    <cellStyle name="쉼표 [0] 3 2 2 2 4 3 2" xfId="13347" xr:uid="{A86203DE-7EB8-49CF-A415-7ED7E428C623}"/>
    <cellStyle name="쉼표 [0] 3 2 2 2 4 4" xfId="9688" xr:uid="{D185F80E-3B4D-4D1F-95CA-0069101C3509}"/>
    <cellStyle name="쉼표 [0] 3 2 2 2 5" xfId="4195" xr:uid="{00000000-0005-0000-0000-00004D150000}"/>
    <cellStyle name="쉼표 [0] 3 2 2 2 5 2" xfId="7856" xr:uid="{00000000-0005-0000-0000-00004E150000}"/>
    <cellStyle name="쉼표 [0] 3 2 2 2 5 2 2" xfId="15173" xr:uid="{0AE1C12E-0AED-4AD0-8391-B82BE202A236}"/>
    <cellStyle name="쉼표 [0] 3 2 2 2 5 3" xfId="11515" xr:uid="{3A56D50D-269A-4D7A-AD2B-277E5DBB2155}"/>
    <cellStyle name="쉼표 [0] 3 2 2 2 6" xfId="6027" xr:uid="{00000000-0005-0000-0000-00004F150000}"/>
    <cellStyle name="쉼표 [0] 3 2 2 2 6 2" xfId="13344" xr:uid="{AF09374C-DEBF-4C18-A0FA-4765AEF00B41}"/>
    <cellStyle name="쉼표 [0] 3 2 2 2 7" xfId="9685" xr:uid="{F5CA7BC4-97D7-4FD4-A9A3-8E011BFBDAD4}"/>
    <cellStyle name="쉼표 [0] 3 2 2 3" xfId="1858" xr:uid="{00000000-0005-0000-0000-000050150000}"/>
    <cellStyle name="쉼표 [0] 3 2 2 3 2" xfId="1859" xr:uid="{00000000-0005-0000-0000-000051150000}"/>
    <cellStyle name="쉼표 [0] 3 2 2 3 2 2" xfId="4200" xr:uid="{00000000-0005-0000-0000-000052150000}"/>
    <cellStyle name="쉼표 [0] 3 2 2 3 2 2 2" xfId="7861" xr:uid="{00000000-0005-0000-0000-000053150000}"/>
    <cellStyle name="쉼표 [0] 3 2 2 3 2 2 2 2" xfId="15178" xr:uid="{A43FF7D3-5359-469D-898B-21F33B00CBE5}"/>
    <cellStyle name="쉼표 [0] 3 2 2 3 2 2 3" xfId="11520" xr:uid="{130999C2-473A-40B9-8CC8-0D6AF849F605}"/>
    <cellStyle name="쉼표 [0] 3 2 2 3 2 3" xfId="6032" xr:uid="{00000000-0005-0000-0000-000054150000}"/>
    <cellStyle name="쉼표 [0] 3 2 2 3 2 3 2" xfId="13349" xr:uid="{E5F327E9-9037-4B84-8AFC-450DCAA4C486}"/>
    <cellStyle name="쉼표 [0] 3 2 2 3 2 4" xfId="9690" xr:uid="{E2326F92-39F1-463A-A3DC-DAD64FC54820}"/>
    <cellStyle name="쉼표 [0] 3 2 2 3 3" xfId="1860" xr:uid="{00000000-0005-0000-0000-000055150000}"/>
    <cellStyle name="쉼표 [0] 3 2 2 3 3 2" xfId="4201" xr:uid="{00000000-0005-0000-0000-000056150000}"/>
    <cellStyle name="쉼표 [0] 3 2 2 3 3 2 2" xfId="7862" xr:uid="{00000000-0005-0000-0000-000057150000}"/>
    <cellStyle name="쉼표 [0] 3 2 2 3 3 2 2 2" xfId="15179" xr:uid="{46BC248C-FA7C-4F5D-9FFE-EEC53384C98F}"/>
    <cellStyle name="쉼표 [0] 3 2 2 3 3 2 3" xfId="11521" xr:uid="{EFD32A74-7FB0-490E-BD10-C70BDB7A718B}"/>
    <cellStyle name="쉼표 [0] 3 2 2 3 3 3" xfId="6033" xr:uid="{00000000-0005-0000-0000-000058150000}"/>
    <cellStyle name="쉼표 [0] 3 2 2 3 3 3 2" xfId="13350" xr:uid="{56E80093-ED1B-4270-B7C1-CD059FAA811A}"/>
    <cellStyle name="쉼표 [0] 3 2 2 3 3 4" xfId="9691" xr:uid="{9C968CCF-A805-467A-ADAB-F16D2A4282B7}"/>
    <cellStyle name="쉼표 [0] 3 2 2 3 4" xfId="1861" xr:uid="{00000000-0005-0000-0000-000059150000}"/>
    <cellStyle name="쉼표 [0] 3 2 2 3 4 2" xfId="4202" xr:uid="{00000000-0005-0000-0000-00005A150000}"/>
    <cellStyle name="쉼표 [0] 3 2 2 3 4 2 2" xfId="7863" xr:uid="{00000000-0005-0000-0000-00005B150000}"/>
    <cellStyle name="쉼표 [0] 3 2 2 3 4 2 2 2" xfId="15180" xr:uid="{74593030-1488-4C3E-8C9A-6350024BA875}"/>
    <cellStyle name="쉼표 [0] 3 2 2 3 4 2 3" xfId="11522" xr:uid="{7741A331-A8A9-4E17-9925-926F9FE8E249}"/>
    <cellStyle name="쉼표 [0] 3 2 2 3 4 3" xfId="6034" xr:uid="{00000000-0005-0000-0000-00005C150000}"/>
    <cellStyle name="쉼표 [0] 3 2 2 3 4 3 2" xfId="13351" xr:uid="{B2564769-80A0-4A12-B22F-77F31C9BBCDA}"/>
    <cellStyle name="쉼표 [0] 3 2 2 3 4 4" xfId="9692" xr:uid="{324B4CE4-457F-436A-8BA5-0CFC2B0091B6}"/>
    <cellStyle name="쉼표 [0] 3 2 2 3 5" xfId="4199" xr:uid="{00000000-0005-0000-0000-00005D150000}"/>
    <cellStyle name="쉼표 [0] 3 2 2 3 5 2" xfId="7860" xr:uid="{00000000-0005-0000-0000-00005E150000}"/>
    <cellStyle name="쉼표 [0] 3 2 2 3 5 2 2" xfId="15177" xr:uid="{FDC9F59B-1908-4BEE-83CE-123D54ADBDAF}"/>
    <cellStyle name="쉼표 [0] 3 2 2 3 5 3" xfId="11519" xr:uid="{BE2B6B73-FEC1-4498-AF59-37674D914FB4}"/>
    <cellStyle name="쉼표 [0] 3 2 2 3 6" xfId="6031" xr:uid="{00000000-0005-0000-0000-00005F150000}"/>
    <cellStyle name="쉼표 [0] 3 2 2 3 6 2" xfId="13348" xr:uid="{FDFA4367-D6A6-43EE-9C9D-A48774F8B87D}"/>
    <cellStyle name="쉼표 [0] 3 2 2 3 7" xfId="9689" xr:uid="{BDAB51EA-3A9E-46C4-ACCC-0F2B95B42550}"/>
    <cellStyle name="쉼표 [0] 3 2 2 4" xfId="1862" xr:uid="{00000000-0005-0000-0000-000060150000}"/>
    <cellStyle name="쉼표 [0] 3 2 2 4 2" xfId="1863" xr:uid="{00000000-0005-0000-0000-000061150000}"/>
    <cellStyle name="쉼표 [0] 3 2 2 4 2 2" xfId="4204" xr:uid="{00000000-0005-0000-0000-000062150000}"/>
    <cellStyle name="쉼표 [0] 3 2 2 4 2 2 2" xfId="7865" xr:uid="{00000000-0005-0000-0000-000063150000}"/>
    <cellStyle name="쉼표 [0] 3 2 2 4 2 2 2 2" xfId="15182" xr:uid="{0EC71443-2C99-45B5-8FCE-930B48E83B73}"/>
    <cellStyle name="쉼표 [0] 3 2 2 4 2 2 3" xfId="11524" xr:uid="{25648948-616E-4C39-A4AE-2BB715C5F376}"/>
    <cellStyle name="쉼표 [0] 3 2 2 4 2 3" xfId="6036" xr:uid="{00000000-0005-0000-0000-000064150000}"/>
    <cellStyle name="쉼표 [0] 3 2 2 4 2 3 2" xfId="13353" xr:uid="{92E7D439-2AE6-4036-B0E2-A888C83AC785}"/>
    <cellStyle name="쉼표 [0] 3 2 2 4 2 4" xfId="9694" xr:uid="{38846386-E7C3-4ED3-8FA8-D21E06AFC6A8}"/>
    <cellStyle name="쉼표 [0] 3 2 2 4 3" xfId="1864" xr:uid="{00000000-0005-0000-0000-000065150000}"/>
    <cellStyle name="쉼표 [0] 3 2 2 4 3 2" xfId="4205" xr:uid="{00000000-0005-0000-0000-000066150000}"/>
    <cellStyle name="쉼표 [0] 3 2 2 4 3 2 2" xfId="7866" xr:uid="{00000000-0005-0000-0000-000067150000}"/>
    <cellStyle name="쉼표 [0] 3 2 2 4 3 2 2 2" xfId="15183" xr:uid="{C742C0B6-2A56-4121-957B-AD9BCE41F46A}"/>
    <cellStyle name="쉼표 [0] 3 2 2 4 3 2 3" xfId="11525" xr:uid="{7ACA69F2-1C83-48F1-A2FB-3385EC9D0E4E}"/>
    <cellStyle name="쉼표 [0] 3 2 2 4 3 3" xfId="6037" xr:uid="{00000000-0005-0000-0000-000068150000}"/>
    <cellStyle name="쉼표 [0] 3 2 2 4 3 3 2" xfId="13354" xr:uid="{7D48F3A5-88D8-4F31-8B53-2D9776F47B78}"/>
    <cellStyle name="쉼표 [0] 3 2 2 4 3 4" xfId="9695" xr:uid="{2E68225C-AA94-4DAE-8918-0233000DFE6E}"/>
    <cellStyle name="쉼표 [0] 3 2 2 4 4" xfId="4203" xr:uid="{00000000-0005-0000-0000-000069150000}"/>
    <cellStyle name="쉼표 [0] 3 2 2 4 4 2" xfId="7864" xr:uid="{00000000-0005-0000-0000-00006A150000}"/>
    <cellStyle name="쉼표 [0] 3 2 2 4 4 2 2" xfId="15181" xr:uid="{D51C322A-82E7-4464-B078-75EE08E0BA49}"/>
    <cellStyle name="쉼표 [0] 3 2 2 4 4 3" xfId="11523" xr:uid="{537CA656-5860-44F8-975E-A229E18C3EC4}"/>
    <cellStyle name="쉼표 [0] 3 2 2 4 5" xfId="6035" xr:uid="{00000000-0005-0000-0000-00006B150000}"/>
    <cellStyle name="쉼표 [0] 3 2 2 4 5 2" xfId="13352" xr:uid="{9C27CD7D-496A-4D62-A59C-EE602540F538}"/>
    <cellStyle name="쉼표 [0] 3 2 2 4 6" xfId="9693" xr:uid="{3E17CB99-5A74-42CF-B5E5-34A7CBEC950E}"/>
    <cellStyle name="쉼표 [0] 3 2 2 5" xfId="1865" xr:uid="{00000000-0005-0000-0000-00006C150000}"/>
    <cellStyle name="쉼표 [0] 3 2 2 5 2" xfId="1866" xr:uid="{00000000-0005-0000-0000-00006D150000}"/>
    <cellStyle name="쉼표 [0] 3 2 2 5 2 2" xfId="4207" xr:uid="{00000000-0005-0000-0000-00006E150000}"/>
    <cellStyle name="쉼표 [0] 3 2 2 5 2 2 2" xfId="7868" xr:uid="{00000000-0005-0000-0000-00006F150000}"/>
    <cellStyle name="쉼표 [0] 3 2 2 5 2 2 2 2" xfId="15185" xr:uid="{C4B27385-F1B3-4849-B575-FC6FD60DE863}"/>
    <cellStyle name="쉼표 [0] 3 2 2 5 2 2 3" xfId="11527" xr:uid="{85CF6613-41E5-49F4-8837-3296F21ACAB0}"/>
    <cellStyle name="쉼표 [0] 3 2 2 5 2 3" xfId="6039" xr:uid="{00000000-0005-0000-0000-000070150000}"/>
    <cellStyle name="쉼표 [0] 3 2 2 5 2 3 2" xfId="13356" xr:uid="{22A90F30-75BB-4EB5-B869-14442DB8D985}"/>
    <cellStyle name="쉼표 [0] 3 2 2 5 2 4" xfId="9697" xr:uid="{4E482409-CF5D-4512-9F35-9E1AE8DE4C7D}"/>
    <cellStyle name="쉼표 [0] 3 2 2 5 3" xfId="1867" xr:uid="{00000000-0005-0000-0000-000071150000}"/>
    <cellStyle name="쉼표 [0] 3 2 2 5 3 2" xfId="4208" xr:uid="{00000000-0005-0000-0000-000072150000}"/>
    <cellStyle name="쉼표 [0] 3 2 2 5 3 2 2" xfId="7869" xr:uid="{00000000-0005-0000-0000-000073150000}"/>
    <cellStyle name="쉼표 [0] 3 2 2 5 3 2 2 2" xfId="15186" xr:uid="{8E2A0F40-4721-4AC6-8449-C0D13F023532}"/>
    <cellStyle name="쉼표 [0] 3 2 2 5 3 2 3" xfId="11528" xr:uid="{1619925A-0284-4E6B-84A2-52D3CE99E83B}"/>
    <cellStyle name="쉼표 [0] 3 2 2 5 3 3" xfId="6040" xr:uid="{00000000-0005-0000-0000-000074150000}"/>
    <cellStyle name="쉼표 [0] 3 2 2 5 3 3 2" xfId="13357" xr:uid="{C21089A4-67B6-4110-9EE6-BFDDC092B58A}"/>
    <cellStyle name="쉼표 [0] 3 2 2 5 3 4" xfId="9698" xr:uid="{2FF4CDEC-DE0A-483B-B55D-CD4197C2E335}"/>
    <cellStyle name="쉼표 [0] 3 2 2 5 4" xfId="4206" xr:uid="{00000000-0005-0000-0000-000075150000}"/>
    <cellStyle name="쉼표 [0] 3 2 2 5 4 2" xfId="7867" xr:uid="{00000000-0005-0000-0000-000076150000}"/>
    <cellStyle name="쉼표 [0] 3 2 2 5 4 2 2" xfId="15184" xr:uid="{3A90C2EE-4238-4D54-956E-9759B898EDEE}"/>
    <cellStyle name="쉼표 [0] 3 2 2 5 4 3" xfId="11526" xr:uid="{A085985B-A155-47F9-99A2-D569FB8BF412}"/>
    <cellStyle name="쉼표 [0] 3 2 2 5 5" xfId="6038" xr:uid="{00000000-0005-0000-0000-000077150000}"/>
    <cellStyle name="쉼표 [0] 3 2 2 5 5 2" xfId="13355" xr:uid="{A0F0B2D2-5787-4C69-9524-406A84389386}"/>
    <cellStyle name="쉼표 [0] 3 2 2 5 6" xfId="9696" xr:uid="{D8BDA474-7D84-456C-B7F3-97D4CB9F6B15}"/>
    <cellStyle name="쉼표 [0] 3 2 2 6" xfId="1868" xr:uid="{00000000-0005-0000-0000-000078150000}"/>
    <cellStyle name="쉼표 [0] 3 2 2 6 2" xfId="1869" xr:uid="{00000000-0005-0000-0000-000079150000}"/>
    <cellStyle name="쉼표 [0] 3 2 2 6 2 2" xfId="4210" xr:uid="{00000000-0005-0000-0000-00007A150000}"/>
    <cellStyle name="쉼표 [0] 3 2 2 6 2 2 2" xfId="7871" xr:uid="{00000000-0005-0000-0000-00007B150000}"/>
    <cellStyle name="쉼표 [0] 3 2 2 6 2 2 2 2" xfId="15188" xr:uid="{6AADAC4F-A17A-4FCF-9E30-E786B76F9D27}"/>
    <cellStyle name="쉼표 [0] 3 2 2 6 2 2 3" xfId="11530" xr:uid="{D0B77556-E514-4478-8D28-B52E3B50325D}"/>
    <cellStyle name="쉼표 [0] 3 2 2 6 2 3" xfId="6042" xr:uid="{00000000-0005-0000-0000-00007C150000}"/>
    <cellStyle name="쉼표 [0] 3 2 2 6 2 3 2" xfId="13359" xr:uid="{77B9D424-1A2C-4444-80CE-421067E4E5A0}"/>
    <cellStyle name="쉼표 [0] 3 2 2 6 2 4" xfId="9700" xr:uid="{FC44BFD6-34A3-4767-83F8-9CF2A998B7BF}"/>
    <cellStyle name="쉼표 [0] 3 2 2 6 3" xfId="1870" xr:uid="{00000000-0005-0000-0000-00007D150000}"/>
    <cellStyle name="쉼표 [0] 3 2 2 6 3 2" xfId="4211" xr:uid="{00000000-0005-0000-0000-00007E150000}"/>
    <cellStyle name="쉼표 [0] 3 2 2 6 3 2 2" xfId="7872" xr:uid="{00000000-0005-0000-0000-00007F150000}"/>
    <cellStyle name="쉼표 [0] 3 2 2 6 3 2 2 2" xfId="15189" xr:uid="{75F3FE89-F994-4E72-8D38-15A55787C338}"/>
    <cellStyle name="쉼표 [0] 3 2 2 6 3 2 3" xfId="11531" xr:uid="{EF1A72C7-5AA0-489A-A9CE-15BA54062B4A}"/>
    <cellStyle name="쉼표 [0] 3 2 2 6 3 3" xfId="6043" xr:uid="{00000000-0005-0000-0000-000080150000}"/>
    <cellStyle name="쉼표 [0] 3 2 2 6 3 3 2" xfId="13360" xr:uid="{1830B989-E585-49A9-8785-99D4F5798C18}"/>
    <cellStyle name="쉼표 [0] 3 2 2 6 3 4" xfId="9701" xr:uid="{E62B9925-9866-4052-8984-C9AD7D29FB3D}"/>
    <cellStyle name="쉼표 [0] 3 2 2 6 4" xfId="4209" xr:uid="{00000000-0005-0000-0000-000081150000}"/>
    <cellStyle name="쉼표 [0] 3 2 2 6 4 2" xfId="7870" xr:uid="{00000000-0005-0000-0000-000082150000}"/>
    <cellStyle name="쉼표 [0] 3 2 2 6 4 2 2" xfId="15187" xr:uid="{EEB48301-E434-495A-8C8A-AB0A0FF4C456}"/>
    <cellStyle name="쉼표 [0] 3 2 2 6 4 3" xfId="11529" xr:uid="{45ECE6A9-53D7-4D98-9B7D-F83980766686}"/>
    <cellStyle name="쉼표 [0] 3 2 2 6 5" xfId="6041" xr:uid="{00000000-0005-0000-0000-000083150000}"/>
    <cellStyle name="쉼표 [0] 3 2 2 6 5 2" xfId="13358" xr:uid="{BC72660F-B7E2-43ED-9D35-75C0ED1D185D}"/>
    <cellStyle name="쉼표 [0] 3 2 2 6 6" xfId="9699" xr:uid="{8E6C3536-2D08-4048-BC93-C0B52655F975}"/>
    <cellStyle name="쉼표 [0] 3 2 2 7" xfId="1871" xr:uid="{00000000-0005-0000-0000-000084150000}"/>
    <cellStyle name="쉼표 [0] 3 2 2 7 2" xfId="4212" xr:uid="{00000000-0005-0000-0000-000085150000}"/>
    <cellStyle name="쉼표 [0] 3 2 2 7 2 2" xfId="7873" xr:uid="{00000000-0005-0000-0000-000086150000}"/>
    <cellStyle name="쉼표 [0] 3 2 2 7 2 2 2" xfId="15190" xr:uid="{89272DB2-4E0C-4894-B233-1F9D1B3F0E46}"/>
    <cellStyle name="쉼표 [0] 3 2 2 7 2 3" xfId="11532" xr:uid="{B1AE6255-D047-4094-8D4A-0CB201A8A1D3}"/>
    <cellStyle name="쉼표 [0] 3 2 2 7 3" xfId="6044" xr:uid="{00000000-0005-0000-0000-000087150000}"/>
    <cellStyle name="쉼표 [0] 3 2 2 7 3 2" xfId="13361" xr:uid="{1D55D63A-EB9A-4F43-A4CC-2244E0C8A1F5}"/>
    <cellStyle name="쉼표 [0] 3 2 2 7 4" xfId="9702" xr:uid="{966E5BAE-07A8-4A98-BB31-CBF358B576FF}"/>
    <cellStyle name="쉼표 [0] 3 2 2 8" xfId="1872" xr:uid="{00000000-0005-0000-0000-000088150000}"/>
    <cellStyle name="쉼표 [0] 3 2 2 8 2" xfId="4213" xr:uid="{00000000-0005-0000-0000-000089150000}"/>
    <cellStyle name="쉼표 [0] 3 2 2 8 2 2" xfId="7874" xr:uid="{00000000-0005-0000-0000-00008A150000}"/>
    <cellStyle name="쉼표 [0] 3 2 2 8 2 2 2" xfId="15191" xr:uid="{972E31E1-02B4-478F-A7ED-76ED3ED1BF22}"/>
    <cellStyle name="쉼표 [0] 3 2 2 8 2 3" xfId="11533" xr:uid="{699B9A9D-AA84-46D7-88E6-E82073B8A7B5}"/>
    <cellStyle name="쉼표 [0] 3 2 2 8 3" xfId="6045" xr:uid="{00000000-0005-0000-0000-00008B150000}"/>
    <cellStyle name="쉼표 [0] 3 2 2 8 3 2" xfId="13362" xr:uid="{7DE32012-EDCB-4706-8DC5-BF7DE10FE605}"/>
    <cellStyle name="쉼표 [0] 3 2 2 8 4" xfId="9703" xr:uid="{7CDB224F-EDF1-4FAE-925A-0593C2A4212A}"/>
    <cellStyle name="쉼표 [0] 3 2 2 9" xfId="1873" xr:uid="{00000000-0005-0000-0000-00008C150000}"/>
    <cellStyle name="쉼표 [0] 3 2 2 9 2" xfId="4214" xr:uid="{00000000-0005-0000-0000-00008D150000}"/>
    <cellStyle name="쉼표 [0] 3 2 2 9 2 2" xfId="7875" xr:uid="{00000000-0005-0000-0000-00008E150000}"/>
    <cellStyle name="쉼표 [0] 3 2 2 9 2 2 2" xfId="15192" xr:uid="{D215217E-8F6F-42B5-A3C3-833C6FC13131}"/>
    <cellStyle name="쉼표 [0] 3 2 2 9 2 3" xfId="11534" xr:uid="{26F9B841-5B4E-4D5D-B8D2-F82F6895CDB6}"/>
    <cellStyle name="쉼표 [0] 3 2 2 9 3" xfId="6046" xr:uid="{00000000-0005-0000-0000-00008F150000}"/>
    <cellStyle name="쉼표 [0] 3 2 2 9 3 2" xfId="13363" xr:uid="{FB660424-7E3F-479E-AA12-1015425908E9}"/>
    <cellStyle name="쉼표 [0] 3 2 2 9 4" xfId="9704" xr:uid="{B7049C48-68B4-4636-9B7D-C112555500DE}"/>
    <cellStyle name="쉼표 [0] 3 2 3" xfId="1874" xr:uid="{00000000-0005-0000-0000-000090150000}"/>
    <cellStyle name="쉼표 [0] 3 2 3 2" xfId="1875" xr:uid="{00000000-0005-0000-0000-000091150000}"/>
    <cellStyle name="쉼표 [0] 3 2 3 2 2" xfId="4216" xr:uid="{00000000-0005-0000-0000-000092150000}"/>
    <cellStyle name="쉼표 [0] 3 2 3 2 2 2" xfId="7877" xr:uid="{00000000-0005-0000-0000-000093150000}"/>
    <cellStyle name="쉼표 [0] 3 2 3 2 2 2 2" xfId="15194" xr:uid="{57A77ED6-BA71-4E6C-A1D5-3B7E63646791}"/>
    <cellStyle name="쉼표 [0] 3 2 3 2 2 3" xfId="11536" xr:uid="{4D5B92B1-5949-4328-856E-5ECE091F6E81}"/>
    <cellStyle name="쉼표 [0] 3 2 3 2 3" xfId="6048" xr:uid="{00000000-0005-0000-0000-000094150000}"/>
    <cellStyle name="쉼표 [0] 3 2 3 2 3 2" xfId="13365" xr:uid="{69D63AAA-F96C-4E03-8200-9572C2570478}"/>
    <cellStyle name="쉼표 [0] 3 2 3 2 4" xfId="9706" xr:uid="{49562E8B-96F9-4898-AA96-35B6D441731F}"/>
    <cellStyle name="쉼표 [0] 3 2 3 3" xfId="1876" xr:uid="{00000000-0005-0000-0000-000095150000}"/>
    <cellStyle name="쉼표 [0] 3 2 3 3 2" xfId="4217" xr:uid="{00000000-0005-0000-0000-000096150000}"/>
    <cellStyle name="쉼표 [0] 3 2 3 3 2 2" xfId="7878" xr:uid="{00000000-0005-0000-0000-000097150000}"/>
    <cellStyle name="쉼표 [0] 3 2 3 3 2 2 2" xfId="15195" xr:uid="{84D267BD-CEA4-4A7F-99C4-0F0BD68055A0}"/>
    <cellStyle name="쉼표 [0] 3 2 3 3 2 3" xfId="11537" xr:uid="{A9920B90-2C53-4A23-9D7E-70F6825C6E46}"/>
    <cellStyle name="쉼표 [0] 3 2 3 3 3" xfId="6049" xr:uid="{00000000-0005-0000-0000-000098150000}"/>
    <cellStyle name="쉼표 [0] 3 2 3 3 3 2" xfId="13366" xr:uid="{E38B5941-E283-458F-862B-5DE1DB10BA50}"/>
    <cellStyle name="쉼표 [0] 3 2 3 3 4" xfId="9707" xr:uid="{D301C158-6E02-4917-8E35-FD2E0B186C30}"/>
    <cellStyle name="쉼표 [0] 3 2 3 4" xfId="1877" xr:uid="{00000000-0005-0000-0000-000099150000}"/>
    <cellStyle name="쉼표 [0] 3 2 3 4 2" xfId="4218" xr:uid="{00000000-0005-0000-0000-00009A150000}"/>
    <cellStyle name="쉼표 [0] 3 2 3 4 2 2" xfId="7879" xr:uid="{00000000-0005-0000-0000-00009B150000}"/>
    <cellStyle name="쉼표 [0] 3 2 3 4 2 2 2" xfId="15196" xr:uid="{603495FD-CD3B-45F1-BC0D-F72873AA3B4F}"/>
    <cellStyle name="쉼표 [0] 3 2 3 4 2 3" xfId="11538" xr:uid="{D7A218D8-6C92-42C7-9153-3C0217E0DD72}"/>
    <cellStyle name="쉼표 [0] 3 2 3 4 3" xfId="6050" xr:uid="{00000000-0005-0000-0000-00009C150000}"/>
    <cellStyle name="쉼표 [0] 3 2 3 4 3 2" xfId="13367" xr:uid="{34314AF7-EF22-4DDF-A86A-3F37E0B8C16D}"/>
    <cellStyle name="쉼표 [0] 3 2 3 4 4" xfId="9708" xr:uid="{3750ACD8-7390-488D-AFFE-D6633AB1353F}"/>
    <cellStyle name="쉼표 [0] 3 2 3 5" xfId="4215" xr:uid="{00000000-0005-0000-0000-00009D150000}"/>
    <cellStyle name="쉼표 [0] 3 2 3 5 2" xfId="7876" xr:uid="{00000000-0005-0000-0000-00009E150000}"/>
    <cellStyle name="쉼표 [0] 3 2 3 5 2 2" xfId="15193" xr:uid="{676FD64A-22BE-4B87-AC63-1780969AA0A4}"/>
    <cellStyle name="쉼표 [0] 3 2 3 5 3" xfId="11535" xr:uid="{45D52AA4-194F-4B53-BDD5-E074B2D0F2B8}"/>
    <cellStyle name="쉼표 [0] 3 2 3 6" xfId="6047" xr:uid="{00000000-0005-0000-0000-00009F150000}"/>
    <cellStyle name="쉼표 [0] 3 2 3 6 2" xfId="13364" xr:uid="{7B4DC6FD-86F5-440D-83E0-0BB8240B5CDD}"/>
    <cellStyle name="쉼표 [0] 3 2 3 7" xfId="9705" xr:uid="{BDCD840B-70B1-492B-BD7F-4048D2A1C647}"/>
    <cellStyle name="쉼표 [0] 3 2 4" xfId="1878" xr:uid="{00000000-0005-0000-0000-0000A0150000}"/>
    <cellStyle name="쉼표 [0] 3 2 4 2" xfId="1879" xr:uid="{00000000-0005-0000-0000-0000A1150000}"/>
    <cellStyle name="쉼표 [0] 3 2 4 2 2" xfId="4220" xr:uid="{00000000-0005-0000-0000-0000A2150000}"/>
    <cellStyle name="쉼표 [0] 3 2 4 2 2 2" xfId="7881" xr:uid="{00000000-0005-0000-0000-0000A3150000}"/>
    <cellStyle name="쉼표 [0] 3 2 4 2 2 2 2" xfId="15198" xr:uid="{DBA30113-6B07-45E4-8705-0440EBE61ED2}"/>
    <cellStyle name="쉼표 [0] 3 2 4 2 2 3" xfId="11540" xr:uid="{BA35E5AF-3338-4418-8A0C-F9F138D55F73}"/>
    <cellStyle name="쉼표 [0] 3 2 4 2 3" xfId="6052" xr:uid="{00000000-0005-0000-0000-0000A4150000}"/>
    <cellStyle name="쉼표 [0] 3 2 4 2 3 2" xfId="13369" xr:uid="{EBBD6014-974F-4AD8-BB09-2B463086627D}"/>
    <cellStyle name="쉼표 [0] 3 2 4 2 4" xfId="9710" xr:uid="{721CF10F-7E4A-45F4-A1B5-7B39C702D8EF}"/>
    <cellStyle name="쉼표 [0] 3 2 4 3" xfId="1880" xr:uid="{00000000-0005-0000-0000-0000A5150000}"/>
    <cellStyle name="쉼표 [0] 3 2 4 3 2" xfId="4221" xr:uid="{00000000-0005-0000-0000-0000A6150000}"/>
    <cellStyle name="쉼표 [0] 3 2 4 3 2 2" xfId="7882" xr:uid="{00000000-0005-0000-0000-0000A7150000}"/>
    <cellStyle name="쉼표 [0] 3 2 4 3 2 2 2" xfId="15199" xr:uid="{37B5FB3D-49A9-4F93-AE46-556478268ECE}"/>
    <cellStyle name="쉼표 [0] 3 2 4 3 2 3" xfId="11541" xr:uid="{DEEB0BB0-0842-45A2-AF75-73C1480B6EFC}"/>
    <cellStyle name="쉼표 [0] 3 2 4 3 3" xfId="6053" xr:uid="{00000000-0005-0000-0000-0000A8150000}"/>
    <cellStyle name="쉼표 [0] 3 2 4 3 3 2" xfId="13370" xr:uid="{3BA03221-8F35-41FD-AB4C-22BEF7A88FBF}"/>
    <cellStyle name="쉼표 [0] 3 2 4 3 4" xfId="9711" xr:uid="{C47CFA41-0C47-44B8-86CC-DB2A3FB3098B}"/>
    <cellStyle name="쉼표 [0] 3 2 4 4" xfId="1881" xr:uid="{00000000-0005-0000-0000-0000A9150000}"/>
    <cellStyle name="쉼표 [0] 3 2 4 4 2" xfId="4222" xr:uid="{00000000-0005-0000-0000-0000AA150000}"/>
    <cellStyle name="쉼표 [0] 3 2 4 4 2 2" xfId="7883" xr:uid="{00000000-0005-0000-0000-0000AB150000}"/>
    <cellStyle name="쉼표 [0] 3 2 4 4 2 2 2" xfId="15200" xr:uid="{1D6A153B-0219-4700-9C26-62A1D7505273}"/>
    <cellStyle name="쉼표 [0] 3 2 4 4 2 3" xfId="11542" xr:uid="{8E2C2229-D1A4-4122-8D7C-50F592ED9409}"/>
    <cellStyle name="쉼표 [0] 3 2 4 4 3" xfId="6054" xr:uid="{00000000-0005-0000-0000-0000AC150000}"/>
    <cellStyle name="쉼표 [0] 3 2 4 4 3 2" xfId="13371" xr:uid="{35F47340-A4C1-4E5C-AAF2-FA9C54C21E60}"/>
    <cellStyle name="쉼표 [0] 3 2 4 4 4" xfId="9712" xr:uid="{F3FAEB5B-63E0-4708-B14D-2D87D08B4022}"/>
    <cellStyle name="쉼표 [0] 3 2 4 5" xfId="4219" xr:uid="{00000000-0005-0000-0000-0000AD150000}"/>
    <cellStyle name="쉼표 [0] 3 2 4 5 2" xfId="7880" xr:uid="{00000000-0005-0000-0000-0000AE150000}"/>
    <cellStyle name="쉼표 [0] 3 2 4 5 2 2" xfId="15197" xr:uid="{C7F6522F-1D32-49F2-BCD6-E61CF0E6DA68}"/>
    <cellStyle name="쉼표 [0] 3 2 4 5 3" xfId="11539" xr:uid="{931A033E-E6F6-4D0D-BA8B-AEF78736CB03}"/>
    <cellStyle name="쉼표 [0] 3 2 4 6" xfId="6051" xr:uid="{00000000-0005-0000-0000-0000AF150000}"/>
    <cellStyle name="쉼표 [0] 3 2 4 6 2" xfId="13368" xr:uid="{99B144B9-12C5-4659-ACBE-C2DA04C94990}"/>
    <cellStyle name="쉼표 [0] 3 2 4 7" xfId="9709" xr:uid="{A2047261-1B43-4F8A-B10A-BA1907E066BF}"/>
    <cellStyle name="쉼표 [0] 3 2 5" xfId="1882" xr:uid="{00000000-0005-0000-0000-0000B0150000}"/>
    <cellStyle name="쉼표 [0] 3 2 5 2" xfId="1883" xr:uid="{00000000-0005-0000-0000-0000B1150000}"/>
    <cellStyle name="쉼표 [0] 3 2 5 2 2" xfId="4224" xr:uid="{00000000-0005-0000-0000-0000B2150000}"/>
    <cellStyle name="쉼표 [0] 3 2 5 2 2 2" xfId="7885" xr:uid="{00000000-0005-0000-0000-0000B3150000}"/>
    <cellStyle name="쉼표 [0] 3 2 5 2 2 2 2" xfId="15202" xr:uid="{3A8BE99B-582D-4733-AD66-89CF0A65E882}"/>
    <cellStyle name="쉼표 [0] 3 2 5 2 2 3" xfId="11544" xr:uid="{57867433-6409-433C-8B68-76C801800B45}"/>
    <cellStyle name="쉼표 [0] 3 2 5 2 3" xfId="6056" xr:uid="{00000000-0005-0000-0000-0000B4150000}"/>
    <cellStyle name="쉼표 [0] 3 2 5 2 3 2" xfId="13373" xr:uid="{4831F09B-E84B-4432-AC3F-3E927E2B2A60}"/>
    <cellStyle name="쉼표 [0] 3 2 5 2 4" xfId="9714" xr:uid="{6E8D2D7E-9B3B-4360-BE1A-3FDB2DC9C8EB}"/>
    <cellStyle name="쉼표 [0] 3 2 5 3" xfId="1884" xr:uid="{00000000-0005-0000-0000-0000B5150000}"/>
    <cellStyle name="쉼표 [0] 3 2 5 3 2" xfId="4225" xr:uid="{00000000-0005-0000-0000-0000B6150000}"/>
    <cellStyle name="쉼표 [0] 3 2 5 3 2 2" xfId="7886" xr:uid="{00000000-0005-0000-0000-0000B7150000}"/>
    <cellStyle name="쉼표 [0] 3 2 5 3 2 2 2" xfId="15203" xr:uid="{F331FF54-8C09-44F3-8D9C-A07556D3B500}"/>
    <cellStyle name="쉼표 [0] 3 2 5 3 2 3" xfId="11545" xr:uid="{21126388-6799-4265-9329-5930BE61615A}"/>
    <cellStyle name="쉼표 [0] 3 2 5 3 3" xfId="6057" xr:uid="{00000000-0005-0000-0000-0000B8150000}"/>
    <cellStyle name="쉼표 [0] 3 2 5 3 3 2" xfId="13374" xr:uid="{F39760CF-991D-4784-844E-34B8B171209C}"/>
    <cellStyle name="쉼표 [0] 3 2 5 3 4" xfId="9715" xr:uid="{40DC501D-7FF4-41DA-A0B4-FC8ED2F7800C}"/>
    <cellStyle name="쉼표 [0] 3 2 5 4" xfId="4223" xr:uid="{00000000-0005-0000-0000-0000B9150000}"/>
    <cellStyle name="쉼표 [0] 3 2 5 4 2" xfId="7884" xr:uid="{00000000-0005-0000-0000-0000BA150000}"/>
    <cellStyle name="쉼표 [0] 3 2 5 4 2 2" xfId="15201" xr:uid="{1251ECD1-16B2-4A24-B02D-79C351F2DE6D}"/>
    <cellStyle name="쉼표 [0] 3 2 5 4 3" xfId="11543" xr:uid="{BD418D31-EC09-4E36-8783-CFC940B3FE9B}"/>
    <cellStyle name="쉼표 [0] 3 2 5 5" xfId="6055" xr:uid="{00000000-0005-0000-0000-0000BB150000}"/>
    <cellStyle name="쉼표 [0] 3 2 5 5 2" xfId="13372" xr:uid="{237B3973-9631-4BEA-B9B7-9CC28E77B2DB}"/>
    <cellStyle name="쉼표 [0] 3 2 5 6" xfId="9713" xr:uid="{91C24A3F-A111-44DB-A0AA-9515E661A86A}"/>
    <cellStyle name="쉼표 [0] 3 2 6" xfId="1885" xr:uid="{00000000-0005-0000-0000-0000BC150000}"/>
    <cellStyle name="쉼표 [0] 3 2 6 2" xfId="1886" xr:uid="{00000000-0005-0000-0000-0000BD150000}"/>
    <cellStyle name="쉼표 [0] 3 2 6 2 2" xfId="4227" xr:uid="{00000000-0005-0000-0000-0000BE150000}"/>
    <cellStyle name="쉼표 [0] 3 2 6 2 2 2" xfId="7888" xr:uid="{00000000-0005-0000-0000-0000BF150000}"/>
    <cellStyle name="쉼표 [0] 3 2 6 2 2 2 2" xfId="15205" xr:uid="{2A4FB1D9-B103-49F0-AD55-4131414F7D7D}"/>
    <cellStyle name="쉼표 [0] 3 2 6 2 2 3" xfId="11547" xr:uid="{72C71EBE-4EB5-4A41-97B9-763A8EC32B43}"/>
    <cellStyle name="쉼표 [0] 3 2 6 2 3" xfId="6059" xr:uid="{00000000-0005-0000-0000-0000C0150000}"/>
    <cellStyle name="쉼표 [0] 3 2 6 2 3 2" xfId="13376" xr:uid="{5115FCBC-1EDD-44E5-93AA-3D280F235CA1}"/>
    <cellStyle name="쉼표 [0] 3 2 6 2 4" xfId="9717" xr:uid="{DA0097EE-1F03-4836-82B6-50CAADC540C0}"/>
    <cellStyle name="쉼표 [0] 3 2 6 3" xfId="1887" xr:uid="{00000000-0005-0000-0000-0000C1150000}"/>
    <cellStyle name="쉼표 [0] 3 2 6 3 2" xfId="4228" xr:uid="{00000000-0005-0000-0000-0000C2150000}"/>
    <cellStyle name="쉼표 [0] 3 2 6 3 2 2" xfId="7889" xr:uid="{00000000-0005-0000-0000-0000C3150000}"/>
    <cellStyle name="쉼표 [0] 3 2 6 3 2 2 2" xfId="15206" xr:uid="{4FA7D0C5-74C0-44C0-A22C-AFD5624B1C67}"/>
    <cellStyle name="쉼표 [0] 3 2 6 3 2 3" xfId="11548" xr:uid="{B1888601-7073-4223-BA51-402F43FD2CEB}"/>
    <cellStyle name="쉼표 [0] 3 2 6 3 3" xfId="6060" xr:uid="{00000000-0005-0000-0000-0000C4150000}"/>
    <cellStyle name="쉼표 [0] 3 2 6 3 3 2" xfId="13377" xr:uid="{10B7E6B7-5C07-4B9A-84D6-52FBDF9E042E}"/>
    <cellStyle name="쉼표 [0] 3 2 6 3 4" xfId="9718" xr:uid="{0CA20409-61A3-4F5A-8BDA-84B6A06B31AA}"/>
    <cellStyle name="쉼표 [0] 3 2 6 4" xfId="4226" xr:uid="{00000000-0005-0000-0000-0000C5150000}"/>
    <cellStyle name="쉼표 [0] 3 2 6 4 2" xfId="7887" xr:uid="{00000000-0005-0000-0000-0000C6150000}"/>
    <cellStyle name="쉼표 [0] 3 2 6 4 2 2" xfId="15204" xr:uid="{75EB16E3-46ED-46F0-9F43-020FC7EDE4CE}"/>
    <cellStyle name="쉼표 [0] 3 2 6 4 3" xfId="11546" xr:uid="{51E5CAA5-0C74-43A5-8074-2A4082435590}"/>
    <cellStyle name="쉼표 [0] 3 2 6 5" xfId="6058" xr:uid="{00000000-0005-0000-0000-0000C7150000}"/>
    <cellStyle name="쉼표 [0] 3 2 6 5 2" xfId="13375" xr:uid="{A0B92746-E4FA-4926-9A28-3E091C340E9D}"/>
    <cellStyle name="쉼표 [0] 3 2 6 6" xfId="9716" xr:uid="{ABF508D2-9B6D-461A-BFAD-1CFF439BE5ED}"/>
    <cellStyle name="쉼표 [0] 3 2 7" xfId="1888" xr:uid="{00000000-0005-0000-0000-0000C8150000}"/>
    <cellStyle name="쉼표 [0] 3 2 7 2" xfId="1889" xr:uid="{00000000-0005-0000-0000-0000C9150000}"/>
    <cellStyle name="쉼표 [0] 3 2 7 2 2" xfId="4230" xr:uid="{00000000-0005-0000-0000-0000CA150000}"/>
    <cellStyle name="쉼표 [0] 3 2 7 2 2 2" xfId="7891" xr:uid="{00000000-0005-0000-0000-0000CB150000}"/>
    <cellStyle name="쉼표 [0] 3 2 7 2 2 2 2" xfId="15208" xr:uid="{C35E2EF4-1350-4914-B221-0EC40BCDACC1}"/>
    <cellStyle name="쉼표 [0] 3 2 7 2 2 3" xfId="11550" xr:uid="{3D134A38-761D-4F5E-AC8B-7A0677840B24}"/>
    <cellStyle name="쉼표 [0] 3 2 7 2 3" xfId="6062" xr:uid="{00000000-0005-0000-0000-0000CC150000}"/>
    <cellStyle name="쉼표 [0] 3 2 7 2 3 2" xfId="13379" xr:uid="{25F2ED8C-54DD-4C8C-A681-5A1FBA4E075B}"/>
    <cellStyle name="쉼표 [0] 3 2 7 2 4" xfId="9720" xr:uid="{155655C2-DB5C-471A-819F-376FF0CF12A2}"/>
    <cellStyle name="쉼표 [0] 3 2 7 3" xfId="1890" xr:uid="{00000000-0005-0000-0000-0000CD150000}"/>
    <cellStyle name="쉼표 [0] 3 2 7 3 2" xfId="4231" xr:uid="{00000000-0005-0000-0000-0000CE150000}"/>
    <cellStyle name="쉼표 [0] 3 2 7 3 2 2" xfId="7892" xr:uid="{00000000-0005-0000-0000-0000CF150000}"/>
    <cellStyle name="쉼표 [0] 3 2 7 3 2 2 2" xfId="15209" xr:uid="{8FFFEF65-8800-4DD6-8429-6AC8AC29B7EB}"/>
    <cellStyle name="쉼표 [0] 3 2 7 3 2 3" xfId="11551" xr:uid="{D2A8CCB9-92C2-44D9-9313-11F41DAD1308}"/>
    <cellStyle name="쉼표 [0] 3 2 7 3 3" xfId="6063" xr:uid="{00000000-0005-0000-0000-0000D0150000}"/>
    <cellStyle name="쉼표 [0] 3 2 7 3 3 2" xfId="13380" xr:uid="{7C946867-6948-4B8A-9FDF-BAAA046E8FB2}"/>
    <cellStyle name="쉼표 [0] 3 2 7 3 4" xfId="9721" xr:uid="{412D18FD-6972-47AD-9E75-9C39A32DDC55}"/>
    <cellStyle name="쉼표 [0] 3 2 7 4" xfId="4229" xr:uid="{00000000-0005-0000-0000-0000D1150000}"/>
    <cellStyle name="쉼표 [0] 3 2 7 4 2" xfId="7890" xr:uid="{00000000-0005-0000-0000-0000D2150000}"/>
    <cellStyle name="쉼표 [0] 3 2 7 4 2 2" xfId="15207" xr:uid="{B7E9934D-7AC8-43F5-AFD3-7BA649E24A4E}"/>
    <cellStyle name="쉼표 [0] 3 2 7 4 3" xfId="11549" xr:uid="{8030AD6A-DCE9-425F-87BA-8D83C597557A}"/>
    <cellStyle name="쉼표 [0] 3 2 7 5" xfId="6061" xr:uid="{00000000-0005-0000-0000-0000D3150000}"/>
    <cellStyle name="쉼표 [0] 3 2 7 5 2" xfId="13378" xr:uid="{F62EE39F-927D-4272-B9B0-C0FC6C7E6787}"/>
    <cellStyle name="쉼표 [0] 3 2 7 6" xfId="9719" xr:uid="{8936AF38-3591-495A-9AD8-AC0B72732FA1}"/>
    <cellStyle name="쉼표 [0] 3 2 8" xfId="1891" xr:uid="{00000000-0005-0000-0000-0000D4150000}"/>
    <cellStyle name="쉼표 [0] 3 2 8 2" xfId="4232" xr:uid="{00000000-0005-0000-0000-0000D5150000}"/>
    <cellStyle name="쉼표 [0] 3 2 8 2 2" xfId="7893" xr:uid="{00000000-0005-0000-0000-0000D6150000}"/>
    <cellStyle name="쉼표 [0] 3 2 8 2 2 2" xfId="15210" xr:uid="{6FF8CF79-7926-40C1-9AF5-910477884DE0}"/>
    <cellStyle name="쉼표 [0] 3 2 8 2 3" xfId="11552" xr:uid="{01C9F78A-1674-4AEE-9901-C6ED7A26CD03}"/>
    <cellStyle name="쉼표 [0] 3 2 8 3" xfId="6064" xr:uid="{00000000-0005-0000-0000-0000D7150000}"/>
    <cellStyle name="쉼표 [0] 3 2 8 3 2" xfId="13381" xr:uid="{C97E92FE-3FAB-4F67-AD25-8A2A79909114}"/>
    <cellStyle name="쉼표 [0] 3 2 8 4" xfId="9722" xr:uid="{97C59782-D4B6-44E4-82FC-5DA4806CC634}"/>
    <cellStyle name="쉼표 [0] 3 2 9" xfId="1892" xr:uid="{00000000-0005-0000-0000-0000D8150000}"/>
    <cellStyle name="쉼표 [0] 3 2 9 2" xfId="4233" xr:uid="{00000000-0005-0000-0000-0000D9150000}"/>
    <cellStyle name="쉼표 [0] 3 2 9 2 2" xfId="7894" xr:uid="{00000000-0005-0000-0000-0000DA150000}"/>
    <cellStyle name="쉼표 [0] 3 2 9 2 2 2" xfId="15211" xr:uid="{9D7431B7-D861-4BF9-827D-9FF512046653}"/>
    <cellStyle name="쉼표 [0] 3 2 9 2 3" xfId="11553" xr:uid="{F08073E7-8E00-42B0-9084-3CE0F50A4F44}"/>
    <cellStyle name="쉼표 [0] 3 2 9 3" xfId="6065" xr:uid="{00000000-0005-0000-0000-0000DB150000}"/>
    <cellStyle name="쉼표 [0] 3 2 9 3 2" xfId="13382" xr:uid="{6C466180-C54E-4383-872A-8E67BD4B9CC1}"/>
    <cellStyle name="쉼표 [0] 3 2 9 4" xfId="9723" xr:uid="{EAAEA8D8-2B71-46D7-A204-51EE6DB07D1A}"/>
    <cellStyle name="쉼표 [0] 3 3" xfId="1893" xr:uid="{00000000-0005-0000-0000-0000DC150000}"/>
    <cellStyle name="쉼표 [0] 3 3 10" xfId="1894" xr:uid="{00000000-0005-0000-0000-0000DD150000}"/>
    <cellStyle name="쉼표 [0] 3 3 10 2" xfId="4235" xr:uid="{00000000-0005-0000-0000-0000DE150000}"/>
    <cellStyle name="쉼표 [0] 3 3 10 2 2" xfId="7896" xr:uid="{00000000-0005-0000-0000-0000DF150000}"/>
    <cellStyle name="쉼표 [0] 3 3 10 2 2 2" xfId="15213" xr:uid="{7725BBC6-387B-43AB-A080-68BFEFDF6B11}"/>
    <cellStyle name="쉼표 [0] 3 3 10 2 3" xfId="11555" xr:uid="{28810B93-00F7-4712-AF29-D757B92C0059}"/>
    <cellStyle name="쉼표 [0] 3 3 10 3" xfId="6067" xr:uid="{00000000-0005-0000-0000-0000E0150000}"/>
    <cellStyle name="쉼표 [0] 3 3 10 3 2" xfId="13384" xr:uid="{EB2DDEAB-1F0F-423F-910F-CBDEE12F82CC}"/>
    <cellStyle name="쉼표 [0] 3 3 10 4" xfId="9725" xr:uid="{5A7BC66A-BD5F-494D-A890-537C61E6EF7A}"/>
    <cellStyle name="쉼표 [0] 3 3 11" xfId="1895" xr:uid="{00000000-0005-0000-0000-0000E1150000}"/>
    <cellStyle name="쉼표 [0] 3 3 11 2" xfId="4236" xr:uid="{00000000-0005-0000-0000-0000E2150000}"/>
    <cellStyle name="쉼표 [0] 3 3 11 2 2" xfId="7897" xr:uid="{00000000-0005-0000-0000-0000E3150000}"/>
    <cellStyle name="쉼표 [0] 3 3 11 2 2 2" xfId="15214" xr:uid="{24AB4B71-D435-4C2B-BDA2-2319A8F8D4D3}"/>
    <cellStyle name="쉼표 [0] 3 3 11 2 3" xfId="11556" xr:uid="{1C9FE75B-0C2F-4C79-876E-9BA0B279A852}"/>
    <cellStyle name="쉼표 [0] 3 3 11 3" xfId="6068" xr:uid="{00000000-0005-0000-0000-0000E4150000}"/>
    <cellStyle name="쉼표 [0] 3 3 11 3 2" xfId="13385" xr:uid="{96D55083-A26E-4697-A4C8-0DE8536C5754}"/>
    <cellStyle name="쉼표 [0] 3 3 11 4" xfId="9726" xr:uid="{D1B6524D-3E38-4232-A72D-C3EBBE55D159}"/>
    <cellStyle name="쉼표 [0] 3 3 12" xfId="4234" xr:uid="{00000000-0005-0000-0000-0000E5150000}"/>
    <cellStyle name="쉼표 [0] 3 3 12 2" xfId="7895" xr:uid="{00000000-0005-0000-0000-0000E6150000}"/>
    <cellStyle name="쉼표 [0] 3 3 12 2 2" xfId="15212" xr:uid="{8D20FFD7-69E4-40C8-80F6-5BA0409B05EC}"/>
    <cellStyle name="쉼표 [0] 3 3 12 3" xfId="11554" xr:uid="{F73E2FFA-1391-4B8A-9E4E-DFE46E7EE406}"/>
    <cellStyle name="쉼표 [0] 3 3 13" xfId="6066" xr:uid="{00000000-0005-0000-0000-0000E7150000}"/>
    <cellStyle name="쉼표 [0] 3 3 13 2" xfId="13383" xr:uid="{5B7D6400-A57B-4461-AFB4-382BD0ADB2B0}"/>
    <cellStyle name="쉼표 [0] 3 3 14" xfId="9724" xr:uid="{71943D72-E21A-4449-BDB7-7B62E0C17DFB}"/>
    <cellStyle name="쉼표 [0] 3 3 2" xfId="1896" xr:uid="{00000000-0005-0000-0000-0000E8150000}"/>
    <cellStyle name="쉼표 [0] 3 3 2 10" xfId="1897" xr:uid="{00000000-0005-0000-0000-0000E9150000}"/>
    <cellStyle name="쉼표 [0] 3 3 2 10 2" xfId="4238" xr:uid="{00000000-0005-0000-0000-0000EA150000}"/>
    <cellStyle name="쉼표 [0] 3 3 2 10 2 2" xfId="7899" xr:uid="{00000000-0005-0000-0000-0000EB150000}"/>
    <cellStyle name="쉼표 [0] 3 3 2 10 2 2 2" xfId="15216" xr:uid="{F4A9D73C-BBAA-4BA8-97EC-F32CE1034005}"/>
    <cellStyle name="쉼표 [0] 3 3 2 10 2 3" xfId="11558" xr:uid="{442FD0CC-DE06-4E59-B036-0E265F033B85}"/>
    <cellStyle name="쉼표 [0] 3 3 2 10 3" xfId="6070" xr:uid="{00000000-0005-0000-0000-0000EC150000}"/>
    <cellStyle name="쉼표 [0] 3 3 2 10 3 2" xfId="13387" xr:uid="{71FA0A7C-F23F-4AA4-8488-AA6890F15414}"/>
    <cellStyle name="쉼표 [0] 3 3 2 10 4" xfId="9728" xr:uid="{0FA39E16-05D6-4835-9EE4-11E2BFCCD8EC}"/>
    <cellStyle name="쉼표 [0] 3 3 2 11" xfId="4237" xr:uid="{00000000-0005-0000-0000-0000ED150000}"/>
    <cellStyle name="쉼표 [0] 3 3 2 11 2" xfId="7898" xr:uid="{00000000-0005-0000-0000-0000EE150000}"/>
    <cellStyle name="쉼표 [0] 3 3 2 11 2 2" xfId="15215" xr:uid="{206C01BE-9C24-4747-BBC0-10DD244E5FF0}"/>
    <cellStyle name="쉼표 [0] 3 3 2 11 3" xfId="11557" xr:uid="{3A749973-ACF1-4381-9B7A-7E1A3A6DA2B0}"/>
    <cellStyle name="쉼표 [0] 3 3 2 12" xfId="6069" xr:uid="{00000000-0005-0000-0000-0000EF150000}"/>
    <cellStyle name="쉼표 [0] 3 3 2 12 2" xfId="13386" xr:uid="{DB1B05E6-249F-4409-823E-0E14DD905ED6}"/>
    <cellStyle name="쉼표 [0] 3 3 2 13" xfId="9727" xr:uid="{A0D8B443-9DEE-4824-BAB0-223208896061}"/>
    <cellStyle name="쉼표 [0] 3 3 2 2" xfId="1898" xr:uid="{00000000-0005-0000-0000-0000F0150000}"/>
    <cellStyle name="쉼표 [0] 3 3 2 2 2" xfId="1899" xr:uid="{00000000-0005-0000-0000-0000F1150000}"/>
    <cellStyle name="쉼표 [0] 3 3 2 2 2 2" xfId="4240" xr:uid="{00000000-0005-0000-0000-0000F2150000}"/>
    <cellStyle name="쉼표 [0] 3 3 2 2 2 2 2" xfId="7901" xr:uid="{00000000-0005-0000-0000-0000F3150000}"/>
    <cellStyle name="쉼표 [0] 3 3 2 2 2 2 2 2" xfId="15218" xr:uid="{D1EDC093-79D5-4741-8337-282D7F3CEBB5}"/>
    <cellStyle name="쉼표 [0] 3 3 2 2 2 2 3" xfId="11560" xr:uid="{87644EF3-BFFD-4F7F-8390-5B0F6832A2F6}"/>
    <cellStyle name="쉼표 [0] 3 3 2 2 2 3" xfId="6072" xr:uid="{00000000-0005-0000-0000-0000F4150000}"/>
    <cellStyle name="쉼표 [0] 3 3 2 2 2 3 2" xfId="13389" xr:uid="{FBEBCD67-A0FC-497B-9629-08F0177FC8B8}"/>
    <cellStyle name="쉼표 [0] 3 3 2 2 2 4" xfId="9730" xr:uid="{B2B94C2F-8038-41E9-9C39-B0DC0AE6E88E}"/>
    <cellStyle name="쉼표 [0] 3 3 2 2 3" xfId="1900" xr:uid="{00000000-0005-0000-0000-0000F5150000}"/>
    <cellStyle name="쉼표 [0] 3 3 2 2 3 2" xfId="4241" xr:uid="{00000000-0005-0000-0000-0000F6150000}"/>
    <cellStyle name="쉼표 [0] 3 3 2 2 3 2 2" xfId="7902" xr:uid="{00000000-0005-0000-0000-0000F7150000}"/>
    <cellStyle name="쉼표 [0] 3 3 2 2 3 2 2 2" xfId="15219" xr:uid="{651855AD-FFCF-442D-8C63-C6F1FE168430}"/>
    <cellStyle name="쉼표 [0] 3 3 2 2 3 2 3" xfId="11561" xr:uid="{D9ECBE0D-C485-4ABD-A7E3-826E1831A28D}"/>
    <cellStyle name="쉼표 [0] 3 3 2 2 3 3" xfId="6073" xr:uid="{00000000-0005-0000-0000-0000F8150000}"/>
    <cellStyle name="쉼표 [0] 3 3 2 2 3 3 2" xfId="13390" xr:uid="{D2C8CC01-6C8F-4598-BA95-AD45CBD40EEC}"/>
    <cellStyle name="쉼표 [0] 3 3 2 2 3 4" xfId="9731" xr:uid="{761AA523-8265-4479-8C5B-E2806ADFB153}"/>
    <cellStyle name="쉼표 [0] 3 3 2 2 4" xfId="1901" xr:uid="{00000000-0005-0000-0000-0000F9150000}"/>
    <cellStyle name="쉼표 [0] 3 3 2 2 4 2" xfId="4242" xr:uid="{00000000-0005-0000-0000-0000FA150000}"/>
    <cellStyle name="쉼표 [0] 3 3 2 2 4 2 2" xfId="7903" xr:uid="{00000000-0005-0000-0000-0000FB150000}"/>
    <cellStyle name="쉼표 [0] 3 3 2 2 4 2 2 2" xfId="15220" xr:uid="{552B4BA7-D023-47F8-8DA9-BAD7261B607C}"/>
    <cellStyle name="쉼표 [0] 3 3 2 2 4 2 3" xfId="11562" xr:uid="{3E4B8995-62E7-4789-9584-CD9A5CE33561}"/>
    <cellStyle name="쉼표 [0] 3 3 2 2 4 3" xfId="6074" xr:uid="{00000000-0005-0000-0000-0000FC150000}"/>
    <cellStyle name="쉼표 [0] 3 3 2 2 4 3 2" xfId="13391" xr:uid="{488AC408-2D06-41A1-AC49-DF67D6C51A4B}"/>
    <cellStyle name="쉼표 [0] 3 3 2 2 4 4" xfId="9732" xr:uid="{391E5A22-A615-4259-8EF3-ED851C54C4F0}"/>
    <cellStyle name="쉼표 [0] 3 3 2 2 5" xfId="4239" xr:uid="{00000000-0005-0000-0000-0000FD150000}"/>
    <cellStyle name="쉼표 [0] 3 3 2 2 5 2" xfId="7900" xr:uid="{00000000-0005-0000-0000-0000FE150000}"/>
    <cellStyle name="쉼표 [0] 3 3 2 2 5 2 2" xfId="15217" xr:uid="{5347FE85-CC4A-4E5F-90C1-2B06D15CF37B}"/>
    <cellStyle name="쉼표 [0] 3 3 2 2 5 3" xfId="11559" xr:uid="{F8838CA0-1606-4EA5-B30F-0C18ADE2675B}"/>
    <cellStyle name="쉼표 [0] 3 3 2 2 6" xfId="6071" xr:uid="{00000000-0005-0000-0000-0000FF150000}"/>
    <cellStyle name="쉼표 [0] 3 3 2 2 6 2" xfId="13388" xr:uid="{BC4831AA-11FC-4B94-A6C3-B28984FA9013}"/>
    <cellStyle name="쉼표 [0] 3 3 2 2 7" xfId="9729" xr:uid="{308B5D83-4851-40F1-9C0A-40FB7146BB09}"/>
    <cellStyle name="쉼표 [0] 3 3 2 3" xfId="1902" xr:uid="{00000000-0005-0000-0000-000000160000}"/>
    <cellStyle name="쉼표 [0] 3 3 2 3 2" xfId="1903" xr:uid="{00000000-0005-0000-0000-000001160000}"/>
    <cellStyle name="쉼표 [0] 3 3 2 3 2 2" xfId="4244" xr:uid="{00000000-0005-0000-0000-000002160000}"/>
    <cellStyle name="쉼표 [0] 3 3 2 3 2 2 2" xfId="7905" xr:uid="{00000000-0005-0000-0000-000003160000}"/>
    <cellStyle name="쉼표 [0] 3 3 2 3 2 2 2 2" xfId="15222" xr:uid="{AFA61092-8721-4BDD-A814-DCB9E08ED569}"/>
    <cellStyle name="쉼표 [0] 3 3 2 3 2 2 3" xfId="11564" xr:uid="{C7533EE7-09AC-4E0A-B62C-6C1DF6B6ADC4}"/>
    <cellStyle name="쉼표 [0] 3 3 2 3 2 3" xfId="6076" xr:uid="{00000000-0005-0000-0000-000004160000}"/>
    <cellStyle name="쉼표 [0] 3 3 2 3 2 3 2" xfId="13393" xr:uid="{ADF2FEDE-D94D-4181-8F52-DC30C8933C25}"/>
    <cellStyle name="쉼표 [0] 3 3 2 3 2 4" xfId="9734" xr:uid="{71549ED8-0FA5-4A2E-A079-011D598AB85A}"/>
    <cellStyle name="쉼표 [0] 3 3 2 3 3" xfId="1904" xr:uid="{00000000-0005-0000-0000-000005160000}"/>
    <cellStyle name="쉼표 [0] 3 3 2 3 3 2" xfId="4245" xr:uid="{00000000-0005-0000-0000-000006160000}"/>
    <cellStyle name="쉼표 [0] 3 3 2 3 3 2 2" xfId="7906" xr:uid="{00000000-0005-0000-0000-000007160000}"/>
    <cellStyle name="쉼표 [0] 3 3 2 3 3 2 2 2" xfId="15223" xr:uid="{E59EF3CB-424B-4DEE-B885-0221FE8CCB01}"/>
    <cellStyle name="쉼표 [0] 3 3 2 3 3 2 3" xfId="11565" xr:uid="{8EEC5CFA-A7FF-4955-8911-B0503853632C}"/>
    <cellStyle name="쉼표 [0] 3 3 2 3 3 3" xfId="6077" xr:uid="{00000000-0005-0000-0000-000008160000}"/>
    <cellStyle name="쉼표 [0] 3 3 2 3 3 3 2" xfId="13394" xr:uid="{93A95DD7-F141-4446-8526-5E722DC0E2C8}"/>
    <cellStyle name="쉼표 [0] 3 3 2 3 3 4" xfId="9735" xr:uid="{D4CBC678-CC67-437F-8895-654AD31B0D66}"/>
    <cellStyle name="쉼표 [0] 3 3 2 3 4" xfId="1905" xr:uid="{00000000-0005-0000-0000-000009160000}"/>
    <cellStyle name="쉼표 [0] 3 3 2 3 4 2" xfId="4246" xr:uid="{00000000-0005-0000-0000-00000A160000}"/>
    <cellStyle name="쉼표 [0] 3 3 2 3 4 2 2" xfId="7907" xr:uid="{00000000-0005-0000-0000-00000B160000}"/>
    <cellStyle name="쉼표 [0] 3 3 2 3 4 2 2 2" xfId="15224" xr:uid="{4B59091E-B16A-4612-87F5-95618843307B}"/>
    <cellStyle name="쉼표 [0] 3 3 2 3 4 2 3" xfId="11566" xr:uid="{9023B10D-FC18-4331-8275-AD897F1786AE}"/>
    <cellStyle name="쉼표 [0] 3 3 2 3 4 3" xfId="6078" xr:uid="{00000000-0005-0000-0000-00000C160000}"/>
    <cellStyle name="쉼표 [0] 3 3 2 3 4 3 2" xfId="13395" xr:uid="{7F42F7B9-04D0-46BA-893E-2B49CB847E9C}"/>
    <cellStyle name="쉼표 [0] 3 3 2 3 4 4" xfId="9736" xr:uid="{5836EB23-62CE-45C5-A85D-53DA611019EC}"/>
    <cellStyle name="쉼표 [0] 3 3 2 3 5" xfId="4243" xr:uid="{00000000-0005-0000-0000-00000D160000}"/>
    <cellStyle name="쉼표 [0] 3 3 2 3 5 2" xfId="7904" xr:uid="{00000000-0005-0000-0000-00000E160000}"/>
    <cellStyle name="쉼표 [0] 3 3 2 3 5 2 2" xfId="15221" xr:uid="{0C245791-B5BE-40BC-BA87-B987A29A6A41}"/>
    <cellStyle name="쉼표 [0] 3 3 2 3 5 3" xfId="11563" xr:uid="{67AB2158-DA01-475B-A726-E4CB9594BC18}"/>
    <cellStyle name="쉼표 [0] 3 3 2 3 6" xfId="6075" xr:uid="{00000000-0005-0000-0000-00000F160000}"/>
    <cellStyle name="쉼표 [0] 3 3 2 3 6 2" xfId="13392" xr:uid="{54461CF1-F5BE-4043-A9ED-4C5E7ED0D723}"/>
    <cellStyle name="쉼표 [0] 3 3 2 3 7" xfId="9733" xr:uid="{38D0632D-98B5-4ECD-9306-12AEBDA40472}"/>
    <cellStyle name="쉼표 [0] 3 3 2 4" xfId="1906" xr:uid="{00000000-0005-0000-0000-000010160000}"/>
    <cellStyle name="쉼표 [0] 3 3 2 4 2" xfId="1907" xr:uid="{00000000-0005-0000-0000-000011160000}"/>
    <cellStyle name="쉼표 [0] 3 3 2 4 2 2" xfId="4248" xr:uid="{00000000-0005-0000-0000-000012160000}"/>
    <cellStyle name="쉼표 [0] 3 3 2 4 2 2 2" xfId="7909" xr:uid="{00000000-0005-0000-0000-000013160000}"/>
    <cellStyle name="쉼표 [0] 3 3 2 4 2 2 2 2" xfId="15226" xr:uid="{294F4FEB-9ABA-4749-B38C-BDF7A56A9A28}"/>
    <cellStyle name="쉼표 [0] 3 3 2 4 2 2 3" xfId="11568" xr:uid="{84DD4B58-A668-4F15-A12E-97FC280CF3EE}"/>
    <cellStyle name="쉼표 [0] 3 3 2 4 2 3" xfId="6080" xr:uid="{00000000-0005-0000-0000-000014160000}"/>
    <cellStyle name="쉼표 [0] 3 3 2 4 2 3 2" xfId="13397" xr:uid="{1DEC15BA-1F1F-4EA9-A961-3E4BB562FB56}"/>
    <cellStyle name="쉼표 [0] 3 3 2 4 2 4" xfId="9738" xr:uid="{5BED1828-0D9C-409C-B3AB-02867E5BAA45}"/>
    <cellStyle name="쉼표 [0] 3 3 2 4 3" xfId="1908" xr:uid="{00000000-0005-0000-0000-000015160000}"/>
    <cellStyle name="쉼표 [0] 3 3 2 4 3 2" xfId="4249" xr:uid="{00000000-0005-0000-0000-000016160000}"/>
    <cellStyle name="쉼표 [0] 3 3 2 4 3 2 2" xfId="7910" xr:uid="{00000000-0005-0000-0000-000017160000}"/>
    <cellStyle name="쉼표 [0] 3 3 2 4 3 2 2 2" xfId="15227" xr:uid="{70B29C4F-0488-4C6C-AAA1-A44D244A94D5}"/>
    <cellStyle name="쉼표 [0] 3 3 2 4 3 2 3" xfId="11569" xr:uid="{C97545BF-E00E-4D6B-9D1C-DE7FA82D72BC}"/>
    <cellStyle name="쉼표 [0] 3 3 2 4 3 3" xfId="6081" xr:uid="{00000000-0005-0000-0000-000018160000}"/>
    <cellStyle name="쉼표 [0] 3 3 2 4 3 3 2" xfId="13398" xr:uid="{95CBCC55-C8D9-4E88-A324-D73CDEBEFA25}"/>
    <cellStyle name="쉼표 [0] 3 3 2 4 3 4" xfId="9739" xr:uid="{BA30E7C0-8831-4160-A912-826B50BB8D6E}"/>
    <cellStyle name="쉼표 [0] 3 3 2 4 4" xfId="4247" xr:uid="{00000000-0005-0000-0000-000019160000}"/>
    <cellStyle name="쉼표 [0] 3 3 2 4 4 2" xfId="7908" xr:uid="{00000000-0005-0000-0000-00001A160000}"/>
    <cellStyle name="쉼표 [0] 3 3 2 4 4 2 2" xfId="15225" xr:uid="{61256CB2-701B-422A-9567-12AB2A4E3226}"/>
    <cellStyle name="쉼표 [0] 3 3 2 4 4 3" xfId="11567" xr:uid="{D7A3F1FC-ED3C-49AE-8606-7CDD67BD00C9}"/>
    <cellStyle name="쉼표 [0] 3 3 2 4 5" xfId="6079" xr:uid="{00000000-0005-0000-0000-00001B160000}"/>
    <cellStyle name="쉼표 [0] 3 3 2 4 5 2" xfId="13396" xr:uid="{27C52A73-DFA2-401B-8E4F-AC777DB8B09F}"/>
    <cellStyle name="쉼표 [0] 3 3 2 4 6" xfId="9737" xr:uid="{F1B164B2-80ED-4ADA-ACA8-F7B5DF5CDC78}"/>
    <cellStyle name="쉼표 [0] 3 3 2 5" xfId="1909" xr:uid="{00000000-0005-0000-0000-00001C160000}"/>
    <cellStyle name="쉼표 [0] 3 3 2 5 2" xfId="1910" xr:uid="{00000000-0005-0000-0000-00001D160000}"/>
    <cellStyle name="쉼표 [0] 3 3 2 5 2 2" xfId="4251" xr:uid="{00000000-0005-0000-0000-00001E160000}"/>
    <cellStyle name="쉼표 [0] 3 3 2 5 2 2 2" xfId="7912" xr:uid="{00000000-0005-0000-0000-00001F160000}"/>
    <cellStyle name="쉼표 [0] 3 3 2 5 2 2 2 2" xfId="15229" xr:uid="{D333131D-FA40-4321-8A3A-C24D20E20E1B}"/>
    <cellStyle name="쉼표 [0] 3 3 2 5 2 2 3" xfId="11571" xr:uid="{61B48DD2-F339-4C9B-B6F6-0071EA03C4DB}"/>
    <cellStyle name="쉼표 [0] 3 3 2 5 2 3" xfId="6083" xr:uid="{00000000-0005-0000-0000-000020160000}"/>
    <cellStyle name="쉼표 [0] 3 3 2 5 2 3 2" xfId="13400" xr:uid="{C256DE0E-6D08-42DF-8660-A59BD2F30A17}"/>
    <cellStyle name="쉼표 [0] 3 3 2 5 2 4" xfId="9741" xr:uid="{847C9DBD-4CFE-49F6-88AF-722832CC1C47}"/>
    <cellStyle name="쉼표 [0] 3 3 2 5 3" xfId="1911" xr:uid="{00000000-0005-0000-0000-000021160000}"/>
    <cellStyle name="쉼표 [0] 3 3 2 5 3 2" xfId="4252" xr:uid="{00000000-0005-0000-0000-000022160000}"/>
    <cellStyle name="쉼표 [0] 3 3 2 5 3 2 2" xfId="7913" xr:uid="{00000000-0005-0000-0000-000023160000}"/>
    <cellStyle name="쉼표 [0] 3 3 2 5 3 2 2 2" xfId="15230" xr:uid="{6BC40214-C596-48BF-A2BC-43AAFE9AE00B}"/>
    <cellStyle name="쉼표 [0] 3 3 2 5 3 2 3" xfId="11572" xr:uid="{30F4C41A-7C90-4DB2-9103-837EB47102BB}"/>
    <cellStyle name="쉼표 [0] 3 3 2 5 3 3" xfId="6084" xr:uid="{00000000-0005-0000-0000-000024160000}"/>
    <cellStyle name="쉼표 [0] 3 3 2 5 3 3 2" xfId="13401" xr:uid="{C3B5EB7C-B156-467A-8012-12CDD069C513}"/>
    <cellStyle name="쉼표 [0] 3 3 2 5 3 4" xfId="9742" xr:uid="{3D6ACA55-9050-4C25-899B-599C15CD9365}"/>
    <cellStyle name="쉼표 [0] 3 3 2 5 4" xfId="4250" xr:uid="{00000000-0005-0000-0000-000025160000}"/>
    <cellStyle name="쉼표 [0] 3 3 2 5 4 2" xfId="7911" xr:uid="{00000000-0005-0000-0000-000026160000}"/>
    <cellStyle name="쉼표 [0] 3 3 2 5 4 2 2" xfId="15228" xr:uid="{DA23890A-0130-4299-8CEF-ED117A09FF30}"/>
    <cellStyle name="쉼표 [0] 3 3 2 5 4 3" xfId="11570" xr:uid="{549A60DF-E7CD-49E3-9F20-054280B438A7}"/>
    <cellStyle name="쉼표 [0] 3 3 2 5 5" xfId="6082" xr:uid="{00000000-0005-0000-0000-000027160000}"/>
    <cellStyle name="쉼표 [0] 3 3 2 5 5 2" xfId="13399" xr:uid="{7F06949A-9BE2-4F64-B236-61CE501A28C3}"/>
    <cellStyle name="쉼표 [0] 3 3 2 5 6" xfId="9740" xr:uid="{6B3F5556-BDDE-4270-951F-4A67A8B80C31}"/>
    <cellStyle name="쉼표 [0] 3 3 2 6" xfId="1912" xr:uid="{00000000-0005-0000-0000-000028160000}"/>
    <cellStyle name="쉼표 [0] 3 3 2 6 2" xfId="1913" xr:uid="{00000000-0005-0000-0000-000029160000}"/>
    <cellStyle name="쉼표 [0] 3 3 2 6 2 2" xfId="4254" xr:uid="{00000000-0005-0000-0000-00002A160000}"/>
    <cellStyle name="쉼표 [0] 3 3 2 6 2 2 2" xfId="7915" xr:uid="{00000000-0005-0000-0000-00002B160000}"/>
    <cellStyle name="쉼표 [0] 3 3 2 6 2 2 2 2" xfId="15232" xr:uid="{29D27125-4474-42A9-9E3F-2527977A4439}"/>
    <cellStyle name="쉼표 [0] 3 3 2 6 2 2 3" xfId="11574" xr:uid="{C022571C-4368-4919-9498-EF4254A84DBE}"/>
    <cellStyle name="쉼표 [0] 3 3 2 6 2 3" xfId="6086" xr:uid="{00000000-0005-0000-0000-00002C160000}"/>
    <cellStyle name="쉼표 [0] 3 3 2 6 2 3 2" xfId="13403" xr:uid="{5064FFFA-A3F0-4BFC-B18D-EF2E42EA1005}"/>
    <cellStyle name="쉼표 [0] 3 3 2 6 2 4" xfId="9744" xr:uid="{8B7F3B41-D03C-4C98-9BD1-31C1BCDDA879}"/>
    <cellStyle name="쉼표 [0] 3 3 2 6 3" xfId="1914" xr:uid="{00000000-0005-0000-0000-00002D160000}"/>
    <cellStyle name="쉼표 [0] 3 3 2 6 3 2" xfId="4255" xr:uid="{00000000-0005-0000-0000-00002E160000}"/>
    <cellStyle name="쉼표 [0] 3 3 2 6 3 2 2" xfId="7916" xr:uid="{00000000-0005-0000-0000-00002F160000}"/>
    <cellStyle name="쉼표 [0] 3 3 2 6 3 2 2 2" xfId="15233" xr:uid="{832A94EA-C6E2-4A44-AD36-2AB0E85C5F6F}"/>
    <cellStyle name="쉼표 [0] 3 3 2 6 3 2 3" xfId="11575" xr:uid="{E0068347-85AE-4B06-843F-29D048998A92}"/>
    <cellStyle name="쉼표 [0] 3 3 2 6 3 3" xfId="6087" xr:uid="{00000000-0005-0000-0000-000030160000}"/>
    <cellStyle name="쉼표 [0] 3 3 2 6 3 3 2" xfId="13404" xr:uid="{AD952A0F-42E2-4093-AD26-F38365612F43}"/>
    <cellStyle name="쉼표 [0] 3 3 2 6 3 4" xfId="9745" xr:uid="{F0278289-F41E-49FB-B356-E77F95B0179A}"/>
    <cellStyle name="쉼표 [0] 3 3 2 6 4" xfId="4253" xr:uid="{00000000-0005-0000-0000-000031160000}"/>
    <cellStyle name="쉼표 [0] 3 3 2 6 4 2" xfId="7914" xr:uid="{00000000-0005-0000-0000-000032160000}"/>
    <cellStyle name="쉼표 [0] 3 3 2 6 4 2 2" xfId="15231" xr:uid="{8A0823F8-FD23-41AE-8E7A-15024BF8E290}"/>
    <cellStyle name="쉼표 [0] 3 3 2 6 4 3" xfId="11573" xr:uid="{C6024FD6-1EA6-45CE-B362-32D9FE089699}"/>
    <cellStyle name="쉼표 [0] 3 3 2 6 5" xfId="6085" xr:uid="{00000000-0005-0000-0000-000033160000}"/>
    <cellStyle name="쉼표 [0] 3 3 2 6 5 2" xfId="13402" xr:uid="{7BAC562B-4D24-430E-8930-14D803FCE57B}"/>
    <cellStyle name="쉼표 [0] 3 3 2 6 6" xfId="9743" xr:uid="{E8D52F43-7E99-4EA1-BFD6-906D2EDF453C}"/>
    <cellStyle name="쉼표 [0] 3 3 2 7" xfId="1915" xr:uid="{00000000-0005-0000-0000-000034160000}"/>
    <cellStyle name="쉼표 [0] 3 3 2 7 2" xfId="4256" xr:uid="{00000000-0005-0000-0000-000035160000}"/>
    <cellStyle name="쉼표 [0] 3 3 2 7 2 2" xfId="7917" xr:uid="{00000000-0005-0000-0000-000036160000}"/>
    <cellStyle name="쉼표 [0] 3 3 2 7 2 2 2" xfId="15234" xr:uid="{17891E2B-8FD7-4285-91A5-395E26202DF9}"/>
    <cellStyle name="쉼표 [0] 3 3 2 7 2 3" xfId="11576" xr:uid="{2F2CF3AB-9F40-410E-8BA8-073416E6D1CD}"/>
    <cellStyle name="쉼표 [0] 3 3 2 7 3" xfId="6088" xr:uid="{00000000-0005-0000-0000-000037160000}"/>
    <cellStyle name="쉼표 [0] 3 3 2 7 3 2" xfId="13405" xr:uid="{730D1A51-20E7-4AEB-BE94-4F92C880AE61}"/>
    <cellStyle name="쉼표 [0] 3 3 2 7 4" xfId="9746" xr:uid="{BA4DB293-140D-43B4-9EB7-A27C6FA4B9B2}"/>
    <cellStyle name="쉼표 [0] 3 3 2 8" xfId="1916" xr:uid="{00000000-0005-0000-0000-000038160000}"/>
    <cellStyle name="쉼표 [0] 3 3 2 8 2" xfId="4257" xr:uid="{00000000-0005-0000-0000-000039160000}"/>
    <cellStyle name="쉼표 [0] 3 3 2 8 2 2" xfId="7918" xr:uid="{00000000-0005-0000-0000-00003A160000}"/>
    <cellStyle name="쉼표 [0] 3 3 2 8 2 2 2" xfId="15235" xr:uid="{512A123A-E34F-4622-8814-04B597F31015}"/>
    <cellStyle name="쉼표 [0] 3 3 2 8 2 3" xfId="11577" xr:uid="{9D708841-D8CD-4483-A770-BE9A54BA4CC6}"/>
    <cellStyle name="쉼표 [0] 3 3 2 8 3" xfId="6089" xr:uid="{00000000-0005-0000-0000-00003B160000}"/>
    <cellStyle name="쉼표 [0] 3 3 2 8 3 2" xfId="13406" xr:uid="{49667B65-52AA-40C5-8816-80AFE247614D}"/>
    <cellStyle name="쉼표 [0] 3 3 2 8 4" xfId="9747" xr:uid="{C0CDD5E7-3121-44AE-AB5E-74831C61A9E4}"/>
    <cellStyle name="쉼표 [0] 3 3 2 9" xfId="1917" xr:uid="{00000000-0005-0000-0000-00003C160000}"/>
    <cellStyle name="쉼표 [0] 3 3 2 9 2" xfId="4258" xr:uid="{00000000-0005-0000-0000-00003D160000}"/>
    <cellStyle name="쉼표 [0] 3 3 2 9 2 2" xfId="7919" xr:uid="{00000000-0005-0000-0000-00003E160000}"/>
    <cellStyle name="쉼표 [0] 3 3 2 9 2 2 2" xfId="15236" xr:uid="{D92E94ED-0DCF-4738-8C47-775E076D8267}"/>
    <cellStyle name="쉼표 [0] 3 3 2 9 2 3" xfId="11578" xr:uid="{CA421832-99BA-43FF-9FDF-33A3C904B199}"/>
    <cellStyle name="쉼표 [0] 3 3 2 9 3" xfId="6090" xr:uid="{00000000-0005-0000-0000-00003F160000}"/>
    <cellStyle name="쉼표 [0] 3 3 2 9 3 2" xfId="13407" xr:uid="{951A0E86-884C-42E6-A101-C7376DA28724}"/>
    <cellStyle name="쉼표 [0] 3 3 2 9 4" xfId="9748" xr:uid="{CD1AFA8F-1313-4639-AF7C-987AC2A12614}"/>
    <cellStyle name="쉼표 [0] 3 3 3" xfId="1918" xr:uid="{00000000-0005-0000-0000-000040160000}"/>
    <cellStyle name="쉼표 [0] 3 3 3 2" xfId="1919" xr:uid="{00000000-0005-0000-0000-000041160000}"/>
    <cellStyle name="쉼표 [0] 3 3 3 2 2" xfId="4260" xr:uid="{00000000-0005-0000-0000-000042160000}"/>
    <cellStyle name="쉼표 [0] 3 3 3 2 2 2" xfId="7921" xr:uid="{00000000-0005-0000-0000-000043160000}"/>
    <cellStyle name="쉼표 [0] 3 3 3 2 2 2 2" xfId="15238" xr:uid="{2DD07D98-8D20-4113-856C-3B25726FE25C}"/>
    <cellStyle name="쉼표 [0] 3 3 3 2 2 3" xfId="11580" xr:uid="{2755B994-3502-4F7C-B5CD-1AE7A921D18B}"/>
    <cellStyle name="쉼표 [0] 3 3 3 2 3" xfId="6092" xr:uid="{00000000-0005-0000-0000-000044160000}"/>
    <cellStyle name="쉼표 [0] 3 3 3 2 3 2" xfId="13409" xr:uid="{5187BC7B-82DA-4DAF-B9B1-482E49CC249D}"/>
    <cellStyle name="쉼표 [0] 3 3 3 2 4" xfId="9750" xr:uid="{0F352AEE-DD4A-4CD2-80C9-4E78BA0DC365}"/>
    <cellStyle name="쉼표 [0] 3 3 3 3" xfId="1920" xr:uid="{00000000-0005-0000-0000-000045160000}"/>
    <cellStyle name="쉼표 [0] 3 3 3 3 2" xfId="4261" xr:uid="{00000000-0005-0000-0000-000046160000}"/>
    <cellStyle name="쉼표 [0] 3 3 3 3 2 2" xfId="7922" xr:uid="{00000000-0005-0000-0000-000047160000}"/>
    <cellStyle name="쉼표 [0] 3 3 3 3 2 2 2" xfId="15239" xr:uid="{73EC2FC6-6B50-402A-844B-9EC9519179EC}"/>
    <cellStyle name="쉼표 [0] 3 3 3 3 2 3" xfId="11581" xr:uid="{88D678A4-627D-423D-9738-29C07A3FD700}"/>
    <cellStyle name="쉼표 [0] 3 3 3 3 3" xfId="6093" xr:uid="{00000000-0005-0000-0000-000048160000}"/>
    <cellStyle name="쉼표 [0] 3 3 3 3 3 2" xfId="13410" xr:uid="{A3692D9C-F7E6-49CE-9D0C-280E3DB898C7}"/>
    <cellStyle name="쉼표 [0] 3 3 3 3 4" xfId="9751" xr:uid="{1233AAB4-47DB-4618-8089-00A5554EDB5E}"/>
    <cellStyle name="쉼표 [0] 3 3 3 4" xfId="1921" xr:uid="{00000000-0005-0000-0000-000049160000}"/>
    <cellStyle name="쉼표 [0] 3 3 3 4 2" xfId="4262" xr:uid="{00000000-0005-0000-0000-00004A160000}"/>
    <cellStyle name="쉼표 [0] 3 3 3 4 2 2" xfId="7923" xr:uid="{00000000-0005-0000-0000-00004B160000}"/>
    <cellStyle name="쉼표 [0] 3 3 3 4 2 2 2" xfId="15240" xr:uid="{4836B348-73AC-4BA4-A41C-779CFC221F54}"/>
    <cellStyle name="쉼표 [0] 3 3 3 4 2 3" xfId="11582" xr:uid="{6CAE157F-BA07-4BC3-AF26-815EEF043217}"/>
    <cellStyle name="쉼표 [0] 3 3 3 4 3" xfId="6094" xr:uid="{00000000-0005-0000-0000-00004C160000}"/>
    <cellStyle name="쉼표 [0] 3 3 3 4 3 2" xfId="13411" xr:uid="{B47583FE-2340-469E-B7C1-43091F6E7FB8}"/>
    <cellStyle name="쉼표 [0] 3 3 3 4 4" xfId="9752" xr:uid="{3038026C-C25A-4739-937F-AACD0A8D3B42}"/>
    <cellStyle name="쉼표 [0] 3 3 3 5" xfId="4259" xr:uid="{00000000-0005-0000-0000-00004D160000}"/>
    <cellStyle name="쉼표 [0] 3 3 3 5 2" xfId="7920" xr:uid="{00000000-0005-0000-0000-00004E160000}"/>
    <cellStyle name="쉼표 [0] 3 3 3 5 2 2" xfId="15237" xr:uid="{93184BF8-B957-48C0-AF57-064ECEDB4C9C}"/>
    <cellStyle name="쉼표 [0] 3 3 3 5 3" xfId="11579" xr:uid="{8167C92D-99E9-4D34-8D57-7F6D5562BFE5}"/>
    <cellStyle name="쉼표 [0] 3 3 3 6" xfId="6091" xr:uid="{00000000-0005-0000-0000-00004F160000}"/>
    <cellStyle name="쉼표 [0] 3 3 3 6 2" xfId="13408" xr:uid="{112FA9D7-EDE9-43CF-8F0F-651169DD65A5}"/>
    <cellStyle name="쉼표 [0] 3 3 3 7" xfId="9749" xr:uid="{73C0F5B0-7DBA-436E-A240-C0CBCFA96DF3}"/>
    <cellStyle name="쉼표 [0] 3 3 4" xfId="1922" xr:uid="{00000000-0005-0000-0000-000050160000}"/>
    <cellStyle name="쉼표 [0] 3 3 4 2" xfId="1923" xr:uid="{00000000-0005-0000-0000-000051160000}"/>
    <cellStyle name="쉼표 [0] 3 3 4 2 2" xfId="4264" xr:uid="{00000000-0005-0000-0000-000052160000}"/>
    <cellStyle name="쉼표 [0] 3 3 4 2 2 2" xfId="7925" xr:uid="{00000000-0005-0000-0000-000053160000}"/>
    <cellStyle name="쉼표 [0] 3 3 4 2 2 2 2" xfId="15242" xr:uid="{1D44A856-6B7C-4BA6-8B36-9BB6B4D171D0}"/>
    <cellStyle name="쉼표 [0] 3 3 4 2 2 3" xfId="11584" xr:uid="{E11E6D43-EAA2-41D5-80D1-CA6AFE2D8222}"/>
    <cellStyle name="쉼표 [0] 3 3 4 2 3" xfId="6096" xr:uid="{00000000-0005-0000-0000-000054160000}"/>
    <cellStyle name="쉼표 [0] 3 3 4 2 3 2" xfId="13413" xr:uid="{2BE9E2E5-60DD-46A2-A42D-45C580EB3B6F}"/>
    <cellStyle name="쉼표 [0] 3 3 4 2 4" xfId="9754" xr:uid="{16D87FA3-7896-4F92-B51D-AE84D11A2716}"/>
    <cellStyle name="쉼표 [0] 3 3 4 3" xfId="1924" xr:uid="{00000000-0005-0000-0000-000055160000}"/>
    <cellStyle name="쉼표 [0] 3 3 4 3 2" xfId="4265" xr:uid="{00000000-0005-0000-0000-000056160000}"/>
    <cellStyle name="쉼표 [0] 3 3 4 3 2 2" xfId="7926" xr:uid="{00000000-0005-0000-0000-000057160000}"/>
    <cellStyle name="쉼표 [0] 3 3 4 3 2 2 2" xfId="15243" xr:uid="{81F0FAC4-FB04-4AD9-BA18-9C3F7899142A}"/>
    <cellStyle name="쉼표 [0] 3 3 4 3 2 3" xfId="11585" xr:uid="{7E068FF0-EB04-47B7-9FA0-01715C8BCD2C}"/>
    <cellStyle name="쉼표 [0] 3 3 4 3 3" xfId="6097" xr:uid="{00000000-0005-0000-0000-000058160000}"/>
    <cellStyle name="쉼표 [0] 3 3 4 3 3 2" xfId="13414" xr:uid="{08B4F2B2-39B0-4960-9715-185681635BE2}"/>
    <cellStyle name="쉼표 [0] 3 3 4 3 4" xfId="9755" xr:uid="{A5F2FA2E-8A57-467B-871B-9CDBD8BF83A8}"/>
    <cellStyle name="쉼표 [0] 3 3 4 4" xfId="1925" xr:uid="{00000000-0005-0000-0000-000059160000}"/>
    <cellStyle name="쉼표 [0] 3 3 4 4 2" xfId="4266" xr:uid="{00000000-0005-0000-0000-00005A160000}"/>
    <cellStyle name="쉼표 [0] 3 3 4 4 2 2" xfId="7927" xr:uid="{00000000-0005-0000-0000-00005B160000}"/>
    <cellStyle name="쉼표 [0] 3 3 4 4 2 2 2" xfId="15244" xr:uid="{7F046E77-50E5-4020-A78B-C75E60E56CBB}"/>
    <cellStyle name="쉼표 [0] 3 3 4 4 2 3" xfId="11586" xr:uid="{B4A0CF47-6D22-4CE6-B132-DF48E441E37C}"/>
    <cellStyle name="쉼표 [0] 3 3 4 4 3" xfId="6098" xr:uid="{00000000-0005-0000-0000-00005C160000}"/>
    <cellStyle name="쉼표 [0] 3 3 4 4 3 2" xfId="13415" xr:uid="{3D0F76C9-B69B-4C09-B4FB-048FA73BAA6A}"/>
    <cellStyle name="쉼표 [0] 3 3 4 4 4" xfId="9756" xr:uid="{767AC0FC-4016-43F7-A6EE-FBC74B5F76FD}"/>
    <cellStyle name="쉼표 [0] 3 3 4 5" xfId="4263" xr:uid="{00000000-0005-0000-0000-00005D160000}"/>
    <cellStyle name="쉼표 [0] 3 3 4 5 2" xfId="7924" xr:uid="{00000000-0005-0000-0000-00005E160000}"/>
    <cellStyle name="쉼표 [0] 3 3 4 5 2 2" xfId="15241" xr:uid="{09FDE9EA-9A5A-41DD-88D7-BDB8B3628C46}"/>
    <cellStyle name="쉼표 [0] 3 3 4 5 3" xfId="11583" xr:uid="{ED0F3536-397E-4572-8025-9CFA0E893A4F}"/>
    <cellStyle name="쉼표 [0] 3 3 4 6" xfId="6095" xr:uid="{00000000-0005-0000-0000-00005F160000}"/>
    <cellStyle name="쉼표 [0] 3 3 4 6 2" xfId="13412" xr:uid="{D66E051A-0BC0-4D9A-B348-C9127D0E905A}"/>
    <cellStyle name="쉼표 [0] 3 3 4 7" xfId="9753" xr:uid="{D3127FC3-1FD5-4019-909B-BC91BB38D95A}"/>
    <cellStyle name="쉼표 [0] 3 3 5" xfId="1926" xr:uid="{00000000-0005-0000-0000-000060160000}"/>
    <cellStyle name="쉼표 [0] 3 3 5 2" xfId="1927" xr:uid="{00000000-0005-0000-0000-000061160000}"/>
    <cellStyle name="쉼표 [0] 3 3 5 2 2" xfId="4268" xr:uid="{00000000-0005-0000-0000-000062160000}"/>
    <cellStyle name="쉼표 [0] 3 3 5 2 2 2" xfId="7929" xr:uid="{00000000-0005-0000-0000-000063160000}"/>
    <cellStyle name="쉼표 [0] 3 3 5 2 2 2 2" xfId="15246" xr:uid="{BAC5AAFA-DDB4-4584-87AC-73786A0BBAFF}"/>
    <cellStyle name="쉼표 [0] 3 3 5 2 2 3" xfId="11588" xr:uid="{B42E419B-2DD0-4863-AD7F-DAE2526B8D32}"/>
    <cellStyle name="쉼표 [0] 3 3 5 2 3" xfId="6100" xr:uid="{00000000-0005-0000-0000-000064160000}"/>
    <cellStyle name="쉼표 [0] 3 3 5 2 3 2" xfId="13417" xr:uid="{9AE0F797-FEF4-432F-9012-1AA9F21B1D7F}"/>
    <cellStyle name="쉼표 [0] 3 3 5 2 4" xfId="9758" xr:uid="{0C8804D8-193B-4E61-8F69-42560B43ABD6}"/>
    <cellStyle name="쉼표 [0] 3 3 5 3" xfId="1928" xr:uid="{00000000-0005-0000-0000-000065160000}"/>
    <cellStyle name="쉼표 [0] 3 3 5 3 2" xfId="4269" xr:uid="{00000000-0005-0000-0000-000066160000}"/>
    <cellStyle name="쉼표 [0] 3 3 5 3 2 2" xfId="7930" xr:uid="{00000000-0005-0000-0000-000067160000}"/>
    <cellStyle name="쉼표 [0] 3 3 5 3 2 2 2" xfId="15247" xr:uid="{EE087C8F-F84F-4357-8E34-670E16494E1A}"/>
    <cellStyle name="쉼표 [0] 3 3 5 3 2 3" xfId="11589" xr:uid="{AD58D29F-01E5-414A-A1B7-B9366D5C6780}"/>
    <cellStyle name="쉼표 [0] 3 3 5 3 3" xfId="6101" xr:uid="{00000000-0005-0000-0000-000068160000}"/>
    <cellStyle name="쉼표 [0] 3 3 5 3 3 2" xfId="13418" xr:uid="{1343C8EA-A7D2-4D45-B973-2177EEDAF5D8}"/>
    <cellStyle name="쉼표 [0] 3 3 5 3 4" xfId="9759" xr:uid="{FFF3C078-F6C7-4BE7-8B68-A7BE9988BD71}"/>
    <cellStyle name="쉼표 [0] 3 3 5 4" xfId="4267" xr:uid="{00000000-0005-0000-0000-000069160000}"/>
    <cellStyle name="쉼표 [0] 3 3 5 4 2" xfId="7928" xr:uid="{00000000-0005-0000-0000-00006A160000}"/>
    <cellStyle name="쉼표 [0] 3 3 5 4 2 2" xfId="15245" xr:uid="{A83D1479-D2D2-48EC-ACF8-E463F81B72C1}"/>
    <cellStyle name="쉼표 [0] 3 3 5 4 3" xfId="11587" xr:uid="{0DF17D98-FD80-4CFE-BFFC-EBF294C64314}"/>
    <cellStyle name="쉼표 [0] 3 3 5 5" xfId="6099" xr:uid="{00000000-0005-0000-0000-00006B160000}"/>
    <cellStyle name="쉼표 [0] 3 3 5 5 2" xfId="13416" xr:uid="{DF6730A8-EECF-4C32-9A05-FB1427195201}"/>
    <cellStyle name="쉼표 [0] 3 3 5 6" xfId="9757" xr:uid="{EFF4FB86-B1CF-4ED9-9EAA-09D960AB8480}"/>
    <cellStyle name="쉼표 [0] 3 3 6" xfId="1929" xr:uid="{00000000-0005-0000-0000-00006C160000}"/>
    <cellStyle name="쉼표 [0] 3 3 6 2" xfId="1930" xr:uid="{00000000-0005-0000-0000-00006D160000}"/>
    <cellStyle name="쉼표 [0] 3 3 6 2 2" xfId="4271" xr:uid="{00000000-0005-0000-0000-00006E160000}"/>
    <cellStyle name="쉼표 [0] 3 3 6 2 2 2" xfId="7932" xr:uid="{00000000-0005-0000-0000-00006F160000}"/>
    <cellStyle name="쉼표 [0] 3 3 6 2 2 2 2" xfId="15249" xr:uid="{F8C24680-69D9-458C-B673-B953D70EBD7F}"/>
    <cellStyle name="쉼표 [0] 3 3 6 2 2 3" xfId="11591" xr:uid="{E9F66C1F-A15D-46C9-AB3B-B1C7E41B28C5}"/>
    <cellStyle name="쉼표 [0] 3 3 6 2 3" xfId="6103" xr:uid="{00000000-0005-0000-0000-000070160000}"/>
    <cellStyle name="쉼표 [0] 3 3 6 2 3 2" xfId="13420" xr:uid="{823A1A39-0D37-4F86-9EB8-16FFA6A94F12}"/>
    <cellStyle name="쉼표 [0] 3 3 6 2 4" xfId="9761" xr:uid="{E13794BB-AB3F-496C-ADFB-ECFCCC3A7B57}"/>
    <cellStyle name="쉼표 [0] 3 3 6 3" xfId="1931" xr:uid="{00000000-0005-0000-0000-000071160000}"/>
    <cellStyle name="쉼표 [0] 3 3 6 3 2" xfId="4272" xr:uid="{00000000-0005-0000-0000-000072160000}"/>
    <cellStyle name="쉼표 [0] 3 3 6 3 2 2" xfId="7933" xr:uid="{00000000-0005-0000-0000-000073160000}"/>
    <cellStyle name="쉼표 [0] 3 3 6 3 2 2 2" xfId="15250" xr:uid="{A5F26EB1-39A4-4587-9F86-ABDBE822EC44}"/>
    <cellStyle name="쉼표 [0] 3 3 6 3 2 3" xfId="11592" xr:uid="{EC87C701-4598-4067-8E36-F6E591CFFA57}"/>
    <cellStyle name="쉼표 [0] 3 3 6 3 3" xfId="6104" xr:uid="{00000000-0005-0000-0000-000074160000}"/>
    <cellStyle name="쉼표 [0] 3 3 6 3 3 2" xfId="13421" xr:uid="{E9ABA57A-6E3E-4B91-9673-8771AB6F60C8}"/>
    <cellStyle name="쉼표 [0] 3 3 6 3 4" xfId="9762" xr:uid="{F0D16B2B-2F21-4BDC-A655-BD2506A35118}"/>
    <cellStyle name="쉼표 [0] 3 3 6 4" xfId="4270" xr:uid="{00000000-0005-0000-0000-000075160000}"/>
    <cellStyle name="쉼표 [0] 3 3 6 4 2" xfId="7931" xr:uid="{00000000-0005-0000-0000-000076160000}"/>
    <cellStyle name="쉼표 [0] 3 3 6 4 2 2" xfId="15248" xr:uid="{F6732251-7CDF-4EA9-8374-6AFDA7E7969C}"/>
    <cellStyle name="쉼표 [0] 3 3 6 4 3" xfId="11590" xr:uid="{1403543B-0F4C-4389-B605-D3698327D2B1}"/>
    <cellStyle name="쉼표 [0] 3 3 6 5" xfId="6102" xr:uid="{00000000-0005-0000-0000-000077160000}"/>
    <cellStyle name="쉼표 [0] 3 3 6 5 2" xfId="13419" xr:uid="{59CB7C1B-1DFD-4A35-8293-C1A4D8AF6170}"/>
    <cellStyle name="쉼표 [0] 3 3 6 6" xfId="9760" xr:uid="{6E602F52-C50E-46A2-AD04-1BD86E4BD98D}"/>
    <cellStyle name="쉼표 [0] 3 3 7" xfId="1932" xr:uid="{00000000-0005-0000-0000-000078160000}"/>
    <cellStyle name="쉼표 [0] 3 3 7 2" xfId="1933" xr:uid="{00000000-0005-0000-0000-000079160000}"/>
    <cellStyle name="쉼표 [0] 3 3 7 2 2" xfId="4274" xr:uid="{00000000-0005-0000-0000-00007A160000}"/>
    <cellStyle name="쉼표 [0] 3 3 7 2 2 2" xfId="7935" xr:uid="{00000000-0005-0000-0000-00007B160000}"/>
    <cellStyle name="쉼표 [0] 3 3 7 2 2 2 2" xfId="15252" xr:uid="{002C4C82-8CA5-46F4-A362-D0F92AA17BAC}"/>
    <cellStyle name="쉼표 [0] 3 3 7 2 2 3" xfId="11594" xr:uid="{F086D840-8462-4389-9CCE-9FC3B8EBB518}"/>
    <cellStyle name="쉼표 [0] 3 3 7 2 3" xfId="6106" xr:uid="{00000000-0005-0000-0000-00007C160000}"/>
    <cellStyle name="쉼표 [0] 3 3 7 2 3 2" xfId="13423" xr:uid="{7CADB732-3A6D-47D8-99B4-3C8B2C58E578}"/>
    <cellStyle name="쉼표 [0] 3 3 7 2 4" xfId="9764" xr:uid="{0F1F8920-B697-4408-86A5-DD9549E4BB33}"/>
    <cellStyle name="쉼표 [0] 3 3 7 3" xfId="1934" xr:uid="{00000000-0005-0000-0000-00007D160000}"/>
    <cellStyle name="쉼표 [0] 3 3 7 3 2" xfId="4275" xr:uid="{00000000-0005-0000-0000-00007E160000}"/>
    <cellStyle name="쉼표 [0] 3 3 7 3 2 2" xfId="7936" xr:uid="{00000000-0005-0000-0000-00007F160000}"/>
    <cellStyle name="쉼표 [0] 3 3 7 3 2 2 2" xfId="15253" xr:uid="{A5A62915-7A01-4F63-A400-012AA20A3251}"/>
    <cellStyle name="쉼표 [0] 3 3 7 3 2 3" xfId="11595" xr:uid="{AC889674-BB7F-4E74-A837-8E2D824097A2}"/>
    <cellStyle name="쉼표 [0] 3 3 7 3 3" xfId="6107" xr:uid="{00000000-0005-0000-0000-000080160000}"/>
    <cellStyle name="쉼표 [0] 3 3 7 3 3 2" xfId="13424" xr:uid="{6B624575-B7E5-4B14-A86B-9AB3AF856D82}"/>
    <cellStyle name="쉼표 [0] 3 3 7 3 4" xfId="9765" xr:uid="{A017C0E0-BB3C-4553-A46F-89325CF77D86}"/>
    <cellStyle name="쉼표 [0] 3 3 7 4" xfId="4273" xr:uid="{00000000-0005-0000-0000-000081160000}"/>
    <cellStyle name="쉼표 [0] 3 3 7 4 2" xfId="7934" xr:uid="{00000000-0005-0000-0000-000082160000}"/>
    <cellStyle name="쉼표 [0] 3 3 7 4 2 2" xfId="15251" xr:uid="{C6D7F189-BD6C-43D0-BF8C-AE2638B0A6F6}"/>
    <cellStyle name="쉼표 [0] 3 3 7 4 3" xfId="11593" xr:uid="{53BA2008-F47C-42E4-9C29-7E6654698099}"/>
    <cellStyle name="쉼표 [0] 3 3 7 5" xfId="6105" xr:uid="{00000000-0005-0000-0000-000083160000}"/>
    <cellStyle name="쉼표 [0] 3 3 7 5 2" xfId="13422" xr:uid="{81E64821-CD58-4DEB-A035-29C131B5958F}"/>
    <cellStyle name="쉼표 [0] 3 3 7 6" xfId="9763" xr:uid="{E8894BE9-CF2E-4AAD-BDD6-4D19607C715F}"/>
    <cellStyle name="쉼표 [0] 3 3 8" xfId="1935" xr:uid="{00000000-0005-0000-0000-000084160000}"/>
    <cellStyle name="쉼표 [0] 3 3 8 2" xfId="4276" xr:uid="{00000000-0005-0000-0000-000085160000}"/>
    <cellStyle name="쉼표 [0] 3 3 8 2 2" xfId="7937" xr:uid="{00000000-0005-0000-0000-000086160000}"/>
    <cellStyle name="쉼표 [0] 3 3 8 2 2 2" xfId="15254" xr:uid="{C9AAC932-9821-4794-A2A8-54587A7F0686}"/>
    <cellStyle name="쉼표 [0] 3 3 8 2 3" xfId="11596" xr:uid="{D34F2F15-2ECC-4E72-BE1E-05D37970C751}"/>
    <cellStyle name="쉼표 [0] 3 3 8 3" xfId="6108" xr:uid="{00000000-0005-0000-0000-000087160000}"/>
    <cellStyle name="쉼표 [0] 3 3 8 3 2" xfId="13425" xr:uid="{0BA77BC1-15F5-40FE-A80D-C2F8A0758AA4}"/>
    <cellStyle name="쉼표 [0] 3 3 8 4" xfId="9766" xr:uid="{CDE0B924-31D8-4313-A679-720314EA266E}"/>
    <cellStyle name="쉼표 [0] 3 3 9" xfId="1936" xr:uid="{00000000-0005-0000-0000-000088160000}"/>
    <cellStyle name="쉼표 [0] 3 3 9 2" xfId="4277" xr:uid="{00000000-0005-0000-0000-000089160000}"/>
    <cellStyle name="쉼표 [0] 3 3 9 2 2" xfId="7938" xr:uid="{00000000-0005-0000-0000-00008A160000}"/>
    <cellStyle name="쉼표 [0] 3 3 9 2 2 2" xfId="15255" xr:uid="{31787A73-D9E3-4437-A471-61CD502C302B}"/>
    <cellStyle name="쉼표 [0] 3 3 9 2 3" xfId="11597" xr:uid="{0F3B0A32-A9A2-445A-8329-145249253251}"/>
    <cellStyle name="쉼표 [0] 3 3 9 3" xfId="6109" xr:uid="{00000000-0005-0000-0000-00008B160000}"/>
    <cellStyle name="쉼표 [0] 3 3 9 3 2" xfId="13426" xr:uid="{0295D9B2-D02C-46A6-9006-8EC6F46E95B4}"/>
    <cellStyle name="쉼표 [0] 3 3 9 4" xfId="9767" xr:uid="{7C90D6D9-5EA1-4A90-9A7B-FF8CF57F1015}"/>
    <cellStyle name="쉼표 [0] 3 4" xfId="1937" xr:uid="{00000000-0005-0000-0000-00008C160000}"/>
    <cellStyle name="쉼표 [0] 3 4 10" xfId="1938" xr:uid="{00000000-0005-0000-0000-00008D160000}"/>
    <cellStyle name="쉼표 [0] 3 4 10 2" xfId="4279" xr:uid="{00000000-0005-0000-0000-00008E160000}"/>
    <cellStyle name="쉼표 [0] 3 4 10 2 2" xfId="7940" xr:uid="{00000000-0005-0000-0000-00008F160000}"/>
    <cellStyle name="쉼표 [0] 3 4 10 2 2 2" xfId="15257" xr:uid="{B29DD830-3E43-4CBD-B5FB-93FF9115AF85}"/>
    <cellStyle name="쉼표 [0] 3 4 10 2 3" xfId="11599" xr:uid="{10489F32-86E7-48CB-9E27-33ABB164335D}"/>
    <cellStyle name="쉼표 [0] 3 4 10 3" xfId="6111" xr:uid="{00000000-0005-0000-0000-000090160000}"/>
    <cellStyle name="쉼표 [0] 3 4 10 3 2" xfId="13428" xr:uid="{BEA744FF-116C-45DC-8A6F-D66B71596AE8}"/>
    <cellStyle name="쉼표 [0] 3 4 10 4" xfId="9769" xr:uid="{57C768FC-7DD3-44C1-844A-DA342BFD8396}"/>
    <cellStyle name="쉼표 [0] 3 4 11" xfId="4278" xr:uid="{00000000-0005-0000-0000-000091160000}"/>
    <cellStyle name="쉼표 [0] 3 4 11 2" xfId="7939" xr:uid="{00000000-0005-0000-0000-000092160000}"/>
    <cellStyle name="쉼표 [0] 3 4 11 2 2" xfId="15256" xr:uid="{A57255A7-3740-47B6-ACCD-0B5242DC95CC}"/>
    <cellStyle name="쉼표 [0] 3 4 11 3" xfId="11598" xr:uid="{F60B2700-ECFA-4A3D-855B-302E1549DE42}"/>
    <cellStyle name="쉼표 [0] 3 4 12" xfId="6110" xr:uid="{00000000-0005-0000-0000-000093160000}"/>
    <cellStyle name="쉼표 [0] 3 4 12 2" xfId="13427" xr:uid="{4D242DB6-C738-41B4-BA44-8599318F0F39}"/>
    <cellStyle name="쉼표 [0] 3 4 13" xfId="9768" xr:uid="{BD2BE277-C66B-404C-8FF8-CA19EC66CF8D}"/>
    <cellStyle name="쉼표 [0] 3 4 2" xfId="1939" xr:uid="{00000000-0005-0000-0000-000094160000}"/>
    <cellStyle name="쉼표 [0] 3 4 2 2" xfId="1940" xr:uid="{00000000-0005-0000-0000-000095160000}"/>
    <cellStyle name="쉼표 [0] 3 4 2 2 2" xfId="1941" xr:uid="{00000000-0005-0000-0000-000096160000}"/>
    <cellStyle name="쉼표 [0] 3 4 2 2 2 2" xfId="4282" xr:uid="{00000000-0005-0000-0000-000097160000}"/>
    <cellStyle name="쉼표 [0] 3 4 2 2 2 2 2" xfId="7943" xr:uid="{00000000-0005-0000-0000-000098160000}"/>
    <cellStyle name="쉼표 [0] 3 4 2 2 2 2 2 2" xfId="15260" xr:uid="{B3DFFB35-90F6-4C00-B088-78ADAD336C39}"/>
    <cellStyle name="쉼표 [0] 3 4 2 2 2 2 3" xfId="11602" xr:uid="{620CFECD-DCEA-4342-8A51-A2607B8C9D32}"/>
    <cellStyle name="쉼표 [0] 3 4 2 2 2 3" xfId="6114" xr:uid="{00000000-0005-0000-0000-000099160000}"/>
    <cellStyle name="쉼표 [0] 3 4 2 2 2 3 2" xfId="13431" xr:uid="{8B1A8249-8F46-47C9-B327-264A1F582B8F}"/>
    <cellStyle name="쉼표 [0] 3 4 2 2 2 4" xfId="9772" xr:uid="{C9B2242D-9A28-4D10-862A-0BBE85B008D8}"/>
    <cellStyle name="쉼표 [0] 3 4 2 2 3" xfId="4281" xr:uid="{00000000-0005-0000-0000-00009A160000}"/>
    <cellStyle name="쉼표 [0] 3 4 2 2 3 2" xfId="7942" xr:uid="{00000000-0005-0000-0000-00009B160000}"/>
    <cellStyle name="쉼표 [0] 3 4 2 2 3 2 2" xfId="15259" xr:uid="{6FF1D741-30AC-494C-83F3-2555AB8519D6}"/>
    <cellStyle name="쉼표 [0] 3 4 2 2 3 3" xfId="11601" xr:uid="{D1215540-33A4-4A31-BEB2-08041DAE8797}"/>
    <cellStyle name="쉼표 [0] 3 4 2 2 4" xfId="6113" xr:uid="{00000000-0005-0000-0000-00009C160000}"/>
    <cellStyle name="쉼표 [0] 3 4 2 2 4 2" xfId="13430" xr:uid="{155A64B2-1635-4588-B43B-46633D763E02}"/>
    <cellStyle name="쉼표 [0] 3 4 2 2 5" xfId="9771" xr:uid="{6F76D883-252B-467F-B566-17F3223CFC87}"/>
    <cellStyle name="쉼표 [0] 3 4 2 3" xfId="1942" xr:uid="{00000000-0005-0000-0000-00009D160000}"/>
    <cellStyle name="쉼표 [0] 3 4 2 3 2" xfId="1943" xr:uid="{00000000-0005-0000-0000-00009E160000}"/>
    <cellStyle name="쉼표 [0] 3 4 2 3 2 2" xfId="4284" xr:uid="{00000000-0005-0000-0000-00009F160000}"/>
    <cellStyle name="쉼표 [0] 3 4 2 3 2 2 2" xfId="7945" xr:uid="{00000000-0005-0000-0000-0000A0160000}"/>
    <cellStyle name="쉼표 [0] 3 4 2 3 2 2 2 2" xfId="15262" xr:uid="{AC14F9DE-1216-4826-8193-B883CCC3267B}"/>
    <cellStyle name="쉼표 [0] 3 4 2 3 2 2 3" xfId="11604" xr:uid="{A59173D5-895E-4D5B-8241-17FF33262830}"/>
    <cellStyle name="쉼표 [0] 3 4 2 3 2 3" xfId="6116" xr:uid="{00000000-0005-0000-0000-0000A1160000}"/>
    <cellStyle name="쉼표 [0] 3 4 2 3 2 3 2" xfId="13433" xr:uid="{53830CC5-302B-4A31-86B4-7DB6144AF73F}"/>
    <cellStyle name="쉼표 [0] 3 4 2 3 2 4" xfId="9774" xr:uid="{EB917058-77A9-41EF-BB22-0A47D0526EEF}"/>
    <cellStyle name="쉼표 [0] 3 4 2 3 3" xfId="4283" xr:uid="{00000000-0005-0000-0000-0000A2160000}"/>
    <cellStyle name="쉼표 [0] 3 4 2 3 3 2" xfId="7944" xr:uid="{00000000-0005-0000-0000-0000A3160000}"/>
    <cellStyle name="쉼표 [0] 3 4 2 3 3 2 2" xfId="15261" xr:uid="{AB3F2ED7-D872-407E-BEB0-51F82C46B098}"/>
    <cellStyle name="쉼표 [0] 3 4 2 3 3 3" xfId="11603" xr:uid="{5DA59079-3424-4727-84F2-8A49E7830F84}"/>
    <cellStyle name="쉼표 [0] 3 4 2 3 4" xfId="6115" xr:uid="{00000000-0005-0000-0000-0000A4160000}"/>
    <cellStyle name="쉼표 [0] 3 4 2 3 4 2" xfId="13432" xr:uid="{609C95CE-5C69-4232-9CF2-B0659FCB83BA}"/>
    <cellStyle name="쉼표 [0] 3 4 2 3 5" xfId="9773" xr:uid="{05215E92-1650-4D2B-979B-15C85BC96432}"/>
    <cellStyle name="쉼표 [0] 3 4 2 4" xfId="1944" xr:uid="{00000000-0005-0000-0000-0000A5160000}"/>
    <cellStyle name="쉼표 [0] 3 4 2 4 2" xfId="4285" xr:uid="{00000000-0005-0000-0000-0000A6160000}"/>
    <cellStyle name="쉼표 [0] 3 4 2 4 2 2" xfId="7946" xr:uid="{00000000-0005-0000-0000-0000A7160000}"/>
    <cellStyle name="쉼표 [0] 3 4 2 4 2 2 2" xfId="15263" xr:uid="{A3540CC4-283C-48EB-B30B-88F508883360}"/>
    <cellStyle name="쉼표 [0] 3 4 2 4 2 3" xfId="11605" xr:uid="{2E341B55-E6E0-4C85-A018-853D14F82A67}"/>
    <cellStyle name="쉼표 [0] 3 4 2 4 3" xfId="6117" xr:uid="{00000000-0005-0000-0000-0000A8160000}"/>
    <cellStyle name="쉼표 [0] 3 4 2 4 3 2" xfId="13434" xr:uid="{B289D0A5-242E-4B93-93AA-715F07D3B153}"/>
    <cellStyle name="쉼표 [0] 3 4 2 4 4" xfId="9775" xr:uid="{EC422E84-DAD8-48B9-A673-5C4D3FC285A7}"/>
    <cellStyle name="쉼표 [0] 3 4 2 5" xfId="1945" xr:uid="{00000000-0005-0000-0000-0000A9160000}"/>
    <cellStyle name="쉼표 [0] 3 4 2 5 2" xfId="4286" xr:uid="{00000000-0005-0000-0000-0000AA160000}"/>
    <cellStyle name="쉼표 [0] 3 4 2 5 2 2" xfId="7947" xr:uid="{00000000-0005-0000-0000-0000AB160000}"/>
    <cellStyle name="쉼표 [0] 3 4 2 5 2 2 2" xfId="15264" xr:uid="{8EF23ABD-229A-4595-B6E7-5583887C97B5}"/>
    <cellStyle name="쉼표 [0] 3 4 2 5 2 3" xfId="11606" xr:uid="{5900EB95-E8B5-4897-906B-B54CDCBD2884}"/>
    <cellStyle name="쉼표 [0] 3 4 2 5 3" xfId="6118" xr:uid="{00000000-0005-0000-0000-0000AC160000}"/>
    <cellStyle name="쉼표 [0] 3 4 2 5 3 2" xfId="13435" xr:uid="{955E2588-268B-4D29-96B8-C1154D5B85EF}"/>
    <cellStyle name="쉼표 [0] 3 4 2 5 4" xfId="9776" xr:uid="{A36F92D5-D898-4362-B8CC-1F5AA0059250}"/>
    <cellStyle name="쉼표 [0] 3 4 2 6" xfId="4280" xr:uid="{00000000-0005-0000-0000-0000AD160000}"/>
    <cellStyle name="쉼표 [0] 3 4 2 6 2" xfId="7941" xr:uid="{00000000-0005-0000-0000-0000AE160000}"/>
    <cellStyle name="쉼표 [0] 3 4 2 6 2 2" xfId="15258" xr:uid="{E01C9CB5-BD7A-46D1-932B-EA49768C89CA}"/>
    <cellStyle name="쉼표 [0] 3 4 2 6 3" xfId="11600" xr:uid="{9B436620-8A27-4D74-92F2-D54B848C8268}"/>
    <cellStyle name="쉼표 [0] 3 4 2 7" xfId="6112" xr:uid="{00000000-0005-0000-0000-0000AF160000}"/>
    <cellStyle name="쉼표 [0] 3 4 2 7 2" xfId="13429" xr:uid="{A2606E24-C2AE-48BD-8EC8-A24FC6C5E54D}"/>
    <cellStyle name="쉼표 [0] 3 4 2 8" xfId="9770" xr:uid="{D93A08BF-F4F0-4B84-AFBD-E8F9BDB63F30}"/>
    <cellStyle name="쉼표 [0] 3 4 3" xfId="1946" xr:uid="{00000000-0005-0000-0000-0000B0160000}"/>
    <cellStyle name="쉼표 [0] 3 4 3 2" xfId="1947" xr:uid="{00000000-0005-0000-0000-0000B1160000}"/>
    <cellStyle name="쉼표 [0] 3 4 3 2 2" xfId="4288" xr:uid="{00000000-0005-0000-0000-0000B2160000}"/>
    <cellStyle name="쉼표 [0] 3 4 3 2 2 2" xfId="7949" xr:uid="{00000000-0005-0000-0000-0000B3160000}"/>
    <cellStyle name="쉼표 [0] 3 4 3 2 2 2 2" xfId="15266" xr:uid="{1E3BD473-4422-47D2-8CEA-9118E68CF98A}"/>
    <cellStyle name="쉼표 [0] 3 4 3 2 2 3" xfId="11608" xr:uid="{5031D37A-1909-42D8-8E53-2132A3E1AD6E}"/>
    <cellStyle name="쉼표 [0] 3 4 3 2 3" xfId="6120" xr:uid="{00000000-0005-0000-0000-0000B4160000}"/>
    <cellStyle name="쉼표 [0] 3 4 3 2 3 2" xfId="13437" xr:uid="{4E9579FA-ED23-47D2-B62A-5CC58FE747D6}"/>
    <cellStyle name="쉼표 [0] 3 4 3 2 4" xfId="9778" xr:uid="{54ED6201-D619-48FB-A7FE-CBC750A66FD9}"/>
    <cellStyle name="쉼표 [0] 3 4 3 3" xfId="1948" xr:uid="{00000000-0005-0000-0000-0000B5160000}"/>
    <cellStyle name="쉼표 [0] 3 4 3 3 2" xfId="4289" xr:uid="{00000000-0005-0000-0000-0000B6160000}"/>
    <cellStyle name="쉼표 [0] 3 4 3 3 2 2" xfId="7950" xr:uid="{00000000-0005-0000-0000-0000B7160000}"/>
    <cellStyle name="쉼표 [0] 3 4 3 3 2 2 2" xfId="15267" xr:uid="{23148639-C665-4F69-BFFD-5E0A9CDAB900}"/>
    <cellStyle name="쉼표 [0] 3 4 3 3 2 3" xfId="11609" xr:uid="{CD56B775-9A2B-4F17-8B4C-85D1E66E5DC1}"/>
    <cellStyle name="쉼표 [0] 3 4 3 3 3" xfId="6121" xr:uid="{00000000-0005-0000-0000-0000B8160000}"/>
    <cellStyle name="쉼표 [0] 3 4 3 3 3 2" xfId="13438" xr:uid="{5B0DFF9E-252C-4A32-B2A4-F0D52ADB0AE8}"/>
    <cellStyle name="쉼표 [0] 3 4 3 3 4" xfId="9779" xr:uid="{50BFB5CB-8B2A-465A-8382-ECB5A859CE45}"/>
    <cellStyle name="쉼표 [0] 3 4 3 4" xfId="1949" xr:uid="{00000000-0005-0000-0000-0000B9160000}"/>
    <cellStyle name="쉼표 [0] 3 4 3 4 2" xfId="4290" xr:uid="{00000000-0005-0000-0000-0000BA160000}"/>
    <cellStyle name="쉼표 [0] 3 4 3 4 2 2" xfId="7951" xr:uid="{00000000-0005-0000-0000-0000BB160000}"/>
    <cellStyle name="쉼표 [0] 3 4 3 4 2 2 2" xfId="15268" xr:uid="{E0CB9AF0-64C2-4031-BF3A-CDF048B1B39D}"/>
    <cellStyle name="쉼표 [0] 3 4 3 4 2 3" xfId="11610" xr:uid="{CBDBD61A-5971-40DA-B3BB-718565B47FC5}"/>
    <cellStyle name="쉼표 [0] 3 4 3 4 3" xfId="6122" xr:uid="{00000000-0005-0000-0000-0000BC160000}"/>
    <cellStyle name="쉼표 [0] 3 4 3 4 3 2" xfId="13439" xr:uid="{F09F11C8-E16E-4DA9-8B7E-A7C7A4A63F21}"/>
    <cellStyle name="쉼표 [0] 3 4 3 4 4" xfId="9780" xr:uid="{D2453D7B-8EA6-4630-9A91-C77780E1415C}"/>
    <cellStyle name="쉼표 [0] 3 4 3 5" xfId="4287" xr:uid="{00000000-0005-0000-0000-0000BD160000}"/>
    <cellStyle name="쉼표 [0] 3 4 3 5 2" xfId="7948" xr:uid="{00000000-0005-0000-0000-0000BE160000}"/>
    <cellStyle name="쉼표 [0] 3 4 3 5 2 2" xfId="15265" xr:uid="{A2571FCA-9545-40C2-B1E5-F73011E30544}"/>
    <cellStyle name="쉼표 [0] 3 4 3 5 3" xfId="11607" xr:uid="{F7004E48-67CE-42C5-8195-49708DDBDEE5}"/>
    <cellStyle name="쉼표 [0] 3 4 3 6" xfId="6119" xr:uid="{00000000-0005-0000-0000-0000BF160000}"/>
    <cellStyle name="쉼표 [0] 3 4 3 6 2" xfId="13436" xr:uid="{1DEB9225-59F3-4D9B-85E8-14C685D5C8F5}"/>
    <cellStyle name="쉼표 [0] 3 4 3 7" xfId="9777" xr:uid="{CE055C8F-CC0D-4A83-93FA-EADDD0635D56}"/>
    <cellStyle name="쉼표 [0] 3 4 4" xfId="1950" xr:uid="{00000000-0005-0000-0000-0000C0160000}"/>
    <cellStyle name="쉼표 [0] 3 4 4 2" xfId="1951" xr:uid="{00000000-0005-0000-0000-0000C1160000}"/>
    <cellStyle name="쉼표 [0] 3 4 4 2 2" xfId="4292" xr:uid="{00000000-0005-0000-0000-0000C2160000}"/>
    <cellStyle name="쉼표 [0] 3 4 4 2 2 2" xfId="7953" xr:uid="{00000000-0005-0000-0000-0000C3160000}"/>
    <cellStyle name="쉼표 [0] 3 4 4 2 2 2 2" xfId="15270" xr:uid="{FBFA15E5-80C7-47C2-B409-775E79C776D4}"/>
    <cellStyle name="쉼표 [0] 3 4 4 2 2 3" xfId="11612" xr:uid="{FDA4DC5D-1E8A-4686-AC2B-7D280C1A1930}"/>
    <cellStyle name="쉼표 [0] 3 4 4 2 3" xfId="6124" xr:uid="{00000000-0005-0000-0000-0000C4160000}"/>
    <cellStyle name="쉼표 [0] 3 4 4 2 3 2" xfId="13441" xr:uid="{F4085084-EA76-4425-8D47-8CB3F7DEDF28}"/>
    <cellStyle name="쉼표 [0] 3 4 4 2 4" xfId="9782" xr:uid="{E068953A-7C70-4B0F-ACA3-3E561795237E}"/>
    <cellStyle name="쉼표 [0] 3 4 4 3" xfId="1952" xr:uid="{00000000-0005-0000-0000-0000C5160000}"/>
    <cellStyle name="쉼표 [0] 3 4 4 3 2" xfId="4293" xr:uid="{00000000-0005-0000-0000-0000C6160000}"/>
    <cellStyle name="쉼표 [0] 3 4 4 3 2 2" xfId="7954" xr:uid="{00000000-0005-0000-0000-0000C7160000}"/>
    <cellStyle name="쉼표 [0] 3 4 4 3 2 2 2" xfId="15271" xr:uid="{ABB652C6-D8D1-41E1-BFC1-07AF7878CE13}"/>
    <cellStyle name="쉼표 [0] 3 4 4 3 2 3" xfId="11613" xr:uid="{1DDA6BEC-090A-4094-8299-20765A12A5E2}"/>
    <cellStyle name="쉼표 [0] 3 4 4 3 3" xfId="6125" xr:uid="{00000000-0005-0000-0000-0000C8160000}"/>
    <cellStyle name="쉼표 [0] 3 4 4 3 3 2" xfId="13442" xr:uid="{E4F02664-2B71-4AE2-9667-3F66D9C8FC19}"/>
    <cellStyle name="쉼표 [0] 3 4 4 3 4" xfId="9783" xr:uid="{4C7DEB61-C701-40F2-9F89-85B4FD68545C}"/>
    <cellStyle name="쉼표 [0] 3 4 4 4" xfId="1953" xr:uid="{00000000-0005-0000-0000-0000C9160000}"/>
    <cellStyle name="쉼표 [0] 3 4 4 4 2" xfId="4294" xr:uid="{00000000-0005-0000-0000-0000CA160000}"/>
    <cellStyle name="쉼표 [0] 3 4 4 4 2 2" xfId="7955" xr:uid="{00000000-0005-0000-0000-0000CB160000}"/>
    <cellStyle name="쉼표 [0] 3 4 4 4 2 2 2" xfId="15272" xr:uid="{B2C70DA2-5219-4610-990A-3BE73550BD30}"/>
    <cellStyle name="쉼표 [0] 3 4 4 4 2 3" xfId="11614" xr:uid="{1C28DCAC-6683-41A1-BC9A-52DC9B52803C}"/>
    <cellStyle name="쉼표 [0] 3 4 4 4 3" xfId="6126" xr:uid="{00000000-0005-0000-0000-0000CC160000}"/>
    <cellStyle name="쉼표 [0] 3 4 4 4 3 2" xfId="13443" xr:uid="{8184819E-5FB8-48FD-8C71-5285329A2CF4}"/>
    <cellStyle name="쉼표 [0] 3 4 4 4 4" xfId="9784" xr:uid="{CA1CD020-314A-406B-807E-AA02EB1BF2AF}"/>
    <cellStyle name="쉼표 [0] 3 4 4 5" xfId="4291" xr:uid="{00000000-0005-0000-0000-0000CD160000}"/>
    <cellStyle name="쉼표 [0] 3 4 4 5 2" xfId="7952" xr:uid="{00000000-0005-0000-0000-0000CE160000}"/>
    <cellStyle name="쉼표 [0] 3 4 4 5 2 2" xfId="15269" xr:uid="{D6387685-450F-4731-AD9A-53BC9461368F}"/>
    <cellStyle name="쉼표 [0] 3 4 4 5 3" xfId="11611" xr:uid="{E4FB86E4-10B3-4879-9675-8FD5FC17B7CC}"/>
    <cellStyle name="쉼표 [0] 3 4 4 6" xfId="6123" xr:uid="{00000000-0005-0000-0000-0000CF160000}"/>
    <cellStyle name="쉼표 [0] 3 4 4 6 2" xfId="13440" xr:uid="{E63481F1-94E4-4CE0-AD1E-2D129CCEE5E7}"/>
    <cellStyle name="쉼표 [0] 3 4 4 7" xfId="9781" xr:uid="{0E5EBB09-ED54-4946-9148-B481EBCB437A}"/>
    <cellStyle name="쉼표 [0] 3 4 5" xfId="1954" xr:uid="{00000000-0005-0000-0000-0000D0160000}"/>
    <cellStyle name="쉼표 [0] 3 4 5 2" xfId="1955" xr:uid="{00000000-0005-0000-0000-0000D1160000}"/>
    <cellStyle name="쉼표 [0] 3 4 5 2 2" xfId="4296" xr:uid="{00000000-0005-0000-0000-0000D2160000}"/>
    <cellStyle name="쉼표 [0] 3 4 5 2 2 2" xfId="7957" xr:uid="{00000000-0005-0000-0000-0000D3160000}"/>
    <cellStyle name="쉼표 [0] 3 4 5 2 2 2 2" xfId="15274" xr:uid="{631C62B4-22B9-45D1-999C-0EDD5232E19B}"/>
    <cellStyle name="쉼표 [0] 3 4 5 2 2 3" xfId="11616" xr:uid="{E39BCEB3-5FCD-46FD-AACB-58AC29E84D62}"/>
    <cellStyle name="쉼표 [0] 3 4 5 2 3" xfId="6128" xr:uid="{00000000-0005-0000-0000-0000D4160000}"/>
    <cellStyle name="쉼표 [0] 3 4 5 2 3 2" xfId="13445" xr:uid="{737C3CDC-61FE-445C-BA8A-02D6849FC2D5}"/>
    <cellStyle name="쉼표 [0] 3 4 5 2 4" xfId="9786" xr:uid="{D79A4399-ACF0-43B5-AF52-6593E86260BB}"/>
    <cellStyle name="쉼표 [0] 3 4 5 3" xfId="1956" xr:uid="{00000000-0005-0000-0000-0000D5160000}"/>
    <cellStyle name="쉼표 [0] 3 4 5 3 2" xfId="4297" xr:uid="{00000000-0005-0000-0000-0000D6160000}"/>
    <cellStyle name="쉼표 [0] 3 4 5 3 2 2" xfId="7958" xr:uid="{00000000-0005-0000-0000-0000D7160000}"/>
    <cellStyle name="쉼표 [0] 3 4 5 3 2 2 2" xfId="15275" xr:uid="{767329DB-A681-4B58-B41C-7F9FA8E56D46}"/>
    <cellStyle name="쉼표 [0] 3 4 5 3 2 3" xfId="11617" xr:uid="{3677D4D7-02DF-49C4-9360-3825C395AEB3}"/>
    <cellStyle name="쉼표 [0] 3 4 5 3 3" xfId="6129" xr:uid="{00000000-0005-0000-0000-0000D8160000}"/>
    <cellStyle name="쉼표 [0] 3 4 5 3 3 2" xfId="13446" xr:uid="{BA62ECEF-80F5-48E7-A29B-EBA5CA98E618}"/>
    <cellStyle name="쉼표 [0] 3 4 5 3 4" xfId="9787" xr:uid="{33EAD803-8370-4E5A-8215-ADAF9ADCF20C}"/>
    <cellStyle name="쉼표 [0] 3 4 5 4" xfId="4295" xr:uid="{00000000-0005-0000-0000-0000D9160000}"/>
    <cellStyle name="쉼표 [0] 3 4 5 4 2" xfId="7956" xr:uid="{00000000-0005-0000-0000-0000DA160000}"/>
    <cellStyle name="쉼표 [0] 3 4 5 4 2 2" xfId="15273" xr:uid="{057FF5D4-5B90-496F-9629-C1ECE34A468E}"/>
    <cellStyle name="쉼표 [0] 3 4 5 4 3" xfId="11615" xr:uid="{4C6BFEE7-B8F9-49D0-B616-947AF9239604}"/>
    <cellStyle name="쉼표 [0] 3 4 5 5" xfId="6127" xr:uid="{00000000-0005-0000-0000-0000DB160000}"/>
    <cellStyle name="쉼표 [0] 3 4 5 5 2" xfId="13444" xr:uid="{8D6E4684-AC52-4292-9EDB-F52788DB9EA6}"/>
    <cellStyle name="쉼표 [0] 3 4 5 6" xfId="9785" xr:uid="{23076BB2-84C0-4F5C-8CD8-CDC76DAFFD2B}"/>
    <cellStyle name="쉼표 [0] 3 4 6" xfId="1957" xr:uid="{00000000-0005-0000-0000-0000DC160000}"/>
    <cellStyle name="쉼표 [0] 3 4 6 2" xfId="1958" xr:uid="{00000000-0005-0000-0000-0000DD160000}"/>
    <cellStyle name="쉼표 [0] 3 4 6 2 2" xfId="4299" xr:uid="{00000000-0005-0000-0000-0000DE160000}"/>
    <cellStyle name="쉼표 [0] 3 4 6 2 2 2" xfId="7960" xr:uid="{00000000-0005-0000-0000-0000DF160000}"/>
    <cellStyle name="쉼표 [0] 3 4 6 2 2 2 2" xfId="15277" xr:uid="{7283DDFC-1C20-45DA-B26E-976F16A394B4}"/>
    <cellStyle name="쉼표 [0] 3 4 6 2 2 3" xfId="11619" xr:uid="{5DCB42E3-9F26-4CDC-A5EF-5A771B950FE2}"/>
    <cellStyle name="쉼표 [0] 3 4 6 2 3" xfId="6131" xr:uid="{00000000-0005-0000-0000-0000E0160000}"/>
    <cellStyle name="쉼표 [0] 3 4 6 2 3 2" xfId="13448" xr:uid="{722A3009-D707-4ECF-A5E6-B42703D95365}"/>
    <cellStyle name="쉼표 [0] 3 4 6 2 4" xfId="9789" xr:uid="{5F612A97-187C-4298-A1E0-C02635E78B4C}"/>
    <cellStyle name="쉼표 [0] 3 4 6 3" xfId="1959" xr:uid="{00000000-0005-0000-0000-0000E1160000}"/>
    <cellStyle name="쉼표 [0] 3 4 6 3 2" xfId="4300" xr:uid="{00000000-0005-0000-0000-0000E2160000}"/>
    <cellStyle name="쉼표 [0] 3 4 6 3 2 2" xfId="7961" xr:uid="{00000000-0005-0000-0000-0000E3160000}"/>
    <cellStyle name="쉼표 [0] 3 4 6 3 2 2 2" xfId="15278" xr:uid="{B5B6E0BB-50D6-4565-8F35-F7DDADB39DC0}"/>
    <cellStyle name="쉼표 [0] 3 4 6 3 2 3" xfId="11620" xr:uid="{4711BB03-C730-4584-A032-0594789F8AA5}"/>
    <cellStyle name="쉼표 [0] 3 4 6 3 3" xfId="6132" xr:uid="{00000000-0005-0000-0000-0000E4160000}"/>
    <cellStyle name="쉼표 [0] 3 4 6 3 3 2" xfId="13449" xr:uid="{16515349-5520-45FE-B127-7EFFE256916D}"/>
    <cellStyle name="쉼표 [0] 3 4 6 3 4" xfId="9790" xr:uid="{F328D927-6912-452F-9C09-8AEA6C892CA2}"/>
    <cellStyle name="쉼표 [0] 3 4 6 4" xfId="4298" xr:uid="{00000000-0005-0000-0000-0000E5160000}"/>
    <cellStyle name="쉼표 [0] 3 4 6 4 2" xfId="7959" xr:uid="{00000000-0005-0000-0000-0000E6160000}"/>
    <cellStyle name="쉼표 [0] 3 4 6 4 2 2" xfId="15276" xr:uid="{55581B33-8970-4E55-8471-67E7252BACF6}"/>
    <cellStyle name="쉼표 [0] 3 4 6 4 3" xfId="11618" xr:uid="{C17EB609-6E08-4E85-B938-411F5C26F329}"/>
    <cellStyle name="쉼표 [0] 3 4 6 5" xfId="6130" xr:uid="{00000000-0005-0000-0000-0000E7160000}"/>
    <cellStyle name="쉼표 [0] 3 4 6 5 2" xfId="13447" xr:uid="{45929B14-80D0-478C-A2EF-1DCB70B2A95E}"/>
    <cellStyle name="쉼표 [0] 3 4 6 6" xfId="9788" xr:uid="{38EC06CF-1C96-47F3-917F-55EA8E52A42C}"/>
    <cellStyle name="쉼표 [0] 3 4 7" xfId="1960" xr:uid="{00000000-0005-0000-0000-0000E8160000}"/>
    <cellStyle name="쉼표 [0] 3 4 7 2" xfId="4301" xr:uid="{00000000-0005-0000-0000-0000E9160000}"/>
    <cellStyle name="쉼표 [0] 3 4 7 2 2" xfId="7962" xr:uid="{00000000-0005-0000-0000-0000EA160000}"/>
    <cellStyle name="쉼표 [0] 3 4 7 2 2 2" xfId="15279" xr:uid="{39F27824-E733-4DEA-8F89-A6BD9F9679F4}"/>
    <cellStyle name="쉼표 [0] 3 4 7 2 3" xfId="11621" xr:uid="{2BD6642C-E2D1-4CBC-88C5-4E889F1FE90A}"/>
    <cellStyle name="쉼표 [0] 3 4 7 3" xfId="6133" xr:uid="{00000000-0005-0000-0000-0000EB160000}"/>
    <cellStyle name="쉼표 [0] 3 4 7 3 2" xfId="13450" xr:uid="{64B9C354-D850-44A1-B1E4-5DCEB6E28D5A}"/>
    <cellStyle name="쉼표 [0] 3 4 7 4" xfId="9791" xr:uid="{0E854F4B-E08E-4F08-A40F-727D3BA9B2DF}"/>
    <cellStyle name="쉼표 [0] 3 4 8" xfId="1961" xr:uid="{00000000-0005-0000-0000-0000EC160000}"/>
    <cellStyle name="쉼표 [0] 3 4 8 2" xfId="4302" xr:uid="{00000000-0005-0000-0000-0000ED160000}"/>
    <cellStyle name="쉼표 [0] 3 4 8 2 2" xfId="7963" xr:uid="{00000000-0005-0000-0000-0000EE160000}"/>
    <cellStyle name="쉼표 [0] 3 4 8 2 2 2" xfId="15280" xr:uid="{7B2A3B67-0E06-47B2-9B9C-A99E4C593073}"/>
    <cellStyle name="쉼표 [0] 3 4 8 2 3" xfId="11622" xr:uid="{A685528D-C6AC-4E31-8E41-6991DFF25382}"/>
    <cellStyle name="쉼표 [0] 3 4 8 3" xfId="6134" xr:uid="{00000000-0005-0000-0000-0000EF160000}"/>
    <cellStyle name="쉼표 [0] 3 4 8 3 2" xfId="13451" xr:uid="{7E4BB721-0E11-4176-96B0-AB85DD5314FD}"/>
    <cellStyle name="쉼표 [0] 3 4 8 4" xfId="9792" xr:uid="{9E780EA8-B7A1-4A8C-99E4-C5D22A602F77}"/>
    <cellStyle name="쉼표 [0] 3 4 9" xfId="1962" xr:uid="{00000000-0005-0000-0000-0000F0160000}"/>
    <cellStyle name="쉼표 [0] 3 4 9 2" xfId="4303" xr:uid="{00000000-0005-0000-0000-0000F1160000}"/>
    <cellStyle name="쉼표 [0] 3 4 9 2 2" xfId="7964" xr:uid="{00000000-0005-0000-0000-0000F2160000}"/>
    <cellStyle name="쉼표 [0] 3 4 9 2 2 2" xfId="15281" xr:uid="{E3845E50-E396-420B-9537-8C70D10768AC}"/>
    <cellStyle name="쉼표 [0] 3 4 9 2 3" xfId="11623" xr:uid="{54B9AF72-57C3-49C1-BA34-812AA6106486}"/>
    <cellStyle name="쉼표 [0] 3 4 9 3" xfId="6135" xr:uid="{00000000-0005-0000-0000-0000F3160000}"/>
    <cellStyle name="쉼표 [0] 3 4 9 3 2" xfId="13452" xr:uid="{6E405046-5372-4CC3-B42C-BDBCE2477831}"/>
    <cellStyle name="쉼표 [0] 3 4 9 4" xfId="9793" xr:uid="{FB0018AC-02EC-4624-BB34-A1A73E8AD019}"/>
    <cellStyle name="쉼표 [0] 3 5" xfId="1963" xr:uid="{00000000-0005-0000-0000-0000F4160000}"/>
    <cellStyle name="쉼표 [0] 3 5 10" xfId="1964" xr:uid="{00000000-0005-0000-0000-0000F5160000}"/>
    <cellStyle name="쉼표 [0] 3 5 10 2" xfId="4305" xr:uid="{00000000-0005-0000-0000-0000F6160000}"/>
    <cellStyle name="쉼표 [0] 3 5 10 2 2" xfId="7966" xr:uid="{00000000-0005-0000-0000-0000F7160000}"/>
    <cellStyle name="쉼표 [0] 3 5 10 2 2 2" xfId="15283" xr:uid="{802E4D96-4685-4136-B1B6-F95875988318}"/>
    <cellStyle name="쉼표 [0] 3 5 10 2 3" xfId="11625" xr:uid="{DFA9467F-DE09-4F0F-8460-AC0FA5F53816}"/>
    <cellStyle name="쉼표 [0] 3 5 10 3" xfId="6137" xr:uid="{00000000-0005-0000-0000-0000F8160000}"/>
    <cellStyle name="쉼표 [0] 3 5 10 3 2" xfId="13454" xr:uid="{4C63293B-8B0F-428A-AB84-E202F29F1BDD}"/>
    <cellStyle name="쉼표 [0] 3 5 10 4" xfId="9795" xr:uid="{96260727-AE43-46F8-ADC0-48B3C7A2E847}"/>
    <cellStyle name="쉼표 [0] 3 5 11" xfId="4304" xr:uid="{00000000-0005-0000-0000-0000F9160000}"/>
    <cellStyle name="쉼표 [0] 3 5 11 2" xfId="7965" xr:uid="{00000000-0005-0000-0000-0000FA160000}"/>
    <cellStyle name="쉼표 [0] 3 5 11 2 2" xfId="15282" xr:uid="{736B50F9-9BD1-4F53-9F5E-1C7A53E915F5}"/>
    <cellStyle name="쉼표 [0] 3 5 11 3" xfId="11624" xr:uid="{0BB8D411-81F5-4C6D-A480-9C2F13BF7A24}"/>
    <cellStyle name="쉼표 [0] 3 5 12" xfId="6136" xr:uid="{00000000-0005-0000-0000-0000FB160000}"/>
    <cellStyle name="쉼표 [0] 3 5 12 2" xfId="13453" xr:uid="{EBF39C1B-AAFE-4723-AF4E-F078EC7D49AC}"/>
    <cellStyle name="쉼표 [0] 3 5 13" xfId="9794" xr:uid="{C148DCF9-689F-4A15-9E78-D42F72862EC2}"/>
    <cellStyle name="쉼표 [0] 3 5 2" xfId="1965" xr:uid="{00000000-0005-0000-0000-0000FC160000}"/>
    <cellStyle name="쉼표 [0] 3 5 2 2" xfId="1966" xr:uid="{00000000-0005-0000-0000-0000FD160000}"/>
    <cellStyle name="쉼표 [0] 3 5 2 2 2" xfId="4307" xr:uid="{00000000-0005-0000-0000-0000FE160000}"/>
    <cellStyle name="쉼표 [0] 3 5 2 2 2 2" xfId="7968" xr:uid="{00000000-0005-0000-0000-0000FF160000}"/>
    <cellStyle name="쉼표 [0] 3 5 2 2 2 2 2" xfId="15285" xr:uid="{BBE9F21E-A60D-4E88-A899-58F7FF4E5609}"/>
    <cellStyle name="쉼표 [0] 3 5 2 2 2 3" xfId="11627" xr:uid="{A0FD8F44-C5B5-49C6-B537-744041BA4248}"/>
    <cellStyle name="쉼표 [0] 3 5 2 2 3" xfId="6139" xr:uid="{00000000-0005-0000-0000-000000170000}"/>
    <cellStyle name="쉼표 [0] 3 5 2 2 3 2" xfId="13456" xr:uid="{70D32063-2808-437F-900A-037E9CA8AB5C}"/>
    <cellStyle name="쉼표 [0] 3 5 2 2 4" xfId="9797" xr:uid="{EF707282-3770-4380-BB20-087FEF4EC043}"/>
    <cellStyle name="쉼표 [0] 3 5 2 3" xfId="1967" xr:uid="{00000000-0005-0000-0000-000001170000}"/>
    <cellStyle name="쉼표 [0] 3 5 2 3 2" xfId="4308" xr:uid="{00000000-0005-0000-0000-000002170000}"/>
    <cellStyle name="쉼표 [0] 3 5 2 3 2 2" xfId="7969" xr:uid="{00000000-0005-0000-0000-000003170000}"/>
    <cellStyle name="쉼표 [0] 3 5 2 3 2 2 2" xfId="15286" xr:uid="{401392E1-082A-436D-9F64-A8C5CC1B662B}"/>
    <cellStyle name="쉼표 [0] 3 5 2 3 2 3" xfId="11628" xr:uid="{0C1ADC54-8870-4834-B68A-234EDAEF5BCF}"/>
    <cellStyle name="쉼표 [0] 3 5 2 3 3" xfId="6140" xr:uid="{00000000-0005-0000-0000-000004170000}"/>
    <cellStyle name="쉼표 [0] 3 5 2 3 3 2" xfId="13457" xr:uid="{478D22BA-5CBE-451C-8190-DF46D02FE810}"/>
    <cellStyle name="쉼표 [0] 3 5 2 3 4" xfId="9798" xr:uid="{21F374FE-4980-456C-9CAB-9E3649000C4E}"/>
    <cellStyle name="쉼표 [0] 3 5 2 4" xfId="1968" xr:uid="{00000000-0005-0000-0000-000005170000}"/>
    <cellStyle name="쉼표 [0] 3 5 2 4 2" xfId="4309" xr:uid="{00000000-0005-0000-0000-000006170000}"/>
    <cellStyle name="쉼표 [0] 3 5 2 4 2 2" xfId="7970" xr:uid="{00000000-0005-0000-0000-000007170000}"/>
    <cellStyle name="쉼표 [0] 3 5 2 4 2 2 2" xfId="15287" xr:uid="{AF0A4A7C-FB43-46B9-B2F0-431C67A70614}"/>
    <cellStyle name="쉼표 [0] 3 5 2 4 2 3" xfId="11629" xr:uid="{F1ADCF33-1C46-4A75-9374-04DA3E62CAFC}"/>
    <cellStyle name="쉼표 [0] 3 5 2 4 3" xfId="6141" xr:uid="{00000000-0005-0000-0000-000008170000}"/>
    <cellStyle name="쉼표 [0] 3 5 2 4 3 2" xfId="13458" xr:uid="{8BDBB913-472D-4F9F-9A5B-437CC30E80A1}"/>
    <cellStyle name="쉼표 [0] 3 5 2 4 4" xfId="9799" xr:uid="{9977BE19-80C5-4B9B-9319-B96224D4C59B}"/>
    <cellStyle name="쉼표 [0] 3 5 2 5" xfId="4306" xr:uid="{00000000-0005-0000-0000-000009170000}"/>
    <cellStyle name="쉼표 [0] 3 5 2 5 2" xfId="7967" xr:uid="{00000000-0005-0000-0000-00000A170000}"/>
    <cellStyle name="쉼표 [0] 3 5 2 5 2 2" xfId="15284" xr:uid="{01932F40-6E2B-4A3E-9B04-B9B66F10C1E6}"/>
    <cellStyle name="쉼표 [0] 3 5 2 5 3" xfId="11626" xr:uid="{6E8975C9-C236-4AB3-B413-DDBAEED9399C}"/>
    <cellStyle name="쉼표 [0] 3 5 2 6" xfId="6138" xr:uid="{00000000-0005-0000-0000-00000B170000}"/>
    <cellStyle name="쉼표 [0] 3 5 2 6 2" xfId="13455" xr:uid="{A7EBE260-B293-49FA-BDE7-703CC8A1DBEC}"/>
    <cellStyle name="쉼표 [0] 3 5 2 7" xfId="9796" xr:uid="{1CFBE0AC-4320-4098-A714-9106543BD56E}"/>
    <cellStyle name="쉼표 [0] 3 5 3" xfId="1969" xr:uid="{00000000-0005-0000-0000-00000C170000}"/>
    <cellStyle name="쉼표 [0] 3 5 3 2" xfId="1970" xr:uid="{00000000-0005-0000-0000-00000D170000}"/>
    <cellStyle name="쉼표 [0] 3 5 3 2 2" xfId="4311" xr:uid="{00000000-0005-0000-0000-00000E170000}"/>
    <cellStyle name="쉼표 [0] 3 5 3 2 2 2" xfId="7972" xr:uid="{00000000-0005-0000-0000-00000F170000}"/>
    <cellStyle name="쉼표 [0] 3 5 3 2 2 2 2" xfId="15289" xr:uid="{BC60C084-82FD-44F5-AA63-EA0016F942CF}"/>
    <cellStyle name="쉼표 [0] 3 5 3 2 2 3" xfId="11631" xr:uid="{4F41130D-BF75-4153-BED3-943E7B9C9EDC}"/>
    <cellStyle name="쉼표 [0] 3 5 3 2 3" xfId="6143" xr:uid="{00000000-0005-0000-0000-000010170000}"/>
    <cellStyle name="쉼표 [0] 3 5 3 2 3 2" xfId="13460" xr:uid="{7DB8F527-395D-48B1-91AB-7F0BDCC65088}"/>
    <cellStyle name="쉼표 [0] 3 5 3 2 4" xfId="9801" xr:uid="{1985DEE6-0053-49DD-AD93-9EDD1AF64FC7}"/>
    <cellStyle name="쉼표 [0] 3 5 3 3" xfId="1971" xr:uid="{00000000-0005-0000-0000-000011170000}"/>
    <cellStyle name="쉼표 [0] 3 5 3 3 2" xfId="4312" xr:uid="{00000000-0005-0000-0000-000012170000}"/>
    <cellStyle name="쉼표 [0] 3 5 3 3 2 2" xfId="7973" xr:uid="{00000000-0005-0000-0000-000013170000}"/>
    <cellStyle name="쉼표 [0] 3 5 3 3 2 2 2" xfId="15290" xr:uid="{17FB2ACF-BB0A-4569-81B1-A4ABE9DB6602}"/>
    <cellStyle name="쉼표 [0] 3 5 3 3 2 3" xfId="11632" xr:uid="{35DBC590-8CA4-4F57-96E4-A3618DDE829A}"/>
    <cellStyle name="쉼표 [0] 3 5 3 3 3" xfId="6144" xr:uid="{00000000-0005-0000-0000-000014170000}"/>
    <cellStyle name="쉼표 [0] 3 5 3 3 3 2" xfId="13461" xr:uid="{7616C04F-80CE-4EAE-932C-4E8C4128D036}"/>
    <cellStyle name="쉼표 [0] 3 5 3 3 4" xfId="9802" xr:uid="{7F16FDC8-904B-4E5D-BE99-6B6CF27807C7}"/>
    <cellStyle name="쉼표 [0] 3 5 3 4" xfId="1972" xr:uid="{00000000-0005-0000-0000-000015170000}"/>
    <cellStyle name="쉼표 [0] 3 5 3 4 2" xfId="4313" xr:uid="{00000000-0005-0000-0000-000016170000}"/>
    <cellStyle name="쉼표 [0] 3 5 3 4 2 2" xfId="7974" xr:uid="{00000000-0005-0000-0000-000017170000}"/>
    <cellStyle name="쉼표 [0] 3 5 3 4 2 2 2" xfId="15291" xr:uid="{A770EF71-73AE-4740-B9B8-E8A2FA3410EC}"/>
    <cellStyle name="쉼표 [0] 3 5 3 4 2 3" xfId="11633" xr:uid="{AAA44751-BACC-443C-B409-C05DD951B626}"/>
    <cellStyle name="쉼표 [0] 3 5 3 4 3" xfId="6145" xr:uid="{00000000-0005-0000-0000-000018170000}"/>
    <cellStyle name="쉼표 [0] 3 5 3 4 3 2" xfId="13462" xr:uid="{7D0A7969-103B-476F-BF82-FBCC87014874}"/>
    <cellStyle name="쉼표 [0] 3 5 3 4 4" xfId="9803" xr:uid="{2C935B25-7AFD-4C91-8397-9FEC85860343}"/>
    <cellStyle name="쉼표 [0] 3 5 3 5" xfId="4310" xr:uid="{00000000-0005-0000-0000-000019170000}"/>
    <cellStyle name="쉼표 [0] 3 5 3 5 2" xfId="7971" xr:uid="{00000000-0005-0000-0000-00001A170000}"/>
    <cellStyle name="쉼표 [0] 3 5 3 5 2 2" xfId="15288" xr:uid="{9F896B3F-781D-4F0F-80AC-2007B4FAA391}"/>
    <cellStyle name="쉼표 [0] 3 5 3 5 3" xfId="11630" xr:uid="{B1B4CEFB-DA4F-4153-8CA6-3247C2760A25}"/>
    <cellStyle name="쉼표 [0] 3 5 3 6" xfId="6142" xr:uid="{00000000-0005-0000-0000-00001B170000}"/>
    <cellStyle name="쉼표 [0] 3 5 3 6 2" xfId="13459" xr:uid="{4B2FE3CB-8787-43FF-A7EE-77ACAB4541F8}"/>
    <cellStyle name="쉼표 [0] 3 5 3 7" xfId="9800" xr:uid="{69887C21-B73C-410A-82E5-0062112F4F50}"/>
    <cellStyle name="쉼표 [0] 3 5 4" xfId="1973" xr:uid="{00000000-0005-0000-0000-00001C170000}"/>
    <cellStyle name="쉼표 [0] 3 5 4 2" xfId="1974" xr:uid="{00000000-0005-0000-0000-00001D170000}"/>
    <cellStyle name="쉼표 [0] 3 5 4 2 2" xfId="4315" xr:uid="{00000000-0005-0000-0000-00001E170000}"/>
    <cellStyle name="쉼표 [0] 3 5 4 2 2 2" xfId="7976" xr:uid="{00000000-0005-0000-0000-00001F170000}"/>
    <cellStyle name="쉼표 [0] 3 5 4 2 2 2 2" xfId="15293" xr:uid="{DF43F938-F0ED-41B9-9AB5-8015348F0DAF}"/>
    <cellStyle name="쉼표 [0] 3 5 4 2 2 3" xfId="11635" xr:uid="{2244C3C6-DA63-4B55-88CD-21D0C40B57F5}"/>
    <cellStyle name="쉼표 [0] 3 5 4 2 3" xfId="6147" xr:uid="{00000000-0005-0000-0000-000020170000}"/>
    <cellStyle name="쉼표 [0] 3 5 4 2 3 2" xfId="13464" xr:uid="{4DF764BA-BA2E-4736-AD87-C413DA3BC84B}"/>
    <cellStyle name="쉼표 [0] 3 5 4 2 4" xfId="9805" xr:uid="{E233B8D8-80D3-4791-B553-4AC13737CD8B}"/>
    <cellStyle name="쉼표 [0] 3 5 4 3" xfId="1975" xr:uid="{00000000-0005-0000-0000-000021170000}"/>
    <cellStyle name="쉼표 [0] 3 5 4 3 2" xfId="4316" xr:uid="{00000000-0005-0000-0000-000022170000}"/>
    <cellStyle name="쉼표 [0] 3 5 4 3 2 2" xfId="7977" xr:uid="{00000000-0005-0000-0000-000023170000}"/>
    <cellStyle name="쉼표 [0] 3 5 4 3 2 2 2" xfId="15294" xr:uid="{D26F0FE2-C95D-42B5-9960-CB95B2EE9D59}"/>
    <cellStyle name="쉼표 [0] 3 5 4 3 2 3" xfId="11636" xr:uid="{46EDF2A8-E74A-41BE-ABA2-0AE23DED35CF}"/>
    <cellStyle name="쉼표 [0] 3 5 4 3 3" xfId="6148" xr:uid="{00000000-0005-0000-0000-000024170000}"/>
    <cellStyle name="쉼표 [0] 3 5 4 3 3 2" xfId="13465" xr:uid="{06D627F5-4EA1-4E8C-B7FD-6AA9C3C3067C}"/>
    <cellStyle name="쉼표 [0] 3 5 4 3 4" xfId="9806" xr:uid="{E7AC284A-BDF9-4D60-84B9-26B31F695169}"/>
    <cellStyle name="쉼표 [0] 3 5 4 4" xfId="4314" xr:uid="{00000000-0005-0000-0000-000025170000}"/>
    <cellStyle name="쉼표 [0] 3 5 4 4 2" xfId="7975" xr:uid="{00000000-0005-0000-0000-000026170000}"/>
    <cellStyle name="쉼표 [0] 3 5 4 4 2 2" xfId="15292" xr:uid="{FE105B77-3ECA-4677-AE6F-5E6ABD74C5A9}"/>
    <cellStyle name="쉼표 [0] 3 5 4 4 3" xfId="11634" xr:uid="{D6A91E9E-5958-46DD-A70B-55CFAC313C1F}"/>
    <cellStyle name="쉼표 [0] 3 5 4 5" xfId="6146" xr:uid="{00000000-0005-0000-0000-000027170000}"/>
    <cellStyle name="쉼표 [0] 3 5 4 5 2" xfId="13463" xr:uid="{FFADBFF1-12A8-43D1-B270-8E47E329F3B1}"/>
    <cellStyle name="쉼표 [0] 3 5 4 6" xfId="9804" xr:uid="{729C11BE-5C4E-4162-8AAF-E5EB4A47E20D}"/>
    <cellStyle name="쉼표 [0] 3 5 5" xfId="1976" xr:uid="{00000000-0005-0000-0000-000028170000}"/>
    <cellStyle name="쉼표 [0] 3 5 5 2" xfId="1977" xr:uid="{00000000-0005-0000-0000-000029170000}"/>
    <cellStyle name="쉼표 [0] 3 5 5 2 2" xfId="4318" xr:uid="{00000000-0005-0000-0000-00002A170000}"/>
    <cellStyle name="쉼표 [0] 3 5 5 2 2 2" xfId="7979" xr:uid="{00000000-0005-0000-0000-00002B170000}"/>
    <cellStyle name="쉼표 [0] 3 5 5 2 2 2 2" xfId="15296" xr:uid="{4859FB88-D683-4F3D-B475-F57C82B0902A}"/>
    <cellStyle name="쉼표 [0] 3 5 5 2 2 3" xfId="11638" xr:uid="{84EC11C1-8272-416D-B986-9624E23A42EE}"/>
    <cellStyle name="쉼표 [0] 3 5 5 2 3" xfId="6150" xr:uid="{00000000-0005-0000-0000-00002C170000}"/>
    <cellStyle name="쉼표 [0] 3 5 5 2 3 2" xfId="13467" xr:uid="{6454E388-4589-475A-95B3-83518A9B0A14}"/>
    <cellStyle name="쉼표 [0] 3 5 5 2 4" xfId="9808" xr:uid="{57B2C1F3-006A-43F0-95A4-498327D586F5}"/>
    <cellStyle name="쉼표 [0] 3 5 5 3" xfId="1978" xr:uid="{00000000-0005-0000-0000-00002D170000}"/>
    <cellStyle name="쉼표 [0] 3 5 5 3 2" xfId="4319" xr:uid="{00000000-0005-0000-0000-00002E170000}"/>
    <cellStyle name="쉼표 [0] 3 5 5 3 2 2" xfId="7980" xr:uid="{00000000-0005-0000-0000-00002F170000}"/>
    <cellStyle name="쉼표 [0] 3 5 5 3 2 2 2" xfId="15297" xr:uid="{11CE12DF-4AFA-4125-97DF-2F70AF9CCCED}"/>
    <cellStyle name="쉼표 [0] 3 5 5 3 2 3" xfId="11639" xr:uid="{B3CFE811-DB8A-4380-BBE6-12426392D7EC}"/>
    <cellStyle name="쉼표 [0] 3 5 5 3 3" xfId="6151" xr:uid="{00000000-0005-0000-0000-000030170000}"/>
    <cellStyle name="쉼표 [0] 3 5 5 3 3 2" xfId="13468" xr:uid="{7D471016-5B2E-41FD-9C25-D09AAC3BCFCF}"/>
    <cellStyle name="쉼표 [0] 3 5 5 3 4" xfId="9809" xr:uid="{6532E099-DB54-4025-B3B2-519F3AAB3025}"/>
    <cellStyle name="쉼표 [0] 3 5 5 4" xfId="4317" xr:uid="{00000000-0005-0000-0000-000031170000}"/>
    <cellStyle name="쉼표 [0] 3 5 5 4 2" xfId="7978" xr:uid="{00000000-0005-0000-0000-000032170000}"/>
    <cellStyle name="쉼표 [0] 3 5 5 4 2 2" xfId="15295" xr:uid="{FAF46AD7-8C11-40F0-90E9-16A47AAD6127}"/>
    <cellStyle name="쉼표 [0] 3 5 5 4 3" xfId="11637" xr:uid="{C14946CF-9DE9-4350-8538-771B08706F4F}"/>
    <cellStyle name="쉼표 [0] 3 5 5 5" xfId="6149" xr:uid="{00000000-0005-0000-0000-000033170000}"/>
    <cellStyle name="쉼표 [0] 3 5 5 5 2" xfId="13466" xr:uid="{C0F1EB3D-59B4-4D84-A881-F43FCABCA5C4}"/>
    <cellStyle name="쉼표 [0] 3 5 5 6" xfId="9807" xr:uid="{90B94DAB-39BC-409F-92F7-DAB6EA373D47}"/>
    <cellStyle name="쉼표 [0] 3 5 6" xfId="1979" xr:uid="{00000000-0005-0000-0000-000034170000}"/>
    <cellStyle name="쉼표 [0] 3 5 6 2" xfId="1980" xr:uid="{00000000-0005-0000-0000-000035170000}"/>
    <cellStyle name="쉼표 [0] 3 5 6 2 2" xfId="4321" xr:uid="{00000000-0005-0000-0000-000036170000}"/>
    <cellStyle name="쉼표 [0] 3 5 6 2 2 2" xfId="7982" xr:uid="{00000000-0005-0000-0000-000037170000}"/>
    <cellStyle name="쉼표 [0] 3 5 6 2 2 2 2" xfId="15299" xr:uid="{98F1805B-4849-4BC6-A33A-3D92F1326C6F}"/>
    <cellStyle name="쉼표 [0] 3 5 6 2 2 3" xfId="11641" xr:uid="{5D09145A-D00E-4302-98FB-AE31273DE4CD}"/>
    <cellStyle name="쉼표 [0] 3 5 6 2 3" xfId="6153" xr:uid="{00000000-0005-0000-0000-000038170000}"/>
    <cellStyle name="쉼표 [0] 3 5 6 2 3 2" xfId="13470" xr:uid="{3F8AC766-01D7-4B60-8DC6-58C4FA6F8BCC}"/>
    <cellStyle name="쉼표 [0] 3 5 6 2 4" xfId="9811" xr:uid="{C1C303C4-B6B2-4AC3-9D33-D492819B8A04}"/>
    <cellStyle name="쉼표 [0] 3 5 6 3" xfId="1981" xr:uid="{00000000-0005-0000-0000-000039170000}"/>
    <cellStyle name="쉼표 [0] 3 5 6 3 2" xfId="4322" xr:uid="{00000000-0005-0000-0000-00003A170000}"/>
    <cellStyle name="쉼표 [0] 3 5 6 3 2 2" xfId="7983" xr:uid="{00000000-0005-0000-0000-00003B170000}"/>
    <cellStyle name="쉼표 [0] 3 5 6 3 2 2 2" xfId="15300" xr:uid="{77B7A09F-AEDF-4CD6-B512-F9989ECFC56E}"/>
    <cellStyle name="쉼표 [0] 3 5 6 3 2 3" xfId="11642" xr:uid="{48D1FA3A-2D0E-496D-959F-0FD6873BEB89}"/>
    <cellStyle name="쉼표 [0] 3 5 6 3 3" xfId="6154" xr:uid="{00000000-0005-0000-0000-00003C170000}"/>
    <cellStyle name="쉼표 [0] 3 5 6 3 3 2" xfId="13471" xr:uid="{AD47B625-7FE1-467C-8FD4-553D554433F7}"/>
    <cellStyle name="쉼표 [0] 3 5 6 3 4" xfId="9812" xr:uid="{569E58AD-9554-4930-A3CD-B9917CBDC1E1}"/>
    <cellStyle name="쉼표 [0] 3 5 6 4" xfId="4320" xr:uid="{00000000-0005-0000-0000-00003D170000}"/>
    <cellStyle name="쉼표 [0] 3 5 6 4 2" xfId="7981" xr:uid="{00000000-0005-0000-0000-00003E170000}"/>
    <cellStyle name="쉼표 [0] 3 5 6 4 2 2" xfId="15298" xr:uid="{E92535B6-5120-4336-A30A-1006B247DD7D}"/>
    <cellStyle name="쉼표 [0] 3 5 6 4 3" xfId="11640" xr:uid="{DCCF042C-E7FA-4704-BC26-B8A4DCA8E27D}"/>
    <cellStyle name="쉼표 [0] 3 5 6 5" xfId="6152" xr:uid="{00000000-0005-0000-0000-00003F170000}"/>
    <cellStyle name="쉼표 [0] 3 5 6 5 2" xfId="13469" xr:uid="{E18D73DE-BA32-4486-BE76-86BF191EB7F7}"/>
    <cellStyle name="쉼표 [0] 3 5 6 6" xfId="9810" xr:uid="{51FAE96F-6511-49FA-91FE-B86ED73C01BD}"/>
    <cellStyle name="쉼표 [0] 3 5 7" xfId="1982" xr:uid="{00000000-0005-0000-0000-000040170000}"/>
    <cellStyle name="쉼표 [0] 3 5 7 2" xfId="4323" xr:uid="{00000000-0005-0000-0000-000041170000}"/>
    <cellStyle name="쉼표 [0] 3 5 7 2 2" xfId="7984" xr:uid="{00000000-0005-0000-0000-000042170000}"/>
    <cellStyle name="쉼표 [0] 3 5 7 2 2 2" xfId="15301" xr:uid="{E166EE8A-C624-468E-A441-FD0AE65C7C21}"/>
    <cellStyle name="쉼표 [0] 3 5 7 2 3" xfId="11643" xr:uid="{CE03A7DC-4A6B-4D2B-BB01-D9480DD63255}"/>
    <cellStyle name="쉼표 [0] 3 5 7 3" xfId="6155" xr:uid="{00000000-0005-0000-0000-000043170000}"/>
    <cellStyle name="쉼표 [0] 3 5 7 3 2" xfId="13472" xr:uid="{323B59E6-0780-49E6-8A3F-CD5B56655525}"/>
    <cellStyle name="쉼표 [0] 3 5 7 4" xfId="9813" xr:uid="{6D807FDB-3236-4A81-9F78-080031D1395B}"/>
    <cellStyle name="쉼표 [0] 3 5 8" xfId="1983" xr:uid="{00000000-0005-0000-0000-000044170000}"/>
    <cellStyle name="쉼표 [0] 3 5 8 2" xfId="4324" xr:uid="{00000000-0005-0000-0000-000045170000}"/>
    <cellStyle name="쉼표 [0] 3 5 8 2 2" xfId="7985" xr:uid="{00000000-0005-0000-0000-000046170000}"/>
    <cellStyle name="쉼표 [0] 3 5 8 2 2 2" xfId="15302" xr:uid="{2190F511-96BB-4E83-9547-72246BCD1211}"/>
    <cellStyle name="쉼표 [0] 3 5 8 2 3" xfId="11644" xr:uid="{0D0F6EA1-2B8B-4430-99AF-BAC5030859DB}"/>
    <cellStyle name="쉼표 [0] 3 5 8 3" xfId="6156" xr:uid="{00000000-0005-0000-0000-000047170000}"/>
    <cellStyle name="쉼표 [0] 3 5 8 3 2" xfId="13473" xr:uid="{FBE5B59B-B3CF-4791-B882-A982946BB5D9}"/>
    <cellStyle name="쉼표 [0] 3 5 8 4" xfId="9814" xr:uid="{66A2D25E-7E4F-4CDB-B3E5-A87872BECEE6}"/>
    <cellStyle name="쉼표 [0] 3 5 9" xfId="1984" xr:uid="{00000000-0005-0000-0000-000048170000}"/>
    <cellStyle name="쉼표 [0] 3 5 9 2" xfId="4325" xr:uid="{00000000-0005-0000-0000-000049170000}"/>
    <cellStyle name="쉼표 [0] 3 5 9 2 2" xfId="7986" xr:uid="{00000000-0005-0000-0000-00004A170000}"/>
    <cellStyle name="쉼표 [0] 3 5 9 2 2 2" xfId="15303" xr:uid="{CBE477EA-396C-49A0-93A2-21B33F0177F2}"/>
    <cellStyle name="쉼표 [0] 3 5 9 2 3" xfId="11645" xr:uid="{3218F323-7A0C-4DA0-934D-57CB5C71FB58}"/>
    <cellStyle name="쉼표 [0] 3 5 9 3" xfId="6157" xr:uid="{00000000-0005-0000-0000-00004B170000}"/>
    <cellStyle name="쉼표 [0] 3 5 9 3 2" xfId="13474" xr:uid="{614B7ED6-382A-45B9-A95A-D3341160560B}"/>
    <cellStyle name="쉼표 [0] 3 5 9 4" xfId="9815" xr:uid="{802C8C7B-9C1F-4605-948F-93BEE53B690B}"/>
    <cellStyle name="쉼표 [0] 3 6" xfId="1985" xr:uid="{00000000-0005-0000-0000-00004C170000}"/>
    <cellStyle name="쉼표 [0] 3 6 10" xfId="4326" xr:uid="{00000000-0005-0000-0000-00004D170000}"/>
    <cellStyle name="쉼표 [0] 3 6 10 2" xfId="7987" xr:uid="{00000000-0005-0000-0000-00004E170000}"/>
    <cellStyle name="쉼표 [0] 3 6 10 2 2" xfId="15304" xr:uid="{51718D16-BB6E-49B3-9E93-8D0F43E7C300}"/>
    <cellStyle name="쉼표 [0] 3 6 10 3" xfId="11646" xr:uid="{21AA7077-9C4C-4DDE-B69C-682036398064}"/>
    <cellStyle name="쉼표 [0] 3 6 11" xfId="6158" xr:uid="{00000000-0005-0000-0000-00004F170000}"/>
    <cellStyle name="쉼표 [0] 3 6 11 2" xfId="13475" xr:uid="{DC454DF4-EED2-4B0B-BEF2-09662BA1B176}"/>
    <cellStyle name="쉼표 [0] 3 6 12" xfId="9816" xr:uid="{1271BAA8-025F-4434-AA61-A0B94A336EFA}"/>
    <cellStyle name="쉼표 [0] 3 6 2" xfId="1986" xr:uid="{00000000-0005-0000-0000-000050170000}"/>
    <cellStyle name="쉼표 [0] 3 6 2 2" xfId="1987" xr:uid="{00000000-0005-0000-0000-000051170000}"/>
    <cellStyle name="쉼표 [0] 3 6 2 2 2" xfId="4328" xr:uid="{00000000-0005-0000-0000-000052170000}"/>
    <cellStyle name="쉼표 [0] 3 6 2 2 2 2" xfId="7989" xr:uid="{00000000-0005-0000-0000-000053170000}"/>
    <cellStyle name="쉼표 [0] 3 6 2 2 2 2 2" xfId="15306" xr:uid="{022D412C-F3E8-4FFE-B1F4-8BF9DFACFBAB}"/>
    <cellStyle name="쉼표 [0] 3 6 2 2 2 3" xfId="11648" xr:uid="{59CEC08A-BD42-450E-95D6-6EC05C7A9C2E}"/>
    <cellStyle name="쉼표 [0] 3 6 2 2 3" xfId="6160" xr:uid="{00000000-0005-0000-0000-000054170000}"/>
    <cellStyle name="쉼표 [0] 3 6 2 2 3 2" xfId="13477" xr:uid="{7A1F647B-F770-4396-9CB1-C7FA2AFCFF5C}"/>
    <cellStyle name="쉼표 [0] 3 6 2 2 4" xfId="9818" xr:uid="{AEB16D8E-843B-4978-9EEB-81B11678D003}"/>
    <cellStyle name="쉼표 [0] 3 6 2 3" xfId="1988" xr:uid="{00000000-0005-0000-0000-000055170000}"/>
    <cellStyle name="쉼표 [0] 3 6 2 3 2" xfId="4329" xr:uid="{00000000-0005-0000-0000-000056170000}"/>
    <cellStyle name="쉼표 [0] 3 6 2 3 2 2" xfId="7990" xr:uid="{00000000-0005-0000-0000-000057170000}"/>
    <cellStyle name="쉼표 [0] 3 6 2 3 2 2 2" xfId="15307" xr:uid="{F68B4C20-53BE-45D1-BB0E-AE7B06CDA88E}"/>
    <cellStyle name="쉼표 [0] 3 6 2 3 2 3" xfId="11649" xr:uid="{C7A5328E-45C0-418F-A386-C377EF03A9A6}"/>
    <cellStyle name="쉼표 [0] 3 6 2 3 3" xfId="6161" xr:uid="{00000000-0005-0000-0000-000058170000}"/>
    <cellStyle name="쉼표 [0] 3 6 2 3 3 2" xfId="13478" xr:uid="{4AEA55F0-1BBE-4A40-8C38-3A1DCE51F7AD}"/>
    <cellStyle name="쉼표 [0] 3 6 2 3 4" xfId="9819" xr:uid="{47DC660C-4455-4D33-B409-D41EB4B45BB8}"/>
    <cellStyle name="쉼표 [0] 3 6 2 4" xfId="4327" xr:uid="{00000000-0005-0000-0000-000059170000}"/>
    <cellStyle name="쉼표 [0] 3 6 2 4 2" xfId="7988" xr:uid="{00000000-0005-0000-0000-00005A170000}"/>
    <cellStyle name="쉼표 [0] 3 6 2 4 2 2" xfId="15305" xr:uid="{4EB02301-58A8-458D-BBCD-A8A1BAF81E81}"/>
    <cellStyle name="쉼표 [0] 3 6 2 4 3" xfId="11647" xr:uid="{01EF0493-E556-4CB8-8D52-3ADD90E98A51}"/>
    <cellStyle name="쉼표 [0] 3 6 2 5" xfId="6159" xr:uid="{00000000-0005-0000-0000-00005B170000}"/>
    <cellStyle name="쉼표 [0] 3 6 2 5 2" xfId="13476" xr:uid="{BD42B83B-C3F1-446B-B826-00143A3810F4}"/>
    <cellStyle name="쉼표 [0] 3 6 2 6" xfId="9817" xr:uid="{77FE3BF9-D072-4F42-81BA-2F9E42C26956}"/>
    <cellStyle name="쉼표 [0] 3 6 3" xfId="1989" xr:uid="{00000000-0005-0000-0000-00005C170000}"/>
    <cellStyle name="쉼표 [0] 3 6 3 2" xfId="1990" xr:uid="{00000000-0005-0000-0000-00005D170000}"/>
    <cellStyle name="쉼표 [0] 3 6 3 2 2" xfId="4331" xr:uid="{00000000-0005-0000-0000-00005E170000}"/>
    <cellStyle name="쉼표 [0] 3 6 3 2 2 2" xfId="7992" xr:uid="{00000000-0005-0000-0000-00005F170000}"/>
    <cellStyle name="쉼표 [0] 3 6 3 2 2 2 2" xfId="15309" xr:uid="{A2A58AF1-5E9D-4F03-881A-14FD715F98C5}"/>
    <cellStyle name="쉼표 [0] 3 6 3 2 2 3" xfId="11651" xr:uid="{490C619A-7A49-4A82-B83C-D299EC759A2A}"/>
    <cellStyle name="쉼표 [0] 3 6 3 2 3" xfId="6163" xr:uid="{00000000-0005-0000-0000-000060170000}"/>
    <cellStyle name="쉼표 [0] 3 6 3 2 3 2" xfId="13480" xr:uid="{7497DB66-F732-4947-B8FC-1C9B1C04D1BE}"/>
    <cellStyle name="쉼표 [0] 3 6 3 2 4" xfId="9821" xr:uid="{1E530D48-5495-42A5-B980-974EAA055A19}"/>
    <cellStyle name="쉼표 [0] 3 6 3 3" xfId="1991" xr:uid="{00000000-0005-0000-0000-000061170000}"/>
    <cellStyle name="쉼표 [0] 3 6 3 3 2" xfId="4332" xr:uid="{00000000-0005-0000-0000-000062170000}"/>
    <cellStyle name="쉼표 [0] 3 6 3 3 2 2" xfId="7993" xr:uid="{00000000-0005-0000-0000-000063170000}"/>
    <cellStyle name="쉼표 [0] 3 6 3 3 2 2 2" xfId="15310" xr:uid="{152CF6F0-2325-429B-9A59-52DD46D50636}"/>
    <cellStyle name="쉼표 [0] 3 6 3 3 2 3" xfId="11652" xr:uid="{EE19A06A-C7E7-478F-817D-7D20EA258495}"/>
    <cellStyle name="쉼표 [0] 3 6 3 3 3" xfId="6164" xr:uid="{00000000-0005-0000-0000-000064170000}"/>
    <cellStyle name="쉼표 [0] 3 6 3 3 3 2" xfId="13481" xr:uid="{1A01651C-ED8C-43B7-BA51-4F591E5EFF2D}"/>
    <cellStyle name="쉼표 [0] 3 6 3 3 4" xfId="9822" xr:uid="{8BC033D7-9020-4000-9C92-4268E61EEBD5}"/>
    <cellStyle name="쉼표 [0] 3 6 3 4" xfId="4330" xr:uid="{00000000-0005-0000-0000-000065170000}"/>
    <cellStyle name="쉼표 [0] 3 6 3 4 2" xfId="7991" xr:uid="{00000000-0005-0000-0000-000066170000}"/>
    <cellStyle name="쉼표 [0] 3 6 3 4 2 2" xfId="15308" xr:uid="{3C0A32C9-FC7F-4312-87B2-F4973BDDB087}"/>
    <cellStyle name="쉼표 [0] 3 6 3 4 3" xfId="11650" xr:uid="{774DD182-1B2B-4A19-9B8F-C565330AC948}"/>
    <cellStyle name="쉼표 [0] 3 6 3 5" xfId="6162" xr:uid="{00000000-0005-0000-0000-000067170000}"/>
    <cellStyle name="쉼표 [0] 3 6 3 5 2" xfId="13479" xr:uid="{BC6417D9-0DBA-4EB4-9A76-7FC7852E776B}"/>
    <cellStyle name="쉼표 [0] 3 6 3 6" xfId="9820" xr:uid="{A00560EE-8199-4974-A788-6DB54EB9E3E8}"/>
    <cellStyle name="쉼표 [0] 3 6 4" xfId="1992" xr:uid="{00000000-0005-0000-0000-000068170000}"/>
    <cellStyle name="쉼표 [0] 3 6 4 2" xfId="1993" xr:uid="{00000000-0005-0000-0000-000069170000}"/>
    <cellStyle name="쉼표 [0] 3 6 4 2 2" xfId="4334" xr:uid="{00000000-0005-0000-0000-00006A170000}"/>
    <cellStyle name="쉼표 [0] 3 6 4 2 2 2" xfId="7995" xr:uid="{00000000-0005-0000-0000-00006B170000}"/>
    <cellStyle name="쉼표 [0] 3 6 4 2 2 2 2" xfId="15312" xr:uid="{9DC1F231-9060-45AA-AC91-31512CCD4941}"/>
    <cellStyle name="쉼표 [0] 3 6 4 2 2 3" xfId="11654" xr:uid="{E8DECF06-8D38-4058-AA4B-7178A076188D}"/>
    <cellStyle name="쉼표 [0] 3 6 4 2 3" xfId="6166" xr:uid="{00000000-0005-0000-0000-00006C170000}"/>
    <cellStyle name="쉼표 [0] 3 6 4 2 3 2" xfId="13483" xr:uid="{2951FE16-1939-4EBA-B577-6AD0BF53FD98}"/>
    <cellStyle name="쉼표 [0] 3 6 4 2 4" xfId="9824" xr:uid="{164A360B-BC9B-4BC2-9480-3DE076CCE496}"/>
    <cellStyle name="쉼표 [0] 3 6 4 3" xfId="1994" xr:uid="{00000000-0005-0000-0000-00006D170000}"/>
    <cellStyle name="쉼표 [0] 3 6 4 3 2" xfId="4335" xr:uid="{00000000-0005-0000-0000-00006E170000}"/>
    <cellStyle name="쉼표 [0] 3 6 4 3 2 2" xfId="7996" xr:uid="{00000000-0005-0000-0000-00006F170000}"/>
    <cellStyle name="쉼표 [0] 3 6 4 3 2 2 2" xfId="15313" xr:uid="{FD6A1268-7A89-49E7-92ED-908B890A3DA2}"/>
    <cellStyle name="쉼표 [0] 3 6 4 3 2 3" xfId="11655" xr:uid="{A05408C3-91C4-4042-96E5-CC4A22B93990}"/>
    <cellStyle name="쉼표 [0] 3 6 4 3 3" xfId="6167" xr:uid="{00000000-0005-0000-0000-000070170000}"/>
    <cellStyle name="쉼표 [0] 3 6 4 3 3 2" xfId="13484" xr:uid="{B640F86D-71D9-453B-A7E0-0D3DEA386C50}"/>
    <cellStyle name="쉼표 [0] 3 6 4 3 4" xfId="9825" xr:uid="{BA518D6B-8DCC-4FB8-9B21-0F0C03AB7C5E}"/>
    <cellStyle name="쉼표 [0] 3 6 4 4" xfId="4333" xr:uid="{00000000-0005-0000-0000-000071170000}"/>
    <cellStyle name="쉼표 [0] 3 6 4 4 2" xfId="7994" xr:uid="{00000000-0005-0000-0000-000072170000}"/>
    <cellStyle name="쉼표 [0] 3 6 4 4 2 2" xfId="15311" xr:uid="{73303043-4E83-4583-A7CB-2154E046E0C7}"/>
    <cellStyle name="쉼표 [0] 3 6 4 4 3" xfId="11653" xr:uid="{C80E322C-663D-4FC7-87DE-6D10D0C69695}"/>
    <cellStyle name="쉼표 [0] 3 6 4 5" xfId="6165" xr:uid="{00000000-0005-0000-0000-000073170000}"/>
    <cellStyle name="쉼표 [0] 3 6 4 5 2" xfId="13482" xr:uid="{E0EA3B1E-0DEA-4042-835A-0BE7759B0832}"/>
    <cellStyle name="쉼표 [0] 3 6 4 6" xfId="9823" xr:uid="{1A75A947-6109-4435-B25B-BB01865E6A93}"/>
    <cellStyle name="쉼표 [0] 3 6 5" xfId="1995" xr:uid="{00000000-0005-0000-0000-000074170000}"/>
    <cellStyle name="쉼표 [0] 3 6 5 2" xfId="1996" xr:uid="{00000000-0005-0000-0000-000075170000}"/>
    <cellStyle name="쉼표 [0] 3 6 5 2 2" xfId="4337" xr:uid="{00000000-0005-0000-0000-000076170000}"/>
    <cellStyle name="쉼표 [0] 3 6 5 2 2 2" xfId="7998" xr:uid="{00000000-0005-0000-0000-000077170000}"/>
    <cellStyle name="쉼표 [0] 3 6 5 2 2 2 2" xfId="15315" xr:uid="{E37AE2FD-2CCD-4DA3-AC59-4D3BB917006D}"/>
    <cellStyle name="쉼표 [0] 3 6 5 2 2 3" xfId="11657" xr:uid="{B8A75034-2867-443F-BB66-B923A7355962}"/>
    <cellStyle name="쉼표 [0] 3 6 5 2 3" xfId="6169" xr:uid="{00000000-0005-0000-0000-000078170000}"/>
    <cellStyle name="쉼표 [0] 3 6 5 2 3 2" xfId="13486" xr:uid="{8EC46EA6-7606-4341-959B-D75188BA717C}"/>
    <cellStyle name="쉼표 [0] 3 6 5 2 4" xfId="9827" xr:uid="{169C0817-3297-4EEA-942E-D357A41466B1}"/>
    <cellStyle name="쉼표 [0] 3 6 5 3" xfId="1997" xr:uid="{00000000-0005-0000-0000-000079170000}"/>
    <cellStyle name="쉼표 [0] 3 6 5 3 2" xfId="4338" xr:uid="{00000000-0005-0000-0000-00007A170000}"/>
    <cellStyle name="쉼표 [0] 3 6 5 3 2 2" xfId="7999" xr:uid="{00000000-0005-0000-0000-00007B170000}"/>
    <cellStyle name="쉼표 [0] 3 6 5 3 2 2 2" xfId="15316" xr:uid="{B4CD0B7C-0F14-4846-820F-C09802FB340B}"/>
    <cellStyle name="쉼표 [0] 3 6 5 3 2 3" xfId="11658" xr:uid="{5796DF68-0666-4765-8D58-70C66A7037FB}"/>
    <cellStyle name="쉼표 [0] 3 6 5 3 3" xfId="6170" xr:uid="{00000000-0005-0000-0000-00007C170000}"/>
    <cellStyle name="쉼표 [0] 3 6 5 3 3 2" xfId="13487" xr:uid="{C3432654-9E90-4D6F-81CA-A22B76E9A3CB}"/>
    <cellStyle name="쉼표 [0] 3 6 5 3 4" xfId="9828" xr:uid="{2BCB5E00-38F7-4F85-B483-11114C436502}"/>
    <cellStyle name="쉼표 [0] 3 6 5 4" xfId="4336" xr:uid="{00000000-0005-0000-0000-00007D170000}"/>
    <cellStyle name="쉼표 [0] 3 6 5 4 2" xfId="7997" xr:uid="{00000000-0005-0000-0000-00007E170000}"/>
    <cellStyle name="쉼표 [0] 3 6 5 4 2 2" xfId="15314" xr:uid="{A73BD9D5-D6FD-47AB-BC7A-96BB103F9742}"/>
    <cellStyle name="쉼표 [0] 3 6 5 4 3" xfId="11656" xr:uid="{6D2F94FB-B8DD-419E-97F3-9B4AD830CA70}"/>
    <cellStyle name="쉼표 [0] 3 6 5 5" xfId="6168" xr:uid="{00000000-0005-0000-0000-00007F170000}"/>
    <cellStyle name="쉼표 [0] 3 6 5 5 2" xfId="13485" xr:uid="{20D358A2-AA4F-4F4E-8F71-4A9BE06CB233}"/>
    <cellStyle name="쉼표 [0] 3 6 5 6" xfId="9826" xr:uid="{454E52B4-0067-4899-A9DC-FC90A266C01D}"/>
    <cellStyle name="쉼표 [0] 3 6 6" xfId="1998" xr:uid="{00000000-0005-0000-0000-000080170000}"/>
    <cellStyle name="쉼표 [0] 3 6 6 2" xfId="1999" xr:uid="{00000000-0005-0000-0000-000081170000}"/>
    <cellStyle name="쉼표 [0] 3 6 6 2 2" xfId="4340" xr:uid="{00000000-0005-0000-0000-000082170000}"/>
    <cellStyle name="쉼표 [0] 3 6 6 2 2 2" xfId="8001" xr:uid="{00000000-0005-0000-0000-000083170000}"/>
    <cellStyle name="쉼표 [0] 3 6 6 2 2 2 2" xfId="15318" xr:uid="{94DBC387-CE76-4841-883C-3694F88806EC}"/>
    <cellStyle name="쉼표 [0] 3 6 6 2 2 3" xfId="11660" xr:uid="{C228EEDF-F73C-4277-8EAE-DF6A01BB0A88}"/>
    <cellStyle name="쉼표 [0] 3 6 6 2 3" xfId="6172" xr:uid="{00000000-0005-0000-0000-000084170000}"/>
    <cellStyle name="쉼표 [0] 3 6 6 2 3 2" xfId="13489" xr:uid="{B66F3584-493E-4A81-857D-183C79E2F451}"/>
    <cellStyle name="쉼표 [0] 3 6 6 2 4" xfId="9830" xr:uid="{0C30176F-5B15-4D50-A1F8-F54517524195}"/>
    <cellStyle name="쉼표 [0] 3 6 6 3" xfId="2000" xr:uid="{00000000-0005-0000-0000-000085170000}"/>
    <cellStyle name="쉼표 [0] 3 6 6 3 2" xfId="4341" xr:uid="{00000000-0005-0000-0000-000086170000}"/>
    <cellStyle name="쉼표 [0] 3 6 6 3 2 2" xfId="8002" xr:uid="{00000000-0005-0000-0000-000087170000}"/>
    <cellStyle name="쉼표 [0] 3 6 6 3 2 2 2" xfId="15319" xr:uid="{8C7754D0-53A3-4281-AB1B-45BE087366B5}"/>
    <cellStyle name="쉼표 [0] 3 6 6 3 2 3" xfId="11661" xr:uid="{10A3A429-1E5B-4D92-8951-58CBD03623ED}"/>
    <cellStyle name="쉼표 [0] 3 6 6 3 3" xfId="6173" xr:uid="{00000000-0005-0000-0000-000088170000}"/>
    <cellStyle name="쉼표 [0] 3 6 6 3 3 2" xfId="13490" xr:uid="{2CDFE04E-8CCE-41D5-9936-D45FC13552D7}"/>
    <cellStyle name="쉼표 [0] 3 6 6 3 4" xfId="9831" xr:uid="{ED274E77-F0FB-4D1F-848C-59CF3DBF8E79}"/>
    <cellStyle name="쉼표 [0] 3 6 6 4" xfId="4339" xr:uid="{00000000-0005-0000-0000-000089170000}"/>
    <cellStyle name="쉼표 [0] 3 6 6 4 2" xfId="8000" xr:uid="{00000000-0005-0000-0000-00008A170000}"/>
    <cellStyle name="쉼표 [0] 3 6 6 4 2 2" xfId="15317" xr:uid="{434E1889-E09A-45CF-A1FD-8A5251E67AD0}"/>
    <cellStyle name="쉼표 [0] 3 6 6 4 3" xfId="11659" xr:uid="{1FCF44AA-D047-4475-8A1C-0BB644592E8E}"/>
    <cellStyle name="쉼표 [0] 3 6 6 5" xfId="6171" xr:uid="{00000000-0005-0000-0000-00008B170000}"/>
    <cellStyle name="쉼표 [0] 3 6 6 5 2" xfId="13488" xr:uid="{CA551A3B-A8FC-4344-8BCF-7BB4C0396E64}"/>
    <cellStyle name="쉼표 [0] 3 6 6 6" xfId="9829" xr:uid="{DA0F6975-E190-4D6C-B5FC-BA405F4EFA3F}"/>
    <cellStyle name="쉼표 [0] 3 6 7" xfId="2001" xr:uid="{00000000-0005-0000-0000-00008C170000}"/>
    <cellStyle name="쉼표 [0] 3 6 7 2" xfId="4342" xr:uid="{00000000-0005-0000-0000-00008D170000}"/>
    <cellStyle name="쉼표 [0] 3 6 7 2 2" xfId="8003" xr:uid="{00000000-0005-0000-0000-00008E170000}"/>
    <cellStyle name="쉼표 [0] 3 6 7 2 2 2" xfId="15320" xr:uid="{642ACC51-55BF-4D90-9527-BFB128F0A9E0}"/>
    <cellStyle name="쉼표 [0] 3 6 7 2 3" xfId="11662" xr:uid="{D087AB8B-F2FA-4E47-B968-0774CA432963}"/>
    <cellStyle name="쉼표 [0] 3 6 7 3" xfId="6174" xr:uid="{00000000-0005-0000-0000-00008F170000}"/>
    <cellStyle name="쉼표 [0] 3 6 7 3 2" xfId="13491" xr:uid="{A4CB57C1-3E5F-465A-833E-BE3DA8E541C6}"/>
    <cellStyle name="쉼표 [0] 3 6 7 4" xfId="9832" xr:uid="{E5F9FBE9-992B-41AA-B168-B12595291440}"/>
    <cellStyle name="쉼표 [0] 3 6 8" xfId="2002" xr:uid="{00000000-0005-0000-0000-000090170000}"/>
    <cellStyle name="쉼표 [0] 3 6 8 2" xfId="4343" xr:uid="{00000000-0005-0000-0000-000091170000}"/>
    <cellStyle name="쉼표 [0] 3 6 8 2 2" xfId="8004" xr:uid="{00000000-0005-0000-0000-000092170000}"/>
    <cellStyle name="쉼표 [0] 3 6 8 2 2 2" xfId="15321" xr:uid="{86E652A0-D320-43EC-8362-42A8BC4EEAB6}"/>
    <cellStyle name="쉼표 [0] 3 6 8 2 3" xfId="11663" xr:uid="{5B1D9433-5A0C-48E1-BF15-832C9C43D43A}"/>
    <cellStyle name="쉼표 [0] 3 6 8 3" xfId="6175" xr:uid="{00000000-0005-0000-0000-000093170000}"/>
    <cellStyle name="쉼표 [0] 3 6 8 3 2" xfId="13492" xr:uid="{20A3851C-8466-499B-A902-398E93312BCD}"/>
    <cellStyle name="쉼표 [0] 3 6 8 4" xfId="9833" xr:uid="{23457B4A-7EBA-4E3E-8DA6-156D5CD0CC1F}"/>
    <cellStyle name="쉼표 [0] 3 6 9" xfId="2003" xr:uid="{00000000-0005-0000-0000-000094170000}"/>
    <cellStyle name="쉼표 [0] 3 6 9 2" xfId="4344" xr:uid="{00000000-0005-0000-0000-000095170000}"/>
    <cellStyle name="쉼표 [0] 3 6 9 2 2" xfId="8005" xr:uid="{00000000-0005-0000-0000-000096170000}"/>
    <cellStyle name="쉼표 [0] 3 6 9 2 2 2" xfId="15322" xr:uid="{D11BEE93-DC0F-4068-9C02-BF8C46077438}"/>
    <cellStyle name="쉼표 [0] 3 6 9 2 3" xfId="11664" xr:uid="{A8C28764-0B5C-4284-A334-950661D26516}"/>
    <cellStyle name="쉼표 [0] 3 6 9 3" xfId="6176" xr:uid="{00000000-0005-0000-0000-000097170000}"/>
    <cellStyle name="쉼표 [0] 3 6 9 3 2" xfId="13493" xr:uid="{2E5DF517-C343-4A29-AE1D-BEB894530CED}"/>
    <cellStyle name="쉼표 [0] 3 6 9 4" xfId="9834" xr:uid="{5FCBA472-69F9-473C-B694-299A0FBF5F21}"/>
    <cellStyle name="쉼표 [0] 3 7" xfId="2004" xr:uid="{00000000-0005-0000-0000-000098170000}"/>
    <cellStyle name="쉼표 [0] 3 7 2" xfId="2005" xr:uid="{00000000-0005-0000-0000-000099170000}"/>
    <cellStyle name="쉼표 [0] 3 7 2 2" xfId="4346" xr:uid="{00000000-0005-0000-0000-00009A170000}"/>
    <cellStyle name="쉼표 [0] 3 7 2 2 2" xfId="8007" xr:uid="{00000000-0005-0000-0000-00009B170000}"/>
    <cellStyle name="쉼표 [0] 3 7 2 2 2 2" xfId="15324" xr:uid="{4F9C4478-7E68-4D7A-A6CE-8BBF4ACF8415}"/>
    <cellStyle name="쉼표 [0] 3 7 2 2 3" xfId="11666" xr:uid="{FD8C6CF6-FDBB-43E3-8141-42AC64C788F7}"/>
    <cellStyle name="쉼표 [0] 3 7 2 3" xfId="6178" xr:uid="{00000000-0005-0000-0000-00009C170000}"/>
    <cellStyle name="쉼표 [0] 3 7 2 3 2" xfId="13495" xr:uid="{F27DB6BE-8152-4054-A280-8B9671B17F82}"/>
    <cellStyle name="쉼표 [0] 3 7 2 4" xfId="9836" xr:uid="{A01CA8CD-A600-439E-87FA-DDD3586086A6}"/>
    <cellStyle name="쉼표 [0] 3 7 3" xfId="2006" xr:uid="{00000000-0005-0000-0000-00009D170000}"/>
    <cellStyle name="쉼표 [0] 3 7 3 2" xfId="4347" xr:uid="{00000000-0005-0000-0000-00009E170000}"/>
    <cellStyle name="쉼표 [0] 3 7 3 2 2" xfId="8008" xr:uid="{00000000-0005-0000-0000-00009F170000}"/>
    <cellStyle name="쉼표 [0] 3 7 3 2 2 2" xfId="15325" xr:uid="{9BCCE139-E335-426A-B045-5DEE78E3C38A}"/>
    <cellStyle name="쉼표 [0] 3 7 3 2 3" xfId="11667" xr:uid="{92F1C60B-E1AC-46D2-B95D-212ADCCA845D}"/>
    <cellStyle name="쉼표 [0] 3 7 3 3" xfId="6179" xr:uid="{00000000-0005-0000-0000-0000A0170000}"/>
    <cellStyle name="쉼표 [0] 3 7 3 3 2" xfId="13496" xr:uid="{8ACF350B-4A60-4582-A9DA-76EF5E7DDEED}"/>
    <cellStyle name="쉼표 [0] 3 7 3 4" xfId="9837" xr:uid="{87E7CCF3-A84A-4A37-8E51-18FA8700C615}"/>
    <cellStyle name="쉼표 [0] 3 7 4" xfId="2007" xr:uid="{00000000-0005-0000-0000-0000A1170000}"/>
    <cellStyle name="쉼표 [0] 3 7 4 2" xfId="4348" xr:uid="{00000000-0005-0000-0000-0000A2170000}"/>
    <cellStyle name="쉼표 [0] 3 7 4 2 2" xfId="8009" xr:uid="{00000000-0005-0000-0000-0000A3170000}"/>
    <cellStyle name="쉼표 [0] 3 7 4 2 2 2" xfId="15326" xr:uid="{C5D3013B-CB16-4530-BC00-55C2892215E8}"/>
    <cellStyle name="쉼표 [0] 3 7 4 2 3" xfId="11668" xr:uid="{32767BBC-BF3A-44E0-B124-A1C6E576FDA2}"/>
    <cellStyle name="쉼표 [0] 3 7 4 3" xfId="6180" xr:uid="{00000000-0005-0000-0000-0000A4170000}"/>
    <cellStyle name="쉼표 [0] 3 7 4 3 2" xfId="13497" xr:uid="{D47BB29E-D168-46E3-9C50-C99986DE1289}"/>
    <cellStyle name="쉼표 [0] 3 7 4 4" xfId="9838" xr:uid="{748D787B-66AD-45A5-BE7C-BB988407C340}"/>
    <cellStyle name="쉼표 [0] 3 7 5" xfId="4345" xr:uid="{00000000-0005-0000-0000-0000A5170000}"/>
    <cellStyle name="쉼표 [0] 3 7 5 2" xfId="8006" xr:uid="{00000000-0005-0000-0000-0000A6170000}"/>
    <cellStyle name="쉼표 [0] 3 7 5 2 2" xfId="15323" xr:uid="{985158A8-8820-4756-846D-1C0868005EA0}"/>
    <cellStyle name="쉼표 [0] 3 7 5 3" xfId="11665" xr:uid="{459C7376-0933-4723-8B8E-9BC2C23B6C33}"/>
    <cellStyle name="쉼표 [0] 3 7 6" xfId="6177" xr:uid="{00000000-0005-0000-0000-0000A7170000}"/>
    <cellStyle name="쉼표 [0] 3 7 6 2" xfId="13494" xr:uid="{9EF4A210-94DF-4800-9185-572523C800CC}"/>
    <cellStyle name="쉼표 [0] 3 7 7" xfId="9835" xr:uid="{5F2674BB-151C-40BF-AEB2-70EF8ED0BCAF}"/>
    <cellStyle name="쉼표 [0] 3 8" xfId="2008" xr:uid="{00000000-0005-0000-0000-0000A8170000}"/>
    <cellStyle name="쉼표 [0] 3 8 2" xfId="2009" xr:uid="{00000000-0005-0000-0000-0000A9170000}"/>
    <cellStyle name="쉼표 [0] 3 8 2 2" xfId="4350" xr:uid="{00000000-0005-0000-0000-0000AA170000}"/>
    <cellStyle name="쉼표 [0] 3 8 2 2 2" xfId="8011" xr:uid="{00000000-0005-0000-0000-0000AB170000}"/>
    <cellStyle name="쉼표 [0] 3 8 2 2 2 2" xfId="15328" xr:uid="{A4411252-9ED1-4BBD-914F-AC0BE1DD6DF2}"/>
    <cellStyle name="쉼표 [0] 3 8 2 2 3" xfId="11670" xr:uid="{04DAA554-88A3-43AC-BD6E-11298F73375B}"/>
    <cellStyle name="쉼표 [0] 3 8 2 3" xfId="6182" xr:uid="{00000000-0005-0000-0000-0000AC170000}"/>
    <cellStyle name="쉼표 [0] 3 8 2 3 2" xfId="13499" xr:uid="{D7A4AF75-AEAA-4854-B9C8-C4AFDC081B32}"/>
    <cellStyle name="쉼표 [0] 3 8 2 4" xfId="9840" xr:uid="{4674B757-B252-43F4-BC7E-E7501856A649}"/>
    <cellStyle name="쉼표 [0] 3 8 3" xfId="2010" xr:uid="{00000000-0005-0000-0000-0000AD170000}"/>
    <cellStyle name="쉼표 [0] 3 8 3 2" xfId="4351" xr:uid="{00000000-0005-0000-0000-0000AE170000}"/>
    <cellStyle name="쉼표 [0] 3 8 3 2 2" xfId="8012" xr:uid="{00000000-0005-0000-0000-0000AF170000}"/>
    <cellStyle name="쉼표 [0] 3 8 3 2 2 2" xfId="15329" xr:uid="{B7596288-26DB-4F4B-AB66-21943A33D485}"/>
    <cellStyle name="쉼표 [0] 3 8 3 2 3" xfId="11671" xr:uid="{D9F54541-5FD0-40B3-89AE-025CEC331703}"/>
    <cellStyle name="쉼표 [0] 3 8 3 3" xfId="6183" xr:uid="{00000000-0005-0000-0000-0000B0170000}"/>
    <cellStyle name="쉼표 [0] 3 8 3 3 2" xfId="13500" xr:uid="{96574FFA-D8BF-4941-A8C4-2CB596CD9C73}"/>
    <cellStyle name="쉼표 [0] 3 8 3 4" xfId="9841" xr:uid="{B4F1C1DB-D11A-4CA3-8F62-B62BE395A8C7}"/>
    <cellStyle name="쉼표 [0] 3 8 4" xfId="4349" xr:uid="{00000000-0005-0000-0000-0000B1170000}"/>
    <cellStyle name="쉼표 [0] 3 8 4 2" xfId="8010" xr:uid="{00000000-0005-0000-0000-0000B2170000}"/>
    <cellStyle name="쉼표 [0] 3 8 4 2 2" xfId="15327" xr:uid="{56871E29-3C07-4C56-B0F8-77DCACC50DE7}"/>
    <cellStyle name="쉼표 [0] 3 8 4 3" xfId="11669" xr:uid="{FCE73D1A-0984-424A-BFA4-D6580C4AEAB7}"/>
    <cellStyle name="쉼표 [0] 3 8 5" xfId="6181" xr:uid="{00000000-0005-0000-0000-0000B3170000}"/>
    <cellStyle name="쉼표 [0] 3 8 5 2" xfId="13498" xr:uid="{0A4DBF26-823A-4B18-8106-D50B0386DB0D}"/>
    <cellStyle name="쉼표 [0] 3 8 6" xfId="9839" xr:uid="{E17864E5-7D4A-405C-BAD5-ED91184A0FDC}"/>
    <cellStyle name="쉼표 [0] 3 9" xfId="2011" xr:uid="{00000000-0005-0000-0000-0000B4170000}"/>
    <cellStyle name="쉼표 [0] 3 9 2" xfId="2012" xr:uid="{00000000-0005-0000-0000-0000B5170000}"/>
    <cellStyle name="쉼표 [0] 3 9 2 2" xfId="4353" xr:uid="{00000000-0005-0000-0000-0000B6170000}"/>
    <cellStyle name="쉼표 [0] 3 9 2 2 2" xfId="8014" xr:uid="{00000000-0005-0000-0000-0000B7170000}"/>
    <cellStyle name="쉼표 [0] 3 9 2 2 2 2" xfId="15331" xr:uid="{ACC20D41-E64C-4102-997E-B183BEC43C23}"/>
    <cellStyle name="쉼표 [0] 3 9 2 2 3" xfId="11673" xr:uid="{48385CF6-04DD-4B40-BA85-F722A34CDFB8}"/>
    <cellStyle name="쉼표 [0] 3 9 2 3" xfId="6185" xr:uid="{00000000-0005-0000-0000-0000B8170000}"/>
    <cellStyle name="쉼표 [0] 3 9 2 3 2" xfId="13502" xr:uid="{CB4815BA-1E7F-41DB-A940-50555C08FF3E}"/>
    <cellStyle name="쉼표 [0] 3 9 2 4" xfId="9843" xr:uid="{AAB25492-358D-439E-98AB-7899EB187C85}"/>
    <cellStyle name="쉼표 [0] 3 9 3" xfId="2013" xr:uid="{00000000-0005-0000-0000-0000B9170000}"/>
    <cellStyle name="쉼표 [0] 3 9 3 2" xfId="4354" xr:uid="{00000000-0005-0000-0000-0000BA170000}"/>
    <cellStyle name="쉼표 [0] 3 9 3 2 2" xfId="8015" xr:uid="{00000000-0005-0000-0000-0000BB170000}"/>
    <cellStyle name="쉼표 [0] 3 9 3 2 2 2" xfId="15332" xr:uid="{BC4647D0-5B7D-4ED1-AE7F-5E6E481106D2}"/>
    <cellStyle name="쉼표 [0] 3 9 3 2 3" xfId="11674" xr:uid="{934E2998-8FBD-40C1-BC61-46F4DF8C7558}"/>
    <cellStyle name="쉼표 [0] 3 9 3 3" xfId="6186" xr:uid="{00000000-0005-0000-0000-0000BC170000}"/>
    <cellStyle name="쉼표 [0] 3 9 3 3 2" xfId="13503" xr:uid="{A2ACD301-98CC-4659-B194-35808FCB23EB}"/>
    <cellStyle name="쉼표 [0] 3 9 3 4" xfId="9844" xr:uid="{F5516BB9-9780-4377-9697-6C3511A5187C}"/>
    <cellStyle name="쉼표 [0] 3 9 4" xfId="4352" xr:uid="{00000000-0005-0000-0000-0000BD170000}"/>
    <cellStyle name="쉼표 [0] 3 9 4 2" xfId="8013" xr:uid="{00000000-0005-0000-0000-0000BE170000}"/>
    <cellStyle name="쉼표 [0] 3 9 4 2 2" xfId="15330" xr:uid="{654EBA0E-8E13-440D-AACE-D9101646DF87}"/>
    <cellStyle name="쉼표 [0] 3 9 4 3" xfId="11672" xr:uid="{194E45B5-32D7-4A85-93D1-E31806CDC49E}"/>
    <cellStyle name="쉼표 [0] 3 9 5" xfId="6184" xr:uid="{00000000-0005-0000-0000-0000BF170000}"/>
    <cellStyle name="쉼표 [0] 3 9 5 2" xfId="13501" xr:uid="{ABA6C1C9-BF51-489A-917F-079B851473DD}"/>
    <cellStyle name="쉼표 [0] 3 9 6" xfId="9842" xr:uid="{CD023B23-37E0-40DC-8E13-76C6C712D7F6}"/>
    <cellStyle name="쉼표 [0] 38" xfId="2014" xr:uid="{00000000-0005-0000-0000-0000C0170000}"/>
    <cellStyle name="쉼표 [0] 38 2" xfId="2015" xr:uid="{00000000-0005-0000-0000-0000C1170000}"/>
    <cellStyle name="쉼표 [0] 38 2 2" xfId="2016" xr:uid="{00000000-0005-0000-0000-0000C2170000}"/>
    <cellStyle name="쉼표 [0] 38 2 2 2" xfId="4357" xr:uid="{00000000-0005-0000-0000-0000C3170000}"/>
    <cellStyle name="쉼표 [0] 38 2 2 2 2" xfId="8018" xr:uid="{00000000-0005-0000-0000-0000C4170000}"/>
    <cellStyle name="쉼표 [0] 38 2 2 2 2 2" xfId="15335" xr:uid="{185BECD0-79EB-4CEE-9E57-0C7BF4E1646E}"/>
    <cellStyle name="쉼표 [0] 38 2 2 2 3" xfId="11677" xr:uid="{E4E16191-31BC-4416-BFB8-F6F48EEDCD52}"/>
    <cellStyle name="쉼표 [0] 38 2 2 3" xfId="6189" xr:uid="{00000000-0005-0000-0000-0000C5170000}"/>
    <cellStyle name="쉼표 [0] 38 2 2 3 2" xfId="13506" xr:uid="{4CF0E9E4-156F-4D70-80CE-788CF8FF1AA2}"/>
    <cellStyle name="쉼표 [0] 38 2 2 4" xfId="9847" xr:uid="{D0630BB1-5009-4E9C-83D7-6117E54EB9FA}"/>
    <cellStyle name="쉼표 [0] 38 2 3" xfId="2017" xr:uid="{00000000-0005-0000-0000-0000C6170000}"/>
    <cellStyle name="쉼표 [0] 38 2 3 2" xfId="4358" xr:uid="{00000000-0005-0000-0000-0000C7170000}"/>
    <cellStyle name="쉼표 [0] 38 2 3 2 2" xfId="8019" xr:uid="{00000000-0005-0000-0000-0000C8170000}"/>
    <cellStyle name="쉼표 [0] 38 2 3 2 2 2" xfId="15336" xr:uid="{AD8E6BC6-6F94-4D4E-B987-29FD0C8E2A70}"/>
    <cellStyle name="쉼표 [0] 38 2 3 2 3" xfId="11678" xr:uid="{B67303F5-4EEB-4AAA-981E-B02711DF1250}"/>
    <cellStyle name="쉼표 [0] 38 2 3 3" xfId="6190" xr:uid="{00000000-0005-0000-0000-0000C9170000}"/>
    <cellStyle name="쉼표 [0] 38 2 3 3 2" xfId="13507" xr:uid="{65B9D1B8-621A-4BCF-B7EA-8053DD011D38}"/>
    <cellStyle name="쉼표 [0] 38 2 3 4" xfId="9848" xr:uid="{D87415B9-337D-49BB-AD54-4D23CECE0B44}"/>
    <cellStyle name="쉼표 [0] 38 2 4" xfId="2018" xr:uid="{00000000-0005-0000-0000-0000CA170000}"/>
    <cellStyle name="쉼표 [0] 38 2 4 2" xfId="4359" xr:uid="{00000000-0005-0000-0000-0000CB170000}"/>
    <cellStyle name="쉼표 [0] 38 2 4 2 2" xfId="8020" xr:uid="{00000000-0005-0000-0000-0000CC170000}"/>
    <cellStyle name="쉼표 [0] 38 2 4 2 2 2" xfId="15337" xr:uid="{46B68E5C-7BE7-4A12-90CA-170B6128E341}"/>
    <cellStyle name="쉼표 [0] 38 2 4 2 3" xfId="11679" xr:uid="{D34E949E-7C9F-4F96-85D6-01527E98961B}"/>
    <cellStyle name="쉼표 [0] 38 2 4 3" xfId="6191" xr:uid="{00000000-0005-0000-0000-0000CD170000}"/>
    <cellStyle name="쉼표 [0] 38 2 4 3 2" xfId="13508" xr:uid="{07BA1C1E-87E8-45DC-AAF4-64A8E26E9FE5}"/>
    <cellStyle name="쉼표 [0] 38 2 4 4" xfId="9849" xr:uid="{AAC11B62-E448-478B-BDBA-673FE6ADA3FF}"/>
    <cellStyle name="쉼표 [0] 38 2 5" xfId="4356" xr:uid="{00000000-0005-0000-0000-0000CE170000}"/>
    <cellStyle name="쉼표 [0] 38 2 5 2" xfId="8017" xr:uid="{00000000-0005-0000-0000-0000CF170000}"/>
    <cellStyle name="쉼표 [0] 38 2 5 2 2" xfId="15334" xr:uid="{ADD1A0CC-C79E-4AEE-A9A2-72CFF47D04D9}"/>
    <cellStyle name="쉼표 [0] 38 2 5 3" xfId="11676" xr:uid="{3722064A-4049-455D-B3B7-F47451AA6D78}"/>
    <cellStyle name="쉼표 [0] 38 2 6" xfId="6188" xr:uid="{00000000-0005-0000-0000-0000D0170000}"/>
    <cellStyle name="쉼표 [0] 38 2 6 2" xfId="13505" xr:uid="{E177C80C-40CD-4AC9-B587-B8B7C4A6FDA0}"/>
    <cellStyle name="쉼표 [0] 38 2 7" xfId="9846" xr:uid="{D9479CFF-3572-4169-ACAA-79D28DA70940}"/>
    <cellStyle name="쉼표 [0] 38 3" xfId="2019" xr:uid="{00000000-0005-0000-0000-0000D1170000}"/>
    <cellStyle name="쉼표 [0] 38 3 2" xfId="4360" xr:uid="{00000000-0005-0000-0000-0000D2170000}"/>
    <cellStyle name="쉼표 [0] 38 3 2 2" xfId="8021" xr:uid="{00000000-0005-0000-0000-0000D3170000}"/>
    <cellStyle name="쉼표 [0] 38 3 2 2 2" xfId="15338" xr:uid="{5C57B232-9811-40D8-BE54-58818E65C4EB}"/>
    <cellStyle name="쉼표 [0] 38 3 2 3" xfId="11680" xr:uid="{452E5615-4167-4962-83DD-B94A766967D4}"/>
    <cellStyle name="쉼표 [0] 38 3 3" xfId="6192" xr:uid="{00000000-0005-0000-0000-0000D4170000}"/>
    <cellStyle name="쉼표 [0] 38 3 3 2" xfId="13509" xr:uid="{E703FF63-E11B-4323-9A54-114FC1983293}"/>
    <cellStyle name="쉼표 [0] 38 3 4" xfId="9850" xr:uid="{1B1AE502-BD00-4AD4-9EEB-341322EC2A89}"/>
    <cellStyle name="쉼표 [0] 38 4" xfId="2020" xr:uid="{00000000-0005-0000-0000-0000D5170000}"/>
    <cellStyle name="쉼표 [0] 38 4 2" xfId="4361" xr:uid="{00000000-0005-0000-0000-0000D6170000}"/>
    <cellStyle name="쉼표 [0] 38 4 2 2" xfId="8022" xr:uid="{00000000-0005-0000-0000-0000D7170000}"/>
    <cellStyle name="쉼표 [0] 38 4 2 2 2" xfId="15339" xr:uid="{CC9292C3-A898-4212-A1D3-346098B87D8B}"/>
    <cellStyle name="쉼표 [0] 38 4 2 3" xfId="11681" xr:uid="{9CE92C54-D606-4A23-9D85-3C9753450A6E}"/>
    <cellStyle name="쉼표 [0] 38 4 3" xfId="6193" xr:uid="{00000000-0005-0000-0000-0000D8170000}"/>
    <cellStyle name="쉼표 [0] 38 4 3 2" xfId="13510" xr:uid="{A61B7C44-6B91-4456-A129-145D79FA1DE9}"/>
    <cellStyle name="쉼표 [0] 38 4 4" xfId="9851" xr:uid="{8AD27D73-3B6B-47FD-9646-0F6C47D8271B}"/>
    <cellStyle name="쉼표 [0] 38 5" xfId="2021" xr:uid="{00000000-0005-0000-0000-0000D9170000}"/>
    <cellStyle name="쉼표 [0] 38 5 2" xfId="4362" xr:uid="{00000000-0005-0000-0000-0000DA170000}"/>
    <cellStyle name="쉼표 [0] 38 5 2 2" xfId="8023" xr:uid="{00000000-0005-0000-0000-0000DB170000}"/>
    <cellStyle name="쉼표 [0] 38 5 2 2 2" xfId="15340" xr:uid="{80F18603-DE33-4C81-9599-7B36C9412ACE}"/>
    <cellStyle name="쉼표 [0] 38 5 2 3" xfId="11682" xr:uid="{7CE0BB4D-3190-4F22-A1B1-2B9F34385402}"/>
    <cellStyle name="쉼표 [0] 38 5 3" xfId="6194" xr:uid="{00000000-0005-0000-0000-0000DC170000}"/>
    <cellStyle name="쉼표 [0] 38 5 3 2" xfId="13511" xr:uid="{6796A9CE-C769-441F-A920-0081720FBA90}"/>
    <cellStyle name="쉼표 [0] 38 5 4" xfId="9852" xr:uid="{6DCFC0E8-E9BF-43BA-BBA4-850E3D488637}"/>
    <cellStyle name="쉼표 [0] 38 6" xfId="4355" xr:uid="{00000000-0005-0000-0000-0000DD170000}"/>
    <cellStyle name="쉼표 [0] 38 6 2" xfId="8016" xr:uid="{00000000-0005-0000-0000-0000DE170000}"/>
    <cellStyle name="쉼표 [0] 38 6 2 2" xfId="15333" xr:uid="{966379A5-F2D8-4C66-A9B8-F0DA60D75929}"/>
    <cellStyle name="쉼표 [0] 38 6 3" xfId="11675" xr:uid="{5E8C0AA3-4F6C-43AD-96BD-60C7355299D2}"/>
    <cellStyle name="쉼표 [0] 38 7" xfId="6187" xr:uid="{00000000-0005-0000-0000-0000DF170000}"/>
    <cellStyle name="쉼표 [0] 38 7 2" xfId="13504" xr:uid="{480A4232-1734-42DE-AFC9-F535FA318ABB}"/>
    <cellStyle name="쉼표 [0] 38 8" xfId="9845" xr:uid="{A158FAD8-7B10-4E5C-8753-5D607DBB5329}"/>
    <cellStyle name="쉼표 [0] 4" xfId="2022" xr:uid="{00000000-0005-0000-0000-0000E0170000}"/>
    <cellStyle name="쉼표 [0] 4 10" xfId="2023" xr:uid="{00000000-0005-0000-0000-0000E1170000}"/>
    <cellStyle name="쉼표 [0] 4 10 2" xfId="2024" xr:uid="{00000000-0005-0000-0000-0000E2170000}"/>
    <cellStyle name="쉼표 [0] 4 10 2 2" xfId="4365" xr:uid="{00000000-0005-0000-0000-0000E3170000}"/>
    <cellStyle name="쉼표 [0] 4 10 2 2 2" xfId="8026" xr:uid="{00000000-0005-0000-0000-0000E4170000}"/>
    <cellStyle name="쉼표 [0] 4 10 2 2 2 2" xfId="15343" xr:uid="{2A186ACB-F6E8-4EE6-87C4-A68A7C7F56D7}"/>
    <cellStyle name="쉼표 [0] 4 10 2 2 3" xfId="11685" xr:uid="{91D273DB-3B6B-4177-989B-0D64293719D3}"/>
    <cellStyle name="쉼표 [0] 4 10 2 3" xfId="6197" xr:uid="{00000000-0005-0000-0000-0000E5170000}"/>
    <cellStyle name="쉼표 [0] 4 10 2 3 2" xfId="13514" xr:uid="{6DEC1DFC-9A84-4CC3-9F0C-A8EF569C60F9}"/>
    <cellStyle name="쉼표 [0] 4 10 2 4" xfId="9855" xr:uid="{69143FA9-BE78-4CE4-A3CE-152F16547C85}"/>
    <cellStyle name="쉼표 [0] 4 10 3" xfId="4364" xr:uid="{00000000-0005-0000-0000-0000E6170000}"/>
    <cellStyle name="쉼표 [0] 4 10 3 2" xfId="8025" xr:uid="{00000000-0005-0000-0000-0000E7170000}"/>
    <cellStyle name="쉼표 [0] 4 10 3 2 2" xfId="15342" xr:uid="{6126FCA2-CDBD-4B50-B636-969E2E099F6E}"/>
    <cellStyle name="쉼표 [0] 4 10 3 3" xfId="11684" xr:uid="{ECE86A35-49B5-4C35-91C5-4B750AA9A9F4}"/>
    <cellStyle name="쉼표 [0] 4 10 4" xfId="6196" xr:uid="{00000000-0005-0000-0000-0000E8170000}"/>
    <cellStyle name="쉼표 [0] 4 10 4 2" xfId="13513" xr:uid="{B132C34B-1DD3-4835-A268-63503DBA0726}"/>
    <cellStyle name="쉼표 [0] 4 10 5" xfId="9854" xr:uid="{ADC69D4A-31C5-47A4-A297-51E33FDD3A7F}"/>
    <cellStyle name="쉼표 [0] 4 11" xfId="2025" xr:uid="{00000000-0005-0000-0000-0000E9170000}"/>
    <cellStyle name="쉼표 [0] 4 11 2" xfId="4366" xr:uid="{00000000-0005-0000-0000-0000EA170000}"/>
    <cellStyle name="쉼표 [0] 4 11 2 2" xfId="8027" xr:uid="{00000000-0005-0000-0000-0000EB170000}"/>
    <cellStyle name="쉼표 [0] 4 11 2 2 2" xfId="15344" xr:uid="{30CE56FB-FDCA-4D66-AE69-7F619428C9FC}"/>
    <cellStyle name="쉼표 [0] 4 11 2 3" xfId="11686" xr:uid="{BCD5A36B-6ECE-445E-AEEA-C76140642289}"/>
    <cellStyle name="쉼표 [0] 4 11 3" xfId="6198" xr:uid="{00000000-0005-0000-0000-0000EC170000}"/>
    <cellStyle name="쉼표 [0] 4 11 3 2" xfId="13515" xr:uid="{04637AF6-F519-459A-ADC8-35DB2B60DBD3}"/>
    <cellStyle name="쉼표 [0] 4 11 4" xfId="9856" xr:uid="{069CA296-89B5-4243-90F7-EF314E7E6C52}"/>
    <cellStyle name="쉼표 [0] 4 12" xfId="2026" xr:uid="{00000000-0005-0000-0000-0000ED170000}"/>
    <cellStyle name="쉼표 [0] 4 12 2" xfId="4367" xr:uid="{00000000-0005-0000-0000-0000EE170000}"/>
    <cellStyle name="쉼표 [0] 4 12 2 2" xfId="8028" xr:uid="{00000000-0005-0000-0000-0000EF170000}"/>
    <cellStyle name="쉼표 [0] 4 12 2 2 2" xfId="15345" xr:uid="{3E08B0C2-94CE-47B1-BAC0-AF08C08BFB77}"/>
    <cellStyle name="쉼표 [0] 4 12 2 3" xfId="11687" xr:uid="{2D316585-9C1D-4A86-9CD7-C34571DE9DB6}"/>
    <cellStyle name="쉼표 [0] 4 12 3" xfId="6199" xr:uid="{00000000-0005-0000-0000-0000F0170000}"/>
    <cellStyle name="쉼표 [0] 4 12 3 2" xfId="13516" xr:uid="{256C988C-B86C-4C8A-B110-7276F5B96550}"/>
    <cellStyle name="쉼표 [0] 4 12 4" xfId="9857" xr:uid="{C636821C-57C8-4083-8F3A-CDEC1A495363}"/>
    <cellStyle name="쉼표 [0] 4 13" xfId="4363" xr:uid="{00000000-0005-0000-0000-0000F1170000}"/>
    <cellStyle name="쉼표 [0] 4 13 2" xfId="8024" xr:uid="{00000000-0005-0000-0000-0000F2170000}"/>
    <cellStyle name="쉼표 [0] 4 13 2 2" xfId="15341" xr:uid="{F66E18A7-1718-44FC-913E-ACC34C970779}"/>
    <cellStyle name="쉼표 [0] 4 13 3" xfId="11683" xr:uid="{EA6136D5-9415-47B4-9C39-1276066170A7}"/>
    <cellStyle name="쉼표 [0] 4 14" xfId="6195" xr:uid="{00000000-0005-0000-0000-0000F3170000}"/>
    <cellStyle name="쉼표 [0] 4 14 2" xfId="13512" xr:uid="{7FDD9A71-E1A0-407F-A97A-3E2BC5BA5DCE}"/>
    <cellStyle name="쉼표 [0] 4 15" xfId="9853" xr:uid="{8D5C7A58-24D1-42FE-A6DD-62D8F01F863C}"/>
    <cellStyle name="쉼표 [0] 4 2" xfId="2027" xr:uid="{00000000-0005-0000-0000-0000F4170000}"/>
    <cellStyle name="쉼표 [0] 4 2 10" xfId="2028" xr:uid="{00000000-0005-0000-0000-0000F5170000}"/>
    <cellStyle name="쉼표 [0] 4 2 10 2" xfId="4369" xr:uid="{00000000-0005-0000-0000-0000F6170000}"/>
    <cellStyle name="쉼표 [0] 4 2 10 2 2" xfId="8030" xr:uid="{00000000-0005-0000-0000-0000F7170000}"/>
    <cellStyle name="쉼표 [0] 4 2 10 2 2 2" xfId="15347" xr:uid="{4449DBEF-FABD-4AE7-B742-42A2D4629763}"/>
    <cellStyle name="쉼표 [0] 4 2 10 2 3" xfId="11689" xr:uid="{6F5E2A49-719D-4BEF-A5D4-B1F9D39C0284}"/>
    <cellStyle name="쉼표 [0] 4 2 10 3" xfId="6201" xr:uid="{00000000-0005-0000-0000-0000F8170000}"/>
    <cellStyle name="쉼표 [0] 4 2 10 3 2" xfId="13518" xr:uid="{A84015CE-759A-4325-8D68-4AB1708E7844}"/>
    <cellStyle name="쉼표 [0] 4 2 10 4" xfId="9859" xr:uid="{BB40C3E8-A032-4760-AA2B-D8F837E6059C}"/>
    <cellStyle name="쉼표 [0] 4 2 11" xfId="2029" xr:uid="{00000000-0005-0000-0000-0000F9170000}"/>
    <cellStyle name="쉼표 [0] 4 2 11 2" xfId="4370" xr:uid="{00000000-0005-0000-0000-0000FA170000}"/>
    <cellStyle name="쉼표 [0] 4 2 11 2 2" xfId="8031" xr:uid="{00000000-0005-0000-0000-0000FB170000}"/>
    <cellStyle name="쉼표 [0] 4 2 11 2 2 2" xfId="15348" xr:uid="{4355F30F-FE74-434A-871A-F566E6408B2D}"/>
    <cellStyle name="쉼표 [0] 4 2 11 2 3" xfId="11690" xr:uid="{A96C1658-3C56-4AE7-9EC1-18FEF8F07920}"/>
    <cellStyle name="쉼표 [0] 4 2 11 3" xfId="6202" xr:uid="{00000000-0005-0000-0000-0000FC170000}"/>
    <cellStyle name="쉼표 [0] 4 2 11 3 2" xfId="13519" xr:uid="{FF61BB18-4BD6-4A7F-9560-B8B4488FE08A}"/>
    <cellStyle name="쉼표 [0] 4 2 11 4" xfId="9860" xr:uid="{D44D3E96-0783-4BFD-9431-7F1C66F1CDE7}"/>
    <cellStyle name="쉼표 [0] 4 2 12" xfId="4368" xr:uid="{00000000-0005-0000-0000-0000FD170000}"/>
    <cellStyle name="쉼표 [0] 4 2 12 2" xfId="8029" xr:uid="{00000000-0005-0000-0000-0000FE170000}"/>
    <cellStyle name="쉼표 [0] 4 2 12 2 2" xfId="15346" xr:uid="{725458EA-0180-4548-AE80-E2DC690A93F1}"/>
    <cellStyle name="쉼표 [0] 4 2 12 3" xfId="11688" xr:uid="{41CA185C-6A52-47C7-A424-4A607C57E429}"/>
    <cellStyle name="쉼표 [0] 4 2 13" xfId="6200" xr:uid="{00000000-0005-0000-0000-0000FF170000}"/>
    <cellStyle name="쉼표 [0] 4 2 13 2" xfId="13517" xr:uid="{16C21D5B-88C3-40FF-899B-E4D3FC804EEF}"/>
    <cellStyle name="쉼표 [0] 4 2 14" xfId="9858" xr:uid="{2B7116C5-B7F4-497C-AECE-9BD156F11C25}"/>
    <cellStyle name="쉼표 [0] 4 2 2" xfId="2030" xr:uid="{00000000-0005-0000-0000-000000180000}"/>
    <cellStyle name="쉼표 [0] 4 2 2 10" xfId="2031" xr:uid="{00000000-0005-0000-0000-000001180000}"/>
    <cellStyle name="쉼표 [0] 4 2 2 10 2" xfId="4372" xr:uid="{00000000-0005-0000-0000-000002180000}"/>
    <cellStyle name="쉼표 [0] 4 2 2 10 2 2" xfId="8033" xr:uid="{00000000-0005-0000-0000-000003180000}"/>
    <cellStyle name="쉼표 [0] 4 2 2 10 2 2 2" xfId="15350" xr:uid="{1985C179-8631-4156-B227-E51BDDE3D02D}"/>
    <cellStyle name="쉼표 [0] 4 2 2 10 2 3" xfId="11692" xr:uid="{B6E74978-74D6-4B74-85BA-1ABEA04D604A}"/>
    <cellStyle name="쉼표 [0] 4 2 2 10 3" xfId="6204" xr:uid="{00000000-0005-0000-0000-000004180000}"/>
    <cellStyle name="쉼표 [0] 4 2 2 10 3 2" xfId="13521" xr:uid="{8131669B-4881-4D67-857B-A4BD11D7945B}"/>
    <cellStyle name="쉼표 [0] 4 2 2 10 4" xfId="9862" xr:uid="{8360039B-A7E6-48DD-A301-4F4E6343AB18}"/>
    <cellStyle name="쉼표 [0] 4 2 2 11" xfId="4371" xr:uid="{00000000-0005-0000-0000-000005180000}"/>
    <cellStyle name="쉼표 [0] 4 2 2 11 2" xfId="8032" xr:uid="{00000000-0005-0000-0000-000006180000}"/>
    <cellStyle name="쉼표 [0] 4 2 2 11 2 2" xfId="15349" xr:uid="{BF83FC83-2C5C-46DB-B287-4FC72C9E4662}"/>
    <cellStyle name="쉼표 [0] 4 2 2 11 3" xfId="11691" xr:uid="{15E3BF7B-DE25-4A5D-B7B1-8D68DA00F558}"/>
    <cellStyle name="쉼표 [0] 4 2 2 12" xfId="6203" xr:uid="{00000000-0005-0000-0000-000007180000}"/>
    <cellStyle name="쉼표 [0] 4 2 2 12 2" xfId="13520" xr:uid="{5294012F-F02A-44C3-B49B-E770F05AA1DC}"/>
    <cellStyle name="쉼표 [0] 4 2 2 13" xfId="9861" xr:uid="{82449A59-F728-4DFC-98F6-3C0877DAEC13}"/>
    <cellStyle name="쉼표 [0] 4 2 2 2" xfId="2032" xr:uid="{00000000-0005-0000-0000-000008180000}"/>
    <cellStyle name="쉼표 [0] 4 2 2 2 2" xfId="2033" xr:uid="{00000000-0005-0000-0000-000009180000}"/>
    <cellStyle name="쉼표 [0] 4 2 2 2 2 2" xfId="4374" xr:uid="{00000000-0005-0000-0000-00000A180000}"/>
    <cellStyle name="쉼표 [0] 4 2 2 2 2 2 2" xfId="8035" xr:uid="{00000000-0005-0000-0000-00000B180000}"/>
    <cellStyle name="쉼표 [0] 4 2 2 2 2 2 2 2" xfId="15352" xr:uid="{2906D413-BDE5-4146-B9ED-5212FA9B1B52}"/>
    <cellStyle name="쉼표 [0] 4 2 2 2 2 2 3" xfId="11694" xr:uid="{7D677F31-B87C-482B-A360-3C366639806C}"/>
    <cellStyle name="쉼표 [0] 4 2 2 2 2 3" xfId="6206" xr:uid="{00000000-0005-0000-0000-00000C180000}"/>
    <cellStyle name="쉼표 [0] 4 2 2 2 2 3 2" xfId="13523" xr:uid="{FA50D510-4B18-44F1-A16E-4D6FA271EA0E}"/>
    <cellStyle name="쉼표 [0] 4 2 2 2 2 4" xfId="9864" xr:uid="{0D94F6CD-7B10-4000-B911-8B539A162758}"/>
    <cellStyle name="쉼표 [0] 4 2 2 2 3" xfId="2034" xr:uid="{00000000-0005-0000-0000-00000D180000}"/>
    <cellStyle name="쉼표 [0] 4 2 2 2 3 2" xfId="4375" xr:uid="{00000000-0005-0000-0000-00000E180000}"/>
    <cellStyle name="쉼표 [0] 4 2 2 2 3 2 2" xfId="8036" xr:uid="{00000000-0005-0000-0000-00000F180000}"/>
    <cellStyle name="쉼표 [0] 4 2 2 2 3 2 2 2" xfId="15353" xr:uid="{BEC79FEC-2F7A-42F0-90F5-1B9A43C95016}"/>
    <cellStyle name="쉼표 [0] 4 2 2 2 3 2 3" xfId="11695" xr:uid="{DA5C58F6-0256-4A9D-806C-C336E0CB735E}"/>
    <cellStyle name="쉼표 [0] 4 2 2 2 3 3" xfId="6207" xr:uid="{00000000-0005-0000-0000-000010180000}"/>
    <cellStyle name="쉼표 [0] 4 2 2 2 3 3 2" xfId="13524" xr:uid="{6484D00B-9CC6-4814-86DD-B5ECFC693001}"/>
    <cellStyle name="쉼표 [0] 4 2 2 2 3 4" xfId="9865" xr:uid="{8C715B0D-BA34-47C9-99C6-FF694C9A4B52}"/>
    <cellStyle name="쉼표 [0] 4 2 2 2 4" xfId="2035" xr:uid="{00000000-0005-0000-0000-000011180000}"/>
    <cellStyle name="쉼표 [0] 4 2 2 2 4 2" xfId="4376" xr:uid="{00000000-0005-0000-0000-000012180000}"/>
    <cellStyle name="쉼표 [0] 4 2 2 2 4 2 2" xfId="8037" xr:uid="{00000000-0005-0000-0000-000013180000}"/>
    <cellStyle name="쉼표 [0] 4 2 2 2 4 2 2 2" xfId="15354" xr:uid="{8A0474C4-4276-4BFA-892D-4C8986251C45}"/>
    <cellStyle name="쉼표 [0] 4 2 2 2 4 2 3" xfId="11696" xr:uid="{E405CEAA-1EF8-4F62-9A6F-EF8AD4465FC3}"/>
    <cellStyle name="쉼표 [0] 4 2 2 2 4 3" xfId="6208" xr:uid="{00000000-0005-0000-0000-000014180000}"/>
    <cellStyle name="쉼표 [0] 4 2 2 2 4 3 2" xfId="13525" xr:uid="{84C58E8D-58C6-49C2-ACAC-330752EEA2F4}"/>
    <cellStyle name="쉼표 [0] 4 2 2 2 4 4" xfId="9866" xr:uid="{1D7D762D-AA24-45A4-B69A-55072EFBFB8C}"/>
    <cellStyle name="쉼표 [0] 4 2 2 2 5" xfId="4373" xr:uid="{00000000-0005-0000-0000-000015180000}"/>
    <cellStyle name="쉼표 [0] 4 2 2 2 5 2" xfId="8034" xr:uid="{00000000-0005-0000-0000-000016180000}"/>
    <cellStyle name="쉼표 [0] 4 2 2 2 5 2 2" xfId="15351" xr:uid="{DEA8391F-4B69-4027-9708-71345EF9A5E5}"/>
    <cellStyle name="쉼표 [0] 4 2 2 2 5 3" xfId="11693" xr:uid="{77B55766-165C-4E8B-A434-ED5D139115EC}"/>
    <cellStyle name="쉼표 [0] 4 2 2 2 6" xfId="6205" xr:uid="{00000000-0005-0000-0000-000017180000}"/>
    <cellStyle name="쉼표 [0] 4 2 2 2 6 2" xfId="13522" xr:uid="{6BC84E7D-5F2F-48C3-A88A-5B48136FEF07}"/>
    <cellStyle name="쉼표 [0] 4 2 2 2 7" xfId="9863" xr:uid="{4D14264E-A36A-4F89-802B-8068F4D5692A}"/>
    <cellStyle name="쉼표 [0] 4 2 2 3" xfId="2036" xr:uid="{00000000-0005-0000-0000-000018180000}"/>
    <cellStyle name="쉼표 [0] 4 2 2 3 2" xfId="2037" xr:uid="{00000000-0005-0000-0000-000019180000}"/>
    <cellStyle name="쉼표 [0] 4 2 2 3 2 2" xfId="4378" xr:uid="{00000000-0005-0000-0000-00001A180000}"/>
    <cellStyle name="쉼표 [0] 4 2 2 3 2 2 2" xfId="8039" xr:uid="{00000000-0005-0000-0000-00001B180000}"/>
    <cellStyle name="쉼표 [0] 4 2 2 3 2 2 2 2" xfId="15356" xr:uid="{233596CA-711E-46E5-9064-9A30137B6980}"/>
    <cellStyle name="쉼표 [0] 4 2 2 3 2 2 3" xfId="11698" xr:uid="{B54631E4-3D44-4A6D-9403-3B10285FFB9C}"/>
    <cellStyle name="쉼표 [0] 4 2 2 3 2 3" xfId="6210" xr:uid="{00000000-0005-0000-0000-00001C180000}"/>
    <cellStyle name="쉼표 [0] 4 2 2 3 2 3 2" xfId="13527" xr:uid="{BE842685-E665-444F-BA41-BCF87FACB5DE}"/>
    <cellStyle name="쉼표 [0] 4 2 2 3 2 4" xfId="9868" xr:uid="{49D5AA0F-89FB-45FF-A609-F062555447AC}"/>
    <cellStyle name="쉼표 [0] 4 2 2 3 3" xfId="2038" xr:uid="{00000000-0005-0000-0000-00001D180000}"/>
    <cellStyle name="쉼표 [0] 4 2 2 3 3 2" xfId="4379" xr:uid="{00000000-0005-0000-0000-00001E180000}"/>
    <cellStyle name="쉼표 [0] 4 2 2 3 3 2 2" xfId="8040" xr:uid="{00000000-0005-0000-0000-00001F180000}"/>
    <cellStyle name="쉼표 [0] 4 2 2 3 3 2 2 2" xfId="15357" xr:uid="{AA0350D4-6462-4D2D-B527-0C88FCA6B117}"/>
    <cellStyle name="쉼표 [0] 4 2 2 3 3 2 3" xfId="11699" xr:uid="{0F04A4AF-9508-43E1-B658-9994B8CDE72D}"/>
    <cellStyle name="쉼표 [0] 4 2 2 3 3 3" xfId="6211" xr:uid="{00000000-0005-0000-0000-000020180000}"/>
    <cellStyle name="쉼표 [0] 4 2 2 3 3 3 2" xfId="13528" xr:uid="{D56F71A1-D86B-4CE3-BBFF-DD55C784E9CE}"/>
    <cellStyle name="쉼표 [0] 4 2 2 3 3 4" xfId="9869" xr:uid="{D7648D06-AB93-404E-BD13-380204DB5AF7}"/>
    <cellStyle name="쉼표 [0] 4 2 2 3 4" xfId="2039" xr:uid="{00000000-0005-0000-0000-000021180000}"/>
    <cellStyle name="쉼표 [0] 4 2 2 3 4 2" xfId="4380" xr:uid="{00000000-0005-0000-0000-000022180000}"/>
    <cellStyle name="쉼표 [0] 4 2 2 3 4 2 2" xfId="8041" xr:uid="{00000000-0005-0000-0000-000023180000}"/>
    <cellStyle name="쉼표 [0] 4 2 2 3 4 2 2 2" xfId="15358" xr:uid="{BFFF676A-493B-4BA8-B410-0B50B162FB05}"/>
    <cellStyle name="쉼표 [0] 4 2 2 3 4 2 3" xfId="11700" xr:uid="{76B0D0A9-2694-42E4-AE1D-A74C3F24D6BE}"/>
    <cellStyle name="쉼표 [0] 4 2 2 3 4 3" xfId="6212" xr:uid="{00000000-0005-0000-0000-000024180000}"/>
    <cellStyle name="쉼표 [0] 4 2 2 3 4 3 2" xfId="13529" xr:uid="{1C22524B-A0E6-4EC2-9527-33FD6E846D0C}"/>
    <cellStyle name="쉼표 [0] 4 2 2 3 4 4" xfId="9870" xr:uid="{8165231E-F0F1-482A-8C50-C51B1E08BCED}"/>
    <cellStyle name="쉼표 [0] 4 2 2 3 5" xfId="4377" xr:uid="{00000000-0005-0000-0000-000025180000}"/>
    <cellStyle name="쉼표 [0] 4 2 2 3 5 2" xfId="8038" xr:uid="{00000000-0005-0000-0000-000026180000}"/>
    <cellStyle name="쉼표 [0] 4 2 2 3 5 2 2" xfId="15355" xr:uid="{44AE9916-9C6E-4EEC-B1BD-F5513E2B6C53}"/>
    <cellStyle name="쉼표 [0] 4 2 2 3 5 3" xfId="11697" xr:uid="{07ED7805-CD45-4A68-BE95-C638EC4CFA45}"/>
    <cellStyle name="쉼표 [0] 4 2 2 3 6" xfId="6209" xr:uid="{00000000-0005-0000-0000-000027180000}"/>
    <cellStyle name="쉼표 [0] 4 2 2 3 6 2" xfId="13526" xr:uid="{DC66282F-3949-4904-A7D7-AEF2D8860398}"/>
    <cellStyle name="쉼표 [0] 4 2 2 3 7" xfId="9867" xr:uid="{46822F65-A822-49DC-BF9C-9287D8A2A98C}"/>
    <cellStyle name="쉼표 [0] 4 2 2 4" xfId="2040" xr:uid="{00000000-0005-0000-0000-000028180000}"/>
    <cellStyle name="쉼표 [0] 4 2 2 4 2" xfId="2041" xr:uid="{00000000-0005-0000-0000-000029180000}"/>
    <cellStyle name="쉼표 [0] 4 2 2 4 2 2" xfId="4382" xr:uid="{00000000-0005-0000-0000-00002A180000}"/>
    <cellStyle name="쉼표 [0] 4 2 2 4 2 2 2" xfId="8043" xr:uid="{00000000-0005-0000-0000-00002B180000}"/>
    <cellStyle name="쉼표 [0] 4 2 2 4 2 2 2 2" xfId="15360" xr:uid="{B462E821-2893-4523-B1B0-F2C84DC98AE6}"/>
    <cellStyle name="쉼표 [0] 4 2 2 4 2 2 3" xfId="11702" xr:uid="{D7E6633E-E69C-4A1F-BA1B-EA80D7B1D7F4}"/>
    <cellStyle name="쉼표 [0] 4 2 2 4 2 3" xfId="6214" xr:uid="{00000000-0005-0000-0000-00002C180000}"/>
    <cellStyle name="쉼표 [0] 4 2 2 4 2 3 2" xfId="13531" xr:uid="{7E5C0235-5F71-4049-9B15-0E27045A1F26}"/>
    <cellStyle name="쉼표 [0] 4 2 2 4 2 4" xfId="9872" xr:uid="{7843F67E-817F-4BDA-9814-4A5996D0C03D}"/>
    <cellStyle name="쉼표 [0] 4 2 2 4 3" xfId="2042" xr:uid="{00000000-0005-0000-0000-00002D180000}"/>
    <cellStyle name="쉼표 [0] 4 2 2 4 3 2" xfId="4383" xr:uid="{00000000-0005-0000-0000-00002E180000}"/>
    <cellStyle name="쉼표 [0] 4 2 2 4 3 2 2" xfId="8044" xr:uid="{00000000-0005-0000-0000-00002F180000}"/>
    <cellStyle name="쉼표 [0] 4 2 2 4 3 2 2 2" xfId="15361" xr:uid="{F32B84A8-3509-491D-ADBB-A2F51F48E85A}"/>
    <cellStyle name="쉼표 [0] 4 2 2 4 3 2 3" xfId="11703" xr:uid="{C24A76CC-DA9F-4007-BDF4-1CCB0E44D58D}"/>
    <cellStyle name="쉼표 [0] 4 2 2 4 3 3" xfId="6215" xr:uid="{00000000-0005-0000-0000-000030180000}"/>
    <cellStyle name="쉼표 [0] 4 2 2 4 3 3 2" xfId="13532" xr:uid="{53B39C5F-E1EF-4DE8-92A6-BC22459F8919}"/>
    <cellStyle name="쉼표 [0] 4 2 2 4 3 4" xfId="9873" xr:uid="{3839B8E6-5403-46D5-963F-B9C54203F050}"/>
    <cellStyle name="쉼표 [0] 4 2 2 4 4" xfId="4381" xr:uid="{00000000-0005-0000-0000-000031180000}"/>
    <cellStyle name="쉼표 [0] 4 2 2 4 4 2" xfId="8042" xr:uid="{00000000-0005-0000-0000-000032180000}"/>
    <cellStyle name="쉼표 [0] 4 2 2 4 4 2 2" xfId="15359" xr:uid="{EA678C36-EA3B-4A6E-A6D8-DF83F50A6DF3}"/>
    <cellStyle name="쉼표 [0] 4 2 2 4 4 3" xfId="11701" xr:uid="{D13723B3-B9F8-40F6-B938-144BC1AD14D7}"/>
    <cellStyle name="쉼표 [0] 4 2 2 4 5" xfId="6213" xr:uid="{00000000-0005-0000-0000-000033180000}"/>
    <cellStyle name="쉼표 [0] 4 2 2 4 5 2" xfId="13530" xr:uid="{E006E016-D5CD-4158-B00A-F6E7EB46263B}"/>
    <cellStyle name="쉼표 [0] 4 2 2 4 6" xfId="9871" xr:uid="{B1A6D849-1C35-4D97-96BD-DAEE86B9AB28}"/>
    <cellStyle name="쉼표 [0] 4 2 2 5" xfId="2043" xr:uid="{00000000-0005-0000-0000-000034180000}"/>
    <cellStyle name="쉼표 [0] 4 2 2 5 2" xfId="2044" xr:uid="{00000000-0005-0000-0000-000035180000}"/>
    <cellStyle name="쉼표 [0] 4 2 2 5 2 2" xfId="4385" xr:uid="{00000000-0005-0000-0000-000036180000}"/>
    <cellStyle name="쉼표 [0] 4 2 2 5 2 2 2" xfId="8046" xr:uid="{00000000-0005-0000-0000-000037180000}"/>
    <cellStyle name="쉼표 [0] 4 2 2 5 2 2 2 2" xfId="15363" xr:uid="{DB3ED485-40A4-4E77-A02C-A3278C5BA7BA}"/>
    <cellStyle name="쉼표 [0] 4 2 2 5 2 2 3" xfId="11705" xr:uid="{CD9F128F-DDBA-459D-AF00-EC7A4EA7EBB3}"/>
    <cellStyle name="쉼표 [0] 4 2 2 5 2 3" xfId="6217" xr:uid="{00000000-0005-0000-0000-000038180000}"/>
    <cellStyle name="쉼표 [0] 4 2 2 5 2 3 2" xfId="13534" xr:uid="{E093D212-592B-4ECA-9392-A6C833E6B053}"/>
    <cellStyle name="쉼표 [0] 4 2 2 5 2 4" xfId="9875" xr:uid="{B70DE48B-F155-4402-A2F1-E42FAD75DC16}"/>
    <cellStyle name="쉼표 [0] 4 2 2 5 3" xfId="2045" xr:uid="{00000000-0005-0000-0000-000039180000}"/>
    <cellStyle name="쉼표 [0] 4 2 2 5 3 2" xfId="4386" xr:uid="{00000000-0005-0000-0000-00003A180000}"/>
    <cellStyle name="쉼표 [0] 4 2 2 5 3 2 2" xfId="8047" xr:uid="{00000000-0005-0000-0000-00003B180000}"/>
    <cellStyle name="쉼표 [0] 4 2 2 5 3 2 2 2" xfId="15364" xr:uid="{9C4673BB-B871-4FF8-8B4F-9E14942F2FAE}"/>
    <cellStyle name="쉼표 [0] 4 2 2 5 3 2 3" xfId="11706" xr:uid="{12C449A0-E5E9-409D-B162-752D51F6F6E7}"/>
    <cellStyle name="쉼표 [0] 4 2 2 5 3 3" xfId="6218" xr:uid="{00000000-0005-0000-0000-00003C180000}"/>
    <cellStyle name="쉼표 [0] 4 2 2 5 3 3 2" xfId="13535" xr:uid="{3A36C55E-5508-4A22-986F-E4F8C20D8B49}"/>
    <cellStyle name="쉼표 [0] 4 2 2 5 3 4" xfId="9876" xr:uid="{C00BC785-9FE4-4873-9A42-5EE59BA1194A}"/>
    <cellStyle name="쉼표 [0] 4 2 2 5 4" xfId="4384" xr:uid="{00000000-0005-0000-0000-00003D180000}"/>
    <cellStyle name="쉼표 [0] 4 2 2 5 4 2" xfId="8045" xr:uid="{00000000-0005-0000-0000-00003E180000}"/>
    <cellStyle name="쉼표 [0] 4 2 2 5 4 2 2" xfId="15362" xr:uid="{B0CF4FB9-64EF-4D87-924B-9F25B95D25D9}"/>
    <cellStyle name="쉼표 [0] 4 2 2 5 4 3" xfId="11704" xr:uid="{4DD69C2B-B95D-44DF-B2B2-4BE9370AFD08}"/>
    <cellStyle name="쉼표 [0] 4 2 2 5 5" xfId="6216" xr:uid="{00000000-0005-0000-0000-00003F180000}"/>
    <cellStyle name="쉼표 [0] 4 2 2 5 5 2" xfId="13533" xr:uid="{E13ABF1F-020A-4F17-8DD4-3DB702B10E65}"/>
    <cellStyle name="쉼표 [0] 4 2 2 5 6" xfId="9874" xr:uid="{EACE1814-1BFC-492A-8ED7-90863CC56A9E}"/>
    <cellStyle name="쉼표 [0] 4 2 2 6" xfId="2046" xr:uid="{00000000-0005-0000-0000-000040180000}"/>
    <cellStyle name="쉼표 [0] 4 2 2 6 2" xfId="2047" xr:uid="{00000000-0005-0000-0000-000041180000}"/>
    <cellStyle name="쉼표 [0] 4 2 2 6 2 2" xfId="4388" xr:uid="{00000000-0005-0000-0000-000042180000}"/>
    <cellStyle name="쉼표 [0] 4 2 2 6 2 2 2" xfId="8049" xr:uid="{00000000-0005-0000-0000-000043180000}"/>
    <cellStyle name="쉼표 [0] 4 2 2 6 2 2 2 2" xfId="15366" xr:uid="{CB4963D7-7892-4297-BDE3-A1D07296500A}"/>
    <cellStyle name="쉼표 [0] 4 2 2 6 2 2 3" xfId="11708" xr:uid="{090197B4-81A9-4663-9A89-689D6A4972BC}"/>
    <cellStyle name="쉼표 [0] 4 2 2 6 2 3" xfId="6220" xr:uid="{00000000-0005-0000-0000-000044180000}"/>
    <cellStyle name="쉼표 [0] 4 2 2 6 2 3 2" xfId="13537" xr:uid="{016054B1-ABCF-488D-99CC-CDE41830D1F5}"/>
    <cellStyle name="쉼표 [0] 4 2 2 6 2 4" xfId="9878" xr:uid="{1B1B31FB-61A1-4E37-ADC5-768E961FF24F}"/>
    <cellStyle name="쉼표 [0] 4 2 2 6 3" xfId="2048" xr:uid="{00000000-0005-0000-0000-000045180000}"/>
    <cellStyle name="쉼표 [0] 4 2 2 6 3 2" xfId="4389" xr:uid="{00000000-0005-0000-0000-000046180000}"/>
    <cellStyle name="쉼표 [0] 4 2 2 6 3 2 2" xfId="8050" xr:uid="{00000000-0005-0000-0000-000047180000}"/>
    <cellStyle name="쉼표 [0] 4 2 2 6 3 2 2 2" xfId="15367" xr:uid="{DDF770ED-4978-4E32-9EE9-C2C99AD259F2}"/>
    <cellStyle name="쉼표 [0] 4 2 2 6 3 2 3" xfId="11709" xr:uid="{D7324CBB-E3E5-42D2-A4D4-F6F25A04344B}"/>
    <cellStyle name="쉼표 [0] 4 2 2 6 3 3" xfId="6221" xr:uid="{00000000-0005-0000-0000-000048180000}"/>
    <cellStyle name="쉼표 [0] 4 2 2 6 3 3 2" xfId="13538" xr:uid="{CED75B3D-C23F-4264-8011-8391F49EC052}"/>
    <cellStyle name="쉼표 [0] 4 2 2 6 3 4" xfId="9879" xr:uid="{9BF84809-B796-4BD2-80DE-CFFD86F0C669}"/>
    <cellStyle name="쉼표 [0] 4 2 2 6 4" xfId="4387" xr:uid="{00000000-0005-0000-0000-000049180000}"/>
    <cellStyle name="쉼표 [0] 4 2 2 6 4 2" xfId="8048" xr:uid="{00000000-0005-0000-0000-00004A180000}"/>
    <cellStyle name="쉼표 [0] 4 2 2 6 4 2 2" xfId="15365" xr:uid="{96F619DE-2F14-4B85-BB7C-2EE07F2DF366}"/>
    <cellStyle name="쉼표 [0] 4 2 2 6 4 3" xfId="11707" xr:uid="{A7B63836-3AA5-4132-96B5-7B58F8F4CFB8}"/>
    <cellStyle name="쉼표 [0] 4 2 2 6 5" xfId="6219" xr:uid="{00000000-0005-0000-0000-00004B180000}"/>
    <cellStyle name="쉼표 [0] 4 2 2 6 5 2" xfId="13536" xr:uid="{A26CE302-EBA6-4678-8280-556C32CE6EB7}"/>
    <cellStyle name="쉼표 [0] 4 2 2 6 6" xfId="9877" xr:uid="{960A2E2C-9972-4B31-ACC1-D381C1A6ECA9}"/>
    <cellStyle name="쉼표 [0] 4 2 2 7" xfId="2049" xr:uid="{00000000-0005-0000-0000-00004C180000}"/>
    <cellStyle name="쉼표 [0] 4 2 2 7 2" xfId="4390" xr:uid="{00000000-0005-0000-0000-00004D180000}"/>
    <cellStyle name="쉼표 [0] 4 2 2 7 2 2" xfId="8051" xr:uid="{00000000-0005-0000-0000-00004E180000}"/>
    <cellStyle name="쉼표 [0] 4 2 2 7 2 2 2" xfId="15368" xr:uid="{014C72FC-F822-4109-893B-F632AC8784C9}"/>
    <cellStyle name="쉼표 [0] 4 2 2 7 2 3" xfId="11710" xr:uid="{E48A6328-1921-440E-A36B-264C82F728BF}"/>
    <cellStyle name="쉼표 [0] 4 2 2 7 3" xfId="6222" xr:uid="{00000000-0005-0000-0000-00004F180000}"/>
    <cellStyle name="쉼표 [0] 4 2 2 7 3 2" xfId="13539" xr:uid="{20B6725F-6CE3-4EF1-8FE3-FE0C1D08E7D5}"/>
    <cellStyle name="쉼표 [0] 4 2 2 7 4" xfId="9880" xr:uid="{75FC5720-1F72-40C3-BE93-89753E9402BD}"/>
    <cellStyle name="쉼표 [0] 4 2 2 8" xfId="2050" xr:uid="{00000000-0005-0000-0000-000050180000}"/>
    <cellStyle name="쉼표 [0] 4 2 2 8 2" xfId="4391" xr:uid="{00000000-0005-0000-0000-000051180000}"/>
    <cellStyle name="쉼표 [0] 4 2 2 8 2 2" xfId="8052" xr:uid="{00000000-0005-0000-0000-000052180000}"/>
    <cellStyle name="쉼표 [0] 4 2 2 8 2 2 2" xfId="15369" xr:uid="{6A908C54-6DE0-45E9-85B7-6ABD119626B2}"/>
    <cellStyle name="쉼표 [0] 4 2 2 8 2 3" xfId="11711" xr:uid="{EADF9251-9265-4181-8167-D458EA81B6CD}"/>
    <cellStyle name="쉼표 [0] 4 2 2 8 3" xfId="6223" xr:uid="{00000000-0005-0000-0000-000053180000}"/>
    <cellStyle name="쉼표 [0] 4 2 2 8 3 2" xfId="13540" xr:uid="{16BA6F51-CA72-4779-B768-DA4E8E66687C}"/>
    <cellStyle name="쉼표 [0] 4 2 2 8 4" xfId="9881" xr:uid="{7D9F0D56-2853-4277-AB0D-BB36C8241559}"/>
    <cellStyle name="쉼표 [0] 4 2 2 9" xfId="2051" xr:uid="{00000000-0005-0000-0000-000054180000}"/>
    <cellStyle name="쉼표 [0] 4 2 2 9 2" xfId="4392" xr:uid="{00000000-0005-0000-0000-000055180000}"/>
    <cellStyle name="쉼표 [0] 4 2 2 9 2 2" xfId="8053" xr:uid="{00000000-0005-0000-0000-000056180000}"/>
    <cellStyle name="쉼표 [0] 4 2 2 9 2 2 2" xfId="15370" xr:uid="{3EB975E9-93F3-42D5-BCF1-41BA3D045B55}"/>
    <cellStyle name="쉼표 [0] 4 2 2 9 2 3" xfId="11712" xr:uid="{31B25592-0703-42C1-9200-C1CDE74C4614}"/>
    <cellStyle name="쉼표 [0] 4 2 2 9 3" xfId="6224" xr:uid="{00000000-0005-0000-0000-000057180000}"/>
    <cellStyle name="쉼표 [0] 4 2 2 9 3 2" xfId="13541" xr:uid="{CA6955DD-9A6B-4AD0-A1EF-1E0DD6EDF3DE}"/>
    <cellStyle name="쉼표 [0] 4 2 2 9 4" xfId="9882" xr:uid="{40CF420F-1E18-4397-99A7-82929DC442D2}"/>
    <cellStyle name="쉼표 [0] 4 2 3" xfId="2052" xr:uid="{00000000-0005-0000-0000-000058180000}"/>
    <cellStyle name="쉼표 [0] 4 2 3 2" xfId="2053" xr:uid="{00000000-0005-0000-0000-000059180000}"/>
    <cellStyle name="쉼표 [0] 4 2 3 2 2" xfId="4394" xr:uid="{00000000-0005-0000-0000-00005A180000}"/>
    <cellStyle name="쉼표 [0] 4 2 3 2 2 2" xfId="8055" xr:uid="{00000000-0005-0000-0000-00005B180000}"/>
    <cellStyle name="쉼표 [0] 4 2 3 2 2 2 2" xfId="15372" xr:uid="{C1D7BCF4-7E81-45AB-B948-46C9FEC42AD3}"/>
    <cellStyle name="쉼표 [0] 4 2 3 2 2 3" xfId="11714" xr:uid="{A9421497-E1B1-4BDC-9B43-DF0E3E5F595D}"/>
    <cellStyle name="쉼표 [0] 4 2 3 2 3" xfId="6226" xr:uid="{00000000-0005-0000-0000-00005C180000}"/>
    <cellStyle name="쉼표 [0] 4 2 3 2 3 2" xfId="13543" xr:uid="{C016B40A-ACD6-41F6-ADC9-E1A97C041011}"/>
    <cellStyle name="쉼표 [0] 4 2 3 2 4" xfId="9884" xr:uid="{18DB73F9-8B02-45C1-878E-54F6C9C85D30}"/>
    <cellStyle name="쉼표 [0] 4 2 3 3" xfId="2054" xr:uid="{00000000-0005-0000-0000-00005D180000}"/>
    <cellStyle name="쉼표 [0] 4 2 3 3 2" xfId="4395" xr:uid="{00000000-0005-0000-0000-00005E180000}"/>
    <cellStyle name="쉼표 [0] 4 2 3 3 2 2" xfId="8056" xr:uid="{00000000-0005-0000-0000-00005F180000}"/>
    <cellStyle name="쉼표 [0] 4 2 3 3 2 2 2" xfId="15373" xr:uid="{4741D891-AF7D-45EF-99F1-098EC113E277}"/>
    <cellStyle name="쉼표 [0] 4 2 3 3 2 3" xfId="11715" xr:uid="{1B4B9788-5DBF-47AC-980F-779F1A4ACB94}"/>
    <cellStyle name="쉼표 [0] 4 2 3 3 3" xfId="6227" xr:uid="{00000000-0005-0000-0000-000060180000}"/>
    <cellStyle name="쉼표 [0] 4 2 3 3 3 2" xfId="13544" xr:uid="{FE7A0534-3813-4D9D-87CA-C6B11ABC3EED}"/>
    <cellStyle name="쉼표 [0] 4 2 3 3 4" xfId="9885" xr:uid="{190C8BDF-6867-41AE-9510-3D669F5045CA}"/>
    <cellStyle name="쉼표 [0] 4 2 3 4" xfId="2055" xr:uid="{00000000-0005-0000-0000-000061180000}"/>
    <cellStyle name="쉼표 [0] 4 2 3 4 2" xfId="4396" xr:uid="{00000000-0005-0000-0000-000062180000}"/>
    <cellStyle name="쉼표 [0] 4 2 3 4 2 2" xfId="8057" xr:uid="{00000000-0005-0000-0000-000063180000}"/>
    <cellStyle name="쉼표 [0] 4 2 3 4 2 2 2" xfId="15374" xr:uid="{BC059932-00E8-42A2-B875-720F28BAF7E1}"/>
    <cellStyle name="쉼표 [0] 4 2 3 4 2 3" xfId="11716" xr:uid="{D9AB951D-C72D-48F7-B0B6-E886E7D1A533}"/>
    <cellStyle name="쉼표 [0] 4 2 3 4 3" xfId="6228" xr:uid="{00000000-0005-0000-0000-000064180000}"/>
    <cellStyle name="쉼표 [0] 4 2 3 4 3 2" xfId="13545" xr:uid="{2B34D754-5693-448F-9648-6E3CAB977319}"/>
    <cellStyle name="쉼표 [0] 4 2 3 4 4" xfId="9886" xr:uid="{3825B035-3BCF-4DA5-B975-E0124D1F700D}"/>
    <cellStyle name="쉼표 [0] 4 2 3 5" xfId="4393" xr:uid="{00000000-0005-0000-0000-000065180000}"/>
    <cellStyle name="쉼표 [0] 4 2 3 5 2" xfId="8054" xr:uid="{00000000-0005-0000-0000-000066180000}"/>
    <cellStyle name="쉼표 [0] 4 2 3 5 2 2" xfId="15371" xr:uid="{758E1644-6A9D-4C22-9A38-9C33057E3571}"/>
    <cellStyle name="쉼표 [0] 4 2 3 5 3" xfId="11713" xr:uid="{3BCCF2BC-6D9C-49C1-A000-7062547CB031}"/>
    <cellStyle name="쉼표 [0] 4 2 3 6" xfId="6225" xr:uid="{00000000-0005-0000-0000-000067180000}"/>
    <cellStyle name="쉼표 [0] 4 2 3 6 2" xfId="13542" xr:uid="{AD8C3DE4-9702-44A2-B50A-66FC406556FD}"/>
    <cellStyle name="쉼표 [0] 4 2 3 7" xfId="9883" xr:uid="{CB688734-3D3B-48CB-A0D1-33427A26471E}"/>
    <cellStyle name="쉼표 [0] 4 2 4" xfId="2056" xr:uid="{00000000-0005-0000-0000-000068180000}"/>
    <cellStyle name="쉼표 [0] 4 2 4 2" xfId="2057" xr:uid="{00000000-0005-0000-0000-000069180000}"/>
    <cellStyle name="쉼표 [0] 4 2 4 2 2" xfId="4398" xr:uid="{00000000-0005-0000-0000-00006A180000}"/>
    <cellStyle name="쉼표 [0] 4 2 4 2 2 2" xfId="8059" xr:uid="{00000000-0005-0000-0000-00006B180000}"/>
    <cellStyle name="쉼표 [0] 4 2 4 2 2 2 2" xfId="15376" xr:uid="{8C450DE8-CD3D-44DB-BF3B-746B67D7B6E4}"/>
    <cellStyle name="쉼표 [0] 4 2 4 2 2 3" xfId="11718" xr:uid="{681B8BE1-6093-442A-AEA4-49EBD7FCF62B}"/>
    <cellStyle name="쉼표 [0] 4 2 4 2 3" xfId="6230" xr:uid="{00000000-0005-0000-0000-00006C180000}"/>
    <cellStyle name="쉼표 [0] 4 2 4 2 3 2" xfId="13547" xr:uid="{2EB48653-3A2C-43C6-A898-9A73F5C2DE11}"/>
    <cellStyle name="쉼표 [0] 4 2 4 2 4" xfId="9888" xr:uid="{DE11F8B3-931A-474B-A0E2-D3716AB45507}"/>
    <cellStyle name="쉼표 [0] 4 2 4 3" xfId="2058" xr:uid="{00000000-0005-0000-0000-00006D180000}"/>
    <cellStyle name="쉼표 [0] 4 2 4 3 2" xfId="4399" xr:uid="{00000000-0005-0000-0000-00006E180000}"/>
    <cellStyle name="쉼표 [0] 4 2 4 3 2 2" xfId="8060" xr:uid="{00000000-0005-0000-0000-00006F180000}"/>
    <cellStyle name="쉼표 [0] 4 2 4 3 2 2 2" xfId="15377" xr:uid="{AC34B15A-E238-4578-A028-EC6A4F7033A6}"/>
    <cellStyle name="쉼표 [0] 4 2 4 3 2 3" xfId="11719" xr:uid="{86C9EE35-434A-4951-ADCB-41A788B21268}"/>
    <cellStyle name="쉼표 [0] 4 2 4 3 3" xfId="6231" xr:uid="{00000000-0005-0000-0000-000070180000}"/>
    <cellStyle name="쉼표 [0] 4 2 4 3 3 2" xfId="13548" xr:uid="{F3151D78-F2C1-4E55-9000-29439418B095}"/>
    <cellStyle name="쉼표 [0] 4 2 4 3 4" xfId="9889" xr:uid="{4838357C-7126-487E-B271-3E5B8397794F}"/>
    <cellStyle name="쉼표 [0] 4 2 4 4" xfId="2059" xr:uid="{00000000-0005-0000-0000-000071180000}"/>
    <cellStyle name="쉼표 [0] 4 2 4 4 2" xfId="4400" xr:uid="{00000000-0005-0000-0000-000072180000}"/>
    <cellStyle name="쉼표 [0] 4 2 4 4 2 2" xfId="8061" xr:uid="{00000000-0005-0000-0000-000073180000}"/>
    <cellStyle name="쉼표 [0] 4 2 4 4 2 2 2" xfId="15378" xr:uid="{D5A5D1E9-1507-40D0-B6C2-C7D717ECDCE1}"/>
    <cellStyle name="쉼표 [0] 4 2 4 4 2 3" xfId="11720" xr:uid="{F4C6776C-C6D8-4F07-97E6-CC4FA0076215}"/>
    <cellStyle name="쉼표 [0] 4 2 4 4 3" xfId="6232" xr:uid="{00000000-0005-0000-0000-000074180000}"/>
    <cellStyle name="쉼표 [0] 4 2 4 4 3 2" xfId="13549" xr:uid="{511C3AEA-9390-4391-944C-DC5212461DFB}"/>
    <cellStyle name="쉼표 [0] 4 2 4 4 4" xfId="9890" xr:uid="{109F70B4-ADDC-47E6-9966-5977A83B1F1C}"/>
    <cellStyle name="쉼표 [0] 4 2 4 5" xfId="4397" xr:uid="{00000000-0005-0000-0000-000075180000}"/>
    <cellStyle name="쉼표 [0] 4 2 4 5 2" xfId="8058" xr:uid="{00000000-0005-0000-0000-000076180000}"/>
    <cellStyle name="쉼표 [0] 4 2 4 5 2 2" xfId="15375" xr:uid="{9849BE50-51BB-4091-A241-C6EB56D6F7C8}"/>
    <cellStyle name="쉼표 [0] 4 2 4 5 3" xfId="11717" xr:uid="{DD1503C2-4374-46E0-97DD-80C4A739132A}"/>
    <cellStyle name="쉼표 [0] 4 2 4 6" xfId="6229" xr:uid="{00000000-0005-0000-0000-000077180000}"/>
    <cellStyle name="쉼표 [0] 4 2 4 6 2" xfId="13546" xr:uid="{CCAFF0B4-5D94-407B-B0AE-BCD4D0220D33}"/>
    <cellStyle name="쉼표 [0] 4 2 4 7" xfId="9887" xr:uid="{05E5212A-CC23-4739-8226-4CF4C8AEC9EC}"/>
    <cellStyle name="쉼표 [0] 4 2 5" xfId="2060" xr:uid="{00000000-0005-0000-0000-000078180000}"/>
    <cellStyle name="쉼표 [0] 4 2 5 2" xfId="2061" xr:uid="{00000000-0005-0000-0000-000079180000}"/>
    <cellStyle name="쉼표 [0] 4 2 5 2 2" xfId="4402" xr:uid="{00000000-0005-0000-0000-00007A180000}"/>
    <cellStyle name="쉼표 [0] 4 2 5 2 2 2" xfId="8063" xr:uid="{00000000-0005-0000-0000-00007B180000}"/>
    <cellStyle name="쉼표 [0] 4 2 5 2 2 2 2" xfId="15380" xr:uid="{FC995F33-E6AA-4EB7-A439-87489CA61B1E}"/>
    <cellStyle name="쉼표 [0] 4 2 5 2 2 3" xfId="11722" xr:uid="{402E8629-6B64-4443-9B0C-D481864A63D9}"/>
    <cellStyle name="쉼표 [0] 4 2 5 2 3" xfId="6234" xr:uid="{00000000-0005-0000-0000-00007C180000}"/>
    <cellStyle name="쉼표 [0] 4 2 5 2 3 2" xfId="13551" xr:uid="{0D74FFC3-BCA6-42E9-AE2A-F31041E28031}"/>
    <cellStyle name="쉼표 [0] 4 2 5 2 4" xfId="9892" xr:uid="{2CC38AE1-B601-4703-9B37-6A89442BE3F1}"/>
    <cellStyle name="쉼표 [0] 4 2 5 3" xfId="2062" xr:uid="{00000000-0005-0000-0000-00007D180000}"/>
    <cellStyle name="쉼표 [0] 4 2 5 3 2" xfId="4403" xr:uid="{00000000-0005-0000-0000-00007E180000}"/>
    <cellStyle name="쉼표 [0] 4 2 5 3 2 2" xfId="8064" xr:uid="{00000000-0005-0000-0000-00007F180000}"/>
    <cellStyle name="쉼표 [0] 4 2 5 3 2 2 2" xfId="15381" xr:uid="{D7963FE0-3150-40B9-BD9D-2BE287D8CB4C}"/>
    <cellStyle name="쉼표 [0] 4 2 5 3 2 3" xfId="11723" xr:uid="{F387DCEA-053E-400C-B837-ACA91529F290}"/>
    <cellStyle name="쉼표 [0] 4 2 5 3 3" xfId="6235" xr:uid="{00000000-0005-0000-0000-000080180000}"/>
    <cellStyle name="쉼표 [0] 4 2 5 3 3 2" xfId="13552" xr:uid="{2F784CF4-E07C-4546-9119-7F54C8FCDDE0}"/>
    <cellStyle name="쉼표 [0] 4 2 5 3 4" xfId="9893" xr:uid="{CB93B80C-8D37-4FB0-A2C7-4FB6C3BB3BE2}"/>
    <cellStyle name="쉼표 [0] 4 2 5 4" xfId="4401" xr:uid="{00000000-0005-0000-0000-000081180000}"/>
    <cellStyle name="쉼표 [0] 4 2 5 4 2" xfId="8062" xr:uid="{00000000-0005-0000-0000-000082180000}"/>
    <cellStyle name="쉼표 [0] 4 2 5 4 2 2" xfId="15379" xr:uid="{D2296732-A3F0-48BD-984C-DECA64454D75}"/>
    <cellStyle name="쉼표 [0] 4 2 5 4 3" xfId="11721" xr:uid="{203FACF4-D389-4685-B7B1-5CD006B5425F}"/>
    <cellStyle name="쉼표 [0] 4 2 5 5" xfId="6233" xr:uid="{00000000-0005-0000-0000-000083180000}"/>
    <cellStyle name="쉼표 [0] 4 2 5 5 2" xfId="13550" xr:uid="{70F7861D-9C3E-4D31-ACB2-A3D71E938331}"/>
    <cellStyle name="쉼표 [0] 4 2 5 6" xfId="9891" xr:uid="{73BD054E-E380-4A4F-8145-0C6852040C94}"/>
    <cellStyle name="쉼표 [0] 4 2 6" xfId="2063" xr:uid="{00000000-0005-0000-0000-000084180000}"/>
    <cellStyle name="쉼표 [0] 4 2 6 2" xfId="2064" xr:uid="{00000000-0005-0000-0000-000085180000}"/>
    <cellStyle name="쉼표 [0] 4 2 6 2 2" xfId="4405" xr:uid="{00000000-0005-0000-0000-000086180000}"/>
    <cellStyle name="쉼표 [0] 4 2 6 2 2 2" xfId="8066" xr:uid="{00000000-0005-0000-0000-000087180000}"/>
    <cellStyle name="쉼표 [0] 4 2 6 2 2 2 2" xfId="15383" xr:uid="{7D59309C-30DB-4423-BCAE-0FE1C05E4032}"/>
    <cellStyle name="쉼표 [0] 4 2 6 2 2 3" xfId="11725" xr:uid="{DADA6E21-ACEE-4468-ADED-63DA582B76A2}"/>
    <cellStyle name="쉼표 [0] 4 2 6 2 3" xfId="6237" xr:uid="{00000000-0005-0000-0000-000088180000}"/>
    <cellStyle name="쉼표 [0] 4 2 6 2 3 2" xfId="13554" xr:uid="{C0F9E659-B296-4AC6-8BB2-46DD175022D0}"/>
    <cellStyle name="쉼표 [0] 4 2 6 2 4" xfId="9895" xr:uid="{9890967E-4B5D-421C-828D-7B1B43550352}"/>
    <cellStyle name="쉼표 [0] 4 2 6 3" xfId="2065" xr:uid="{00000000-0005-0000-0000-000089180000}"/>
    <cellStyle name="쉼표 [0] 4 2 6 3 2" xfId="4406" xr:uid="{00000000-0005-0000-0000-00008A180000}"/>
    <cellStyle name="쉼표 [0] 4 2 6 3 2 2" xfId="8067" xr:uid="{00000000-0005-0000-0000-00008B180000}"/>
    <cellStyle name="쉼표 [0] 4 2 6 3 2 2 2" xfId="15384" xr:uid="{78082812-A81F-4F2C-A0CF-7F48A5D5D09E}"/>
    <cellStyle name="쉼표 [0] 4 2 6 3 2 3" xfId="11726" xr:uid="{0F7A9D5C-1C09-499D-B068-A8A082C1568E}"/>
    <cellStyle name="쉼표 [0] 4 2 6 3 3" xfId="6238" xr:uid="{00000000-0005-0000-0000-00008C180000}"/>
    <cellStyle name="쉼표 [0] 4 2 6 3 3 2" xfId="13555" xr:uid="{3661F9FA-E406-4124-95E0-238A3C87EA07}"/>
    <cellStyle name="쉼표 [0] 4 2 6 3 4" xfId="9896" xr:uid="{F164D6B2-BCB0-45E9-9556-FBA515D7B093}"/>
    <cellStyle name="쉼표 [0] 4 2 6 4" xfId="4404" xr:uid="{00000000-0005-0000-0000-00008D180000}"/>
    <cellStyle name="쉼표 [0] 4 2 6 4 2" xfId="8065" xr:uid="{00000000-0005-0000-0000-00008E180000}"/>
    <cellStyle name="쉼표 [0] 4 2 6 4 2 2" xfId="15382" xr:uid="{4268907D-36BE-4C90-A315-613D9F092F6F}"/>
    <cellStyle name="쉼표 [0] 4 2 6 4 3" xfId="11724" xr:uid="{492C5DBB-8AB2-438C-AEBA-8E28B7786A76}"/>
    <cellStyle name="쉼표 [0] 4 2 6 5" xfId="6236" xr:uid="{00000000-0005-0000-0000-00008F180000}"/>
    <cellStyle name="쉼표 [0] 4 2 6 5 2" xfId="13553" xr:uid="{C2956421-3CA7-487B-A4E8-18BDBCAA94FC}"/>
    <cellStyle name="쉼표 [0] 4 2 6 6" xfId="9894" xr:uid="{E29FA9AA-AB11-4C58-8CE6-D43EB94C4901}"/>
    <cellStyle name="쉼표 [0] 4 2 7" xfId="2066" xr:uid="{00000000-0005-0000-0000-000090180000}"/>
    <cellStyle name="쉼표 [0] 4 2 7 2" xfId="2067" xr:uid="{00000000-0005-0000-0000-000091180000}"/>
    <cellStyle name="쉼표 [0] 4 2 7 2 2" xfId="4408" xr:uid="{00000000-0005-0000-0000-000092180000}"/>
    <cellStyle name="쉼표 [0] 4 2 7 2 2 2" xfId="8069" xr:uid="{00000000-0005-0000-0000-000093180000}"/>
    <cellStyle name="쉼표 [0] 4 2 7 2 2 2 2" xfId="15386" xr:uid="{9B9FA260-8DEE-40B6-B593-9E5B6938D540}"/>
    <cellStyle name="쉼표 [0] 4 2 7 2 2 3" xfId="11728" xr:uid="{183AE554-266A-423B-8225-6C88F7FF997C}"/>
    <cellStyle name="쉼표 [0] 4 2 7 2 3" xfId="6240" xr:uid="{00000000-0005-0000-0000-000094180000}"/>
    <cellStyle name="쉼표 [0] 4 2 7 2 3 2" xfId="13557" xr:uid="{53E2DC90-0445-4B7D-B086-03C562D81B9B}"/>
    <cellStyle name="쉼표 [0] 4 2 7 2 4" xfId="9898" xr:uid="{8A3CA53D-1771-45F3-AF47-90917BD13B92}"/>
    <cellStyle name="쉼표 [0] 4 2 7 3" xfId="2068" xr:uid="{00000000-0005-0000-0000-000095180000}"/>
    <cellStyle name="쉼표 [0] 4 2 7 3 2" xfId="4409" xr:uid="{00000000-0005-0000-0000-000096180000}"/>
    <cellStyle name="쉼표 [0] 4 2 7 3 2 2" xfId="8070" xr:uid="{00000000-0005-0000-0000-000097180000}"/>
    <cellStyle name="쉼표 [0] 4 2 7 3 2 2 2" xfId="15387" xr:uid="{FED0790B-8565-49D0-8968-9B698F6A55BA}"/>
    <cellStyle name="쉼표 [0] 4 2 7 3 2 3" xfId="11729" xr:uid="{CBC2D33F-1CF0-456E-937B-83BD4F29923C}"/>
    <cellStyle name="쉼표 [0] 4 2 7 3 3" xfId="6241" xr:uid="{00000000-0005-0000-0000-000098180000}"/>
    <cellStyle name="쉼표 [0] 4 2 7 3 3 2" xfId="13558" xr:uid="{43C0A160-7596-48DC-9BBE-A069D12DA8D9}"/>
    <cellStyle name="쉼표 [0] 4 2 7 3 4" xfId="9899" xr:uid="{21D56338-8F0A-4472-8BFD-C5E56A5C4DC8}"/>
    <cellStyle name="쉼표 [0] 4 2 7 4" xfId="4407" xr:uid="{00000000-0005-0000-0000-000099180000}"/>
    <cellStyle name="쉼표 [0] 4 2 7 4 2" xfId="8068" xr:uid="{00000000-0005-0000-0000-00009A180000}"/>
    <cellStyle name="쉼표 [0] 4 2 7 4 2 2" xfId="15385" xr:uid="{B119DF33-239A-4AAF-8DA3-E5DE2EC16D1E}"/>
    <cellStyle name="쉼표 [0] 4 2 7 4 3" xfId="11727" xr:uid="{E44B10F8-24C4-4BCA-9815-DD93D315DDB1}"/>
    <cellStyle name="쉼표 [0] 4 2 7 5" xfId="6239" xr:uid="{00000000-0005-0000-0000-00009B180000}"/>
    <cellStyle name="쉼표 [0] 4 2 7 5 2" xfId="13556" xr:uid="{CB9357D2-5A18-4882-9E34-E409A2050B4B}"/>
    <cellStyle name="쉼표 [0] 4 2 7 6" xfId="9897" xr:uid="{E4FFFD2F-3939-4015-86AF-7057953CAE25}"/>
    <cellStyle name="쉼표 [0] 4 2 8" xfId="2069" xr:uid="{00000000-0005-0000-0000-00009C180000}"/>
    <cellStyle name="쉼표 [0] 4 2 8 2" xfId="4410" xr:uid="{00000000-0005-0000-0000-00009D180000}"/>
    <cellStyle name="쉼표 [0] 4 2 8 2 2" xfId="8071" xr:uid="{00000000-0005-0000-0000-00009E180000}"/>
    <cellStyle name="쉼표 [0] 4 2 8 2 2 2" xfId="15388" xr:uid="{B5777FAB-6AD6-4713-BA87-905ADC5E1A6C}"/>
    <cellStyle name="쉼표 [0] 4 2 8 2 3" xfId="11730" xr:uid="{745A406B-9C40-4C6B-863A-6E547A96D69A}"/>
    <cellStyle name="쉼표 [0] 4 2 8 3" xfId="6242" xr:uid="{00000000-0005-0000-0000-00009F180000}"/>
    <cellStyle name="쉼표 [0] 4 2 8 3 2" xfId="13559" xr:uid="{3C242339-A644-4A83-B37E-72EE34BFC7CC}"/>
    <cellStyle name="쉼표 [0] 4 2 8 4" xfId="9900" xr:uid="{C0DB0C3B-A6DC-4DCD-8929-4ABF8D8A3188}"/>
    <cellStyle name="쉼표 [0] 4 2 9" xfId="2070" xr:uid="{00000000-0005-0000-0000-0000A0180000}"/>
    <cellStyle name="쉼표 [0] 4 2 9 2" xfId="4411" xr:uid="{00000000-0005-0000-0000-0000A1180000}"/>
    <cellStyle name="쉼표 [0] 4 2 9 2 2" xfId="8072" xr:uid="{00000000-0005-0000-0000-0000A2180000}"/>
    <cellStyle name="쉼표 [0] 4 2 9 2 2 2" xfId="15389" xr:uid="{87716368-347A-4C1D-BDB7-89E033970A88}"/>
    <cellStyle name="쉼표 [0] 4 2 9 2 3" xfId="11731" xr:uid="{F02B99ED-350F-4EAF-B133-C19A2CEDB8E9}"/>
    <cellStyle name="쉼표 [0] 4 2 9 3" xfId="6243" xr:uid="{00000000-0005-0000-0000-0000A3180000}"/>
    <cellStyle name="쉼표 [0] 4 2 9 3 2" xfId="13560" xr:uid="{406421BA-CBB0-4271-8C75-A0D5ACD6BC1D}"/>
    <cellStyle name="쉼표 [0] 4 2 9 4" xfId="9901" xr:uid="{E3C89F7C-955E-495C-9492-90331F8A3DBC}"/>
    <cellStyle name="쉼표 [0] 4 3" xfId="2071" xr:uid="{00000000-0005-0000-0000-0000A4180000}"/>
    <cellStyle name="쉼표 [0] 4 3 10" xfId="2072" xr:uid="{00000000-0005-0000-0000-0000A5180000}"/>
    <cellStyle name="쉼표 [0] 4 3 10 2" xfId="4413" xr:uid="{00000000-0005-0000-0000-0000A6180000}"/>
    <cellStyle name="쉼표 [0] 4 3 10 2 2" xfId="8074" xr:uid="{00000000-0005-0000-0000-0000A7180000}"/>
    <cellStyle name="쉼표 [0] 4 3 10 2 2 2" xfId="15391" xr:uid="{B4C3136C-8A55-4690-8DBE-0122A35D26EA}"/>
    <cellStyle name="쉼표 [0] 4 3 10 2 3" xfId="11733" xr:uid="{147C7351-5CCE-4392-9BF5-C3A42127F684}"/>
    <cellStyle name="쉼표 [0] 4 3 10 3" xfId="6245" xr:uid="{00000000-0005-0000-0000-0000A8180000}"/>
    <cellStyle name="쉼표 [0] 4 3 10 3 2" xfId="13562" xr:uid="{1C26B765-F9FC-43BA-B194-9DB2F7F0F82D}"/>
    <cellStyle name="쉼표 [0] 4 3 10 4" xfId="9903" xr:uid="{3D6A8A69-14F8-4DC5-9EF4-ACF8CAAD967D}"/>
    <cellStyle name="쉼표 [0] 4 3 11" xfId="4412" xr:uid="{00000000-0005-0000-0000-0000A9180000}"/>
    <cellStyle name="쉼표 [0] 4 3 11 2" xfId="8073" xr:uid="{00000000-0005-0000-0000-0000AA180000}"/>
    <cellStyle name="쉼표 [0] 4 3 11 2 2" xfId="15390" xr:uid="{3B039645-FAFA-4792-A882-5D21E19F2CBD}"/>
    <cellStyle name="쉼표 [0] 4 3 11 3" xfId="11732" xr:uid="{827A0B5A-AA98-49B3-AE98-75F04DAC89EF}"/>
    <cellStyle name="쉼표 [0] 4 3 12" xfId="6244" xr:uid="{00000000-0005-0000-0000-0000AB180000}"/>
    <cellStyle name="쉼표 [0] 4 3 12 2" xfId="13561" xr:uid="{13C1DDBC-0901-44EE-849F-3A67F819FACB}"/>
    <cellStyle name="쉼표 [0] 4 3 13" xfId="9902" xr:uid="{46D25113-2469-4A2D-99D8-A07C95F6F484}"/>
    <cellStyle name="쉼표 [0] 4 3 2" xfId="2073" xr:uid="{00000000-0005-0000-0000-0000AC180000}"/>
    <cellStyle name="쉼표 [0] 4 3 2 2" xfId="2074" xr:uid="{00000000-0005-0000-0000-0000AD180000}"/>
    <cellStyle name="쉼표 [0] 4 3 2 2 2" xfId="2075" xr:uid="{00000000-0005-0000-0000-0000AE180000}"/>
    <cellStyle name="쉼표 [0] 4 3 2 2 2 2" xfId="4416" xr:uid="{00000000-0005-0000-0000-0000AF180000}"/>
    <cellStyle name="쉼표 [0] 4 3 2 2 2 2 2" xfId="8077" xr:uid="{00000000-0005-0000-0000-0000B0180000}"/>
    <cellStyle name="쉼표 [0] 4 3 2 2 2 2 2 2" xfId="15394" xr:uid="{9C893367-F638-476E-8FE2-524232E82B09}"/>
    <cellStyle name="쉼표 [0] 4 3 2 2 2 2 3" xfId="11736" xr:uid="{7CDF2544-E282-4E7E-9F65-D59F8E97A864}"/>
    <cellStyle name="쉼표 [0] 4 3 2 2 2 3" xfId="6248" xr:uid="{00000000-0005-0000-0000-0000B1180000}"/>
    <cellStyle name="쉼표 [0] 4 3 2 2 2 3 2" xfId="13565" xr:uid="{F30C3132-A3E2-4F5A-A25A-585E8B989B06}"/>
    <cellStyle name="쉼표 [0] 4 3 2 2 2 4" xfId="9906" xr:uid="{46B1DC71-754C-48D3-8716-2FB11A8F5C2A}"/>
    <cellStyle name="쉼표 [0] 4 3 2 2 3" xfId="4415" xr:uid="{00000000-0005-0000-0000-0000B2180000}"/>
    <cellStyle name="쉼표 [0] 4 3 2 2 3 2" xfId="8076" xr:uid="{00000000-0005-0000-0000-0000B3180000}"/>
    <cellStyle name="쉼표 [0] 4 3 2 2 3 2 2" xfId="15393" xr:uid="{67F00757-4560-402D-AC6B-B03F85E887E1}"/>
    <cellStyle name="쉼표 [0] 4 3 2 2 3 3" xfId="11735" xr:uid="{4F27DF3A-C87F-4700-A637-06E94B7E3875}"/>
    <cellStyle name="쉼표 [0] 4 3 2 2 4" xfId="6247" xr:uid="{00000000-0005-0000-0000-0000B4180000}"/>
    <cellStyle name="쉼표 [0] 4 3 2 2 4 2" xfId="13564" xr:uid="{021EAB00-6F33-4564-8429-CFBAE03230D5}"/>
    <cellStyle name="쉼표 [0] 4 3 2 2 5" xfId="9905" xr:uid="{1E641551-A4EA-4610-9CF7-011153C2A548}"/>
    <cellStyle name="쉼표 [0] 4 3 2 3" xfId="2076" xr:uid="{00000000-0005-0000-0000-0000B5180000}"/>
    <cellStyle name="쉼표 [0] 4 3 2 3 2" xfId="2077" xr:uid="{00000000-0005-0000-0000-0000B6180000}"/>
    <cellStyle name="쉼표 [0] 4 3 2 3 2 2" xfId="4418" xr:uid="{00000000-0005-0000-0000-0000B7180000}"/>
    <cellStyle name="쉼표 [0] 4 3 2 3 2 2 2" xfId="8079" xr:uid="{00000000-0005-0000-0000-0000B8180000}"/>
    <cellStyle name="쉼표 [0] 4 3 2 3 2 2 2 2" xfId="15396" xr:uid="{DF59DC7A-FEBF-4E82-AFED-31B25CB3AC74}"/>
    <cellStyle name="쉼표 [0] 4 3 2 3 2 2 3" xfId="11738" xr:uid="{1F4AF842-09DB-41FD-893E-7889A5968883}"/>
    <cellStyle name="쉼표 [0] 4 3 2 3 2 3" xfId="6250" xr:uid="{00000000-0005-0000-0000-0000B9180000}"/>
    <cellStyle name="쉼표 [0] 4 3 2 3 2 3 2" xfId="13567" xr:uid="{62AA411A-153D-41E4-8318-52635C9E8CFF}"/>
    <cellStyle name="쉼표 [0] 4 3 2 3 2 4" xfId="9908" xr:uid="{95F99A18-60DC-4ECC-A5D7-2C9A33A9B05C}"/>
    <cellStyle name="쉼표 [0] 4 3 2 3 3" xfId="4417" xr:uid="{00000000-0005-0000-0000-0000BA180000}"/>
    <cellStyle name="쉼표 [0] 4 3 2 3 3 2" xfId="8078" xr:uid="{00000000-0005-0000-0000-0000BB180000}"/>
    <cellStyle name="쉼표 [0] 4 3 2 3 3 2 2" xfId="15395" xr:uid="{1A8D5436-E57F-4650-B77D-7F1AAD59D990}"/>
    <cellStyle name="쉼표 [0] 4 3 2 3 3 3" xfId="11737" xr:uid="{7F3CEB06-E6D8-465F-80AC-75A4C159A7CD}"/>
    <cellStyle name="쉼표 [0] 4 3 2 3 4" xfId="6249" xr:uid="{00000000-0005-0000-0000-0000BC180000}"/>
    <cellStyle name="쉼표 [0] 4 3 2 3 4 2" xfId="13566" xr:uid="{6078D175-DDFB-4640-8C06-505F2BCFA869}"/>
    <cellStyle name="쉼표 [0] 4 3 2 3 5" xfId="9907" xr:uid="{A23C9801-C639-484D-82D6-C12E14DFD526}"/>
    <cellStyle name="쉼표 [0] 4 3 2 4" xfId="2078" xr:uid="{00000000-0005-0000-0000-0000BD180000}"/>
    <cellStyle name="쉼표 [0] 4 3 2 4 2" xfId="4419" xr:uid="{00000000-0005-0000-0000-0000BE180000}"/>
    <cellStyle name="쉼표 [0] 4 3 2 4 2 2" xfId="8080" xr:uid="{00000000-0005-0000-0000-0000BF180000}"/>
    <cellStyle name="쉼표 [0] 4 3 2 4 2 2 2" xfId="15397" xr:uid="{3148440F-3133-4177-88B2-1BC3F7BBEB44}"/>
    <cellStyle name="쉼표 [0] 4 3 2 4 2 3" xfId="11739" xr:uid="{F3DE0C42-133F-4CA1-9714-1947F49227CC}"/>
    <cellStyle name="쉼표 [0] 4 3 2 4 3" xfId="6251" xr:uid="{00000000-0005-0000-0000-0000C0180000}"/>
    <cellStyle name="쉼표 [0] 4 3 2 4 3 2" xfId="13568" xr:uid="{7DD45B6E-815E-4D11-86C9-BE9D49A50BE3}"/>
    <cellStyle name="쉼표 [0] 4 3 2 4 4" xfId="9909" xr:uid="{CDCB4723-6213-4409-9267-924BFCBC35D6}"/>
    <cellStyle name="쉼표 [0] 4 3 2 5" xfId="2079" xr:uid="{00000000-0005-0000-0000-0000C1180000}"/>
    <cellStyle name="쉼표 [0] 4 3 2 5 2" xfId="4420" xr:uid="{00000000-0005-0000-0000-0000C2180000}"/>
    <cellStyle name="쉼표 [0] 4 3 2 5 2 2" xfId="8081" xr:uid="{00000000-0005-0000-0000-0000C3180000}"/>
    <cellStyle name="쉼표 [0] 4 3 2 5 2 2 2" xfId="15398" xr:uid="{7FFCC271-FE6B-45E2-A75E-84C9E9F6C8FC}"/>
    <cellStyle name="쉼표 [0] 4 3 2 5 2 3" xfId="11740" xr:uid="{5B2BF258-E8A9-422A-AAAB-9A28756A6680}"/>
    <cellStyle name="쉼표 [0] 4 3 2 5 3" xfId="6252" xr:uid="{00000000-0005-0000-0000-0000C4180000}"/>
    <cellStyle name="쉼표 [0] 4 3 2 5 3 2" xfId="13569" xr:uid="{F4D482D9-8C55-4F86-8569-7C4945494699}"/>
    <cellStyle name="쉼표 [0] 4 3 2 5 4" xfId="9910" xr:uid="{4800BA86-7D59-4342-938F-051F481BE78E}"/>
    <cellStyle name="쉼표 [0] 4 3 2 6" xfId="4414" xr:uid="{00000000-0005-0000-0000-0000C5180000}"/>
    <cellStyle name="쉼표 [0] 4 3 2 6 2" xfId="8075" xr:uid="{00000000-0005-0000-0000-0000C6180000}"/>
    <cellStyle name="쉼표 [0] 4 3 2 6 2 2" xfId="15392" xr:uid="{49D8F01C-5F8E-436F-BB9B-7A2D68258784}"/>
    <cellStyle name="쉼표 [0] 4 3 2 6 3" xfId="11734" xr:uid="{DA0E6DC4-33A5-4B50-B628-A9C2DAF9AE0D}"/>
    <cellStyle name="쉼표 [0] 4 3 2 7" xfId="6246" xr:uid="{00000000-0005-0000-0000-0000C7180000}"/>
    <cellStyle name="쉼표 [0] 4 3 2 7 2" xfId="13563" xr:uid="{A3F8D9F9-1600-4AE2-B17D-3136F66D209A}"/>
    <cellStyle name="쉼표 [0] 4 3 2 8" xfId="9904" xr:uid="{304F9FC3-CEC6-427A-BD10-68A38BB7D27C}"/>
    <cellStyle name="쉼표 [0] 4 3 3" xfId="2080" xr:uid="{00000000-0005-0000-0000-0000C8180000}"/>
    <cellStyle name="쉼표 [0] 4 3 3 2" xfId="2081" xr:uid="{00000000-0005-0000-0000-0000C9180000}"/>
    <cellStyle name="쉼표 [0] 4 3 3 2 2" xfId="4422" xr:uid="{00000000-0005-0000-0000-0000CA180000}"/>
    <cellStyle name="쉼표 [0] 4 3 3 2 2 2" xfId="8083" xr:uid="{00000000-0005-0000-0000-0000CB180000}"/>
    <cellStyle name="쉼표 [0] 4 3 3 2 2 2 2" xfId="15400" xr:uid="{4931172A-F88B-4311-8A05-954CA7C1E5EE}"/>
    <cellStyle name="쉼표 [0] 4 3 3 2 2 3" xfId="11742" xr:uid="{97613668-C71D-4B55-BF4B-DC067B152861}"/>
    <cellStyle name="쉼표 [0] 4 3 3 2 3" xfId="6254" xr:uid="{00000000-0005-0000-0000-0000CC180000}"/>
    <cellStyle name="쉼표 [0] 4 3 3 2 3 2" xfId="13571" xr:uid="{764CE371-BA1A-437A-8205-ABA946C8DED3}"/>
    <cellStyle name="쉼표 [0] 4 3 3 2 4" xfId="9912" xr:uid="{90CF888B-5FD0-4187-B843-36E8D5C84232}"/>
    <cellStyle name="쉼표 [0] 4 3 3 3" xfId="2082" xr:uid="{00000000-0005-0000-0000-0000CD180000}"/>
    <cellStyle name="쉼표 [0] 4 3 3 3 2" xfId="4423" xr:uid="{00000000-0005-0000-0000-0000CE180000}"/>
    <cellStyle name="쉼표 [0] 4 3 3 3 2 2" xfId="8084" xr:uid="{00000000-0005-0000-0000-0000CF180000}"/>
    <cellStyle name="쉼표 [0] 4 3 3 3 2 2 2" xfId="15401" xr:uid="{2A0F09DC-9FB3-411D-AF3E-F6EE741D259A}"/>
    <cellStyle name="쉼표 [0] 4 3 3 3 2 3" xfId="11743" xr:uid="{F9E008C5-9C7D-4BC3-B3F7-F0DE99ACEAA5}"/>
    <cellStyle name="쉼표 [0] 4 3 3 3 3" xfId="6255" xr:uid="{00000000-0005-0000-0000-0000D0180000}"/>
    <cellStyle name="쉼표 [0] 4 3 3 3 3 2" xfId="13572" xr:uid="{1CD21B71-E75A-4FF7-B5AD-27BE0B5D11BA}"/>
    <cellStyle name="쉼표 [0] 4 3 3 3 4" xfId="9913" xr:uid="{53245FDF-AD90-4F3B-8C21-8CCD1E7BED45}"/>
    <cellStyle name="쉼표 [0] 4 3 3 4" xfId="2083" xr:uid="{00000000-0005-0000-0000-0000D1180000}"/>
    <cellStyle name="쉼표 [0] 4 3 3 4 2" xfId="4424" xr:uid="{00000000-0005-0000-0000-0000D2180000}"/>
    <cellStyle name="쉼표 [0] 4 3 3 4 2 2" xfId="8085" xr:uid="{00000000-0005-0000-0000-0000D3180000}"/>
    <cellStyle name="쉼표 [0] 4 3 3 4 2 2 2" xfId="15402" xr:uid="{6AFAF5AA-DEBE-4856-B748-4F006F79CB67}"/>
    <cellStyle name="쉼표 [0] 4 3 3 4 2 3" xfId="11744" xr:uid="{172B2850-399A-4D77-8E7D-81498916661B}"/>
    <cellStyle name="쉼표 [0] 4 3 3 4 3" xfId="6256" xr:uid="{00000000-0005-0000-0000-0000D4180000}"/>
    <cellStyle name="쉼표 [0] 4 3 3 4 3 2" xfId="13573" xr:uid="{19A93450-5B6A-4F2E-AC3C-0A2E9B55DE9C}"/>
    <cellStyle name="쉼표 [0] 4 3 3 4 4" xfId="9914" xr:uid="{3DB2482C-CD75-4DF1-AB55-981C9104E40C}"/>
    <cellStyle name="쉼표 [0] 4 3 3 5" xfId="4421" xr:uid="{00000000-0005-0000-0000-0000D5180000}"/>
    <cellStyle name="쉼표 [0] 4 3 3 5 2" xfId="8082" xr:uid="{00000000-0005-0000-0000-0000D6180000}"/>
    <cellStyle name="쉼표 [0] 4 3 3 5 2 2" xfId="15399" xr:uid="{A86E4143-5A9A-4DB0-8F90-E7FB1BA32EFC}"/>
    <cellStyle name="쉼표 [0] 4 3 3 5 3" xfId="11741" xr:uid="{8AB839BA-BF04-42B3-9448-2728BA6E70DF}"/>
    <cellStyle name="쉼표 [0] 4 3 3 6" xfId="6253" xr:uid="{00000000-0005-0000-0000-0000D7180000}"/>
    <cellStyle name="쉼표 [0] 4 3 3 6 2" xfId="13570" xr:uid="{90AB7220-2607-4680-A19F-021490F52357}"/>
    <cellStyle name="쉼표 [0] 4 3 3 7" xfId="9911" xr:uid="{01073560-788F-4A6C-97AB-F361825D3831}"/>
    <cellStyle name="쉼표 [0] 4 3 4" xfId="2084" xr:uid="{00000000-0005-0000-0000-0000D8180000}"/>
    <cellStyle name="쉼표 [0] 4 3 4 2" xfId="2085" xr:uid="{00000000-0005-0000-0000-0000D9180000}"/>
    <cellStyle name="쉼표 [0] 4 3 4 2 2" xfId="4426" xr:uid="{00000000-0005-0000-0000-0000DA180000}"/>
    <cellStyle name="쉼표 [0] 4 3 4 2 2 2" xfId="8087" xr:uid="{00000000-0005-0000-0000-0000DB180000}"/>
    <cellStyle name="쉼표 [0] 4 3 4 2 2 2 2" xfId="15404" xr:uid="{522AE3A8-E250-47BC-92F3-BD9C6D1FFDBA}"/>
    <cellStyle name="쉼표 [0] 4 3 4 2 2 3" xfId="11746" xr:uid="{57DA6F11-1D25-442B-86EC-FD9B61FFC736}"/>
    <cellStyle name="쉼표 [0] 4 3 4 2 3" xfId="6258" xr:uid="{00000000-0005-0000-0000-0000DC180000}"/>
    <cellStyle name="쉼표 [0] 4 3 4 2 3 2" xfId="13575" xr:uid="{37827922-04C0-4EF0-B4CC-D8AFE791E884}"/>
    <cellStyle name="쉼표 [0] 4 3 4 2 4" xfId="9916" xr:uid="{8ABDA047-725F-4DA8-BB43-1AE2D1559F14}"/>
    <cellStyle name="쉼표 [0] 4 3 4 3" xfId="2086" xr:uid="{00000000-0005-0000-0000-0000DD180000}"/>
    <cellStyle name="쉼표 [0] 4 3 4 3 2" xfId="4427" xr:uid="{00000000-0005-0000-0000-0000DE180000}"/>
    <cellStyle name="쉼표 [0] 4 3 4 3 2 2" xfId="8088" xr:uid="{00000000-0005-0000-0000-0000DF180000}"/>
    <cellStyle name="쉼표 [0] 4 3 4 3 2 2 2" xfId="15405" xr:uid="{5E47F52B-8DED-48C2-AD26-B698FABA8093}"/>
    <cellStyle name="쉼표 [0] 4 3 4 3 2 3" xfId="11747" xr:uid="{DEC65BEF-D606-4FC7-A147-DB6C61DE57E7}"/>
    <cellStyle name="쉼표 [0] 4 3 4 3 3" xfId="6259" xr:uid="{00000000-0005-0000-0000-0000E0180000}"/>
    <cellStyle name="쉼표 [0] 4 3 4 3 3 2" xfId="13576" xr:uid="{4F8EBF28-50DE-405A-88AE-A2C17DEFABD2}"/>
    <cellStyle name="쉼표 [0] 4 3 4 3 4" xfId="9917" xr:uid="{A3F94D30-ABAD-4E7E-90F5-78EE2348C08E}"/>
    <cellStyle name="쉼표 [0] 4 3 4 4" xfId="2087" xr:uid="{00000000-0005-0000-0000-0000E1180000}"/>
    <cellStyle name="쉼표 [0] 4 3 4 4 2" xfId="4428" xr:uid="{00000000-0005-0000-0000-0000E2180000}"/>
    <cellStyle name="쉼표 [0] 4 3 4 4 2 2" xfId="8089" xr:uid="{00000000-0005-0000-0000-0000E3180000}"/>
    <cellStyle name="쉼표 [0] 4 3 4 4 2 2 2" xfId="15406" xr:uid="{5795B42D-BFF6-4C31-9B31-7B0475CDF1B6}"/>
    <cellStyle name="쉼표 [0] 4 3 4 4 2 3" xfId="11748" xr:uid="{0E33801D-6E26-46FD-9073-1B445CAF3872}"/>
    <cellStyle name="쉼표 [0] 4 3 4 4 3" xfId="6260" xr:uid="{00000000-0005-0000-0000-0000E4180000}"/>
    <cellStyle name="쉼표 [0] 4 3 4 4 3 2" xfId="13577" xr:uid="{5B80AB6A-AFD6-4ADC-9E03-FD4017742743}"/>
    <cellStyle name="쉼표 [0] 4 3 4 4 4" xfId="9918" xr:uid="{20A91F11-120D-47A7-8131-7CF8271F5F74}"/>
    <cellStyle name="쉼표 [0] 4 3 4 5" xfId="4425" xr:uid="{00000000-0005-0000-0000-0000E5180000}"/>
    <cellStyle name="쉼표 [0] 4 3 4 5 2" xfId="8086" xr:uid="{00000000-0005-0000-0000-0000E6180000}"/>
    <cellStyle name="쉼표 [0] 4 3 4 5 2 2" xfId="15403" xr:uid="{3BD1DD5A-B35C-4CDD-8591-FE58FA9587B8}"/>
    <cellStyle name="쉼표 [0] 4 3 4 5 3" xfId="11745" xr:uid="{854C6470-98EE-461D-94A3-EA0AA48EA02A}"/>
    <cellStyle name="쉼표 [0] 4 3 4 6" xfId="6257" xr:uid="{00000000-0005-0000-0000-0000E7180000}"/>
    <cellStyle name="쉼표 [0] 4 3 4 6 2" xfId="13574" xr:uid="{070858AE-2D71-4C89-9947-F9CD55253DB5}"/>
    <cellStyle name="쉼표 [0] 4 3 4 7" xfId="9915" xr:uid="{3A987C7C-4561-4116-824A-37D0FED75B88}"/>
    <cellStyle name="쉼표 [0] 4 3 5" xfId="2088" xr:uid="{00000000-0005-0000-0000-0000E8180000}"/>
    <cellStyle name="쉼표 [0] 4 3 5 2" xfId="2089" xr:uid="{00000000-0005-0000-0000-0000E9180000}"/>
    <cellStyle name="쉼표 [0] 4 3 5 2 2" xfId="4430" xr:uid="{00000000-0005-0000-0000-0000EA180000}"/>
    <cellStyle name="쉼표 [0] 4 3 5 2 2 2" xfId="8091" xr:uid="{00000000-0005-0000-0000-0000EB180000}"/>
    <cellStyle name="쉼표 [0] 4 3 5 2 2 2 2" xfId="15408" xr:uid="{A0B91C7E-2784-45A7-B1B6-0AB0551B3F65}"/>
    <cellStyle name="쉼표 [0] 4 3 5 2 2 3" xfId="11750" xr:uid="{8BBD6C15-17C2-4DFF-BBFB-0F2472033DD5}"/>
    <cellStyle name="쉼표 [0] 4 3 5 2 3" xfId="6262" xr:uid="{00000000-0005-0000-0000-0000EC180000}"/>
    <cellStyle name="쉼표 [0] 4 3 5 2 3 2" xfId="13579" xr:uid="{F7D47870-EBAD-4D0B-9F94-828A8632A2A9}"/>
    <cellStyle name="쉼표 [0] 4 3 5 2 4" xfId="9920" xr:uid="{2EFFF465-B9A2-4297-8224-3821D0ABED46}"/>
    <cellStyle name="쉼표 [0] 4 3 5 3" xfId="2090" xr:uid="{00000000-0005-0000-0000-0000ED180000}"/>
    <cellStyle name="쉼표 [0] 4 3 5 3 2" xfId="4431" xr:uid="{00000000-0005-0000-0000-0000EE180000}"/>
    <cellStyle name="쉼표 [0] 4 3 5 3 2 2" xfId="8092" xr:uid="{00000000-0005-0000-0000-0000EF180000}"/>
    <cellStyle name="쉼표 [0] 4 3 5 3 2 2 2" xfId="15409" xr:uid="{C96278EA-C67C-45A4-9B08-2C9743A70553}"/>
    <cellStyle name="쉼표 [0] 4 3 5 3 2 3" xfId="11751" xr:uid="{3BB43F3A-4CC5-4515-9F6D-0D4FB292E5E0}"/>
    <cellStyle name="쉼표 [0] 4 3 5 3 3" xfId="6263" xr:uid="{00000000-0005-0000-0000-0000F0180000}"/>
    <cellStyle name="쉼표 [0] 4 3 5 3 3 2" xfId="13580" xr:uid="{FAD7BF88-BDC9-4249-9C39-1DD2F67750EB}"/>
    <cellStyle name="쉼표 [0] 4 3 5 3 4" xfId="9921" xr:uid="{B3738AA9-DA44-429D-B8B7-47D836F762B9}"/>
    <cellStyle name="쉼표 [0] 4 3 5 4" xfId="4429" xr:uid="{00000000-0005-0000-0000-0000F1180000}"/>
    <cellStyle name="쉼표 [0] 4 3 5 4 2" xfId="8090" xr:uid="{00000000-0005-0000-0000-0000F2180000}"/>
    <cellStyle name="쉼표 [0] 4 3 5 4 2 2" xfId="15407" xr:uid="{251F673C-B14C-47CC-BC12-D8BAA4A68296}"/>
    <cellStyle name="쉼표 [0] 4 3 5 4 3" xfId="11749" xr:uid="{BD35D189-0188-4672-84F2-DC50C13F5DED}"/>
    <cellStyle name="쉼표 [0] 4 3 5 5" xfId="6261" xr:uid="{00000000-0005-0000-0000-0000F3180000}"/>
    <cellStyle name="쉼표 [0] 4 3 5 5 2" xfId="13578" xr:uid="{05919A95-003F-49A0-8CDF-B57FCC792689}"/>
    <cellStyle name="쉼표 [0] 4 3 5 6" xfId="9919" xr:uid="{BD0C66E3-1272-46DD-B2CA-6E99774C3023}"/>
    <cellStyle name="쉼표 [0] 4 3 6" xfId="2091" xr:uid="{00000000-0005-0000-0000-0000F4180000}"/>
    <cellStyle name="쉼표 [0] 4 3 6 2" xfId="2092" xr:uid="{00000000-0005-0000-0000-0000F5180000}"/>
    <cellStyle name="쉼표 [0] 4 3 6 2 2" xfId="4433" xr:uid="{00000000-0005-0000-0000-0000F6180000}"/>
    <cellStyle name="쉼표 [0] 4 3 6 2 2 2" xfId="8094" xr:uid="{00000000-0005-0000-0000-0000F7180000}"/>
    <cellStyle name="쉼표 [0] 4 3 6 2 2 2 2" xfId="15411" xr:uid="{94988423-34D5-4B84-9735-1F48F50E1727}"/>
    <cellStyle name="쉼표 [0] 4 3 6 2 2 3" xfId="11753" xr:uid="{4AAF7650-CC51-4B0C-84FD-DA82424E2F24}"/>
    <cellStyle name="쉼표 [0] 4 3 6 2 3" xfId="6265" xr:uid="{00000000-0005-0000-0000-0000F8180000}"/>
    <cellStyle name="쉼표 [0] 4 3 6 2 3 2" xfId="13582" xr:uid="{89DDD7F3-90A8-4410-8D0D-2EF83BCA91C1}"/>
    <cellStyle name="쉼표 [0] 4 3 6 2 4" xfId="9923" xr:uid="{7C177203-3A5B-461A-8303-1ECA8928BE04}"/>
    <cellStyle name="쉼표 [0] 4 3 6 3" xfId="2093" xr:uid="{00000000-0005-0000-0000-0000F9180000}"/>
    <cellStyle name="쉼표 [0] 4 3 6 3 2" xfId="4434" xr:uid="{00000000-0005-0000-0000-0000FA180000}"/>
    <cellStyle name="쉼표 [0] 4 3 6 3 2 2" xfId="8095" xr:uid="{00000000-0005-0000-0000-0000FB180000}"/>
    <cellStyle name="쉼표 [0] 4 3 6 3 2 2 2" xfId="15412" xr:uid="{0679B3AC-FE87-478B-A555-7BC5A91B3E77}"/>
    <cellStyle name="쉼표 [0] 4 3 6 3 2 3" xfId="11754" xr:uid="{37A59D9C-05C1-4E2A-B2A4-8FBE8EE74AAA}"/>
    <cellStyle name="쉼표 [0] 4 3 6 3 3" xfId="6266" xr:uid="{00000000-0005-0000-0000-0000FC180000}"/>
    <cellStyle name="쉼표 [0] 4 3 6 3 3 2" xfId="13583" xr:uid="{5C5516A2-2FEE-4F83-8552-06A80781324C}"/>
    <cellStyle name="쉼표 [0] 4 3 6 3 4" xfId="9924" xr:uid="{EA617CAC-672A-41A3-A81C-4E471239DD30}"/>
    <cellStyle name="쉼표 [0] 4 3 6 4" xfId="4432" xr:uid="{00000000-0005-0000-0000-0000FD180000}"/>
    <cellStyle name="쉼표 [0] 4 3 6 4 2" xfId="8093" xr:uid="{00000000-0005-0000-0000-0000FE180000}"/>
    <cellStyle name="쉼표 [0] 4 3 6 4 2 2" xfId="15410" xr:uid="{2F0554D5-8CA2-444B-AD9B-8290F3BA2166}"/>
    <cellStyle name="쉼표 [0] 4 3 6 4 3" xfId="11752" xr:uid="{065CC7AD-C071-4BA5-BFE3-0780CC2026B0}"/>
    <cellStyle name="쉼표 [0] 4 3 6 5" xfId="6264" xr:uid="{00000000-0005-0000-0000-0000FF180000}"/>
    <cellStyle name="쉼표 [0] 4 3 6 5 2" xfId="13581" xr:uid="{3956820E-BEC6-44B9-8588-15CD78C99B05}"/>
    <cellStyle name="쉼표 [0] 4 3 6 6" xfId="9922" xr:uid="{4878F525-450B-4242-A456-202003C4EF35}"/>
    <cellStyle name="쉼표 [0] 4 3 7" xfId="2094" xr:uid="{00000000-0005-0000-0000-000000190000}"/>
    <cellStyle name="쉼표 [0] 4 3 7 2" xfId="4435" xr:uid="{00000000-0005-0000-0000-000001190000}"/>
    <cellStyle name="쉼표 [0] 4 3 7 2 2" xfId="8096" xr:uid="{00000000-0005-0000-0000-000002190000}"/>
    <cellStyle name="쉼표 [0] 4 3 7 2 2 2" xfId="15413" xr:uid="{87A74094-C82C-408A-97D0-D6CEE285298A}"/>
    <cellStyle name="쉼표 [0] 4 3 7 2 3" xfId="11755" xr:uid="{83CB338B-087D-428C-B73D-87188A138EBD}"/>
    <cellStyle name="쉼표 [0] 4 3 7 3" xfId="6267" xr:uid="{00000000-0005-0000-0000-000003190000}"/>
    <cellStyle name="쉼표 [0] 4 3 7 3 2" xfId="13584" xr:uid="{14B3CB3B-D0E4-41BF-B650-B597BD5CFFF7}"/>
    <cellStyle name="쉼표 [0] 4 3 7 4" xfId="9925" xr:uid="{95D5828C-7340-4E4F-8B11-E02EFC6B9B05}"/>
    <cellStyle name="쉼표 [0] 4 3 8" xfId="2095" xr:uid="{00000000-0005-0000-0000-000004190000}"/>
    <cellStyle name="쉼표 [0] 4 3 8 2" xfId="4436" xr:uid="{00000000-0005-0000-0000-000005190000}"/>
    <cellStyle name="쉼표 [0] 4 3 8 2 2" xfId="8097" xr:uid="{00000000-0005-0000-0000-000006190000}"/>
    <cellStyle name="쉼표 [0] 4 3 8 2 2 2" xfId="15414" xr:uid="{74362E5C-F57E-4D87-885C-0EC6CA3FABFE}"/>
    <cellStyle name="쉼표 [0] 4 3 8 2 3" xfId="11756" xr:uid="{33C65DFC-9E37-48E3-B228-A3D54BE1DFAE}"/>
    <cellStyle name="쉼표 [0] 4 3 8 3" xfId="6268" xr:uid="{00000000-0005-0000-0000-000007190000}"/>
    <cellStyle name="쉼표 [0] 4 3 8 3 2" xfId="13585" xr:uid="{7058E288-BABE-4A5C-A2EF-62C57A76D5F7}"/>
    <cellStyle name="쉼표 [0] 4 3 8 4" xfId="9926" xr:uid="{2C65E058-8C95-4E9A-8CAE-EF0803153B9D}"/>
    <cellStyle name="쉼표 [0] 4 3 9" xfId="2096" xr:uid="{00000000-0005-0000-0000-000008190000}"/>
    <cellStyle name="쉼표 [0] 4 3 9 2" xfId="4437" xr:uid="{00000000-0005-0000-0000-000009190000}"/>
    <cellStyle name="쉼표 [0] 4 3 9 2 2" xfId="8098" xr:uid="{00000000-0005-0000-0000-00000A190000}"/>
    <cellStyle name="쉼표 [0] 4 3 9 2 2 2" xfId="15415" xr:uid="{8CA76BFB-94FA-46E3-9305-111A010B07F8}"/>
    <cellStyle name="쉼표 [0] 4 3 9 2 3" xfId="11757" xr:uid="{EE0F607F-D45C-4683-A3FB-B2541675C81D}"/>
    <cellStyle name="쉼표 [0] 4 3 9 3" xfId="6269" xr:uid="{00000000-0005-0000-0000-00000B190000}"/>
    <cellStyle name="쉼표 [0] 4 3 9 3 2" xfId="13586" xr:uid="{8ECEE880-5776-4C03-9468-B0A8E0FB4E44}"/>
    <cellStyle name="쉼표 [0] 4 3 9 4" xfId="9927" xr:uid="{5A434614-10C4-4F51-88EE-7FCD18396071}"/>
    <cellStyle name="쉼표 [0] 4 4" xfId="2097" xr:uid="{00000000-0005-0000-0000-00000C190000}"/>
    <cellStyle name="쉼표 [0] 4 4 2" xfId="2098" xr:uid="{00000000-0005-0000-0000-00000D190000}"/>
    <cellStyle name="쉼표 [0] 4 4 2 2" xfId="2099" xr:uid="{00000000-0005-0000-0000-00000E190000}"/>
    <cellStyle name="쉼표 [0] 4 4 2 2 2" xfId="4440" xr:uid="{00000000-0005-0000-0000-00000F190000}"/>
    <cellStyle name="쉼표 [0] 4 4 2 2 2 2" xfId="8101" xr:uid="{00000000-0005-0000-0000-000010190000}"/>
    <cellStyle name="쉼표 [0] 4 4 2 2 2 2 2" xfId="15418" xr:uid="{47D55A6A-4085-4BC6-AACF-26DE4D71BA74}"/>
    <cellStyle name="쉼표 [0] 4 4 2 2 2 3" xfId="11760" xr:uid="{2C274292-CE37-43BE-A797-F6EC0334AD58}"/>
    <cellStyle name="쉼표 [0] 4 4 2 2 3" xfId="6272" xr:uid="{00000000-0005-0000-0000-000011190000}"/>
    <cellStyle name="쉼표 [0] 4 4 2 2 3 2" xfId="13589" xr:uid="{244AB244-A931-427D-ABA8-1E4F9DA152ED}"/>
    <cellStyle name="쉼표 [0] 4 4 2 2 4" xfId="9930" xr:uid="{8A1335F1-09BE-4555-B6F0-3FFCBD32720A}"/>
    <cellStyle name="쉼표 [0] 4 4 2 3" xfId="2100" xr:uid="{00000000-0005-0000-0000-000012190000}"/>
    <cellStyle name="쉼표 [0] 4 4 2 3 2" xfId="4441" xr:uid="{00000000-0005-0000-0000-000013190000}"/>
    <cellStyle name="쉼표 [0] 4 4 2 3 2 2" xfId="8102" xr:uid="{00000000-0005-0000-0000-000014190000}"/>
    <cellStyle name="쉼표 [0] 4 4 2 3 2 2 2" xfId="15419" xr:uid="{1A07BA7E-03E9-419F-9307-19EC8E0FEDBC}"/>
    <cellStyle name="쉼표 [0] 4 4 2 3 2 3" xfId="11761" xr:uid="{350D8FB8-7ED5-4F40-B5DB-EDC610B7ECBA}"/>
    <cellStyle name="쉼표 [0] 4 4 2 3 3" xfId="6273" xr:uid="{00000000-0005-0000-0000-000015190000}"/>
    <cellStyle name="쉼표 [0] 4 4 2 3 3 2" xfId="13590" xr:uid="{B9260F2A-7478-4146-BB89-901B1C4F8E93}"/>
    <cellStyle name="쉼표 [0] 4 4 2 3 4" xfId="9931" xr:uid="{6D652A57-582C-4A07-9F06-7BA29159C377}"/>
    <cellStyle name="쉼표 [0] 4 4 2 4" xfId="2101" xr:uid="{00000000-0005-0000-0000-000016190000}"/>
    <cellStyle name="쉼표 [0] 4 4 2 4 2" xfId="4442" xr:uid="{00000000-0005-0000-0000-000017190000}"/>
    <cellStyle name="쉼표 [0] 4 4 2 4 2 2" xfId="8103" xr:uid="{00000000-0005-0000-0000-000018190000}"/>
    <cellStyle name="쉼표 [0] 4 4 2 4 2 2 2" xfId="15420" xr:uid="{B817D03E-DD67-41A3-8755-D1A19B5AEB2B}"/>
    <cellStyle name="쉼표 [0] 4 4 2 4 2 3" xfId="11762" xr:uid="{560275A1-C862-4D1D-9A67-4664E89E655B}"/>
    <cellStyle name="쉼표 [0] 4 4 2 4 3" xfId="6274" xr:uid="{00000000-0005-0000-0000-000019190000}"/>
    <cellStyle name="쉼표 [0] 4 4 2 4 3 2" xfId="13591" xr:uid="{7226B10B-50C2-4315-8613-6F59CBB1D36C}"/>
    <cellStyle name="쉼표 [0] 4 4 2 4 4" xfId="9932" xr:uid="{4890BEF6-8C44-4079-9195-EE3980144428}"/>
    <cellStyle name="쉼표 [0] 4 4 2 5" xfId="4439" xr:uid="{00000000-0005-0000-0000-00001A190000}"/>
    <cellStyle name="쉼표 [0] 4 4 2 5 2" xfId="8100" xr:uid="{00000000-0005-0000-0000-00001B190000}"/>
    <cellStyle name="쉼표 [0] 4 4 2 5 2 2" xfId="15417" xr:uid="{0C378123-0F5D-4C84-95FD-839BCDE33CEF}"/>
    <cellStyle name="쉼표 [0] 4 4 2 5 3" xfId="11759" xr:uid="{161767BD-437D-4EB9-A05C-39433C2E1517}"/>
    <cellStyle name="쉼표 [0] 4 4 2 6" xfId="6271" xr:uid="{00000000-0005-0000-0000-00001C190000}"/>
    <cellStyle name="쉼표 [0] 4 4 2 6 2" xfId="13588" xr:uid="{5DE2B05C-88CB-4E27-B3AC-5EFF287C695C}"/>
    <cellStyle name="쉼표 [0] 4 4 2 7" xfId="9929" xr:uid="{0D499E45-4F34-4B4F-9BB9-0A58D81D4C7F}"/>
    <cellStyle name="쉼표 [0] 4 4 3" xfId="2102" xr:uid="{00000000-0005-0000-0000-00001D190000}"/>
    <cellStyle name="쉼표 [0] 4 4 3 2" xfId="2103" xr:uid="{00000000-0005-0000-0000-00001E190000}"/>
    <cellStyle name="쉼표 [0] 4 4 3 2 2" xfId="4444" xr:uid="{00000000-0005-0000-0000-00001F190000}"/>
    <cellStyle name="쉼표 [0] 4 4 3 2 2 2" xfId="8105" xr:uid="{00000000-0005-0000-0000-000020190000}"/>
    <cellStyle name="쉼표 [0] 4 4 3 2 2 2 2" xfId="15422" xr:uid="{979C6984-9F8D-4B13-9851-311F2C059DFD}"/>
    <cellStyle name="쉼표 [0] 4 4 3 2 2 3" xfId="11764" xr:uid="{51ED827D-F917-44FD-896C-79A7BB487975}"/>
    <cellStyle name="쉼표 [0] 4 4 3 2 3" xfId="6276" xr:uid="{00000000-0005-0000-0000-000021190000}"/>
    <cellStyle name="쉼표 [0] 4 4 3 2 3 2" xfId="13593" xr:uid="{073D473A-D65E-4EFF-B68D-5C29A992DFB8}"/>
    <cellStyle name="쉼표 [0] 4 4 3 2 4" xfId="9934" xr:uid="{BDEFEBA7-F406-435F-9683-28417EA722E2}"/>
    <cellStyle name="쉼표 [0] 4 4 3 3" xfId="4443" xr:uid="{00000000-0005-0000-0000-000022190000}"/>
    <cellStyle name="쉼표 [0] 4 4 3 3 2" xfId="8104" xr:uid="{00000000-0005-0000-0000-000023190000}"/>
    <cellStyle name="쉼표 [0] 4 4 3 3 2 2" xfId="15421" xr:uid="{9ED450FF-02A7-4043-A6F6-2D65FFFA2D97}"/>
    <cellStyle name="쉼표 [0] 4 4 3 3 3" xfId="11763" xr:uid="{CDFB1508-2496-47F7-9858-C64E46B11BC0}"/>
    <cellStyle name="쉼표 [0] 4 4 3 4" xfId="6275" xr:uid="{00000000-0005-0000-0000-000024190000}"/>
    <cellStyle name="쉼표 [0] 4 4 3 4 2" xfId="13592" xr:uid="{116D263C-CAF2-4C93-BEC8-F4F1F8A5B341}"/>
    <cellStyle name="쉼표 [0] 4 4 3 5" xfId="9933" xr:uid="{7100AA1F-F61D-48ED-81CA-33BA0A630A6E}"/>
    <cellStyle name="쉼표 [0] 4 4 4" xfId="2104" xr:uid="{00000000-0005-0000-0000-000025190000}"/>
    <cellStyle name="쉼표 [0] 4 4 4 2" xfId="2105" xr:uid="{00000000-0005-0000-0000-000026190000}"/>
    <cellStyle name="쉼표 [0] 4 4 4 2 2" xfId="4446" xr:uid="{00000000-0005-0000-0000-000027190000}"/>
    <cellStyle name="쉼표 [0] 4 4 4 2 2 2" xfId="8107" xr:uid="{00000000-0005-0000-0000-000028190000}"/>
    <cellStyle name="쉼표 [0] 4 4 4 2 2 2 2" xfId="15424" xr:uid="{88544214-87B5-4615-A5F9-949583858545}"/>
    <cellStyle name="쉼표 [0] 4 4 4 2 2 3" xfId="11766" xr:uid="{8C097295-126E-484F-A60B-F870862EA139}"/>
    <cellStyle name="쉼표 [0] 4 4 4 2 3" xfId="6278" xr:uid="{00000000-0005-0000-0000-000029190000}"/>
    <cellStyle name="쉼표 [0] 4 4 4 2 3 2" xfId="13595" xr:uid="{062B8672-4537-461A-8576-8437DEDC2364}"/>
    <cellStyle name="쉼표 [0] 4 4 4 2 4" xfId="9936" xr:uid="{640EA490-89AE-4C23-AE4E-7019D732ECFC}"/>
    <cellStyle name="쉼표 [0] 4 4 4 3" xfId="4445" xr:uid="{00000000-0005-0000-0000-00002A190000}"/>
    <cellStyle name="쉼표 [0] 4 4 4 3 2" xfId="8106" xr:uid="{00000000-0005-0000-0000-00002B190000}"/>
    <cellStyle name="쉼표 [0] 4 4 4 3 2 2" xfId="15423" xr:uid="{9F2FD1A9-FB60-4787-B91C-11AEE21AB1FE}"/>
    <cellStyle name="쉼표 [0] 4 4 4 3 3" xfId="11765" xr:uid="{CBA9B851-AF49-4E79-8B66-4CBF88FE3EA6}"/>
    <cellStyle name="쉼표 [0] 4 4 4 4" xfId="6277" xr:uid="{00000000-0005-0000-0000-00002C190000}"/>
    <cellStyle name="쉼표 [0] 4 4 4 4 2" xfId="13594" xr:uid="{4B98781B-1302-42D7-9144-C4C263A8D1F6}"/>
    <cellStyle name="쉼표 [0] 4 4 4 5" xfId="9935" xr:uid="{F7B3E86C-7C82-4911-8BCA-039B473D097E}"/>
    <cellStyle name="쉼표 [0] 4 4 5" xfId="2106" xr:uid="{00000000-0005-0000-0000-00002D190000}"/>
    <cellStyle name="쉼표 [0] 4 4 5 2" xfId="4447" xr:uid="{00000000-0005-0000-0000-00002E190000}"/>
    <cellStyle name="쉼표 [0] 4 4 5 2 2" xfId="8108" xr:uid="{00000000-0005-0000-0000-00002F190000}"/>
    <cellStyle name="쉼표 [0] 4 4 5 2 2 2" xfId="15425" xr:uid="{D31837E5-82DC-45E2-9518-21EE8019EC07}"/>
    <cellStyle name="쉼표 [0] 4 4 5 2 3" xfId="11767" xr:uid="{828074AC-4490-41C6-9518-79EAB19A6AA1}"/>
    <cellStyle name="쉼표 [0] 4 4 5 3" xfId="6279" xr:uid="{00000000-0005-0000-0000-000030190000}"/>
    <cellStyle name="쉼표 [0] 4 4 5 3 2" xfId="13596" xr:uid="{0E2F51E4-3F1E-4222-A601-FCD278DB14AC}"/>
    <cellStyle name="쉼표 [0] 4 4 5 4" xfId="9937" xr:uid="{627B23AA-334B-4205-9BC6-D9163B8BE078}"/>
    <cellStyle name="쉼표 [0] 4 4 6" xfId="2107" xr:uid="{00000000-0005-0000-0000-000031190000}"/>
    <cellStyle name="쉼표 [0] 4 4 6 2" xfId="4448" xr:uid="{00000000-0005-0000-0000-000032190000}"/>
    <cellStyle name="쉼표 [0] 4 4 6 2 2" xfId="8109" xr:uid="{00000000-0005-0000-0000-000033190000}"/>
    <cellStyle name="쉼표 [0] 4 4 6 2 2 2" xfId="15426" xr:uid="{2D83DD6C-4982-47AA-8A3B-F9EF6A44BBFF}"/>
    <cellStyle name="쉼표 [0] 4 4 6 2 3" xfId="11768" xr:uid="{41595D4F-970D-425B-8F42-451D8E4D59D2}"/>
    <cellStyle name="쉼표 [0] 4 4 6 3" xfId="6280" xr:uid="{00000000-0005-0000-0000-000034190000}"/>
    <cellStyle name="쉼표 [0] 4 4 6 3 2" xfId="13597" xr:uid="{40F484EA-680A-477B-A3CC-A1C65A7E3038}"/>
    <cellStyle name="쉼표 [0] 4 4 6 4" xfId="9938" xr:uid="{E7B05A2A-4DFC-4ED1-B82A-FF4557548100}"/>
    <cellStyle name="쉼표 [0] 4 4 7" xfId="4438" xr:uid="{00000000-0005-0000-0000-000035190000}"/>
    <cellStyle name="쉼표 [0] 4 4 7 2" xfId="8099" xr:uid="{00000000-0005-0000-0000-000036190000}"/>
    <cellStyle name="쉼표 [0] 4 4 7 2 2" xfId="15416" xr:uid="{F8D51C16-74AF-4FD2-BDA8-E9410AD1BFE2}"/>
    <cellStyle name="쉼표 [0] 4 4 7 3" xfId="11758" xr:uid="{78240E8C-6B47-477E-B442-36337BA6E966}"/>
    <cellStyle name="쉼표 [0] 4 4 8" xfId="6270" xr:uid="{00000000-0005-0000-0000-000037190000}"/>
    <cellStyle name="쉼표 [0] 4 4 8 2" xfId="13587" xr:uid="{EF84DAED-6178-497A-A25A-4DE4CC90CE16}"/>
    <cellStyle name="쉼표 [0] 4 4 9" xfId="9928" xr:uid="{48113BB7-EF02-49B1-8D6C-9B9432159CB1}"/>
    <cellStyle name="쉼표 [0] 4 5" xfId="2108" xr:uid="{00000000-0005-0000-0000-000038190000}"/>
    <cellStyle name="쉼표 [0] 4 5 2" xfId="2109" xr:uid="{00000000-0005-0000-0000-000039190000}"/>
    <cellStyle name="쉼표 [0] 4 5 2 2" xfId="2110" xr:uid="{00000000-0005-0000-0000-00003A190000}"/>
    <cellStyle name="쉼표 [0] 4 5 2 2 2" xfId="4451" xr:uid="{00000000-0005-0000-0000-00003B190000}"/>
    <cellStyle name="쉼표 [0] 4 5 2 2 2 2" xfId="8112" xr:uid="{00000000-0005-0000-0000-00003C190000}"/>
    <cellStyle name="쉼표 [0] 4 5 2 2 2 2 2" xfId="15429" xr:uid="{69514F7A-5FF5-41B2-9D52-A522E5EC6E3A}"/>
    <cellStyle name="쉼표 [0] 4 5 2 2 2 3" xfId="11771" xr:uid="{137013FB-7ACD-46F1-8EA3-35D0E0A03756}"/>
    <cellStyle name="쉼표 [0] 4 5 2 2 3" xfId="6283" xr:uid="{00000000-0005-0000-0000-00003D190000}"/>
    <cellStyle name="쉼표 [0] 4 5 2 2 3 2" xfId="13600" xr:uid="{0B773206-F87E-4DB7-8A3F-0079960CBC9B}"/>
    <cellStyle name="쉼표 [0] 4 5 2 2 4" xfId="9941" xr:uid="{F760ADC7-582F-48BC-843E-8B01F2C9B039}"/>
    <cellStyle name="쉼표 [0] 4 5 2 3" xfId="2111" xr:uid="{00000000-0005-0000-0000-00003E190000}"/>
    <cellStyle name="쉼표 [0] 4 5 2 3 2" xfId="4452" xr:uid="{00000000-0005-0000-0000-00003F190000}"/>
    <cellStyle name="쉼표 [0] 4 5 2 3 2 2" xfId="8113" xr:uid="{00000000-0005-0000-0000-000040190000}"/>
    <cellStyle name="쉼표 [0] 4 5 2 3 2 2 2" xfId="15430" xr:uid="{25D37D02-03AF-48EC-959D-FA51C73368A5}"/>
    <cellStyle name="쉼표 [0] 4 5 2 3 2 3" xfId="11772" xr:uid="{A7E2BFD8-829D-42DD-B49B-B019415AF29A}"/>
    <cellStyle name="쉼표 [0] 4 5 2 3 3" xfId="6284" xr:uid="{00000000-0005-0000-0000-000041190000}"/>
    <cellStyle name="쉼표 [0] 4 5 2 3 3 2" xfId="13601" xr:uid="{EBDB21E9-40C8-48A5-9568-86A5B60BE700}"/>
    <cellStyle name="쉼표 [0] 4 5 2 3 4" xfId="9942" xr:uid="{06E3B78A-DF09-449D-8B25-26B96C295257}"/>
    <cellStyle name="쉼표 [0] 4 5 2 4" xfId="2112" xr:uid="{00000000-0005-0000-0000-000042190000}"/>
    <cellStyle name="쉼표 [0] 4 5 2 4 2" xfId="4453" xr:uid="{00000000-0005-0000-0000-000043190000}"/>
    <cellStyle name="쉼표 [0] 4 5 2 4 2 2" xfId="8114" xr:uid="{00000000-0005-0000-0000-000044190000}"/>
    <cellStyle name="쉼표 [0] 4 5 2 4 2 2 2" xfId="15431" xr:uid="{D30F958C-0BF1-4BA5-AD40-733464856CBB}"/>
    <cellStyle name="쉼표 [0] 4 5 2 4 2 3" xfId="11773" xr:uid="{EF021DFC-400D-4821-A4CB-06BFB78B69A2}"/>
    <cellStyle name="쉼표 [0] 4 5 2 4 3" xfId="6285" xr:uid="{00000000-0005-0000-0000-000045190000}"/>
    <cellStyle name="쉼표 [0] 4 5 2 4 3 2" xfId="13602" xr:uid="{4D482DE0-4143-49C8-85AA-22874FA8A386}"/>
    <cellStyle name="쉼표 [0] 4 5 2 4 4" xfId="9943" xr:uid="{0FA16518-2A1A-4FE8-9790-E99ADD032EF3}"/>
    <cellStyle name="쉼표 [0] 4 5 2 5" xfId="4450" xr:uid="{00000000-0005-0000-0000-000046190000}"/>
    <cellStyle name="쉼표 [0] 4 5 2 5 2" xfId="8111" xr:uid="{00000000-0005-0000-0000-000047190000}"/>
    <cellStyle name="쉼표 [0] 4 5 2 5 2 2" xfId="15428" xr:uid="{BF50AE6D-2173-4AF8-B417-20AE045B94A9}"/>
    <cellStyle name="쉼표 [0] 4 5 2 5 3" xfId="11770" xr:uid="{4E000DC4-58C3-4542-AD3C-54A5596C6D5A}"/>
    <cellStyle name="쉼표 [0] 4 5 2 6" xfId="6282" xr:uid="{00000000-0005-0000-0000-000048190000}"/>
    <cellStyle name="쉼표 [0] 4 5 2 6 2" xfId="13599" xr:uid="{71504CF4-3AA9-4794-BF7D-A0D7A96D4186}"/>
    <cellStyle name="쉼표 [0] 4 5 2 7" xfId="9940" xr:uid="{6B72F1EE-B945-4BE7-B1B9-D2E1E9438C96}"/>
    <cellStyle name="쉼표 [0] 4 5 3" xfId="2113" xr:uid="{00000000-0005-0000-0000-000049190000}"/>
    <cellStyle name="쉼표 [0] 4 5 3 2" xfId="2114" xr:uid="{00000000-0005-0000-0000-00004A190000}"/>
    <cellStyle name="쉼표 [0] 4 5 3 2 2" xfId="4455" xr:uid="{00000000-0005-0000-0000-00004B190000}"/>
    <cellStyle name="쉼표 [0] 4 5 3 2 2 2" xfId="8116" xr:uid="{00000000-0005-0000-0000-00004C190000}"/>
    <cellStyle name="쉼표 [0] 4 5 3 2 2 2 2" xfId="15433" xr:uid="{7999FC44-9CD6-4DCA-8ACB-31DF1B4FDFB6}"/>
    <cellStyle name="쉼표 [0] 4 5 3 2 2 3" xfId="11775" xr:uid="{41B656B1-76AA-41B6-ABCD-56AE497A64A1}"/>
    <cellStyle name="쉼표 [0] 4 5 3 2 3" xfId="6287" xr:uid="{00000000-0005-0000-0000-00004D190000}"/>
    <cellStyle name="쉼표 [0] 4 5 3 2 3 2" xfId="13604" xr:uid="{D59509E0-AEB8-4759-8350-82C597E1F56A}"/>
    <cellStyle name="쉼표 [0] 4 5 3 2 4" xfId="9945" xr:uid="{C6A6B805-8320-4924-BC81-2BBE96861ED5}"/>
    <cellStyle name="쉼표 [0] 4 5 3 3" xfId="4454" xr:uid="{00000000-0005-0000-0000-00004E190000}"/>
    <cellStyle name="쉼표 [0] 4 5 3 3 2" xfId="8115" xr:uid="{00000000-0005-0000-0000-00004F190000}"/>
    <cellStyle name="쉼표 [0] 4 5 3 3 2 2" xfId="15432" xr:uid="{34014580-AB3D-407E-B32D-384F9DD1D691}"/>
    <cellStyle name="쉼표 [0] 4 5 3 3 3" xfId="11774" xr:uid="{BCBB6B03-F9D3-4E72-B169-597A4665441E}"/>
    <cellStyle name="쉼표 [0] 4 5 3 4" xfId="6286" xr:uid="{00000000-0005-0000-0000-000050190000}"/>
    <cellStyle name="쉼표 [0] 4 5 3 4 2" xfId="13603" xr:uid="{2705DBF2-BCC1-479B-B02A-7B76CBB05B19}"/>
    <cellStyle name="쉼표 [0] 4 5 3 5" xfId="9944" xr:uid="{CEEAA108-02BF-4D35-85F8-F3170C3FB3AD}"/>
    <cellStyle name="쉼표 [0] 4 5 4" xfId="2115" xr:uid="{00000000-0005-0000-0000-000051190000}"/>
    <cellStyle name="쉼표 [0] 4 5 4 2" xfId="2116" xr:uid="{00000000-0005-0000-0000-000052190000}"/>
    <cellStyle name="쉼표 [0] 4 5 4 2 2" xfId="4457" xr:uid="{00000000-0005-0000-0000-000053190000}"/>
    <cellStyle name="쉼표 [0] 4 5 4 2 2 2" xfId="8118" xr:uid="{00000000-0005-0000-0000-000054190000}"/>
    <cellStyle name="쉼표 [0] 4 5 4 2 2 2 2" xfId="15435" xr:uid="{6208A3E4-9EA8-428E-B1C1-41A108FCF0F7}"/>
    <cellStyle name="쉼표 [0] 4 5 4 2 2 3" xfId="11777" xr:uid="{B0045B8D-8508-45E6-8714-229FDFD701A1}"/>
    <cellStyle name="쉼표 [0] 4 5 4 2 3" xfId="6289" xr:uid="{00000000-0005-0000-0000-000055190000}"/>
    <cellStyle name="쉼표 [0] 4 5 4 2 3 2" xfId="13606" xr:uid="{15635EDF-D050-4348-97DD-D3EE40620BCC}"/>
    <cellStyle name="쉼표 [0] 4 5 4 2 4" xfId="9947" xr:uid="{FBA2BF7A-F630-4513-AC88-183D1B127438}"/>
    <cellStyle name="쉼표 [0] 4 5 4 3" xfId="4456" xr:uid="{00000000-0005-0000-0000-000056190000}"/>
    <cellStyle name="쉼표 [0] 4 5 4 3 2" xfId="8117" xr:uid="{00000000-0005-0000-0000-000057190000}"/>
    <cellStyle name="쉼표 [0] 4 5 4 3 2 2" xfId="15434" xr:uid="{12FA5305-FFAB-4388-BBC9-FDDFF3A8D86F}"/>
    <cellStyle name="쉼표 [0] 4 5 4 3 3" xfId="11776" xr:uid="{109C4338-6D8D-4985-A9DA-523C8DAE9229}"/>
    <cellStyle name="쉼표 [0] 4 5 4 4" xfId="6288" xr:uid="{00000000-0005-0000-0000-000058190000}"/>
    <cellStyle name="쉼표 [0] 4 5 4 4 2" xfId="13605" xr:uid="{BDA1877D-3E98-4C6C-B6FE-D9CF29FD4245}"/>
    <cellStyle name="쉼표 [0] 4 5 4 5" xfId="9946" xr:uid="{0147C78A-7427-41D0-97E0-AF9BEE1D47C2}"/>
    <cellStyle name="쉼표 [0] 4 5 5" xfId="2117" xr:uid="{00000000-0005-0000-0000-000059190000}"/>
    <cellStyle name="쉼표 [0] 4 5 5 2" xfId="4458" xr:uid="{00000000-0005-0000-0000-00005A190000}"/>
    <cellStyle name="쉼표 [0] 4 5 5 2 2" xfId="8119" xr:uid="{00000000-0005-0000-0000-00005B190000}"/>
    <cellStyle name="쉼표 [0] 4 5 5 2 2 2" xfId="15436" xr:uid="{6610D234-FDA9-4B4A-9AA2-044DD0E01A41}"/>
    <cellStyle name="쉼표 [0] 4 5 5 2 3" xfId="11778" xr:uid="{BA4E3C1F-F856-4D1B-B348-E10C0A40EC8C}"/>
    <cellStyle name="쉼표 [0] 4 5 5 3" xfId="6290" xr:uid="{00000000-0005-0000-0000-00005C190000}"/>
    <cellStyle name="쉼표 [0] 4 5 5 3 2" xfId="13607" xr:uid="{9964090B-E84F-4C56-942D-92339BA3EECB}"/>
    <cellStyle name="쉼표 [0] 4 5 5 4" xfId="9948" xr:uid="{62F46424-293A-4F65-BDF7-CEF777AF3361}"/>
    <cellStyle name="쉼표 [0] 4 5 6" xfId="2118" xr:uid="{00000000-0005-0000-0000-00005D190000}"/>
    <cellStyle name="쉼표 [0] 4 5 6 2" xfId="4459" xr:uid="{00000000-0005-0000-0000-00005E190000}"/>
    <cellStyle name="쉼표 [0] 4 5 6 2 2" xfId="8120" xr:uid="{00000000-0005-0000-0000-00005F190000}"/>
    <cellStyle name="쉼표 [0] 4 5 6 2 2 2" xfId="15437" xr:uid="{FBDC2DAA-E5A6-4C81-9B12-31320205A320}"/>
    <cellStyle name="쉼표 [0] 4 5 6 2 3" xfId="11779" xr:uid="{5DD1466E-962D-4897-942E-0C6E0285B7D6}"/>
    <cellStyle name="쉼표 [0] 4 5 6 3" xfId="6291" xr:uid="{00000000-0005-0000-0000-000060190000}"/>
    <cellStyle name="쉼표 [0] 4 5 6 3 2" xfId="13608" xr:uid="{881AF17B-AE70-4313-8E95-FAEAA54CE88B}"/>
    <cellStyle name="쉼표 [0] 4 5 6 4" xfId="9949" xr:uid="{92352079-E782-4B56-88FC-413EAEDE2519}"/>
    <cellStyle name="쉼표 [0] 4 5 7" xfId="4449" xr:uid="{00000000-0005-0000-0000-000061190000}"/>
    <cellStyle name="쉼표 [0] 4 5 7 2" xfId="8110" xr:uid="{00000000-0005-0000-0000-000062190000}"/>
    <cellStyle name="쉼표 [0] 4 5 7 2 2" xfId="15427" xr:uid="{03C3AF7A-6142-46E9-94C4-D18FCA68028E}"/>
    <cellStyle name="쉼표 [0] 4 5 7 3" xfId="11769" xr:uid="{04807314-5237-4C4D-A1A7-C03C6FB71520}"/>
    <cellStyle name="쉼표 [0] 4 5 8" xfId="6281" xr:uid="{00000000-0005-0000-0000-000063190000}"/>
    <cellStyle name="쉼표 [0] 4 5 8 2" xfId="13598" xr:uid="{F034EE89-46C1-48F0-AD7C-1A3D16B39574}"/>
    <cellStyle name="쉼표 [0] 4 5 9" xfId="9939" xr:uid="{88F1C007-52CA-4ABE-95C8-C3A67624F7E0}"/>
    <cellStyle name="쉼표 [0] 4 6" xfId="2119" xr:uid="{00000000-0005-0000-0000-000064190000}"/>
    <cellStyle name="쉼표 [0] 4 6 2" xfId="2120" xr:uid="{00000000-0005-0000-0000-000065190000}"/>
    <cellStyle name="쉼표 [0] 4 6 2 2" xfId="2121" xr:uid="{00000000-0005-0000-0000-000066190000}"/>
    <cellStyle name="쉼표 [0] 4 6 2 2 2" xfId="4462" xr:uid="{00000000-0005-0000-0000-000067190000}"/>
    <cellStyle name="쉼표 [0] 4 6 2 2 2 2" xfId="8123" xr:uid="{00000000-0005-0000-0000-000068190000}"/>
    <cellStyle name="쉼표 [0] 4 6 2 2 2 2 2" xfId="15440" xr:uid="{DF5A9A61-082E-4B6C-ABAE-F9B941F45780}"/>
    <cellStyle name="쉼표 [0] 4 6 2 2 2 3" xfId="11782" xr:uid="{205B14E0-59E1-47AE-B1F2-4F5591CA38EF}"/>
    <cellStyle name="쉼표 [0] 4 6 2 2 3" xfId="6294" xr:uid="{00000000-0005-0000-0000-000069190000}"/>
    <cellStyle name="쉼표 [0] 4 6 2 2 3 2" xfId="13611" xr:uid="{35577943-0483-4DCA-935D-946A75B287C0}"/>
    <cellStyle name="쉼표 [0] 4 6 2 2 4" xfId="9952" xr:uid="{F29D3AB2-9331-48D0-B61C-685482DA79F9}"/>
    <cellStyle name="쉼표 [0] 4 6 2 3" xfId="2122" xr:uid="{00000000-0005-0000-0000-00006A190000}"/>
    <cellStyle name="쉼표 [0] 4 6 2 3 2" xfId="4463" xr:uid="{00000000-0005-0000-0000-00006B190000}"/>
    <cellStyle name="쉼표 [0] 4 6 2 3 2 2" xfId="8124" xr:uid="{00000000-0005-0000-0000-00006C190000}"/>
    <cellStyle name="쉼표 [0] 4 6 2 3 2 2 2" xfId="15441" xr:uid="{E7939F26-A074-4CB2-8621-1587D1DFB28C}"/>
    <cellStyle name="쉼표 [0] 4 6 2 3 2 3" xfId="11783" xr:uid="{A3039F08-35D2-418C-AC91-9BBD7D6DCFF2}"/>
    <cellStyle name="쉼표 [0] 4 6 2 3 3" xfId="6295" xr:uid="{00000000-0005-0000-0000-00006D190000}"/>
    <cellStyle name="쉼표 [0] 4 6 2 3 3 2" xfId="13612" xr:uid="{1FD4452C-E2FF-4210-A630-5AF94C20B583}"/>
    <cellStyle name="쉼표 [0] 4 6 2 3 4" xfId="9953" xr:uid="{C29A3902-E822-4C7B-99C2-5FCA527B731B}"/>
    <cellStyle name="쉼표 [0] 4 6 2 4" xfId="2123" xr:uid="{00000000-0005-0000-0000-00006E190000}"/>
    <cellStyle name="쉼표 [0] 4 6 2 4 2" xfId="4464" xr:uid="{00000000-0005-0000-0000-00006F190000}"/>
    <cellStyle name="쉼표 [0] 4 6 2 4 2 2" xfId="8125" xr:uid="{00000000-0005-0000-0000-000070190000}"/>
    <cellStyle name="쉼표 [0] 4 6 2 4 2 2 2" xfId="15442" xr:uid="{01E47D3D-13AD-4975-A265-AB5E5E857180}"/>
    <cellStyle name="쉼표 [0] 4 6 2 4 2 3" xfId="11784" xr:uid="{227EDB1F-BCCF-4613-A567-D534735884C5}"/>
    <cellStyle name="쉼표 [0] 4 6 2 4 3" xfId="6296" xr:uid="{00000000-0005-0000-0000-000071190000}"/>
    <cellStyle name="쉼표 [0] 4 6 2 4 3 2" xfId="13613" xr:uid="{3F8712AD-807B-4B6F-AF4F-99C0887629A4}"/>
    <cellStyle name="쉼표 [0] 4 6 2 4 4" xfId="9954" xr:uid="{9969DFCA-ECF0-4E09-BDF8-308677AAEC8F}"/>
    <cellStyle name="쉼표 [0] 4 6 2 5" xfId="4461" xr:uid="{00000000-0005-0000-0000-000072190000}"/>
    <cellStyle name="쉼표 [0] 4 6 2 5 2" xfId="8122" xr:uid="{00000000-0005-0000-0000-000073190000}"/>
    <cellStyle name="쉼표 [0] 4 6 2 5 2 2" xfId="15439" xr:uid="{6586D0E4-91B1-4C12-90A8-54548A9EB45E}"/>
    <cellStyle name="쉼표 [0] 4 6 2 5 3" xfId="11781" xr:uid="{68BDB3EC-9ED8-48E8-A637-2F84DF796C2F}"/>
    <cellStyle name="쉼표 [0] 4 6 2 6" xfId="6293" xr:uid="{00000000-0005-0000-0000-000074190000}"/>
    <cellStyle name="쉼표 [0] 4 6 2 6 2" xfId="13610" xr:uid="{CE40FE80-D2CA-40E5-876B-2FC3FA1A4F27}"/>
    <cellStyle name="쉼표 [0] 4 6 2 7" xfId="9951" xr:uid="{E74785E3-3CF4-4FFE-A8EF-121B4AF5BC1F}"/>
    <cellStyle name="쉼표 [0] 4 6 3" xfId="2124" xr:uid="{00000000-0005-0000-0000-000075190000}"/>
    <cellStyle name="쉼표 [0] 4 6 3 2" xfId="2125" xr:uid="{00000000-0005-0000-0000-000076190000}"/>
    <cellStyle name="쉼표 [0] 4 6 3 2 2" xfId="4466" xr:uid="{00000000-0005-0000-0000-000077190000}"/>
    <cellStyle name="쉼표 [0] 4 6 3 2 2 2" xfId="8127" xr:uid="{00000000-0005-0000-0000-000078190000}"/>
    <cellStyle name="쉼표 [0] 4 6 3 2 2 2 2" xfId="15444" xr:uid="{DF2613A5-8FE3-4DB4-A143-BD301792BA5C}"/>
    <cellStyle name="쉼표 [0] 4 6 3 2 2 3" xfId="11786" xr:uid="{B2D7E527-CD4E-4193-9BDB-624FA5842EEA}"/>
    <cellStyle name="쉼표 [0] 4 6 3 2 3" xfId="6298" xr:uid="{00000000-0005-0000-0000-000079190000}"/>
    <cellStyle name="쉼표 [0] 4 6 3 2 3 2" xfId="13615" xr:uid="{0EE59743-5E4A-4250-8E98-D187A71B53A8}"/>
    <cellStyle name="쉼표 [0] 4 6 3 2 4" xfId="9956" xr:uid="{52920090-9BE8-4C57-BEB4-AEFD65F12780}"/>
    <cellStyle name="쉼표 [0] 4 6 3 3" xfId="4465" xr:uid="{00000000-0005-0000-0000-00007A190000}"/>
    <cellStyle name="쉼표 [0] 4 6 3 3 2" xfId="8126" xr:uid="{00000000-0005-0000-0000-00007B190000}"/>
    <cellStyle name="쉼표 [0] 4 6 3 3 2 2" xfId="15443" xr:uid="{F7119B13-B181-42F5-9862-0B62079E523A}"/>
    <cellStyle name="쉼표 [0] 4 6 3 3 3" xfId="11785" xr:uid="{6BA789A5-A49F-437B-A5C5-AC265ACE649B}"/>
    <cellStyle name="쉼표 [0] 4 6 3 4" xfId="6297" xr:uid="{00000000-0005-0000-0000-00007C190000}"/>
    <cellStyle name="쉼표 [0] 4 6 3 4 2" xfId="13614" xr:uid="{1A518F46-228F-4F11-87B4-ED26A28E93F9}"/>
    <cellStyle name="쉼표 [0] 4 6 3 5" xfId="9955" xr:uid="{AE7F21EC-2586-4AEA-84DC-57F34318E876}"/>
    <cellStyle name="쉼표 [0] 4 6 4" xfId="2126" xr:uid="{00000000-0005-0000-0000-00007D190000}"/>
    <cellStyle name="쉼표 [0] 4 6 4 2" xfId="2127" xr:uid="{00000000-0005-0000-0000-00007E190000}"/>
    <cellStyle name="쉼표 [0] 4 6 4 2 2" xfId="4468" xr:uid="{00000000-0005-0000-0000-00007F190000}"/>
    <cellStyle name="쉼표 [0] 4 6 4 2 2 2" xfId="8129" xr:uid="{00000000-0005-0000-0000-000080190000}"/>
    <cellStyle name="쉼표 [0] 4 6 4 2 2 2 2" xfId="15446" xr:uid="{93FDF214-4816-4547-8964-F5C56883093B}"/>
    <cellStyle name="쉼표 [0] 4 6 4 2 2 3" xfId="11788" xr:uid="{4C263E8C-7DE8-446C-AD24-CF702F5D354C}"/>
    <cellStyle name="쉼표 [0] 4 6 4 2 3" xfId="6300" xr:uid="{00000000-0005-0000-0000-000081190000}"/>
    <cellStyle name="쉼표 [0] 4 6 4 2 3 2" xfId="13617" xr:uid="{BD0BBEB4-BAD8-4E90-9B0D-0C9A44504770}"/>
    <cellStyle name="쉼표 [0] 4 6 4 2 4" xfId="9958" xr:uid="{3FC76CE7-EC68-49B1-ADB0-8482FDE1AD9B}"/>
    <cellStyle name="쉼표 [0] 4 6 4 3" xfId="4467" xr:uid="{00000000-0005-0000-0000-000082190000}"/>
    <cellStyle name="쉼표 [0] 4 6 4 3 2" xfId="8128" xr:uid="{00000000-0005-0000-0000-000083190000}"/>
    <cellStyle name="쉼표 [0] 4 6 4 3 2 2" xfId="15445" xr:uid="{D934666C-B3DC-479C-BF79-ACB503D67461}"/>
    <cellStyle name="쉼표 [0] 4 6 4 3 3" xfId="11787" xr:uid="{C7860421-B15F-4C0C-B7D6-46DBCA1D8100}"/>
    <cellStyle name="쉼표 [0] 4 6 4 4" xfId="6299" xr:uid="{00000000-0005-0000-0000-000084190000}"/>
    <cellStyle name="쉼표 [0] 4 6 4 4 2" xfId="13616" xr:uid="{3147EC61-E97A-42B0-98F4-513F5DEBF608}"/>
    <cellStyle name="쉼표 [0] 4 6 4 5" xfId="9957" xr:uid="{435F7F53-410B-4C39-8E98-12BCCA42EA65}"/>
    <cellStyle name="쉼표 [0] 4 6 5" xfId="2128" xr:uid="{00000000-0005-0000-0000-000085190000}"/>
    <cellStyle name="쉼표 [0] 4 6 5 2" xfId="4469" xr:uid="{00000000-0005-0000-0000-000086190000}"/>
    <cellStyle name="쉼표 [0] 4 6 5 2 2" xfId="8130" xr:uid="{00000000-0005-0000-0000-000087190000}"/>
    <cellStyle name="쉼표 [0] 4 6 5 2 2 2" xfId="15447" xr:uid="{47DE3E4F-37C2-4E33-99A0-36E88056BBD8}"/>
    <cellStyle name="쉼표 [0] 4 6 5 2 3" xfId="11789" xr:uid="{314BB852-6FFE-4AEB-9F3F-85E549E4BA5D}"/>
    <cellStyle name="쉼표 [0] 4 6 5 3" xfId="6301" xr:uid="{00000000-0005-0000-0000-000088190000}"/>
    <cellStyle name="쉼표 [0] 4 6 5 3 2" xfId="13618" xr:uid="{CB3368CE-3E4F-4243-89C8-7BD0237223B5}"/>
    <cellStyle name="쉼표 [0] 4 6 5 4" xfId="9959" xr:uid="{C8159457-B222-4E9E-9850-DCF27C0E81BC}"/>
    <cellStyle name="쉼표 [0] 4 6 6" xfId="2129" xr:uid="{00000000-0005-0000-0000-000089190000}"/>
    <cellStyle name="쉼표 [0] 4 6 6 2" xfId="4470" xr:uid="{00000000-0005-0000-0000-00008A190000}"/>
    <cellStyle name="쉼표 [0] 4 6 6 2 2" xfId="8131" xr:uid="{00000000-0005-0000-0000-00008B190000}"/>
    <cellStyle name="쉼표 [0] 4 6 6 2 2 2" xfId="15448" xr:uid="{777DBF1C-2A89-479E-8CF8-1F91543646CB}"/>
    <cellStyle name="쉼표 [0] 4 6 6 2 3" xfId="11790" xr:uid="{6E97AE44-8DFA-4806-A534-63E672051D7E}"/>
    <cellStyle name="쉼표 [0] 4 6 6 3" xfId="6302" xr:uid="{00000000-0005-0000-0000-00008C190000}"/>
    <cellStyle name="쉼표 [0] 4 6 6 3 2" xfId="13619" xr:uid="{726E7772-22E9-4CBD-A70F-AE8E1D30C977}"/>
    <cellStyle name="쉼표 [0] 4 6 6 4" xfId="9960" xr:uid="{332D12FD-42D9-44EC-899B-9E9460D5A587}"/>
    <cellStyle name="쉼표 [0] 4 6 7" xfId="4460" xr:uid="{00000000-0005-0000-0000-00008D190000}"/>
    <cellStyle name="쉼표 [0] 4 6 7 2" xfId="8121" xr:uid="{00000000-0005-0000-0000-00008E190000}"/>
    <cellStyle name="쉼표 [0] 4 6 7 2 2" xfId="15438" xr:uid="{1A59D87A-78BA-4A01-97D7-BADDF5AE6480}"/>
    <cellStyle name="쉼표 [0] 4 6 7 3" xfId="11780" xr:uid="{E5A5A074-F7CA-420F-AD91-614A5B9F6DF4}"/>
    <cellStyle name="쉼표 [0] 4 6 8" xfId="6292" xr:uid="{00000000-0005-0000-0000-00008F190000}"/>
    <cellStyle name="쉼표 [0] 4 6 8 2" xfId="13609" xr:uid="{83E04E54-BF9E-4CAD-A734-34EB963A7FF4}"/>
    <cellStyle name="쉼표 [0] 4 6 9" xfId="9950" xr:uid="{F4D54DFC-C653-4827-AFA7-E36F3985262A}"/>
    <cellStyle name="쉼표 [0] 4 7" xfId="2130" xr:uid="{00000000-0005-0000-0000-000090190000}"/>
    <cellStyle name="쉼표 [0] 4 7 2" xfId="2131" xr:uid="{00000000-0005-0000-0000-000091190000}"/>
    <cellStyle name="쉼표 [0] 4 7 2 2" xfId="2132" xr:uid="{00000000-0005-0000-0000-000092190000}"/>
    <cellStyle name="쉼표 [0] 4 7 2 2 2" xfId="4473" xr:uid="{00000000-0005-0000-0000-000093190000}"/>
    <cellStyle name="쉼표 [0] 4 7 2 2 2 2" xfId="8134" xr:uid="{00000000-0005-0000-0000-000094190000}"/>
    <cellStyle name="쉼표 [0] 4 7 2 2 2 2 2" xfId="15451" xr:uid="{EAA26CDB-8866-4FDC-BEF3-911A7DFA65D0}"/>
    <cellStyle name="쉼표 [0] 4 7 2 2 2 3" xfId="11793" xr:uid="{83439E76-6D93-4EAE-AC06-8AE9F8638B8D}"/>
    <cellStyle name="쉼표 [0] 4 7 2 2 3" xfId="6305" xr:uid="{00000000-0005-0000-0000-000095190000}"/>
    <cellStyle name="쉼표 [0] 4 7 2 2 3 2" xfId="13622" xr:uid="{EFF95F5F-5B4D-4241-A844-205A20F179F5}"/>
    <cellStyle name="쉼표 [0] 4 7 2 2 4" xfId="9963" xr:uid="{66A801F4-EC0F-4D30-8D2E-5BF8E6B8A8A9}"/>
    <cellStyle name="쉼표 [0] 4 7 2 3" xfId="2133" xr:uid="{00000000-0005-0000-0000-000096190000}"/>
    <cellStyle name="쉼표 [0] 4 7 2 3 2" xfId="4474" xr:uid="{00000000-0005-0000-0000-000097190000}"/>
    <cellStyle name="쉼표 [0] 4 7 2 3 2 2" xfId="8135" xr:uid="{00000000-0005-0000-0000-000098190000}"/>
    <cellStyle name="쉼표 [0] 4 7 2 3 2 2 2" xfId="15452" xr:uid="{0BAEAF43-AC81-46CB-BFDD-7E3004791548}"/>
    <cellStyle name="쉼표 [0] 4 7 2 3 2 3" xfId="11794" xr:uid="{B4FAA646-A062-4837-BCD0-B0F3233BFED6}"/>
    <cellStyle name="쉼표 [0] 4 7 2 3 3" xfId="6306" xr:uid="{00000000-0005-0000-0000-000099190000}"/>
    <cellStyle name="쉼표 [0] 4 7 2 3 3 2" xfId="13623" xr:uid="{2EF772A4-4ABD-4A6A-A659-779F7B90827E}"/>
    <cellStyle name="쉼표 [0] 4 7 2 3 4" xfId="9964" xr:uid="{1FAA677B-1263-49C9-827E-6FB548BE146F}"/>
    <cellStyle name="쉼표 [0] 4 7 2 4" xfId="2134" xr:uid="{00000000-0005-0000-0000-00009A190000}"/>
    <cellStyle name="쉼표 [0] 4 7 2 4 2" xfId="4475" xr:uid="{00000000-0005-0000-0000-00009B190000}"/>
    <cellStyle name="쉼표 [0] 4 7 2 4 2 2" xfId="8136" xr:uid="{00000000-0005-0000-0000-00009C190000}"/>
    <cellStyle name="쉼표 [0] 4 7 2 4 2 2 2" xfId="15453" xr:uid="{8445080C-1AEA-4446-9261-A3C842A06D80}"/>
    <cellStyle name="쉼표 [0] 4 7 2 4 2 3" xfId="11795" xr:uid="{6EC4CA30-7FB7-4997-B158-99E8AC66068C}"/>
    <cellStyle name="쉼표 [0] 4 7 2 4 3" xfId="6307" xr:uid="{00000000-0005-0000-0000-00009D190000}"/>
    <cellStyle name="쉼표 [0] 4 7 2 4 3 2" xfId="13624" xr:uid="{C7FE101A-64D3-4A92-971D-80EA3DAAC42A}"/>
    <cellStyle name="쉼표 [0] 4 7 2 4 4" xfId="9965" xr:uid="{4D073A3E-D13F-45C5-BE74-2B1756A49F66}"/>
    <cellStyle name="쉼표 [0] 4 7 2 5" xfId="4472" xr:uid="{00000000-0005-0000-0000-00009E190000}"/>
    <cellStyle name="쉼표 [0] 4 7 2 5 2" xfId="8133" xr:uid="{00000000-0005-0000-0000-00009F190000}"/>
    <cellStyle name="쉼표 [0] 4 7 2 5 2 2" xfId="15450" xr:uid="{2A6C2B68-730E-420E-83A0-C83B3F803156}"/>
    <cellStyle name="쉼표 [0] 4 7 2 5 3" xfId="11792" xr:uid="{F16D3D03-1439-4119-BD6E-EA366C3EAA6C}"/>
    <cellStyle name="쉼표 [0] 4 7 2 6" xfId="6304" xr:uid="{00000000-0005-0000-0000-0000A0190000}"/>
    <cellStyle name="쉼표 [0] 4 7 2 6 2" xfId="13621" xr:uid="{C4B80BD7-D698-4C23-B1E2-51F76A9DC7E7}"/>
    <cellStyle name="쉼표 [0] 4 7 2 7" xfId="9962" xr:uid="{0ADF6538-B959-4E6A-981A-B678E497EF1F}"/>
    <cellStyle name="쉼표 [0] 4 7 3" xfId="2135" xr:uid="{00000000-0005-0000-0000-0000A1190000}"/>
    <cellStyle name="쉼표 [0] 4 7 3 2" xfId="2136" xr:uid="{00000000-0005-0000-0000-0000A2190000}"/>
    <cellStyle name="쉼표 [0] 4 7 3 2 2" xfId="4477" xr:uid="{00000000-0005-0000-0000-0000A3190000}"/>
    <cellStyle name="쉼표 [0] 4 7 3 2 2 2" xfId="8138" xr:uid="{00000000-0005-0000-0000-0000A4190000}"/>
    <cellStyle name="쉼표 [0] 4 7 3 2 2 2 2" xfId="15455" xr:uid="{CCE22081-500F-42A4-98FA-BF54BC3EE79E}"/>
    <cellStyle name="쉼표 [0] 4 7 3 2 2 3" xfId="11797" xr:uid="{6D496224-9094-4713-BDA5-C02D7F3AF3EE}"/>
    <cellStyle name="쉼표 [0] 4 7 3 2 3" xfId="6309" xr:uid="{00000000-0005-0000-0000-0000A5190000}"/>
    <cellStyle name="쉼표 [0] 4 7 3 2 3 2" xfId="13626" xr:uid="{3332F37E-6584-4C8F-B979-DF0D7AB7D76D}"/>
    <cellStyle name="쉼표 [0] 4 7 3 2 4" xfId="9967" xr:uid="{78531084-5734-43BC-A00F-34453CF1CE0F}"/>
    <cellStyle name="쉼표 [0] 4 7 3 3" xfId="4476" xr:uid="{00000000-0005-0000-0000-0000A6190000}"/>
    <cellStyle name="쉼표 [0] 4 7 3 3 2" xfId="8137" xr:uid="{00000000-0005-0000-0000-0000A7190000}"/>
    <cellStyle name="쉼표 [0] 4 7 3 3 2 2" xfId="15454" xr:uid="{768B2708-BCFE-4811-AD37-55BBB009883C}"/>
    <cellStyle name="쉼표 [0] 4 7 3 3 3" xfId="11796" xr:uid="{B3BFFCCC-42E6-4F27-9A36-9344FBE54424}"/>
    <cellStyle name="쉼표 [0] 4 7 3 4" xfId="6308" xr:uid="{00000000-0005-0000-0000-0000A8190000}"/>
    <cellStyle name="쉼표 [0] 4 7 3 4 2" xfId="13625" xr:uid="{C6485F95-EEC4-4A7A-A52C-37928CEEF915}"/>
    <cellStyle name="쉼표 [0] 4 7 3 5" xfId="9966" xr:uid="{DB339DC7-A0BA-4BC0-8EA2-E1D05E7B6803}"/>
    <cellStyle name="쉼표 [0] 4 7 4" xfId="2137" xr:uid="{00000000-0005-0000-0000-0000A9190000}"/>
    <cellStyle name="쉼표 [0] 4 7 4 2" xfId="2138" xr:uid="{00000000-0005-0000-0000-0000AA190000}"/>
    <cellStyle name="쉼표 [0] 4 7 4 2 2" xfId="4479" xr:uid="{00000000-0005-0000-0000-0000AB190000}"/>
    <cellStyle name="쉼표 [0] 4 7 4 2 2 2" xfId="8140" xr:uid="{00000000-0005-0000-0000-0000AC190000}"/>
    <cellStyle name="쉼표 [0] 4 7 4 2 2 2 2" xfId="15457" xr:uid="{16B0CBC6-E79F-4E0C-BB77-E55131E90821}"/>
    <cellStyle name="쉼표 [0] 4 7 4 2 2 3" xfId="11799" xr:uid="{22995DD8-9931-4535-9D3B-0BB49136E4DC}"/>
    <cellStyle name="쉼표 [0] 4 7 4 2 3" xfId="6311" xr:uid="{00000000-0005-0000-0000-0000AD190000}"/>
    <cellStyle name="쉼표 [0] 4 7 4 2 3 2" xfId="13628" xr:uid="{51F7F71F-A141-4C3C-9FE9-D73BBD6D6333}"/>
    <cellStyle name="쉼표 [0] 4 7 4 2 4" xfId="9969" xr:uid="{2E8E7330-8005-4F40-A62A-5FB92C003EDF}"/>
    <cellStyle name="쉼표 [0] 4 7 4 3" xfId="4478" xr:uid="{00000000-0005-0000-0000-0000AE190000}"/>
    <cellStyle name="쉼표 [0] 4 7 4 3 2" xfId="8139" xr:uid="{00000000-0005-0000-0000-0000AF190000}"/>
    <cellStyle name="쉼표 [0] 4 7 4 3 2 2" xfId="15456" xr:uid="{331CA321-6675-48B8-8BE0-B1EB7C4BB0F0}"/>
    <cellStyle name="쉼표 [0] 4 7 4 3 3" xfId="11798" xr:uid="{AC8F076C-9887-4DCE-B10C-6AAD79A83423}"/>
    <cellStyle name="쉼표 [0] 4 7 4 4" xfId="6310" xr:uid="{00000000-0005-0000-0000-0000B0190000}"/>
    <cellStyle name="쉼표 [0] 4 7 4 4 2" xfId="13627" xr:uid="{35BA8E8C-8633-4782-A186-9630D7B58E99}"/>
    <cellStyle name="쉼표 [0] 4 7 4 5" xfId="9968" xr:uid="{DF235B19-ACC0-42EC-978C-BF3F87766F1D}"/>
    <cellStyle name="쉼표 [0] 4 7 5" xfId="2139" xr:uid="{00000000-0005-0000-0000-0000B1190000}"/>
    <cellStyle name="쉼표 [0] 4 7 5 2" xfId="4480" xr:uid="{00000000-0005-0000-0000-0000B2190000}"/>
    <cellStyle name="쉼표 [0] 4 7 5 2 2" xfId="8141" xr:uid="{00000000-0005-0000-0000-0000B3190000}"/>
    <cellStyle name="쉼표 [0] 4 7 5 2 2 2" xfId="15458" xr:uid="{747EE066-A33D-4F85-BBF9-62013D641D70}"/>
    <cellStyle name="쉼표 [0] 4 7 5 2 3" xfId="11800" xr:uid="{124C3DF0-CF3F-4519-AA67-5DF7634E7743}"/>
    <cellStyle name="쉼표 [0] 4 7 5 3" xfId="6312" xr:uid="{00000000-0005-0000-0000-0000B4190000}"/>
    <cellStyle name="쉼표 [0] 4 7 5 3 2" xfId="13629" xr:uid="{FFC5F1FC-21C0-496E-90F5-21154A70476B}"/>
    <cellStyle name="쉼표 [0] 4 7 5 4" xfId="9970" xr:uid="{E1205CEC-BC63-4DA7-B8AD-E5205B69C0F0}"/>
    <cellStyle name="쉼표 [0] 4 7 6" xfId="2140" xr:uid="{00000000-0005-0000-0000-0000B5190000}"/>
    <cellStyle name="쉼표 [0] 4 7 6 2" xfId="4481" xr:uid="{00000000-0005-0000-0000-0000B6190000}"/>
    <cellStyle name="쉼표 [0] 4 7 6 2 2" xfId="8142" xr:uid="{00000000-0005-0000-0000-0000B7190000}"/>
    <cellStyle name="쉼표 [0] 4 7 6 2 2 2" xfId="15459" xr:uid="{203E0357-9608-4418-8CB4-BDA06BA7DAF6}"/>
    <cellStyle name="쉼표 [0] 4 7 6 2 3" xfId="11801" xr:uid="{C307E9B0-7457-49D4-9F5B-D3DE8206E6FF}"/>
    <cellStyle name="쉼표 [0] 4 7 6 3" xfId="6313" xr:uid="{00000000-0005-0000-0000-0000B8190000}"/>
    <cellStyle name="쉼표 [0] 4 7 6 3 2" xfId="13630" xr:uid="{92856231-E9AC-4804-8B19-9E40E088FE91}"/>
    <cellStyle name="쉼표 [0] 4 7 6 4" xfId="9971" xr:uid="{4A221825-E945-4698-8CE5-3E34237404E2}"/>
    <cellStyle name="쉼표 [0] 4 7 7" xfId="4471" xr:uid="{00000000-0005-0000-0000-0000B9190000}"/>
    <cellStyle name="쉼표 [0] 4 7 7 2" xfId="8132" xr:uid="{00000000-0005-0000-0000-0000BA190000}"/>
    <cellStyle name="쉼표 [0] 4 7 7 2 2" xfId="15449" xr:uid="{2D2B8FE1-9A51-40D4-9F28-A575D8F2A238}"/>
    <cellStyle name="쉼표 [0] 4 7 7 3" xfId="11791" xr:uid="{B4F7D605-A614-4D54-AC20-B1CF547DD000}"/>
    <cellStyle name="쉼표 [0] 4 7 8" xfId="6303" xr:uid="{00000000-0005-0000-0000-0000BB190000}"/>
    <cellStyle name="쉼표 [0] 4 7 8 2" xfId="13620" xr:uid="{FA3BD389-A1AE-4F67-8157-99FAE743883F}"/>
    <cellStyle name="쉼표 [0] 4 7 9" xfId="9961" xr:uid="{CAF2A7CF-F81D-4BC5-9557-6D012936D4C3}"/>
    <cellStyle name="쉼표 [0] 4 8" xfId="2141" xr:uid="{00000000-0005-0000-0000-0000BC190000}"/>
    <cellStyle name="쉼표 [0] 4 8 2" xfId="2142" xr:uid="{00000000-0005-0000-0000-0000BD190000}"/>
    <cellStyle name="쉼표 [0] 4 8 2 2" xfId="2143" xr:uid="{00000000-0005-0000-0000-0000BE190000}"/>
    <cellStyle name="쉼표 [0] 4 8 2 2 2" xfId="4484" xr:uid="{00000000-0005-0000-0000-0000BF190000}"/>
    <cellStyle name="쉼표 [0] 4 8 2 2 2 2" xfId="8145" xr:uid="{00000000-0005-0000-0000-0000C0190000}"/>
    <cellStyle name="쉼표 [0] 4 8 2 2 2 2 2" xfId="15462" xr:uid="{160E7871-62C7-42A2-A166-331F249CA0FC}"/>
    <cellStyle name="쉼표 [0] 4 8 2 2 2 3" xfId="11804" xr:uid="{C2FC1733-558C-4B54-AB1D-E57631E1B62B}"/>
    <cellStyle name="쉼표 [0] 4 8 2 2 3" xfId="6316" xr:uid="{00000000-0005-0000-0000-0000C1190000}"/>
    <cellStyle name="쉼표 [0] 4 8 2 2 3 2" xfId="13633" xr:uid="{77AFC328-9A7E-4850-9914-6F2AAF61CB65}"/>
    <cellStyle name="쉼표 [0] 4 8 2 2 4" xfId="9974" xr:uid="{74507409-2491-4B1D-A041-1ADAAE12AA15}"/>
    <cellStyle name="쉼표 [0] 4 8 2 3" xfId="4483" xr:uid="{00000000-0005-0000-0000-0000C2190000}"/>
    <cellStyle name="쉼표 [0] 4 8 2 3 2" xfId="8144" xr:uid="{00000000-0005-0000-0000-0000C3190000}"/>
    <cellStyle name="쉼표 [0] 4 8 2 3 2 2" xfId="15461" xr:uid="{359E1205-CAAC-4BDB-86A7-B907F6E7DC05}"/>
    <cellStyle name="쉼표 [0] 4 8 2 3 3" xfId="11803" xr:uid="{04C7951C-4027-45B8-8355-5B8006882608}"/>
    <cellStyle name="쉼표 [0] 4 8 2 4" xfId="6315" xr:uid="{00000000-0005-0000-0000-0000C4190000}"/>
    <cellStyle name="쉼표 [0] 4 8 2 4 2" xfId="13632" xr:uid="{055131AF-AA27-41F5-B3DC-327C905620FD}"/>
    <cellStyle name="쉼표 [0] 4 8 2 5" xfId="9973" xr:uid="{2EF09540-9CCC-4EF6-8836-482AFF22155A}"/>
    <cellStyle name="쉼표 [0] 4 8 3" xfId="2144" xr:uid="{00000000-0005-0000-0000-0000C5190000}"/>
    <cellStyle name="쉼표 [0] 4 8 3 2" xfId="2145" xr:uid="{00000000-0005-0000-0000-0000C6190000}"/>
    <cellStyle name="쉼표 [0] 4 8 3 2 2" xfId="4486" xr:uid="{00000000-0005-0000-0000-0000C7190000}"/>
    <cellStyle name="쉼표 [0] 4 8 3 2 2 2" xfId="8147" xr:uid="{00000000-0005-0000-0000-0000C8190000}"/>
    <cellStyle name="쉼표 [0] 4 8 3 2 2 2 2" xfId="15464" xr:uid="{0F572A94-990E-4F83-B479-4D48F4666524}"/>
    <cellStyle name="쉼표 [0] 4 8 3 2 2 3" xfId="11806" xr:uid="{A5095D7F-AFE5-4D7D-B594-202D1641A434}"/>
    <cellStyle name="쉼표 [0] 4 8 3 2 3" xfId="6318" xr:uid="{00000000-0005-0000-0000-0000C9190000}"/>
    <cellStyle name="쉼표 [0] 4 8 3 2 3 2" xfId="13635" xr:uid="{112840B8-E6C5-4F63-82A8-9FDDD4628E04}"/>
    <cellStyle name="쉼표 [0] 4 8 3 2 4" xfId="9976" xr:uid="{7F0A4FDA-432D-4494-A0B6-A6B6FDAA7F99}"/>
    <cellStyle name="쉼표 [0] 4 8 3 3" xfId="4485" xr:uid="{00000000-0005-0000-0000-0000CA190000}"/>
    <cellStyle name="쉼표 [0] 4 8 3 3 2" xfId="8146" xr:uid="{00000000-0005-0000-0000-0000CB190000}"/>
    <cellStyle name="쉼표 [0] 4 8 3 3 2 2" xfId="15463" xr:uid="{44DA8726-B559-4BE1-99D0-0D4DCEF368D8}"/>
    <cellStyle name="쉼표 [0] 4 8 3 3 3" xfId="11805" xr:uid="{CF332E65-4A50-4980-8148-B1460B4800E9}"/>
    <cellStyle name="쉼표 [0] 4 8 3 4" xfId="6317" xr:uid="{00000000-0005-0000-0000-0000CC190000}"/>
    <cellStyle name="쉼표 [0] 4 8 3 4 2" xfId="13634" xr:uid="{49270EDC-7593-4D7D-B327-D1CEFF5AE85C}"/>
    <cellStyle name="쉼표 [0] 4 8 3 5" xfId="9975" xr:uid="{7C1F121E-0751-47E4-9730-80C9BFD87E83}"/>
    <cellStyle name="쉼표 [0] 4 8 4" xfId="2146" xr:uid="{00000000-0005-0000-0000-0000CD190000}"/>
    <cellStyle name="쉼표 [0] 4 8 4 2" xfId="4487" xr:uid="{00000000-0005-0000-0000-0000CE190000}"/>
    <cellStyle name="쉼표 [0] 4 8 4 2 2" xfId="8148" xr:uid="{00000000-0005-0000-0000-0000CF190000}"/>
    <cellStyle name="쉼표 [0] 4 8 4 2 2 2" xfId="15465" xr:uid="{B8589D49-69B6-4F60-AF85-145264B1EA74}"/>
    <cellStyle name="쉼표 [0] 4 8 4 2 3" xfId="11807" xr:uid="{3F1F72E7-DE42-4032-982B-AB950312A0F5}"/>
    <cellStyle name="쉼표 [0] 4 8 4 3" xfId="6319" xr:uid="{00000000-0005-0000-0000-0000D0190000}"/>
    <cellStyle name="쉼표 [0] 4 8 4 3 2" xfId="13636" xr:uid="{E199094A-90C5-4AE2-B38A-67EDBE3BE92F}"/>
    <cellStyle name="쉼표 [0] 4 8 4 4" xfId="9977" xr:uid="{18AD3DAA-450F-4FF7-931A-DEB680263210}"/>
    <cellStyle name="쉼표 [0] 4 8 5" xfId="2147" xr:uid="{00000000-0005-0000-0000-0000D1190000}"/>
    <cellStyle name="쉼표 [0] 4 8 5 2" xfId="4488" xr:uid="{00000000-0005-0000-0000-0000D2190000}"/>
    <cellStyle name="쉼표 [0] 4 8 5 2 2" xfId="8149" xr:uid="{00000000-0005-0000-0000-0000D3190000}"/>
    <cellStyle name="쉼표 [0] 4 8 5 2 2 2" xfId="15466" xr:uid="{EE259F23-1386-46B6-92F4-1E6000638C49}"/>
    <cellStyle name="쉼표 [0] 4 8 5 2 3" xfId="11808" xr:uid="{37D3BBEE-9256-4DDE-AA99-E4A5E927F611}"/>
    <cellStyle name="쉼표 [0] 4 8 5 3" xfId="6320" xr:uid="{00000000-0005-0000-0000-0000D4190000}"/>
    <cellStyle name="쉼표 [0] 4 8 5 3 2" xfId="13637" xr:uid="{A016066A-17A8-454C-AF2B-DBE255C93429}"/>
    <cellStyle name="쉼표 [0] 4 8 5 4" xfId="9978" xr:uid="{2AC94D33-5463-430A-9304-66F91210DDEE}"/>
    <cellStyle name="쉼표 [0] 4 8 6" xfId="4482" xr:uid="{00000000-0005-0000-0000-0000D5190000}"/>
    <cellStyle name="쉼표 [0] 4 8 6 2" xfId="8143" xr:uid="{00000000-0005-0000-0000-0000D6190000}"/>
    <cellStyle name="쉼표 [0] 4 8 6 2 2" xfId="15460" xr:uid="{6FDD72BF-FF12-4C09-9FA0-A4B91FDAEF74}"/>
    <cellStyle name="쉼표 [0] 4 8 6 3" xfId="11802" xr:uid="{CFDD8811-CEC7-47D5-B487-7C4E18B23F58}"/>
    <cellStyle name="쉼표 [0] 4 8 7" xfId="6314" xr:uid="{00000000-0005-0000-0000-0000D7190000}"/>
    <cellStyle name="쉼표 [0] 4 8 7 2" xfId="13631" xr:uid="{2458CD5A-450F-48FC-BD54-CF89CB039AC6}"/>
    <cellStyle name="쉼표 [0] 4 8 8" xfId="9972" xr:uid="{FBA177A2-C685-4E34-9F45-C484CD3A6E9A}"/>
    <cellStyle name="쉼표 [0] 4 9" xfId="2148" xr:uid="{00000000-0005-0000-0000-0000D8190000}"/>
    <cellStyle name="쉼표 [0] 4 9 2" xfId="2149" xr:uid="{00000000-0005-0000-0000-0000D9190000}"/>
    <cellStyle name="쉼표 [0] 4 9 2 2" xfId="4490" xr:uid="{00000000-0005-0000-0000-0000DA190000}"/>
    <cellStyle name="쉼표 [0] 4 9 2 2 2" xfId="8151" xr:uid="{00000000-0005-0000-0000-0000DB190000}"/>
    <cellStyle name="쉼표 [0] 4 9 2 2 2 2" xfId="15468" xr:uid="{79FAEA75-DBE8-4CE5-859A-FF679ACB1148}"/>
    <cellStyle name="쉼표 [0] 4 9 2 2 3" xfId="11810" xr:uid="{83E18883-3FBE-40D6-85DD-565360C7E67F}"/>
    <cellStyle name="쉼표 [0] 4 9 2 3" xfId="6322" xr:uid="{00000000-0005-0000-0000-0000DC190000}"/>
    <cellStyle name="쉼표 [0] 4 9 2 3 2" xfId="13639" xr:uid="{A86B3663-7BC6-470B-809A-7C4B2E9F0EA9}"/>
    <cellStyle name="쉼표 [0] 4 9 2 4" xfId="9980" xr:uid="{39B229FF-40B0-447A-8F75-E0578EB97E50}"/>
    <cellStyle name="쉼표 [0] 4 9 3" xfId="4489" xr:uid="{00000000-0005-0000-0000-0000DD190000}"/>
    <cellStyle name="쉼표 [0] 4 9 3 2" xfId="8150" xr:uid="{00000000-0005-0000-0000-0000DE190000}"/>
    <cellStyle name="쉼표 [0] 4 9 3 2 2" xfId="15467" xr:uid="{526173F5-279D-425E-9EB0-0C98A2382713}"/>
    <cellStyle name="쉼표 [0] 4 9 3 3" xfId="11809" xr:uid="{14AB6344-74D9-4C57-93E5-8F2339231BA8}"/>
    <cellStyle name="쉼표 [0] 4 9 4" xfId="6321" xr:uid="{00000000-0005-0000-0000-0000DF190000}"/>
    <cellStyle name="쉼표 [0] 4 9 4 2" xfId="13638" xr:uid="{5738BEDF-8735-4159-8236-6248EEB8E0EF}"/>
    <cellStyle name="쉼표 [0] 4 9 5" xfId="9979" xr:uid="{9A241ED2-07CA-4BBE-99BB-AD1080FB2C16}"/>
    <cellStyle name="쉼표 [0] 5" xfId="2150" xr:uid="{00000000-0005-0000-0000-0000E0190000}"/>
    <cellStyle name="쉼표 [0] 5 10" xfId="2151" xr:uid="{00000000-0005-0000-0000-0000E1190000}"/>
    <cellStyle name="쉼표 [0] 5 10 2" xfId="4492" xr:uid="{00000000-0005-0000-0000-0000E2190000}"/>
    <cellStyle name="쉼표 [0] 5 10 2 2" xfId="8153" xr:uid="{00000000-0005-0000-0000-0000E3190000}"/>
    <cellStyle name="쉼표 [0] 5 10 2 2 2" xfId="15470" xr:uid="{B2EBA512-0979-41FB-B733-FDB7B28258D6}"/>
    <cellStyle name="쉼표 [0] 5 10 2 3" xfId="11812" xr:uid="{0CAF3DE6-AA7D-422D-8FB2-DC11D72F4E17}"/>
    <cellStyle name="쉼표 [0] 5 10 3" xfId="6324" xr:uid="{00000000-0005-0000-0000-0000E4190000}"/>
    <cellStyle name="쉼표 [0] 5 10 3 2" xfId="13641" xr:uid="{A1294BF3-EAF8-4682-92EF-4AC75CBAAEE5}"/>
    <cellStyle name="쉼표 [0] 5 10 4" xfId="9982" xr:uid="{75B54F3D-ECEB-4A3B-A471-DC9F2A56CB57}"/>
    <cellStyle name="쉼표 [0] 5 11" xfId="2152" xr:uid="{00000000-0005-0000-0000-0000E5190000}"/>
    <cellStyle name="쉼표 [0] 5 11 2" xfId="2153" xr:uid="{00000000-0005-0000-0000-0000E6190000}"/>
    <cellStyle name="쉼표 [0] 5 11 2 2" xfId="4494" xr:uid="{00000000-0005-0000-0000-0000E7190000}"/>
    <cellStyle name="쉼표 [0] 5 11 2 2 2" xfId="8155" xr:uid="{00000000-0005-0000-0000-0000E8190000}"/>
    <cellStyle name="쉼표 [0] 5 11 2 2 2 2" xfId="15472" xr:uid="{F8E9AE6E-D946-46B7-810A-8645C77CE872}"/>
    <cellStyle name="쉼표 [0] 5 11 2 2 3" xfId="11814" xr:uid="{F466FC27-9283-497B-A98D-86B96B1914A3}"/>
    <cellStyle name="쉼표 [0] 5 11 2 3" xfId="6326" xr:uid="{00000000-0005-0000-0000-0000E9190000}"/>
    <cellStyle name="쉼표 [0] 5 11 2 3 2" xfId="13643" xr:uid="{D7F2BEE5-BE77-4ECE-91EB-F2DCB47FCD1C}"/>
    <cellStyle name="쉼표 [0] 5 11 2 4" xfId="9984" xr:uid="{775EF412-B878-443B-9611-4380DF3D5C74}"/>
    <cellStyle name="쉼표 [0] 5 11 3" xfId="4493" xr:uid="{00000000-0005-0000-0000-0000EA190000}"/>
    <cellStyle name="쉼표 [0] 5 11 3 2" xfId="8154" xr:uid="{00000000-0005-0000-0000-0000EB190000}"/>
    <cellStyle name="쉼표 [0] 5 11 3 2 2" xfId="15471" xr:uid="{08C980B0-7FA9-4337-9C9C-C4030787CB40}"/>
    <cellStyle name="쉼표 [0] 5 11 3 3" xfId="11813" xr:uid="{C1D9C8B9-5298-4872-B3B6-7B2AD2E43D6C}"/>
    <cellStyle name="쉼표 [0] 5 11 4" xfId="6325" xr:uid="{00000000-0005-0000-0000-0000EC190000}"/>
    <cellStyle name="쉼표 [0] 5 11 4 2" xfId="13642" xr:uid="{D3D04D13-A32B-4B97-9F92-BDC244649A16}"/>
    <cellStyle name="쉼표 [0] 5 11 5" xfId="9983" xr:uid="{4227102F-E04F-468B-B6ED-EEE597B18DB8}"/>
    <cellStyle name="쉼표 [0] 5 12" xfId="2154" xr:uid="{00000000-0005-0000-0000-0000ED190000}"/>
    <cellStyle name="쉼표 [0] 5 12 2" xfId="4495" xr:uid="{00000000-0005-0000-0000-0000EE190000}"/>
    <cellStyle name="쉼표 [0] 5 12 2 2" xfId="8156" xr:uid="{00000000-0005-0000-0000-0000EF190000}"/>
    <cellStyle name="쉼표 [0] 5 12 2 2 2" xfId="15473" xr:uid="{AF89DB6D-4775-4CD4-B9AA-17CAF1EB59EE}"/>
    <cellStyle name="쉼표 [0] 5 12 2 3" xfId="11815" xr:uid="{29CA56BE-BC51-422C-B2D0-FE9FAA696688}"/>
    <cellStyle name="쉼표 [0] 5 12 3" xfId="6327" xr:uid="{00000000-0005-0000-0000-0000F0190000}"/>
    <cellStyle name="쉼표 [0] 5 12 3 2" xfId="13644" xr:uid="{2043022A-42DE-47AF-9035-1B21759DD5D5}"/>
    <cellStyle name="쉼표 [0] 5 12 4" xfId="9985" xr:uid="{4F3CD7C1-94A3-4A1E-ACFC-7EDC1BB9DBA8}"/>
    <cellStyle name="쉼표 [0] 5 13" xfId="2155" xr:uid="{00000000-0005-0000-0000-0000F1190000}"/>
    <cellStyle name="쉼표 [0] 5 13 2" xfId="2156" xr:uid="{00000000-0005-0000-0000-0000F2190000}"/>
    <cellStyle name="쉼표 [0] 5 13 2 2" xfId="4497" xr:uid="{00000000-0005-0000-0000-0000F3190000}"/>
    <cellStyle name="쉼표 [0] 5 13 2 2 2" xfId="8158" xr:uid="{00000000-0005-0000-0000-0000F4190000}"/>
    <cellStyle name="쉼표 [0] 5 13 2 2 2 2" xfId="15475" xr:uid="{D2FBE920-68A4-481F-8D64-3A82123FD2A3}"/>
    <cellStyle name="쉼표 [0] 5 13 2 2 3" xfId="11817" xr:uid="{836C737B-08CC-431B-97F0-DC4FA44B6C4C}"/>
    <cellStyle name="쉼표 [0] 5 13 2 3" xfId="6329" xr:uid="{00000000-0005-0000-0000-0000F5190000}"/>
    <cellStyle name="쉼표 [0] 5 13 2 3 2" xfId="13646" xr:uid="{C7470322-ADBE-4490-AACD-816F95E3680A}"/>
    <cellStyle name="쉼표 [0] 5 13 2 4" xfId="9987" xr:uid="{AD4D867D-3947-4AA1-9672-01586F1843D5}"/>
    <cellStyle name="쉼표 [0] 5 13 3" xfId="4496" xr:uid="{00000000-0005-0000-0000-0000F6190000}"/>
    <cellStyle name="쉼표 [0] 5 13 3 2" xfId="8157" xr:uid="{00000000-0005-0000-0000-0000F7190000}"/>
    <cellStyle name="쉼표 [0] 5 13 3 2 2" xfId="15474" xr:uid="{2B17C5AF-6C61-4325-8B2E-0228F0DDFB33}"/>
    <cellStyle name="쉼표 [0] 5 13 3 3" xfId="11816" xr:uid="{F219FEBD-C283-41F3-A9D6-17211B16F835}"/>
    <cellStyle name="쉼표 [0] 5 13 4" xfId="6328" xr:uid="{00000000-0005-0000-0000-0000F8190000}"/>
    <cellStyle name="쉼표 [0] 5 13 4 2" xfId="13645" xr:uid="{1C33C8D7-9C89-4D36-97CC-3CB3AABF8545}"/>
    <cellStyle name="쉼표 [0] 5 13 5" xfId="9986" xr:uid="{375111B4-D1D1-44B0-B7F7-A64EF13A4BB9}"/>
    <cellStyle name="쉼표 [0] 5 14" xfId="4491" xr:uid="{00000000-0005-0000-0000-0000F9190000}"/>
    <cellStyle name="쉼표 [0] 5 14 2" xfId="8152" xr:uid="{00000000-0005-0000-0000-0000FA190000}"/>
    <cellStyle name="쉼표 [0] 5 14 2 2" xfId="15469" xr:uid="{BA826464-B356-4AD0-95C2-446556328F7B}"/>
    <cellStyle name="쉼표 [0] 5 14 3" xfId="11811" xr:uid="{54AA0D52-579E-4C60-B663-8C69B5CA3F5E}"/>
    <cellStyle name="쉼표 [0] 5 15" xfId="6323" xr:uid="{00000000-0005-0000-0000-0000FB190000}"/>
    <cellStyle name="쉼표 [0] 5 15 2" xfId="13640" xr:uid="{3196FA54-897D-4FE0-B5A8-EC18686C4CCA}"/>
    <cellStyle name="쉼표 [0] 5 16" xfId="9981" xr:uid="{0578F94A-6409-4494-B4DC-4CCEFF4B6750}"/>
    <cellStyle name="쉼표 [0] 5 2" xfId="2157" xr:uid="{00000000-0005-0000-0000-0000FC190000}"/>
    <cellStyle name="쉼표 [0] 5 2 10" xfId="2158" xr:uid="{00000000-0005-0000-0000-0000FD190000}"/>
    <cellStyle name="쉼표 [0] 5 2 10 2" xfId="4499" xr:uid="{00000000-0005-0000-0000-0000FE190000}"/>
    <cellStyle name="쉼표 [0] 5 2 10 2 2" xfId="8160" xr:uid="{00000000-0005-0000-0000-0000FF190000}"/>
    <cellStyle name="쉼표 [0] 5 2 10 2 2 2" xfId="15477" xr:uid="{DF9107E0-E1A4-4696-AF5A-187190902739}"/>
    <cellStyle name="쉼표 [0] 5 2 10 2 3" xfId="11819" xr:uid="{7EDB9EA7-0555-49F3-9D9B-F2CC6E150C5B}"/>
    <cellStyle name="쉼표 [0] 5 2 10 3" xfId="6331" xr:uid="{00000000-0005-0000-0000-0000001A0000}"/>
    <cellStyle name="쉼표 [0] 5 2 10 3 2" xfId="13648" xr:uid="{88571BC4-56EB-41B5-941D-EE4BE46BC8F6}"/>
    <cellStyle name="쉼표 [0] 5 2 10 4" xfId="9989" xr:uid="{7FC65A91-3957-4120-978D-F72BEF8FC6B6}"/>
    <cellStyle name="쉼표 [0] 5 2 11" xfId="2159" xr:uid="{00000000-0005-0000-0000-0000011A0000}"/>
    <cellStyle name="쉼표 [0] 5 2 11 2" xfId="2160" xr:uid="{00000000-0005-0000-0000-0000021A0000}"/>
    <cellStyle name="쉼표 [0] 5 2 11 2 2" xfId="4501" xr:uid="{00000000-0005-0000-0000-0000031A0000}"/>
    <cellStyle name="쉼표 [0] 5 2 11 2 2 2" xfId="8162" xr:uid="{00000000-0005-0000-0000-0000041A0000}"/>
    <cellStyle name="쉼표 [0] 5 2 11 2 2 2 2" xfId="15479" xr:uid="{24DEA2C9-CA59-4B77-83CB-A31765E1EF93}"/>
    <cellStyle name="쉼표 [0] 5 2 11 2 2 3" xfId="11821" xr:uid="{D2F4CF1D-7465-4F6D-99DA-89DBB8C5A157}"/>
    <cellStyle name="쉼표 [0] 5 2 11 2 3" xfId="6333" xr:uid="{00000000-0005-0000-0000-0000051A0000}"/>
    <cellStyle name="쉼표 [0] 5 2 11 2 3 2" xfId="13650" xr:uid="{8FEACF19-0806-4CAB-9659-69DC23C46DA0}"/>
    <cellStyle name="쉼표 [0] 5 2 11 2 4" xfId="9991" xr:uid="{08A74AA6-4472-443A-9EB2-E5DC745A575B}"/>
    <cellStyle name="쉼표 [0] 5 2 11 3" xfId="4500" xr:uid="{00000000-0005-0000-0000-0000061A0000}"/>
    <cellStyle name="쉼표 [0] 5 2 11 3 2" xfId="8161" xr:uid="{00000000-0005-0000-0000-0000071A0000}"/>
    <cellStyle name="쉼표 [0] 5 2 11 3 2 2" xfId="15478" xr:uid="{F4A3752C-B052-49A6-A998-7FB27840A57F}"/>
    <cellStyle name="쉼표 [0] 5 2 11 3 3" xfId="11820" xr:uid="{87BFD76B-67A3-432D-AFF6-FBCD815240EE}"/>
    <cellStyle name="쉼표 [0] 5 2 11 4" xfId="6332" xr:uid="{00000000-0005-0000-0000-0000081A0000}"/>
    <cellStyle name="쉼표 [0] 5 2 11 4 2" xfId="13649" xr:uid="{EC223F8F-9407-4A44-84EC-A68BCBD254BB}"/>
    <cellStyle name="쉼표 [0] 5 2 11 5" xfId="9990" xr:uid="{961555A9-F808-4C1B-837F-ECEF50A5A711}"/>
    <cellStyle name="쉼표 [0] 5 2 12" xfId="4498" xr:uid="{00000000-0005-0000-0000-0000091A0000}"/>
    <cellStyle name="쉼표 [0] 5 2 12 2" xfId="8159" xr:uid="{00000000-0005-0000-0000-00000A1A0000}"/>
    <cellStyle name="쉼표 [0] 5 2 12 2 2" xfId="15476" xr:uid="{8D0645B8-2065-4701-936A-6692906D59BF}"/>
    <cellStyle name="쉼표 [0] 5 2 12 3" xfId="11818" xr:uid="{2F141C6D-0443-437F-B949-C5442CAE9EFC}"/>
    <cellStyle name="쉼표 [0] 5 2 13" xfId="6330" xr:uid="{00000000-0005-0000-0000-00000B1A0000}"/>
    <cellStyle name="쉼표 [0] 5 2 13 2" xfId="13647" xr:uid="{B5E60220-40FB-49EA-80E1-6306648C63D6}"/>
    <cellStyle name="쉼표 [0] 5 2 14" xfId="9988" xr:uid="{70ACD8BF-249F-4E53-9815-F1AA812DB1DE}"/>
    <cellStyle name="쉼표 [0] 5 2 2" xfId="2161" xr:uid="{00000000-0005-0000-0000-00000C1A0000}"/>
    <cellStyle name="쉼표 [0] 5 2 2 10" xfId="6334" xr:uid="{00000000-0005-0000-0000-00000D1A0000}"/>
    <cellStyle name="쉼표 [0] 5 2 2 10 2" xfId="13651" xr:uid="{8F1E99CA-155B-4A38-A46B-9D2C471654DA}"/>
    <cellStyle name="쉼표 [0] 5 2 2 11" xfId="9992" xr:uid="{1C45A4B1-3AF0-4AC4-BD3F-121A953B2593}"/>
    <cellStyle name="쉼표 [0] 5 2 2 2" xfId="2162" xr:uid="{00000000-0005-0000-0000-00000E1A0000}"/>
    <cellStyle name="쉼표 [0] 5 2 2 2 2" xfId="2163" xr:uid="{00000000-0005-0000-0000-00000F1A0000}"/>
    <cellStyle name="쉼표 [0] 5 2 2 2 2 2" xfId="4504" xr:uid="{00000000-0005-0000-0000-0000101A0000}"/>
    <cellStyle name="쉼표 [0] 5 2 2 2 2 2 2" xfId="8165" xr:uid="{00000000-0005-0000-0000-0000111A0000}"/>
    <cellStyle name="쉼표 [0] 5 2 2 2 2 2 2 2" xfId="15482" xr:uid="{C12634CA-7834-4FBE-94DC-EC58FEEDA519}"/>
    <cellStyle name="쉼표 [0] 5 2 2 2 2 2 3" xfId="11824" xr:uid="{7F6C01AB-0F2B-452E-B838-8CA9E4CAB2A8}"/>
    <cellStyle name="쉼표 [0] 5 2 2 2 2 3" xfId="6336" xr:uid="{00000000-0005-0000-0000-0000121A0000}"/>
    <cellStyle name="쉼표 [0] 5 2 2 2 2 3 2" xfId="13653" xr:uid="{32CF1A73-4DFA-4E55-8D6B-4ED80431AC0B}"/>
    <cellStyle name="쉼표 [0] 5 2 2 2 2 4" xfId="9994" xr:uid="{CC98047E-3444-4385-ABBF-0116D76FE665}"/>
    <cellStyle name="쉼표 [0] 5 2 2 2 3" xfId="2164" xr:uid="{00000000-0005-0000-0000-0000131A0000}"/>
    <cellStyle name="쉼표 [0] 5 2 2 2 3 2" xfId="4505" xr:uid="{00000000-0005-0000-0000-0000141A0000}"/>
    <cellStyle name="쉼표 [0] 5 2 2 2 3 2 2" xfId="8166" xr:uid="{00000000-0005-0000-0000-0000151A0000}"/>
    <cellStyle name="쉼표 [0] 5 2 2 2 3 2 2 2" xfId="15483" xr:uid="{DC49B80F-44E4-4D79-95C6-2D48F3A04434}"/>
    <cellStyle name="쉼표 [0] 5 2 2 2 3 2 3" xfId="11825" xr:uid="{D7D74EA2-738A-4B3E-AC08-A8BD91C0E1DB}"/>
    <cellStyle name="쉼표 [0] 5 2 2 2 3 3" xfId="6337" xr:uid="{00000000-0005-0000-0000-0000161A0000}"/>
    <cellStyle name="쉼표 [0] 5 2 2 2 3 3 2" xfId="13654" xr:uid="{8C25452B-4D84-4E47-AE6C-7E05FEF85227}"/>
    <cellStyle name="쉼표 [0] 5 2 2 2 3 4" xfId="9995" xr:uid="{3594CA83-FE0B-4263-B3B8-C435F243BC48}"/>
    <cellStyle name="쉼표 [0] 5 2 2 2 4" xfId="4503" xr:uid="{00000000-0005-0000-0000-0000171A0000}"/>
    <cellStyle name="쉼표 [0] 5 2 2 2 4 2" xfId="8164" xr:uid="{00000000-0005-0000-0000-0000181A0000}"/>
    <cellStyle name="쉼표 [0] 5 2 2 2 4 2 2" xfId="15481" xr:uid="{F81CCE82-7D44-4887-975A-3ACA4848172E}"/>
    <cellStyle name="쉼표 [0] 5 2 2 2 4 3" xfId="11823" xr:uid="{8FE52524-FBFA-4632-A277-8FF2216B689C}"/>
    <cellStyle name="쉼표 [0] 5 2 2 2 5" xfId="6335" xr:uid="{00000000-0005-0000-0000-0000191A0000}"/>
    <cellStyle name="쉼표 [0] 5 2 2 2 5 2" xfId="13652" xr:uid="{5D5F94DA-F322-4364-AF10-173E771AB596}"/>
    <cellStyle name="쉼표 [0] 5 2 2 2 6" xfId="9993" xr:uid="{FF386B6C-AE82-46EB-A805-818D21820BC4}"/>
    <cellStyle name="쉼표 [0] 5 2 2 3" xfId="2165" xr:uid="{00000000-0005-0000-0000-00001A1A0000}"/>
    <cellStyle name="쉼표 [0] 5 2 2 3 2" xfId="2166" xr:uid="{00000000-0005-0000-0000-00001B1A0000}"/>
    <cellStyle name="쉼표 [0] 5 2 2 3 2 2" xfId="4507" xr:uid="{00000000-0005-0000-0000-00001C1A0000}"/>
    <cellStyle name="쉼표 [0] 5 2 2 3 2 2 2" xfId="8168" xr:uid="{00000000-0005-0000-0000-00001D1A0000}"/>
    <cellStyle name="쉼표 [0] 5 2 2 3 2 2 2 2" xfId="15485" xr:uid="{5D4A83D9-8A91-4D4C-8565-AD9D710701DB}"/>
    <cellStyle name="쉼표 [0] 5 2 2 3 2 2 3" xfId="11827" xr:uid="{622ED8DF-3BA9-47F4-9235-8E7C626B56E9}"/>
    <cellStyle name="쉼표 [0] 5 2 2 3 2 3" xfId="6339" xr:uid="{00000000-0005-0000-0000-00001E1A0000}"/>
    <cellStyle name="쉼표 [0] 5 2 2 3 2 3 2" xfId="13656" xr:uid="{A2C3BB20-9D73-4163-8BEE-48BC7A0D04DF}"/>
    <cellStyle name="쉼표 [0] 5 2 2 3 2 4" xfId="9997" xr:uid="{B1E8F46D-3D4A-4804-923F-63BA208DED62}"/>
    <cellStyle name="쉼표 [0] 5 2 2 3 3" xfId="2167" xr:uid="{00000000-0005-0000-0000-00001F1A0000}"/>
    <cellStyle name="쉼표 [0] 5 2 2 3 3 2" xfId="4508" xr:uid="{00000000-0005-0000-0000-0000201A0000}"/>
    <cellStyle name="쉼표 [0] 5 2 2 3 3 2 2" xfId="8169" xr:uid="{00000000-0005-0000-0000-0000211A0000}"/>
    <cellStyle name="쉼표 [0] 5 2 2 3 3 2 2 2" xfId="15486" xr:uid="{43643C21-9A20-4473-B5CD-CA743B243D2A}"/>
    <cellStyle name="쉼표 [0] 5 2 2 3 3 2 3" xfId="11828" xr:uid="{187D11BA-2FC6-4381-829F-82D45E69F508}"/>
    <cellStyle name="쉼표 [0] 5 2 2 3 3 3" xfId="6340" xr:uid="{00000000-0005-0000-0000-0000221A0000}"/>
    <cellStyle name="쉼표 [0] 5 2 2 3 3 3 2" xfId="13657" xr:uid="{5D406751-17AA-4DB9-A3F2-A57DF92C0D86}"/>
    <cellStyle name="쉼표 [0] 5 2 2 3 3 4" xfId="9998" xr:uid="{DC5ABDC6-CD82-4CF7-B189-88C25A368C02}"/>
    <cellStyle name="쉼표 [0] 5 2 2 3 4" xfId="4506" xr:uid="{00000000-0005-0000-0000-0000231A0000}"/>
    <cellStyle name="쉼표 [0] 5 2 2 3 4 2" xfId="8167" xr:uid="{00000000-0005-0000-0000-0000241A0000}"/>
    <cellStyle name="쉼표 [0] 5 2 2 3 4 2 2" xfId="15484" xr:uid="{29DBDD5A-FD75-4963-A363-9BC6C0C9A5D1}"/>
    <cellStyle name="쉼표 [0] 5 2 2 3 4 3" xfId="11826" xr:uid="{AF59AA42-4263-4894-9DE4-E1680616527E}"/>
    <cellStyle name="쉼표 [0] 5 2 2 3 5" xfId="6338" xr:uid="{00000000-0005-0000-0000-0000251A0000}"/>
    <cellStyle name="쉼표 [0] 5 2 2 3 5 2" xfId="13655" xr:uid="{4DBE7184-B16F-47CA-ABBF-8A26D1FE5748}"/>
    <cellStyle name="쉼표 [0] 5 2 2 3 6" xfId="9996" xr:uid="{C330DCBC-5351-4CF6-9D7D-84625E7F7EE6}"/>
    <cellStyle name="쉼표 [0] 5 2 2 4" xfId="2168" xr:uid="{00000000-0005-0000-0000-0000261A0000}"/>
    <cellStyle name="쉼표 [0] 5 2 2 4 2" xfId="2169" xr:uid="{00000000-0005-0000-0000-0000271A0000}"/>
    <cellStyle name="쉼표 [0] 5 2 2 4 2 2" xfId="4510" xr:uid="{00000000-0005-0000-0000-0000281A0000}"/>
    <cellStyle name="쉼표 [0] 5 2 2 4 2 2 2" xfId="8171" xr:uid="{00000000-0005-0000-0000-0000291A0000}"/>
    <cellStyle name="쉼표 [0] 5 2 2 4 2 2 2 2" xfId="15488" xr:uid="{C6509223-3CB7-4BD7-942C-1284233D5C3A}"/>
    <cellStyle name="쉼표 [0] 5 2 2 4 2 2 3" xfId="11830" xr:uid="{B57896D5-733F-4F16-A764-2E3778A9A696}"/>
    <cellStyle name="쉼표 [0] 5 2 2 4 2 3" xfId="6342" xr:uid="{00000000-0005-0000-0000-00002A1A0000}"/>
    <cellStyle name="쉼표 [0] 5 2 2 4 2 3 2" xfId="13659" xr:uid="{407385BF-D6DD-42EF-847E-8EE60CAA2BF2}"/>
    <cellStyle name="쉼표 [0] 5 2 2 4 2 4" xfId="10000" xr:uid="{973E4556-6280-411D-9711-10B08D0A1137}"/>
    <cellStyle name="쉼표 [0] 5 2 2 4 3" xfId="2170" xr:uid="{00000000-0005-0000-0000-00002B1A0000}"/>
    <cellStyle name="쉼표 [0] 5 2 2 4 3 2" xfId="4511" xr:uid="{00000000-0005-0000-0000-00002C1A0000}"/>
    <cellStyle name="쉼표 [0] 5 2 2 4 3 2 2" xfId="8172" xr:uid="{00000000-0005-0000-0000-00002D1A0000}"/>
    <cellStyle name="쉼표 [0] 5 2 2 4 3 2 2 2" xfId="15489" xr:uid="{A295BED5-83FB-4621-A94A-5CA18E1364D5}"/>
    <cellStyle name="쉼표 [0] 5 2 2 4 3 2 3" xfId="11831" xr:uid="{FEC6E9C0-5CF2-489D-8594-2122FEC55E3E}"/>
    <cellStyle name="쉼표 [0] 5 2 2 4 3 3" xfId="6343" xr:uid="{00000000-0005-0000-0000-00002E1A0000}"/>
    <cellStyle name="쉼표 [0] 5 2 2 4 3 3 2" xfId="13660" xr:uid="{A9EE61DD-49B1-4A80-A12E-03A16F3D8427}"/>
    <cellStyle name="쉼표 [0] 5 2 2 4 3 4" xfId="10001" xr:uid="{0A36F78D-9970-4078-8F9C-1A2630E245E6}"/>
    <cellStyle name="쉼표 [0] 5 2 2 4 4" xfId="4509" xr:uid="{00000000-0005-0000-0000-00002F1A0000}"/>
    <cellStyle name="쉼표 [0] 5 2 2 4 4 2" xfId="8170" xr:uid="{00000000-0005-0000-0000-0000301A0000}"/>
    <cellStyle name="쉼표 [0] 5 2 2 4 4 2 2" xfId="15487" xr:uid="{168E86A1-D66F-4E6F-BFBA-F17E65CA3C2F}"/>
    <cellStyle name="쉼표 [0] 5 2 2 4 4 3" xfId="11829" xr:uid="{2EBE0120-8981-4421-86A3-80479A3D8E01}"/>
    <cellStyle name="쉼표 [0] 5 2 2 4 5" xfId="6341" xr:uid="{00000000-0005-0000-0000-0000311A0000}"/>
    <cellStyle name="쉼표 [0] 5 2 2 4 5 2" xfId="13658" xr:uid="{40A1DCF4-6E1A-4617-AA16-D0B300478080}"/>
    <cellStyle name="쉼표 [0] 5 2 2 4 6" xfId="9999" xr:uid="{42E14BE5-96A6-45B6-B667-80EC8BFBB03F}"/>
    <cellStyle name="쉼표 [0] 5 2 2 5" xfId="2171" xr:uid="{00000000-0005-0000-0000-0000321A0000}"/>
    <cellStyle name="쉼표 [0] 5 2 2 5 2" xfId="2172" xr:uid="{00000000-0005-0000-0000-0000331A0000}"/>
    <cellStyle name="쉼표 [0] 5 2 2 5 2 2" xfId="4513" xr:uid="{00000000-0005-0000-0000-0000341A0000}"/>
    <cellStyle name="쉼표 [0] 5 2 2 5 2 2 2" xfId="8174" xr:uid="{00000000-0005-0000-0000-0000351A0000}"/>
    <cellStyle name="쉼표 [0] 5 2 2 5 2 2 2 2" xfId="15491" xr:uid="{434F8865-B435-487D-A83E-EC363D8E6A27}"/>
    <cellStyle name="쉼표 [0] 5 2 2 5 2 2 3" xfId="11833" xr:uid="{3A88CA1D-1C73-48FA-8304-0FC3E946D017}"/>
    <cellStyle name="쉼표 [0] 5 2 2 5 2 3" xfId="6345" xr:uid="{00000000-0005-0000-0000-0000361A0000}"/>
    <cellStyle name="쉼표 [0] 5 2 2 5 2 3 2" xfId="13662" xr:uid="{11E57DD0-B8E8-4FBE-A64C-870A4F4CA6BF}"/>
    <cellStyle name="쉼표 [0] 5 2 2 5 2 4" xfId="10003" xr:uid="{6D2189C7-A407-4601-ADBF-57210830448A}"/>
    <cellStyle name="쉼표 [0] 5 2 2 5 3" xfId="2173" xr:uid="{00000000-0005-0000-0000-0000371A0000}"/>
    <cellStyle name="쉼표 [0] 5 2 2 5 3 2" xfId="4514" xr:uid="{00000000-0005-0000-0000-0000381A0000}"/>
    <cellStyle name="쉼표 [0] 5 2 2 5 3 2 2" xfId="8175" xr:uid="{00000000-0005-0000-0000-0000391A0000}"/>
    <cellStyle name="쉼표 [0] 5 2 2 5 3 2 2 2" xfId="15492" xr:uid="{846539AF-4785-46E0-AE60-D70C7069FD88}"/>
    <cellStyle name="쉼표 [0] 5 2 2 5 3 2 3" xfId="11834" xr:uid="{338997ED-08DA-4A64-A986-321C6BD55353}"/>
    <cellStyle name="쉼표 [0] 5 2 2 5 3 3" xfId="6346" xr:uid="{00000000-0005-0000-0000-00003A1A0000}"/>
    <cellStyle name="쉼표 [0] 5 2 2 5 3 3 2" xfId="13663" xr:uid="{B766BF21-0C67-487E-BA62-3A5E8F465F54}"/>
    <cellStyle name="쉼표 [0] 5 2 2 5 3 4" xfId="10004" xr:uid="{FF7D1CE7-22CB-48B4-8D6C-E56A6F4070CE}"/>
    <cellStyle name="쉼표 [0] 5 2 2 5 4" xfId="4512" xr:uid="{00000000-0005-0000-0000-00003B1A0000}"/>
    <cellStyle name="쉼표 [0] 5 2 2 5 4 2" xfId="8173" xr:uid="{00000000-0005-0000-0000-00003C1A0000}"/>
    <cellStyle name="쉼표 [0] 5 2 2 5 4 2 2" xfId="15490" xr:uid="{4366D539-60B0-41F5-BCF1-53B0DD17A809}"/>
    <cellStyle name="쉼표 [0] 5 2 2 5 4 3" xfId="11832" xr:uid="{AC999441-40A7-42E6-955B-2DC532A9CA57}"/>
    <cellStyle name="쉼표 [0] 5 2 2 5 5" xfId="6344" xr:uid="{00000000-0005-0000-0000-00003D1A0000}"/>
    <cellStyle name="쉼표 [0] 5 2 2 5 5 2" xfId="13661" xr:uid="{D30B2028-FB32-4C9F-8A52-531785A8EDE3}"/>
    <cellStyle name="쉼표 [0] 5 2 2 5 6" xfId="10002" xr:uid="{83DA8597-41DC-4F12-AFC3-C89060DCC8AF}"/>
    <cellStyle name="쉼표 [0] 5 2 2 6" xfId="2174" xr:uid="{00000000-0005-0000-0000-00003E1A0000}"/>
    <cellStyle name="쉼표 [0] 5 2 2 6 2" xfId="2175" xr:uid="{00000000-0005-0000-0000-00003F1A0000}"/>
    <cellStyle name="쉼표 [0] 5 2 2 6 2 2" xfId="4516" xr:uid="{00000000-0005-0000-0000-0000401A0000}"/>
    <cellStyle name="쉼표 [0] 5 2 2 6 2 2 2" xfId="8177" xr:uid="{00000000-0005-0000-0000-0000411A0000}"/>
    <cellStyle name="쉼표 [0] 5 2 2 6 2 2 2 2" xfId="15494" xr:uid="{855EE030-8CCD-49B9-B82C-7E74D018A92A}"/>
    <cellStyle name="쉼표 [0] 5 2 2 6 2 2 3" xfId="11836" xr:uid="{A1598A6A-F764-40EB-A62B-B96A47CA0490}"/>
    <cellStyle name="쉼표 [0] 5 2 2 6 2 3" xfId="6348" xr:uid="{00000000-0005-0000-0000-0000421A0000}"/>
    <cellStyle name="쉼표 [0] 5 2 2 6 2 3 2" xfId="13665" xr:uid="{5462E152-D35A-45D5-99AD-FD28A679F66C}"/>
    <cellStyle name="쉼표 [0] 5 2 2 6 2 4" xfId="10006" xr:uid="{A1238C1E-FEDD-417A-8811-B3B5A27EC628}"/>
    <cellStyle name="쉼표 [0] 5 2 2 6 3" xfId="2176" xr:uid="{00000000-0005-0000-0000-0000431A0000}"/>
    <cellStyle name="쉼표 [0] 5 2 2 6 3 2" xfId="4517" xr:uid="{00000000-0005-0000-0000-0000441A0000}"/>
    <cellStyle name="쉼표 [0] 5 2 2 6 3 2 2" xfId="8178" xr:uid="{00000000-0005-0000-0000-0000451A0000}"/>
    <cellStyle name="쉼표 [0] 5 2 2 6 3 2 2 2" xfId="15495" xr:uid="{272E972E-B72C-43C1-B7B7-C210466B712C}"/>
    <cellStyle name="쉼표 [0] 5 2 2 6 3 2 3" xfId="11837" xr:uid="{B3A9315C-DD3A-4A26-9369-F81BF1440B15}"/>
    <cellStyle name="쉼표 [0] 5 2 2 6 3 3" xfId="6349" xr:uid="{00000000-0005-0000-0000-0000461A0000}"/>
    <cellStyle name="쉼표 [0] 5 2 2 6 3 3 2" xfId="13666" xr:uid="{D1BF2DFB-6C42-4F10-8BA3-3A8EF4973F3D}"/>
    <cellStyle name="쉼표 [0] 5 2 2 6 3 4" xfId="10007" xr:uid="{11633059-E9AA-4A1F-96AC-BFA57E79614B}"/>
    <cellStyle name="쉼표 [0] 5 2 2 6 4" xfId="4515" xr:uid="{00000000-0005-0000-0000-0000471A0000}"/>
    <cellStyle name="쉼표 [0] 5 2 2 6 4 2" xfId="8176" xr:uid="{00000000-0005-0000-0000-0000481A0000}"/>
    <cellStyle name="쉼표 [0] 5 2 2 6 4 2 2" xfId="15493" xr:uid="{13CD48B7-3A1C-464D-A068-5D530C425366}"/>
    <cellStyle name="쉼표 [0] 5 2 2 6 4 3" xfId="11835" xr:uid="{21C463D9-4231-4A2D-B1E5-854ED82C8492}"/>
    <cellStyle name="쉼표 [0] 5 2 2 6 5" xfId="6347" xr:uid="{00000000-0005-0000-0000-0000491A0000}"/>
    <cellStyle name="쉼표 [0] 5 2 2 6 5 2" xfId="13664" xr:uid="{373C88D4-7C64-4FC3-9EF3-93CF6ED93CA2}"/>
    <cellStyle name="쉼표 [0] 5 2 2 6 6" xfId="10005" xr:uid="{FDA63AB7-0DFE-4405-9576-E55D8DEDBEEB}"/>
    <cellStyle name="쉼표 [0] 5 2 2 7" xfId="2177" xr:uid="{00000000-0005-0000-0000-00004A1A0000}"/>
    <cellStyle name="쉼표 [0] 5 2 2 7 2" xfId="4518" xr:uid="{00000000-0005-0000-0000-00004B1A0000}"/>
    <cellStyle name="쉼표 [0] 5 2 2 7 2 2" xfId="8179" xr:uid="{00000000-0005-0000-0000-00004C1A0000}"/>
    <cellStyle name="쉼표 [0] 5 2 2 7 2 2 2" xfId="15496" xr:uid="{477485D0-4195-46E3-9234-D8B73B975444}"/>
    <cellStyle name="쉼표 [0] 5 2 2 7 2 3" xfId="11838" xr:uid="{3A655D2C-FBC9-4992-9BF9-CAA662368191}"/>
    <cellStyle name="쉼표 [0] 5 2 2 7 3" xfId="6350" xr:uid="{00000000-0005-0000-0000-00004D1A0000}"/>
    <cellStyle name="쉼표 [0] 5 2 2 7 3 2" xfId="13667" xr:uid="{9AE038AC-6403-4AD0-99FC-1BF79FA3D059}"/>
    <cellStyle name="쉼표 [0] 5 2 2 7 4" xfId="10008" xr:uid="{EB67D1DB-693B-459F-9F35-4DDB34119D9E}"/>
    <cellStyle name="쉼표 [0] 5 2 2 8" xfId="2178" xr:uid="{00000000-0005-0000-0000-00004E1A0000}"/>
    <cellStyle name="쉼표 [0] 5 2 2 8 2" xfId="4519" xr:uid="{00000000-0005-0000-0000-00004F1A0000}"/>
    <cellStyle name="쉼표 [0] 5 2 2 8 2 2" xfId="8180" xr:uid="{00000000-0005-0000-0000-0000501A0000}"/>
    <cellStyle name="쉼표 [0] 5 2 2 8 2 2 2" xfId="15497" xr:uid="{95F2E21E-C511-43F4-B6EF-4977E42AFEDE}"/>
    <cellStyle name="쉼표 [0] 5 2 2 8 2 3" xfId="11839" xr:uid="{5E556216-A5E6-4EB5-80CF-3686486970FD}"/>
    <cellStyle name="쉼표 [0] 5 2 2 8 3" xfId="6351" xr:uid="{00000000-0005-0000-0000-0000511A0000}"/>
    <cellStyle name="쉼표 [0] 5 2 2 8 3 2" xfId="13668" xr:uid="{ECA1BBE1-6B58-40EF-978F-D48A41D7C2BF}"/>
    <cellStyle name="쉼표 [0] 5 2 2 8 4" xfId="10009" xr:uid="{705D3C4F-E185-4064-B021-60A352285F32}"/>
    <cellStyle name="쉼표 [0] 5 2 2 9" xfId="4502" xr:uid="{00000000-0005-0000-0000-0000521A0000}"/>
    <cellStyle name="쉼표 [0] 5 2 2 9 2" xfId="8163" xr:uid="{00000000-0005-0000-0000-0000531A0000}"/>
    <cellStyle name="쉼표 [0] 5 2 2 9 2 2" xfId="15480" xr:uid="{69996A47-5750-49E0-859A-CB997D11ABF3}"/>
    <cellStyle name="쉼표 [0] 5 2 2 9 3" xfId="11822" xr:uid="{A94365DE-E297-4463-B308-99CC7139513F}"/>
    <cellStyle name="쉼표 [0] 5 2 3" xfId="2179" xr:uid="{00000000-0005-0000-0000-0000541A0000}"/>
    <cellStyle name="쉼표 [0] 5 2 3 2" xfId="2180" xr:uid="{00000000-0005-0000-0000-0000551A0000}"/>
    <cellStyle name="쉼표 [0] 5 2 3 2 2" xfId="4521" xr:uid="{00000000-0005-0000-0000-0000561A0000}"/>
    <cellStyle name="쉼표 [0] 5 2 3 2 2 2" xfId="8182" xr:uid="{00000000-0005-0000-0000-0000571A0000}"/>
    <cellStyle name="쉼표 [0] 5 2 3 2 2 2 2" xfId="15499" xr:uid="{877E809F-6D45-484E-A506-8FF1BF561367}"/>
    <cellStyle name="쉼표 [0] 5 2 3 2 2 3" xfId="11841" xr:uid="{ED2DB1B9-CFFC-4CCD-BCFE-99BC0C0E223D}"/>
    <cellStyle name="쉼표 [0] 5 2 3 2 3" xfId="6353" xr:uid="{00000000-0005-0000-0000-0000581A0000}"/>
    <cellStyle name="쉼표 [0] 5 2 3 2 3 2" xfId="13670" xr:uid="{D623D44F-DA0B-442A-A6A5-2D88B258ED63}"/>
    <cellStyle name="쉼표 [0] 5 2 3 2 4" xfId="10011" xr:uid="{FE675B66-2146-4648-BF74-0647B42F5AE8}"/>
    <cellStyle name="쉼표 [0] 5 2 3 3" xfId="2181" xr:uid="{00000000-0005-0000-0000-0000591A0000}"/>
    <cellStyle name="쉼표 [0] 5 2 3 3 2" xfId="4522" xr:uid="{00000000-0005-0000-0000-00005A1A0000}"/>
    <cellStyle name="쉼표 [0] 5 2 3 3 2 2" xfId="8183" xr:uid="{00000000-0005-0000-0000-00005B1A0000}"/>
    <cellStyle name="쉼표 [0] 5 2 3 3 2 2 2" xfId="15500" xr:uid="{CAC23BFF-E763-4683-9900-67BED9CAE57D}"/>
    <cellStyle name="쉼표 [0] 5 2 3 3 2 3" xfId="11842" xr:uid="{CCC222FF-DA93-4E35-A27E-3F8F42CB89CD}"/>
    <cellStyle name="쉼표 [0] 5 2 3 3 3" xfId="6354" xr:uid="{00000000-0005-0000-0000-00005C1A0000}"/>
    <cellStyle name="쉼표 [0] 5 2 3 3 3 2" xfId="13671" xr:uid="{4249DB0B-C55B-4D45-AE70-91C4C6DE8C20}"/>
    <cellStyle name="쉼표 [0] 5 2 3 3 4" xfId="10012" xr:uid="{FB61B654-DF2C-420D-900E-973629809DDB}"/>
    <cellStyle name="쉼표 [0] 5 2 3 4" xfId="4520" xr:uid="{00000000-0005-0000-0000-00005D1A0000}"/>
    <cellStyle name="쉼표 [0] 5 2 3 4 2" xfId="8181" xr:uid="{00000000-0005-0000-0000-00005E1A0000}"/>
    <cellStyle name="쉼표 [0] 5 2 3 4 2 2" xfId="15498" xr:uid="{9EBE4E60-3345-40F4-83C3-2D85F44EAA51}"/>
    <cellStyle name="쉼표 [0] 5 2 3 4 3" xfId="11840" xr:uid="{1640A47D-6A6D-49FD-95E2-CD2A8AC36DC2}"/>
    <cellStyle name="쉼표 [0] 5 2 3 5" xfId="6352" xr:uid="{00000000-0005-0000-0000-00005F1A0000}"/>
    <cellStyle name="쉼표 [0] 5 2 3 5 2" xfId="13669" xr:uid="{95129B21-DA96-43B0-8DD1-32C91A97CA0E}"/>
    <cellStyle name="쉼표 [0] 5 2 3 6" xfId="10010" xr:uid="{A6946FA1-B2BD-4F42-98DE-3A95ECA486B9}"/>
    <cellStyle name="쉼표 [0] 5 2 4" xfId="2182" xr:uid="{00000000-0005-0000-0000-0000601A0000}"/>
    <cellStyle name="쉼표 [0] 5 2 4 2" xfId="2183" xr:uid="{00000000-0005-0000-0000-0000611A0000}"/>
    <cellStyle name="쉼표 [0] 5 2 4 2 2" xfId="4524" xr:uid="{00000000-0005-0000-0000-0000621A0000}"/>
    <cellStyle name="쉼표 [0] 5 2 4 2 2 2" xfId="8185" xr:uid="{00000000-0005-0000-0000-0000631A0000}"/>
    <cellStyle name="쉼표 [0] 5 2 4 2 2 2 2" xfId="15502" xr:uid="{9350435C-958D-4242-9B5D-73FA0534C070}"/>
    <cellStyle name="쉼표 [0] 5 2 4 2 2 3" xfId="11844" xr:uid="{A3FE35E4-1A0C-41B3-AC33-944E7BE0A3A3}"/>
    <cellStyle name="쉼표 [0] 5 2 4 2 3" xfId="6356" xr:uid="{00000000-0005-0000-0000-0000641A0000}"/>
    <cellStyle name="쉼표 [0] 5 2 4 2 3 2" xfId="13673" xr:uid="{9E558F2D-4914-4600-B398-6043C2081E58}"/>
    <cellStyle name="쉼표 [0] 5 2 4 2 4" xfId="10014" xr:uid="{87FABC56-E943-4505-BB6D-AA8E6B68B164}"/>
    <cellStyle name="쉼표 [0] 5 2 4 3" xfId="2184" xr:uid="{00000000-0005-0000-0000-0000651A0000}"/>
    <cellStyle name="쉼표 [0] 5 2 4 3 2" xfId="4525" xr:uid="{00000000-0005-0000-0000-0000661A0000}"/>
    <cellStyle name="쉼표 [0] 5 2 4 3 2 2" xfId="8186" xr:uid="{00000000-0005-0000-0000-0000671A0000}"/>
    <cellStyle name="쉼표 [0] 5 2 4 3 2 2 2" xfId="15503" xr:uid="{FF835FD4-618E-4B3C-9646-CB52833EEFE1}"/>
    <cellStyle name="쉼표 [0] 5 2 4 3 2 3" xfId="11845" xr:uid="{52B7B09C-68A3-46A6-90C1-3A521D395818}"/>
    <cellStyle name="쉼표 [0] 5 2 4 3 3" xfId="6357" xr:uid="{00000000-0005-0000-0000-0000681A0000}"/>
    <cellStyle name="쉼표 [0] 5 2 4 3 3 2" xfId="13674" xr:uid="{6331688C-ACE9-42E1-BDE7-0809485D9AB8}"/>
    <cellStyle name="쉼표 [0] 5 2 4 3 4" xfId="10015" xr:uid="{32711BF4-3D2E-46C5-80FA-9AD7EB04F312}"/>
    <cellStyle name="쉼표 [0] 5 2 4 4" xfId="4523" xr:uid="{00000000-0005-0000-0000-0000691A0000}"/>
    <cellStyle name="쉼표 [0] 5 2 4 4 2" xfId="8184" xr:uid="{00000000-0005-0000-0000-00006A1A0000}"/>
    <cellStyle name="쉼표 [0] 5 2 4 4 2 2" xfId="15501" xr:uid="{180BA118-2D2E-40D0-8899-7BACDA26B9F2}"/>
    <cellStyle name="쉼표 [0] 5 2 4 4 3" xfId="11843" xr:uid="{0F4C89F0-2348-4A9E-B107-50A4F0D6464A}"/>
    <cellStyle name="쉼표 [0] 5 2 4 5" xfId="6355" xr:uid="{00000000-0005-0000-0000-00006B1A0000}"/>
    <cellStyle name="쉼표 [0] 5 2 4 5 2" xfId="13672" xr:uid="{B4DD66D0-EA8B-40A1-9AA9-2AAA38F34B5A}"/>
    <cellStyle name="쉼표 [0] 5 2 4 6" xfId="10013" xr:uid="{5826E425-F6B7-4E1B-87C5-6A9DFCAA0B82}"/>
    <cellStyle name="쉼표 [0] 5 2 5" xfId="2185" xr:uid="{00000000-0005-0000-0000-00006C1A0000}"/>
    <cellStyle name="쉼표 [0] 5 2 5 2" xfId="2186" xr:uid="{00000000-0005-0000-0000-00006D1A0000}"/>
    <cellStyle name="쉼표 [0] 5 2 5 2 2" xfId="4527" xr:uid="{00000000-0005-0000-0000-00006E1A0000}"/>
    <cellStyle name="쉼표 [0] 5 2 5 2 2 2" xfId="8188" xr:uid="{00000000-0005-0000-0000-00006F1A0000}"/>
    <cellStyle name="쉼표 [0] 5 2 5 2 2 2 2" xfId="15505" xr:uid="{55B937E2-A12B-4C40-A508-B9F48A9F6E6C}"/>
    <cellStyle name="쉼표 [0] 5 2 5 2 2 3" xfId="11847" xr:uid="{FD5232E1-7288-46BA-9D8D-60244DE4D0EE}"/>
    <cellStyle name="쉼표 [0] 5 2 5 2 3" xfId="6359" xr:uid="{00000000-0005-0000-0000-0000701A0000}"/>
    <cellStyle name="쉼표 [0] 5 2 5 2 3 2" xfId="13676" xr:uid="{285465F8-6510-433F-88F0-FB0C597A24A9}"/>
    <cellStyle name="쉼표 [0] 5 2 5 2 4" xfId="10017" xr:uid="{F5A0B866-554C-47F5-BA17-4F37E8A0D1FD}"/>
    <cellStyle name="쉼표 [0] 5 2 5 3" xfId="2187" xr:uid="{00000000-0005-0000-0000-0000711A0000}"/>
    <cellStyle name="쉼표 [0] 5 2 5 3 2" xfId="4528" xr:uid="{00000000-0005-0000-0000-0000721A0000}"/>
    <cellStyle name="쉼표 [0] 5 2 5 3 2 2" xfId="8189" xr:uid="{00000000-0005-0000-0000-0000731A0000}"/>
    <cellStyle name="쉼표 [0] 5 2 5 3 2 2 2" xfId="15506" xr:uid="{422D2F0B-1248-4295-B8D7-1AE0501C36B4}"/>
    <cellStyle name="쉼표 [0] 5 2 5 3 2 3" xfId="11848" xr:uid="{950ED06A-E225-4771-B5F1-9B47CE84EDB4}"/>
    <cellStyle name="쉼표 [0] 5 2 5 3 3" xfId="6360" xr:uid="{00000000-0005-0000-0000-0000741A0000}"/>
    <cellStyle name="쉼표 [0] 5 2 5 3 3 2" xfId="13677" xr:uid="{8832C5FB-A714-4D2C-90BA-8A03024BF462}"/>
    <cellStyle name="쉼표 [0] 5 2 5 3 4" xfId="10018" xr:uid="{94CD9C19-4507-4D20-9149-2ED4836FC365}"/>
    <cellStyle name="쉼표 [0] 5 2 5 4" xfId="4526" xr:uid="{00000000-0005-0000-0000-0000751A0000}"/>
    <cellStyle name="쉼표 [0] 5 2 5 4 2" xfId="8187" xr:uid="{00000000-0005-0000-0000-0000761A0000}"/>
    <cellStyle name="쉼표 [0] 5 2 5 4 2 2" xfId="15504" xr:uid="{561C6C1E-6D81-44F4-894A-DCB804EF7FD0}"/>
    <cellStyle name="쉼표 [0] 5 2 5 4 3" xfId="11846" xr:uid="{BAD1D42F-0FC0-43D3-92C3-A048A2C1E61B}"/>
    <cellStyle name="쉼표 [0] 5 2 5 5" xfId="6358" xr:uid="{00000000-0005-0000-0000-0000771A0000}"/>
    <cellStyle name="쉼표 [0] 5 2 5 5 2" xfId="13675" xr:uid="{6D3D0A09-039F-4A63-8FEE-295F1AA1B410}"/>
    <cellStyle name="쉼표 [0] 5 2 5 6" xfId="10016" xr:uid="{C6B87176-301A-4E8D-A355-F2E02F6C8C6D}"/>
    <cellStyle name="쉼표 [0] 5 2 6" xfId="2188" xr:uid="{00000000-0005-0000-0000-0000781A0000}"/>
    <cellStyle name="쉼표 [0] 5 2 6 2" xfId="2189" xr:uid="{00000000-0005-0000-0000-0000791A0000}"/>
    <cellStyle name="쉼표 [0] 5 2 6 2 2" xfId="4530" xr:uid="{00000000-0005-0000-0000-00007A1A0000}"/>
    <cellStyle name="쉼표 [0] 5 2 6 2 2 2" xfId="8191" xr:uid="{00000000-0005-0000-0000-00007B1A0000}"/>
    <cellStyle name="쉼표 [0] 5 2 6 2 2 2 2" xfId="15508" xr:uid="{AB8F1A9C-8BA8-4717-99AB-0E6C7D268998}"/>
    <cellStyle name="쉼표 [0] 5 2 6 2 2 3" xfId="11850" xr:uid="{C939B8F5-FA25-47B2-8EE8-FB8320F6A422}"/>
    <cellStyle name="쉼표 [0] 5 2 6 2 3" xfId="6362" xr:uid="{00000000-0005-0000-0000-00007C1A0000}"/>
    <cellStyle name="쉼표 [0] 5 2 6 2 3 2" xfId="13679" xr:uid="{F5E48CE6-8456-48E8-8356-CF90FA00578A}"/>
    <cellStyle name="쉼표 [0] 5 2 6 2 4" xfId="10020" xr:uid="{F4CFF3A4-08E0-4DF0-9182-C3404311097F}"/>
    <cellStyle name="쉼표 [0] 5 2 6 3" xfId="2190" xr:uid="{00000000-0005-0000-0000-00007D1A0000}"/>
    <cellStyle name="쉼표 [0] 5 2 6 3 2" xfId="4531" xr:uid="{00000000-0005-0000-0000-00007E1A0000}"/>
    <cellStyle name="쉼표 [0] 5 2 6 3 2 2" xfId="8192" xr:uid="{00000000-0005-0000-0000-00007F1A0000}"/>
    <cellStyle name="쉼표 [0] 5 2 6 3 2 2 2" xfId="15509" xr:uid="{76C6B567-4A30-4609-92D9-CB9270355EAF}"/>
    <cellStyle name="쉼표 [0] 5 2 6 3 2 3" xfId="11851" xr:uid="{C2BB6441-FCF7-4BA4-B93A-F098F597F12A}"/>
    <cellStyle name="쉼표 [0] 5 2 6 3 3" xfId="6363" xr:uid="{00000000-0005-0000-0000-0000801A0000}"/>
    <cellStyle name="쉼표 [0] 5 2 6 3 3 2" xfId="13680" xr:uid="{65CB786F-DE3E-4FF5-AC5E-1DB3F55054B3}"/>
    <cellStyle name="쉼표 [0] 5 2 6 3 4" xfId="10021" xr:uid="{4C9A956D-47BA-4E6D-8FDA-4D61DF4C4144}"/>
    <cellStyle name="쉼표 [0] 5 2 6 4" xfId="4529" xr:uid="{00000000-0005-0000-0000-0000811A0000}"/>
    <cellStyle name="쉼표 [0] 5 2 6 4 2" xfId="8190" xr:uid="{00000000-0005-0000-0000-0000821A0000}"/>
    <cellStyle name="쉼표 [0] 5 2 6 4 2 2" xfId="15507" xr:uid="{5E31ECCC-7328-48C2-9AC6-886692CFFEBB}"/>
    <cellStyle name="쉼표 [0] 5 2 6 4 3" xfId="11849" xr:uid="{E11626C2-1677-4999-987A-81606C515222}"/>
    <cellStyle name="쉼표 [0] 5 2 6 5" xfId="6361" xr:uid="{00000000-0005-0000-0000-0000831A0000}"/>
    <cellStyle name="쉼표 [0] 5 2 6 5 2" xfId="13678" xr:uid="{2C0F938A-6DF1-4C7B-9761-330721FC472B}"/>
    <cellStyle name="쉼표 [0] 5 2 6 6" xfId="10019" xr:uid="{901B4091-80D0-4FA6-B4D4-8C78F5A67D1B}"/>
    <cellStyle name="쉼표 [0] 5 2 7" xfId="2191" xr:uid="{00000000-0005-0000-0000-0000841A0000}"/>
    <cellStyle name="쉼표 [0] 5 2 7 2" xfId="2192" xr:uid="{00000000-0005-0000-0000-0000851A0000}"/>
    <cellStyle name="쉼표 [0] 5 2 7 2 2" xfId="4533" xr:uid="{00000000-0005-0000-0000-0000861A0000}"/>
    <cellStyle name="쉼표 [0] 5 2 7 2 2 2" xfId="8194" xr:uid="{00000000-0005-0000-0000-0000871A0000}"/>
    <cellStyle name="쉼표 [0] 5 2 7 2 2 2 2" xfId="15511" xr:uid="{53EADBDD-1266-4A13-AD1D-3E0FCFA637E6}"/>
    <cellStyle name="쉼표 [0] 5 2 7 2 2 3" xfId="11853" xr:uid="{E98688A4-1244-4550-ACCE-3618EA2D6DB7}"/>
    <cellStyle name="쉼표 [0] 5 2 7 2 3" xfId="6365" xr:uid="{00000000-0005-0000-0000-0000881A0000}"/>
    <cellStyle name="쉼표 [0] 5 2 7 2 3 2" xfId="13682" xr:uid="{D8F6B14E-AF27-43A2-8177-FA7E149A498F}"/>
    <cellStyle name="쉼표 [0] 5 2 7 2 4" xfId="10023" xr:uid="{C1B7C81A-26DC-469B-A326-F699CD35E042}"/>
    <cellStyle name="쉼표 [0] 5 2 7 3" xfId="2193" xr:uid="{00000000-0005-0000-0000-0000891A0000}"/>
    <cellStyle name="쉼표 [0] 5 2 7 3 2" xfId="4534" xr:uid="{00000000-0005-0000-0000-00008A1A0000}"/>
    <cellStyle name="쉼표 [0] 5 2 7 3 2 2" xfId="8195" xr:uid="{00000000-0005-0000-0000-00008B1A0000}"/>
    <cellStyle name="쉼표 [0] 5 2 7 3 2 2 2" xfId="15512" xr:uid="{8A6514E1-1973-4F23-981C-15E23AE77E84}"/>
    <cellStyle name="쉼표 [0] 5 2 7 3 2 3" xfId="11854" xr:uid="{6E71A7E2-FA9E-4724-A368-78CD8D897D7C}"/>
    <cellStyle name="쉼표 [0] 5 2 7 3 3" xfId="6366" xr:uid="{00000000-0005-0000-0000-00008C1A0000}"/>
    <cellStyle name="쉼표 [0] 5 2 7 3 3 2" xfId="13683" xr:uid="{576C2BF7-85C4-4FBE-A288-7915FED1713A}"/>
    <cellStyle name="쉼표 [0] 5 2 7 3 4" xfId="10024" xr:uid="{155A5F4E-225A-48D0-9A2B-DC51E0F78C3F}"/>
    <cellStyle name="쉼표 [0] 5 2 7 4" xfId="4532" xr:uid="{00000000-0005-0000-0000-00008D1A0000}"/>
    <cellStyle name="쉼표 [0] 5 2 7 4 2" xfId="8193" xr:uid="{00000000-0005-0000-0000-00008E1A0000}"/>
    <cellStyle name="쉼표 [0] 5 2 7 4 2 2" xfId="15510" xr:uid="{A493378C-B71E-4B5E-BBDA-09F02AB3F73D}"/>
    <cellStyle name="쉼표 [0] 5 2 7 4 3" xfId="11852" xr:uid="{2FEA317C-E73B-4817-B0AB-BDFDD2724CC0}"/>
    <cellStyle name="쉼표 [0] 5 2 7 5" xfId="6364" xr:uid="{00000000-0005-0000-0000-00008F1A0000}"/>
    <cellStyle name="쉼표 [0] 5 2 7 5 2" xfId="13681" xr:uid="{C0B08DB4-FD9D-4B7E-82A5-AA35AF4193AF}"/>
    <cellStyle name="쉼표 [0] 5 2 7 6" xfId="10022" xr:uid="{3710BDD0-5EA8-4802-BDA0-75AD16E2C1D7}"/>
    <cellStyle name="쉼표 [0] 5 2 8" xfId="2194" xr:uid="{00000000-0005-0000-0000-0000901A0000}"/>
    <cellStyle name="쉼표 [0] 5 2 8 2" xfId="4535" xr:uid="{00000000-0005-0000-0000-0000911A0000}"/>
    <cellStyle name="쉼표 [0] 5 2 8 2 2" xfId="8196" xr:uid="{00000000-0005-0000-0000-0000921A0000}"/>
    <cellStyle name="쉼표 [0] 5 2 8 2 2 2" xfId="15513" xr:uid="{26C98939-7F79-48B7-8E89-7BCD39ED5231}"/>
    <cellStyle name="쉼표 [0] 5 2 8 2 3" xfId="11855" xr:uid="{F940FD92-16CD-4552-8490-C7000471A656}"/>
    <cellStyle name="쉼표 [0] 5 2 8 3" xfId="6367" xr:uid="{00000000-0005-0000-0000-0000931A0000}"/>
    <cellStyle name="쉼표 [0] 5 2 8 3 2" xfId="13684" xr:uid="{85EB8949-4E93-4019-9F76-3BAF84EAB194}"/>
    <cellStyle name="쉼표 [0] 5 2 8 4" xfId="10025" xr:uid="{B4BDFA8A-1088-40F4-BF58-B9DFBE49A848}"/>
    <cellStyle name="쉼표 [0] 5 2 9" xfId="2195" xr:uid="{00000000-0005-0000-0000-0000941A0000}"/>
    <cellStyle name="쉼표 [0] 5 2 9 2" xfId="2196" xr:uid="{00000000-0005-0000-0000-0000951A0000}"/>
    <cellStyle name="쉼표 [0] 5 2 9 2 2" xfId="4537" xr:uid="{00000000-0005-0000-0000-0000961A0000}"/>
    <cellStyle name="쉼표 [0] 5 2 9 2 2 2" xfId="8198" xr:uid="{00000000-0005-0000-0000-0000971A0000}"/>
    <cellStyle name="쉼표 [0] 5 2 9 2 2 2 2" xfId="15515" xr:uid="{A286582B-9E01-442E-81D0-59F787819C53}"/>
    <cellStyle name="쉼표 [0] 5 2 9 2 2 3" xfId="11857" xr:uid="{22B7DD3D-40D3-49FA-A0EC-14686D10B518}"/>
    <cellStyle name="쉼표 [0] 5 2 9 2 3" xfId="6369" xr:uid="{00000000-0005-0000-0000-0000981A0000}"/>
    <cellStyle name="쉼표 [0] 5 2 9 2 3 2" xfId="13686" xr:uid="{6291BD70-77C8-4FCA-85B0-0B0C60DE3A24}"/>
    <cellStyle name="쉼표 [0] 5 2 9 2 4" xfId="10027" xr:uid="{88D45FD2-E6B5-4958-AB79-C9AFA0E5EEBA}"/>
    <cellStyle name="쉼표 [0] 5 2 9 3" xfId="4536" xr:uid="{00000000-0005-0000-0000-0000991A0000}"/>
    <cellStyle name="쉼표 [0] 5 2 9 3 2" xfId="8197" xr:uid="{00000000-0005-0000-0000-00009A1A0000}"/>
    <cellStyle name="쉼표 [0] 5 2 9 3 2 2" xfId="15514" xr:uid="{10F03D3C-6318-458C-A93D-696055C6757E}"/>
    <cellStyle name="쉼표 [0] 5 2 9 3 3" xfId="11856" xr:uid="{9CF805BE-3FAE-44A3-A637-77E1FB2BC75E}"/>
    <cellStyle name="쉼표 [0] 5 2 9 4" xfId="6368" xr:uid="{00000000-0005-0000-0000-00009B1A0000}"/>
    <cellStyle name="쉼표 [0] 5 2 9 4 2" xfId="13685" xr:uid="{9BC7E7D4-4AA2-404B-A4A8-56463146E1F1}"/>
    <cellStyle name="쉼표 [0] 5 2 9 5" xfId="10026" xr:uid="{86EEFE69-ACE2-4F87-B06E-0C7732F1B576}"/>
    <cellStyle name="쉼표 [0] 5 3" xfId="2197" xr:uid="{00000000-0005-0000-0000-00009C1A0000}"/>
    <cellStyle name="쉼표 [0] 5 3 10" xfId="2198" xr:uid="{00000000-0005-0000-0000-00009D1A0000}"/>
    <cellStyle name="쉼표 [0] 5 3 10 2" xfId="2199" xr:uid="{00000000-0005-0000-0000-00009E1A0000}"/>
    <cellStyle name="쉼표 [0] 5 3 10 2 2" xfId="4540" xr:uid="{00000000-0005-0000-0000-00009F1A0000}"/>
    <cellStyle name="쉼표 [0] 5 3 10 2 2 2" xfId="8201" xr:uid="{00000000-0005-0000-0000-0000A01A0000}"/>
    <cellStyle name="쉼표 [0] 5 3 10 2 2 2 2" xfId="15518" xr:uid="{3A8899C5-16A8-4BEC-88ED-0BEEC3A63AE7}"/>
    <cellStyle name="쉼표 [0] 5 3 10 2 2 3" xfId="11860" xr:uid="{E80AD093-6BCD-4F60-AA46-7ACF77FC7714}"/>
    <cellStyle name="쉼표 [0] 5 3 10 2 3" xfId="6372" xr:uid="{00000000-0005-0000-0000-0000A11A0000}"/>
    <cellStyle name="쉼표 [0] 5 3 10 2 3 2" xfId="13689" xr:uid="{3EFCFA39-8C4C-4932-9E94-EB270EE5DD86}"/>
    <cellStyle name="쉼표 [0] 5 3 10 2 4" xfId="10030" xr:uid="{6FFC4B45-49F4-4490-8BF0-12AC7B4E2149}"/>
    <cellStyle name="쉼표 [0] 5 3 10 3" xfId="4539" xr:uid="{00000000-0005-0000-0000-0000A21A0000}"/>
    <cellStyle name="쉼표 [0] 5 3 10 3 2" xfId="8200" xr:uid="{00000000-0005-0000-0000-0000A31A0000}"/>
    <cellStyle name="쉼표 [0] 5 3 10 3 2 2" xfId="15517" xr:uid="{5477D1AD-48D4-4AD5-AEAD-D0D7C52CB5F4}"/>
    <cellStyle name="쉼표 [0] 5 3 10 3 3" xfId="11859" xr:uid="{2CB4A60E-E4B2-437D-B14C-A5A3CD2F35B3}"/>
    <cellStyle name="쉼표 [0] 5 3 10 4" xfId="6371" xr:uid="{00000000-0005-0000-0000-0000A41A0000}"/>
    <cellStyle name="쉼표 [0] 5 3 10 4 2" xfId="13688" xr:uid="{F703D85F-DBD9-404C-A4A9-A1CAB42C0C5A}"/>
    <cellStyle name="쉼표 [0] 5 3 10 5" xfId="10029" xr:uid="{D0AC249E-BCB1-4A93-BBB8-843D4AD496A3}"/>
    <cellStyle name="쉼표 [0] 5 3 11" xfId="4538" xr:uid="{00000000-0005-0000-0000-0000A51A0000}"/>
    <cellStyle name="쉼표 [0] 5 3 11 2" xfId="8199" xr:uid="{00000000-0005-0000-0000-0000A61A0000}"/>
    <cellStyle name="쉼표 [0] 5 3 11 2 2" xfId="15516" xr:uid="{938F1060-C6CE-4E6D-A255-77F45AE21E9E}"/>
    <cellStyle name="쉼표 [0] 5 3 11 3" xfId="11858" xr:uid="{534F5F60-DA62-4AFA-A669-274156C051EC}"/>
    <cellStyle name="쉼표 [0] 5 3 12" xfId="6370" xr:uid="{00000000-0005-0000-0000-0000A71A0000}"/>
    <cellStyle name="쉼표 [0] 5 3 12 2" xfId="13687" xr:uid="{AB064BA6-B5FF-41FB-8A8C-6FDD97232E81}"/>
    <cellStyle name="쉼표 [0] 5 3 13" xfId="10028" xr:uid="{7CC173D0-4105-434D-91D2-5CF3D7543CB6}"/>
    <cellStyle name="쉼표 [0] 5 3 2" xfId="2200" xr:uid="{00000000-0005-0000-0000-0000A81A0000}"/>
    <cellStyle name="쉼표 [0] 5 3 2 2" xfId="2201" xr:uid="{00000000-0005-0000-0000-0000A91A0000}"/>
    <cellStyle name="쉼표 [0] 5 3 2 2 2" xfId="4542" xr:uid="{00000000-0005-0000-0000-0000AA1A0000}"/>
    <cellStyle name="쉼표 [0] 5 3 2 2 2 2" xfId="8203" xr:uid="{00000000-0005-0000-0000-0000AB1A0000}"/>
    <cellStyle name="쉼표 [0] 5 3 2 2 2 2 2" xfId="15520" xr:uid="{5480A4B3-D1BB-47AB-8A02-2C4B51D2C8ED}"/>
    <cellStyle name="쉼표 [0] 5 3 2 2 2 3" xfId="11862" xr:uid="{1425036E-1DCF-4213-AAEC-EABCFD5AE299}"/>
    <cellStyle name="쉼표 [0] 5 3 2 2 3" xfId="6374" xr:uid="{00000000-0005-0000-0000-0000AC1A0000}"/>
    <cellStyle name="쉼표 [0] 5 3 2 2 3 2" xfId="13691" xr:uid="{AE494035-D403-4E2E-9B6D-233321E16088}"/>
    <cellStyle name="쉼표 [0] 5 3 2 2 4" xfId="10032" xr:uid="{A4C060CC-6E5D-4C70-9B10-E0A715253029}"/>
    <cellStyle name="쉼표 [0] 5 3 2 3" xfId="2202" xr:uid="{00000000-0005-0000-0000-0000AD1A0000}"/>
    <cellStyle name="쉼표 [0] 5 3 2 3 2" xfId="4543" xr:uid="{00000000-0005-0000-0000-0000AE1A0000}"/>
    <cellStyle name="쉼표 [0] 5 3 2 3 2 2" xfId="8204" xr:uid="{00000000-0005-0000-0000-0000AF1A0000}"/>
    <cellStyle name="쉼표 [0] 5 3 2 3 2 2 2" xfId="15521" xr:uid="{6D1BE195-74F4-4F77-842B-06FCEEF6B457}"/>
    <cellStyle name="쉼표 [0] 5 3 2 3 2 3" xfId="11863" xr:uid="{D6F83068-9DCA-4217-AFC4-961564F112F9}"/>
    <cellStyle name="쉼표 [0] 5 3 2 3 3" xfId="6375" xr:uid="{00000000-0005-0000-0000-0000B01A0000}"/>
    <cellStyle name="쉼표 [0] 5 3 2 3 3 2" xfId="13692" xr:uid="{3A8C0AFE-CD33-4BEC-9834-08C7042B829C}"/>
    <cellStyle name="쉼표 [0] 5 3 2 3 4" xfId="10033" xr:uid="{84E7FC99-34B0-47C9-AF02-E8FCDC65E4B7}"/>
    <cellStyle name="쉼표 [0] 5 3 2 4" xfId="4541" xr:uid="{00000000-0005-0000-0000-0000B11A0000}"/>
    <cellStyle name="쉼표 [0] 5 3 2 4 2" xfId="8202" xr:uid="{00000000-0005-0000-0000-0000B21A0000}"/>
    <cellStyle name="쉼표 [0] 5 3 2 4 2 2" xfId="15519" xr:uid="{CB301E05-4BCA-424A-8830-F23C6ACE9827}"/>
    <cellStyle name="쉼표 [0] 5 3 2 4 3" xfId="11861" xr:uid="{32F8962C-4DAE-46AB-B722-8E46148FB724}"/>
    <cellStyle name="쉼표 [0] 5 3 2 5" xfId="6373" xr:uid="{00000000-0005-0000-0000-0000B31A0000}"/>
    <cellStyle name="쉼표 [0] 5 3 2 5 2" xfId="13690" xr:uid="{5C4D9888-A5FF-4B53-885A-723A8392A14E}"/>
    <cellStyle name="쉼표 [0] 5 3 2 6" xfId="10031" xr:uid="{BF2E5EC2-5C4C-417A-B135-DF78405185A8}"/>
    <cellStyle name="쉼표 [0] 5 3 3" xfId="2203" xr:uid="{00000000-0005-0000-0000-0000B41A0000}"/>
    <cellStyle name="쉼표 [0] 5 3 3 2" xfId="2204" xr:uid="{00000000-0005-0000-0000-0000B51A0000}"/>
    <cellStyle name="쉼표 [0] 5 3 3 2 2" xfId="4545" xr:uid="{00000000-0005-0000-0000-0000B61A0000}"/>
    <cellStyle name="쉼표 [0] 5 3 3 2 2 2" xfId="8206" xr:uid="{00000000-0005-0000-0000-0000B71A0000}"/>
    <cellStyle name="쉼표 [0] 5 3 3 2 2 2 2" xfId="15523" xr:uid="{F8A987ED-0902-4687-A7E7-084D401A9D32}"/>
    <cellStyle name="쉼표 [0] 5 3 3 2 2 3" xfId="11865" xr:uid="{D9A5DDA0-DFA3-4742-B150-D44DB6536A95}"/>
    <cellStyle name="쉼표 [0] 5 3 3 2 3" xfId="6377" xr:uid="{00000000-0005-0000-0000-0000B81A0000}"/>
    <cellStyle name="쉼표 [0] 5 3 3 2 3 2" xfId="13694" xr:uid="{246467CB-5B16-4DA2-A639-C4F1CB134D96}"/>
    <cellStyle name="쉼표 [0] 5 3 3 2 4" xfId="10035" xr:uid="{0F5860B3-05CB-43B3-9222-6412002D516C}"/>
    <cellStyle name="쉼표 [0] 5 3 3 3" xfId="2205" xr:uid="{00000000-0005-0000-0000-0000B91A0000}"/>
    <cellStyle name="쉼표 [0] 5 3 3 3 2" xfId="4546" xr:uid="{00000000-0005-0000-0000-0000BA1A0000}"/>
    <cellStyle name="쉼표 [0] 5 3 3 3 2 2" xfId="8207" xr:uid="{00000000-0005-0000-0000-0000BB1A0000}"/>
    <cellStyle name="쉼표 [0] 5 3 3 3 2 2 2" xfId="15524" xr:uid="{09944AC2-D8B3-471C-B616-04FA445B61E9}"/>
    <cellStyle name="쉼표 [0] 5 3 3 3 2 3" xfId="11866" xr:uid="{787941C9-1E4E-41E7-97B3-F69A1E1268D6}"/>
    <cellStyle name="쉼표 [0] 5 3 3 3 3" xfId="6378" xr:uid="{00000000-0005-0000-0000-0000BC1A0000}"/>
    <cellStyle name="쉼표 [0] 5 3 3 3 3 2" xfId="13695" xr:uid="{1BA98493-31BA-48B0-9B6A-44E348683631}"/>
    <cellStyle name="쉼표 [0] 5 3 3 3 4" xfId="10036" xr:uid="{DEB14C62-A52B-4C8D-92F6-381F9BF002AC}"/>
    <cellStyle name="쉼표 [0] 5 3 3 4" xfId="4544" xr:uid="{00000000-0005-0000-0000-0000BD1A0000}"/>
    <cellStyle name="쉼표 [0] 5 3 3 4 2" xfId="8205" xr:uid="{00000000-0005-0000-0000-0000BE1A0000}"/>
    <cellStyle name="쉼표 [0] 5 3 3 4 2 2" xfId="15522" xr:uid="{564E792A-D91C-4360-813E-2F91A6B253A3}"/>
    <cellStyle name="쉼표 [0] 5 3 3 4 3" xfId="11864" xr:uid="{369E41C8-3970-4D14-B705-FE3E851A6644}"/>
    <cellStyle name="쉼표 [0] 5 3 3 5" xfId="6376" xr:uid="{00000000-0005-0000-0000-0000BF1A0000}"/>
    <cellStyle name="쉼표 [0] 5 3 3 5 2" xfId="13693" xr:uid="{079EDF78-9F9D-4686-AA3F-D1D8631A2944}"/>
    <cellStyle name="쉼표 [0] 5 3 3 6" xfId="10034" xr:uid="{FD3D7269-2C3F-4439-9020-B8D8474C36AB}"/>
    <cellStyle name="쉼표 [0] 5 3 4" xfId="2206" xr:uid="{00000000-0005-0000-0000-0000C01A0000}"/>
    <cellStyle name="쉼표 [0] 5 3 4 2" xfId="2207" xr:uid="{00000000-0005-0000-0000-0000C11A0000}"/>
    <cellStyle name="쉼표 [0] 5 3 4 2 2" xfId="4548" xr:uid="{00000000-0005-0000-0000-0000C21A0000}"/>
    <cellStyle name="쉼표 [0] 5 3 4 2 2 2" xfId="8209" xr:uid="{00000000-0005-0000-0000-0000C31A0000}"/>
    <cellStyle name="쉼표 [0] 5 3 4 2 2 2 2" xfId="15526" xr:uid="{CA3D5BF0-63F2-4665-AC57-5DDBE40E5433}"/>
    <cellStyle name="쉼표 [0] 5 3 4 2 2 3" xfId="11868" xr:uid="{235277A1-4886-4751-8880-46EBA4B3F30F}"/>
    <cellStyle name="쉼표 [0] 5 3 4 2 3" xfId="6380" xr:uid="{00000000-0005-0000-0000-0000C41A0000}"/>
    <cellStyle name="쉼표 [0] 5 3 4 2 3 2" xfId="13697" xr:uid="{4D3498D8-9B8B-474A-80F0-AD4A1CB6E8C0}"/>
    <cellStyle name="쉼표 [0] 5 3 4 2 4" xfId="10038" xr:uid="{AB90A0FE-2F09-48F8-9124-482CEA127FBD}"/>
    <cellStyle name="쉼표 [0] 5 3 4 3" xfId="2208" xr:uid="{00000000-0005-0000-0000-0000C51A0000}"/>
    <cellStyle name="쉼표 [0] 5 3 4 3 2" xfId="4549" xr:uid="{00000000-0005-0000-0000-0000C61A0000}"/>
    <cellStyle name="쉼표 [0] 5 3 4 3 2 2" xfId="8210" xr:uid="{00000000-0005-0000-0000-0000C71A0000}"/>
    <cellStyle name="쉼표 [0] 5 3 4 3 2 2 2" xfId="15527" xr:uid="{57149DC4-E92C-419D-B4D4-D9D9D95F0B84}"/>
    <cellStyle name="쉼표 [0] 5 3 4 3 2 3" xfId="11869" xr:uid="{7436EC2E-C2B6-4B5B-ADE1-94238EBD4C23}"/>
    <cellStyle name="쉼표 [0] 5 3 4 3 3" xfId="6381" xr:uid="{00000000-0005-0000-0000-0000C81A0000}"/>
    <cellStyle name="쉼표 [0] 5 3 4 3 3 2" xfId="13698" xr:uid="{4BC38710-8E8E-4414-955C-454104A1123F}"/>
    <cellStyle name="쉼표 [0] 5 3 4 3 4" xfId="10039" xr:uid="{3E1380CB-61AF-4129-8301-C7DB5CAA92AF}"/>
    <cellStyle name="쉼표 [0] 5 3 4 4" xfId="4547" xr:uid="{00000000-0005-0000-0000-0000C91A0000}"/>
    <cellStyle name="쉼표 [0] 5 3 4 4 2" xfId="8208" xr:uid="{00000000-0005-0000-0000-0000CA1A0000}"/>
    <cellStyle name="쉼표 [0] 5 3 4 4 2 2" xfId="15525" xr:uid="{7C4983D2-6A09-43EF-9F39-CEBF10E1BB65}"/>
    <cellStyle name="쉼표 [0] 5 3 4 4 3" xfId="11867" xr:uid="{02060038-AB17-4603-A786-6D439C1136F4}"/>
    <cellStyle name="쉼표 [0] 5 3 4 5" xfId="6379" xr:uid="{00000000-0005-0000-0000-0000CB1A0000}"/>
    <cellStyle name="쉼표 [0] 5 3 4 5 2" xfId="13696" xr:uid="{AF6F46BD-FC44-438F-BCF9-454C0309FCB9}"/>
    <cellStyle name="쉼표 [0] 5 3 4 6" xfId="10037" xr:uid="{25B4FAAD-C3F4-42E3-8AD2-600159E4B282}"/>
    <cellStyle name="쉼표 [0] 5 3 5" xfId="2209" xr:uid="{00000000-0005-0000-0000-0000CC1A0000}"/>
    <cellStyle name="쉼표 [0] 5 3 5 2" xfId="2210" xr:uid="{00000000-0005-0000-0000-0000CD1A0000}"/>
    <cellStyle name="쉼표 [0] 5 3 5 2 2" xfId="4551" xr:uid="{00000000-0005-0000-0000-0000CE1A0000}"/>
    <cellStyle name="쉼표 [0] 5 3 5 2 2 2" xfId="8212" xr:uid="{00000000-0005-0000-0000-0000CF1A0000}"/>
    <cellStyle name="쉼표 [0] 5 3 5 2 2 2 2" xfId="15529" xr:uid="{25558FF4-B7D3-49A7-BBA2-E6FCE5F5CB52}"/>
    <cellStyle name="쉼표 [0] 5 3 5 2 2 3" xfId="11871" xr:uid="{D58542D7-6192-41F1-837F-9661604D832F}"/>
    <cellStyle name="쉼표 [0] 5 3 5 2 3" xfId="6383" xr:uid="{00000000-0005-0000-0000-0000D01A0000}"/>
    <cellStyle name="쉼표 [0] 5 3 5 2 3 2" xfId="13700" xr:uid="{DF923D44-79B2-4622-8B80-10C00942EFF3}"/>
    <cellStyle name="쉼표 [0] 5 3 5 2 4" xfId="10041" xr:uid="{A124A8E6-A74A-4875-A124-E2CCF1631C24}"/>
    <cellStyle name="쉼표 [0] 5 3 5 3" xfId="2211" xr:uid="{00000000-0005-0000-0000-0000D11A0000}"/>
    <cellStyle name="쉼표 [0] 5 3 5 3 2" xfId="4552" xr:uid="{00000000-0005-0000-0000-0000D21A0000}"/>
    <cellStyle name="쉼표 [0] 5 3 5 3 2 2" xfId="8213" xr:uid="{00000000-0005-0000-0000-0000D31A0000}"/>
    <cellStyle name="쉼표 [0] 5 3 5 3 2 2 2" xfId="15530" xr:uid="{2A9C2753-3F00-4CD7-8EEA-AA14EF40D7D2}"/>
    <cellStyle name="쉼표 [0] 5 3 5 3 2 3" xfId="11872" xr:uid="{BABFF4AB-03BC-4419-BDE5-EFD8CA65C2DC}"/>
    <cellStyle name="쉼표 [0] 5 3 5 3 3" xfId="6384" xr:uid="{00000000-0005-0000-0000-0000D41A0000}"/>
    <cellStyle name="쉼표 [0] 5 3 5 3 3 2" xfId="13701" xr:uid="{4A376BB3-DB00-42FA-AADC-B03AE180C80B}"/>
    <cellStyle name="쉼표 [0] 5 3 5 3 4" xfId="10042" xr:uid="{96B61A1E-9BA8-49F3-96AE-39F3A85C57A1}"/>
    <cellStyle name="쉼표 [0] 5 3 5 4" xfId="4550" xr:uid="{00000000-0005-0000-0000-0000D51A0000}"/>
    <cellStyle name="쉼표 [0] 5 3 5 4 2" xfId="8211" xr:uid="{00000000-0005-0000-0000-0000D61A0000}"/>
    <cellStyle name="쉼표 [0] 5 3 5 4 2 2" xfId="15528" xr:uid="{10A27F73-9772-44DD-B0E2-1E2F64B7DC37}"/>
    <cellStyle name="쉼표 [0] 5 3 5 4 3" xfId="11870" xr:uid="{C7FF76B0-2138-4F0C-B478-E910A1AF06DD}"/>
    <cellStyle name="쉼표 [0] 5 3 5 5" xfId="6382" xr:uid="{00000000-0005-0000-0000-0000D71A0000}"/>
    <cellStyle name="쉼표 [0] 5 3 5 5 2" xfId="13699" xr:uid="{0A62E82B-45F6-49C5-9FA0-0E6DCEDF0012}"/>
    <cellStyle name="쉼표 [0] 5 3 5 6" xfId="10040" xr:uid="{3F558E87-2C7A-48C0-942A-63E92E28B554}"/>
    <cellStyle name="쉼표 [0] 5 3 6" xfId="2212" xr:uid="{00000000-0005-0000-0000-0000D81A0000}"/>
    <cellStyle name="쉼표 [0] 5 3 6 2" xfId="2213" xr:uid="{00000000-0005-0000-0000-0000D91A0000}"/>
    <cellStyle name="쉼표 [0] 5 3 6 2 2" xfId="4554" xr:uid="{00000000-0005-0000-0000-0000DA1A0000}"/>
    <cellStyle name="쉼표 [0] 5 3 6 2 2 2" xfId="8215" xr:uid="{00000000-0005-0000-0000-0000DB1A0000}"/>
    <cellStyle name="쉼표 [0] 5 3 6 2 2 2 2" xfId="15532" xr:uid="{61120041-DDE9-4A18-9669-91F518B43DCE}"/>
    <cellStyle name="쉼표 [0] 5 3 6 2 2 3" xfId="11874" xr:uid="{8A56327B-126C-4B49-996A-F021C18D40B6}"/>
    <cellStyle name="쉼표 [0] 5 3 6 2 3" xfId="6386" xr:uid="{00000000-0005-0000-0000-0000DC1A0000}"/>
    <cellStyle name="쉼표 [0] 5 3 6 2 3 2" xfId="13703" xr:uid="{B6C5D20B-A4D2-4280-8103-6B74DB7874F0}"/>
    <cellStyle name="쉼표 [0] 5 3 6 2 4" xfId="10044" xr:uid="{3D22D5E8-955F-4FFF-BAB5-D5CB0D58A1BB}"/>
    <cellStyle name="쉼표 [0] 5 3 6 3" xfId="2214" xr:uid="{00000000-0005-0000-0000-0000DD1A0000}"/>
    <cellStyle name="쉼표 [0] 5 3 6 3 2" xfId="4555" xr:uid="{00000000-0005-0000-0000-0000DE1A0000}"/>
    <cellStyle name="쉼표 [0] 5 3 6 3 2 2" xfId="8216" xr:uid="{00000000-0005-0000-0000-0000DF1A0000}"/>
    <cellStyle name="쉼표 [0] 5 3 6 3 2 2 2" xfId="15533" xr:uid="{6D366995-5ECE-41FA-9EE8-DD8C5075C412}"/>
    <cellStyle name="쉼표 [0] 5 3 6 3 2 3" xfId="11875" xr:uid="{F2D8D662-167B-427C-813E-B910806647D5}"/>
    <cellStyle name="쉼표 [0] 5 3 6 3 3" xfId="6387" xr:uid="{00000000-0005-0000-0000-0000E01A0000}"/>
    <cellStyle name="쉼표 [0] 5 3 6 3 3 2" xfId="13704" xr:uid="{005BBB0C-500E-4C2E-8619-D4179030F30D}"/>
    <cellStyle name="쉼표 [0] 5 3 6 3 4" xfId="10045" xr:uid="{AE4F2D7F-5E8C-49EE-A0BD-3201178D481D}"/>
    <cellStyle name="쉼표 [0] 5 3 6 4" xfId="4553" xr:uid="{00000000-0005-0000-0000-0000E11A0000}"/>
    <cellStyle name="쉼표 [0] 5 3 6 4 2" xfId="8214" xr:uid="{00000000-0005-0000-0000-0000E21A0000}"/>
    <cellStyle name="쉼표 [0] 5 3 6 4 2 2" xfId="15531" xr:uid="{7F377CA7-61C4-4FF7-B5C4-1204D95CF0F7}"/>
    <cellStyle name="쉼표 [0] 5 3 6 4 3" xfId="11873" xr:uid="{FB555466-1A8A-410F-A64D-EE8FE3173EB8}"/>
    <cellStyle name="쉼표 [0] 5 3 6 5" xfId="6385" xr:uid="{00000000-0005-0000-0000-0000E31A0000}"/>
    <cellStyle name="쉼표 [0] 5 3 6 5 2" xfId="13702" xr:uid="{B0716233-5BD0-402F-9642-20D4D6750B96}"/>
    <cellStyle name="쉼표 [0] 5 3 6 6" xfId="10043" xr:uid="{C90A76D6-9DDB-43CF-A33D-7DA9171540BE}"/>
    <cellStyle name="쉼표 [0] 5 3 7" xfId="2215" xr:uid="{00000000-0005-0000-0000-0000E41A0000}"/>
    <cellStyle name="쉼표 [0] 5 3 7 2" xfId="4556" xr:uid="{00000000-0005-0000-0000-0000E51A0000}"/>
    <cellStyle name="쉼표 [0] 5 3 7 2 2" xfId="8217" xr:uid="{00000000-0005-0000-0000-0000E61A0000}"/>
    <cellStyle name="쉼표 [0] 5 3 7 2 2 2" xfId="15534" xr:uid="{E354810D-DF38-404C-B0CC-5C07787F86EF}"/>
    <cellStyle name="쉼표 [0] 5 3 7 2 3" xfId="11876" xr:uid="{78543B88-DD94-4EAE-B324-E39BF8CD631E}"/>
    <cellStyle name="쉼표 [0] 5 3 7 3" xfId="6388" xr:uid="{00000000-0005-0000-0000-0000E71A0000}"/>
    <cellStyle name="쉼표 [0] 5 3 7 3 2" xfId="13705" xr:uid="{B9F233BB-2BD1-4CB7-80C6-9BA30EEF72D2}"/>
    <cellStyle name="쉼표 [0] 5 3 7 4" xfId="10046" xr:uid="{7F12385A-B0D6-4B5A-BC1E-18F93B33E2B9}"/>
    <cellStyle name="쉼표 [0] 5 3 8" xfId="2216" xr:uid="{00000000-0005-0000-0000-0000E81A0000}"/>
    <cellStyle name="쉼표 [0] 5 3 8 2" xfId="2217" xr:uid="{00000000-0005-0000-0000-0000E91A0000}"/>
    <cellStyle name="쉼표 [0] 5 3 8 2 2" xfId="4558" xr:uid="{00000000-0005-0000-0000-0000EA1A0000}"/>
    <cellStyle name="쉼표 [0] 5 3 8 2 2 2" xfId="8219" xr:uid="{00000000-0005-0000-0000-0000EB1A0000}"/>
    <cellStyle name="쉼표 [0] 5 3 8 2 2 2 2" xfId="15536" xr:uid="{86F8DE5B-24C0-4CA2-9C58-EFD47B08F45F}"/>
    <cellStyle name="쉼표 [0] 5 3 8 2 2 3" xfId="11878" xr:uid="{C161869E-E5CD-42E8-93F7-082FEDEEBA25}"/>
    <cellStyle name="쉼표 [0] 5 3 8 2 3" xfId="6390" xr:uid="{00000000-0005-0000-0000-0000EC1A0000}"/>
    <cellStyle name="쉼표 [0] 5 3 8 2 3 2" xfId="13707" xr:uid="{29F75549-B122-4BC0-9DF7-F1AB63CC27C8}"/>
    <cellStyle name="쉼표 [0] 5 3 8 2 4" xfId="10048" xr:uid="{4278504D-71E2-4323-9151-E0A96F840E95}"/>
    <cellStyle name="쉼표 [0] 5 3 8 3" xfId="4557" xr:uid="{00000000-0005-0000-0000-0000ED1A0000}"/>
    <cellStyle name="쉼표 [0] 5 3 8 3 2" xfId="8218" xr:uid="{00000000-0005-0000-0000-0000EE1A0000}"/>
    <cellStyle name="쉼표 [0] 5 3 8 3 2 2" xfId="15535" xr:uid="{08428F73-E2E4-4DBB-A867-4FE13A5D04FC}"/>
    <cellStyle name="쉼표 [0] 5 3 8 3 3" xfId="11877" xr:uid="{8EEECB24-79D4-4366-9D78-28DD5274CAB3}"/>
    <cellStyle name="쉼표 [0] 5 3 8 4" xfId="6389" xr:uid="{00000000-0005-0000-0000-0000EF1A0000}"/>
    <cellStyle name="쉼표 [0] 5 3 8 4 2" xfId="13706" xr:uid="{1FB002E1-2F20-4463-B846-740657DFAC51}"/>
    <cellStyle name="쉼표 [0] 5 3 8 5" xfId="10047" xr:uid="{081ACB8F-8546-41CC-BE97-52A840A67726}"/>
    <cellStyle name="쉼표 [0] 5 3 9" xfId="2218" xr:uid="{00000000-0005-0000-0000-0000F01A0000}"/>
    <cellStyle name="쉼표 [0] 5 3 9 2" xfId="4559" xr:uid="{00000000-0005-0000-0000-0000F11A0000}"/>
    <cellStyle name="쉼표 [0] 5 3 9 2 2" xfId="8220" xr:uid="{00000000-0005-0000-0000-0000F21A0000}"/>
    <cellStyle name="쉼표 [0] 5 3 9 2 2 2" xfId="15537" xr:uid="{D2B702FD-AA85-423D-AD9A-A0537CA020D6}"/>
    <cellStyle name="쉼표 [0] 5 3 9 2 3" xfId="11879" xr:uid="{67592596-4E32-4EC5-B977-E3B935877AFD}"/>
    <cellStyle name="쉼표 [0] 5 3 9 3" xfId="6391" xr:uid="{00000000-0005-0000-0000-0000F31A0000}"/>
    <cellStyle name="쉼표 [0] 5 3 9 3 2" xfId="13708" xr:uid="{EC1257CE-B062-4612-A587-E675FCDE4AC1}"/>
    <cellStyle name="쉼표 [0] 5 3 9 4" xfId="10049" xr:uid="{B0C65208-63AE-4A7A-9D51-49592EDB85BE}"/>
    <cellStyle name="쉼표 [0] 5 4" xfId="2219" xr:uid="{00000000-0005-0000-0000-0000F41A0000}"/>
    <cellStyle name="쉼표 [0] 5 4 2" xfId="2220" xr:uid="{00000000-0005-0000-0000-0000F51A0000}"/>
    <cellStyle name="쉼표 [0] 5 4 2 2" xfId="4561" xr:uid="{00000000-0005-0000-0000-0000F61A0000}"/>
    <cellStyle name="쉼표 [0] 5 4 2 2 2" xfId="8222" xr:uid="{00000000-0005-0000-0000-0000F71A0000}"/>
    <cellStyle name="쉼표 [0] 5 4 2 2 2 2" xfId="15539" xr:uid="{C50099B3-56EE-4817-89AD-014D79BD9105}"/>
    <cellStyle name="쉼표 [0] 5 4 2 2 3" xfId="11881" xr:uid="{EDB78932-B49E-456E-99FD-D467B122E665}"/>
    <cellStyle name="쉼표 [0] 5 4 2 3" xfId="6393" xr:uid="{00000000-0005-0000-0000-0000F81A0000}"/>
    <cellStyle name="쉼표 [0] 5 4 2 3 2" xfId="13710" xr:uid="{D95CC1F6-D4E9-445F-84A2-F79216579EF5}"/>
    <cellStyle name="쉼표 [0] 5 4 2 4" xfId="10051" xr:uid="{EA7EBAE1-A319-4F9A-B7EA-7AFBE90673D3}"/>
    <cellStyle name="쉼표 [0] 5 4 3" xfId="2221" xr:uid="{00000000-0005-0000-0000-0000F91A0000}"/>
    <cellStyle name="쉼표 [0] 5 4 3 2" xfId="4562" xr:uid="{00000000-0005-0000-0000-0000FA1A0000}"/>
    <cellStyle name="쉼표 [0] 5 4 3 2 2" xfId="8223" xr:uid="{00000000-0005-0000-0000-0000FB1A0000}"/>
    <cellStyle name="쉼표 [0] 5 4 3 2 2 2" xfId="15540" xr:uid="{78535720-8352-4C05-9704-B0C240555688}"/>
    <cellStyle name="쉼표 [0] 5 4 3 2 3" xfId="11882" xr:uid="{881F3145-82C0-4948-B403-B6060CEE079C}"/>
    <cellStyle name="쉼표 [0] 5 4 3 3" xfId="6394" xr:uid="{00000000-0005-0000-0000-0000FC1A0000}"/>
    <cellStyle name="쉼표 [0] 5 4 3 3 2" xfId="13711" xr:uid="{9542D38C-A330-469C-8138-0B6F1F5EDEF3}"/>
    <cellStyle name="쉼표 [0] 5 4 3 4" xfId="10052" xr:uid="{51DE3728-5304-46C5-BDBE-C8DACD9559CC}"/>
    <cellStyle name="쉼표 [0] 5 4 4" xfId="4560" xr:uid="{00000000-0005-0000-0000-0000FD1A0000}"/>
    <cellStyle name="쉼표 [0] 5 4 4 2" xfId="8221" xr:uid="{00000000-0005-0000-0000-0000FE1A0000}"/>
    <cellStyle name="쉼표 [0] 5 4 4 2 2" xfId="15538" xr:uid="{CD948CF5-D135-49A2-A72E-BFAF07D6A4DE}"/>
    <cellStyle name="쉼표 [0] 5 4 4 3" xfId="11880" xr:uid="{70597E53-99C6-4210-9424-CC3D586D72F9}"/>
    <cellStyle name="쉼표 [0] 5 4 5" xfId="6392" xr:uid="{00000000-0005-0000-0000-0000FF1A0000}"/>
    <cellStyle name="쉼표 [0] 5 4 5 2" xfId="13709" xr:uid="{7FA1443D-A9E3-4410-8E7E-4F05B817BCDD}"/>
    <cellStyle name="쉼표 [0] 5 4 6" xfId="10050" xr:uid="{290882A2-E550-49C9-AF26-493AA0836D2E}"/>
    <cellStyle name="쉼표 [0] 5 5" xfId="2222" xr:uid="{00000000-0005-0000-0000-0000001B0000}"/>
    <cellStyle name="쉼표 [0] 5 5 2" xfId="2223" xr:uid="{00000000-0005-0000-0000-0000011B0000}"/>
    <cellStyle name="쉼표 [0] 5 5 2 2" xfId="4564" xr:uid="{00000000-0005-0000-0000-0000021B0000}"/>
    <cellStyle name="쉼표 [0] 5 5 2 2 2" xfId="8225" xr:uid="{00000000-0005-0000-0000-0000031B0000}"/>
    <cellStyle name="쉼표 [0] 5 5 2 2 2 2" xfId="15542" xr:uid="{BD2A9012-FA3F-4B38-A57E-78405A253923}"/>
    <cellStyle name="쉼표 [0] 5 5 2 2 3" xfId="11884" xr:uid="{5F58769F-BBC4-4350-B182-73D7C7037F97}"/>
    <cellStyle name="쉼표 [0] 5 5 2 3" xfId="6396" xr:uid="{00000000-0005-0000-0000-0000041B0000}"/>
    <cellStyle name="쉼표 [0] 5 5 2 3 2" xfId="13713" xr:uid="{D7982175-B11E-4164-9DDF-040E7C3FF686}"/>
    <cellStyle name="쉼표 [0] 5 5 2 4" xfId="10054" xr:uid="{50F1E903-31FD-4FCB-96E9-B59874A16B46}"/>
    <cellStyle name="쉼표 [0] 5 5 3" xfId="2224" xr:uid="{00000000-0005-0000-0000-0000051B0000}"/>
    <cellStyle name="쉼표 [0] 5 5 3 2" xfId="4565" xr:uid="{00000000-0005-0000-0000-0000061B0000}"/>
    <cellStyle name="쉼표 [0] 5 5 3 2 2" xfId="8226" xr:uid="{00000000-0005-0000-0000-0000071B0000}"/>
    <cellStyle name="쉼표 [0] 5 5 3 2 2 2" xfId="15543" xr:uid="{1674E8BE-27FE-4DCE-8D6C-6CC95FF8A5B0}"/>
    <cellStyle name="쉼표 [0] 5 5 3 2 3" xfId="11885" xr:uid="{CFD6372C-07C4-4573-B60E-696FEAC83274}"/>
    <cellStyle name="쉼표 [0] 5 5 3 3" xfId="6397" xr:uid="{00000000-0005-0000-0000-0000081B0000}"/>
    <cellStyle name="쉼표 [0] 5 5 3 3 2" xfId="13714" xr:uid="{C7298110-2927-487E-B230-7673E68C69D4}"/>
    <cellStyle name="쉼표 [0] 5 5 3 4" xfId="10055" xr:uid="{6F4764C0-B582-427F-BE5B-7F149EAB951A}"/>
    <cellStyle name="쉼표 [0] 5 5 4" xfId="4563" xr:uid="{00000000-0005-0000-0000-0000091B0000}"/>
    <cellStyle name="쉼표 [0] 5 5 4 2" xfId="8224" xr:uid="{00000000-0005-0000-0000-00000A1B0000}"/>
    <cellStyle name="쉼표 [0] 5 5 4 2 2" xfId="15541" xr:uid="{F3729F56-3518-4E15-962C-34E1E24884E9}"/>
    <cellStyle name="쉼표 [0] 5 5 4 3" xfId="11883" xr:uid="{EF654C9C-D39D-4768-BDB0-19D2845E1565}"/>
    <cellStyle name="쉼표 [0] 5 5 5" xfId="6395" xr:uid="{00000000-0005-0000-0000-00000B1B0000}"/>
    <cellStyle name="쉼표 [0] 5 5 5 2" xfId="13712" xr:uid="{251BD4A7-B122-4278-A4F7-395691EA8E4C}"/>
    <cellStyle name="쉼표 [0] 5 5 6" xfId="10053" xr:uid="{76DD9604-FF31-432B-B626-9E6531DC9EB4}"/>
    <cellStyle name="쉼표 [0] 5 6" xfId="2225" xr:uid="{00000000-0005-0000-0000-00000C1B0000}"/>
    <cellStyle name="쉼표 [0] 5 6 2" xfId="2226" xr:uid="{00000000-0005-0000-0000-00000D1B0000}"/>
    <cellStyle name="쉼표 [0] 5 6 2 2" xfId="4567" xr:uid="{00000000-0005-0000-0000-00000E1B0000}"/>
    <cellStyle name="쉼표 [0] 5 6 2 2 2" xfId="8228" xr:uid="{00000000-0005-0000-0000-00000F1B0000}"/>
    <cellStyle name="쉼표 [0] 5 6 2 2 2 2" xfId="15545" xr:uid="{37DB46C3-DE56-424C-AED0-08ACA5EA7134}"/>
    <cellStyle name="쉼표 [0] 5 6 2 2 3" xfId="11887" xr:uid="{965C072B-E4A8-4B74-A8B3-8B1BB2C84C37}"/>
    <cellStyle name="쉼표 [0] 5 6 2 3" xfId="6399" xr:uid="{00000000-0005-0000-0000-0000101B0000}"/>
    <cellStyle name="쉼표 [0] 5 6 2 3 2" xfId="13716" xr:uid="{D9A1911B-44A2-441E-90E2-D22903EE5BF8}"/>
    <cellStyle name="쉼표 [0] 5 6 2 4" xfId="10057" xr:uid="{E1AD2C6E-78FE-403F-B948-CF69C94DF0D8}"/>
    <cellStyle name="쉼표 [0] 5 6 3" xfId="2227" xr:uid="{00000000-0005-0000-0000-0000111B0000}"/>
    <cellStyle name="쉼표 [0] 5 6 3 2" xfId="4568" xr:uid="{00000000-0005-0000-0000-0000121B0000}"/>
    <cellStyle name="쉼표 [0] 5 6 3 2 2" xfId="8229" xr:uid="{00000000-0005-0000-0000-0000131B0000}"/>
    <cellStyle name="쉼표 [0] 5 6 3 2 2 2" xfId="15546" xr:uid="{F3E4B518-8631-436C-8766-FF1B66F9CFD7}"/>
    <cellStyle name="쉼표 [0] 5 6 3 2 3" xfId="11888" xr:uid="{97C5898F-8606-4D66-8DC4-A8F848FFA213}"/>
    <cellStyle name="쉼표 [0] 5 6 3 3" xfId="6400" xr:uid="{00000000-0005-0000-0000-0000141B0000}"/>
    <cellStyle name="쉼표 [0] 5 6 3 3 2" xfId="13717" xr:uid="{1150E6EC-8D84-49E0-9849-9DDC1623E37A}"/>
    <cellStyle name="쉼표 [0] 5 6 3 4" xfId="10058" xr:uid="{A7A06E00-880C-4B88-A2D2-48F173E554E3}"/>
    <cellStyle name="쉼표 [0] 5 6 4" xfId="4566" xr:uid="{00000000-0005-0000-0000-0000151B0000}"/>
    <cellStyle name="쉼표 [0] 5 6 4 2" xfId="8227" xr:uid="{00000000-0005-0000-0000-0000161B0000}"/>
    <cellStyle name="쉼표 [0] 5 6 4 2 2" xfId="15544" xr:uid="{A78CAA00-61C5-404C-AD67-43083AB921E3}"/>
    <cellStyle name="쉼표 [0] 5 6 4 3" xfId="11886" xr:uid="{8386BCA3-5D7F-4ECC-8DBC-CF8533F2232B}"/>
    <cellStyle name="쉼표 [0] 5 6 5" xfId="6398" xr:uid="{00000000-0005-0000-0000-0000171B0000}"/>
    <cellStyle name="쉼표 [0] 5 6 5 2" xfId="13715" xr:uid="{0AE6EA19-0ACE-4616-A1C8-A13C740F2179}"/>
    <cellStyle name="쉼표 [0] 5 6 6" xfId="10056" xr:uid="{B16BA4B5-C954-4DBA-907A-6B132B3D26B9}"/>
    <cellStyle name="쉼표 [0] 5 7" xfId="2228" xr:uid="{00000000-0005-0000-0000-0000181B0000}"/>
    <cellStyle name="쉼표 [0] 5 7 2" xfId="2229" xr:uid="{00000000-0005-0000-0000-0000191B0000}"/>
    <cellStyle name="쉼표 [0] 5 7 2 2" xfId="4570" xr:uid="{00000000-0005-0000-0000-00001A1B0000}"/>
    <cellStyle name="쉼표 [0] 5 7 2 2 2" xfId="8231" xr:uid="{00000000-0005-0000-0000-00001B1B0000}"/>
    <cellStyle name="쉼표 [0] 5 7 2 2 2 2" xfId="15548" xr:uid="{BAB2FAD7-B0EA-4C69-8EE9-A949DF2CDDB5}"/>
    <cellStyle name="쉼표 [0] 5 7 2 2 3" xfId="11890" xr:uid="{F5B067EE-94E1-452C-BFC5-1B847E05EEA9}"/>
    <cellStyle name="쉼표 [0] 5 7 2 3" xfId="6402" xr:uid="{00000000-0005-0000-0000-00001C1B0000}"/>
    <cellStyle name="쉼표 [0] 5 7 2 3 2" xfId="13719" xr:uid="{FB546B77-662F-4FBA-8BD0-F3A8BD5B9BE8}"/>
    <cellStyle name="쉼표 [0] 5 7 2 4" xfId="10060" xr:uid="{DA7B489E-6D84-43CC-AEF7-B234E0AA69D1}"/>
    <cellStyle name="쉼표 [0] 5 7 3" xfId="2230" xr:uid="{00000000-0005-0000-0000-00001D1B0000}"/>
    <cellStyle name="쉼표 [0] 5 7 3 2" xfId="4571" xr:uid="{00000000-0005-0000-0000-00001E1B0000}"/>
    <cellStyle name="쉼표 [0] 5 7 3 2 2" xfId="8232" xr:uid="{00000000-0005-0000-0000-00001F1B0000}"/>
    <cellStyle name="쉼표 [0] 5 7 3 2 2 2" xfId="15549" xr:uid="{98D9709C-F023-4975-8526-487F213EB7AD}"/>
    <cellStyle name="쉼표 [0] 5 7 3 2 3" xfId="11891" xr:uid="{6A6278D2-F914-4847-80E6-94F171C3DE65}"/>
    <cellStyle name="쉼표 [0] 5 7 3 3" xfId="6403" xr:uid="{00000000-0005-0000-0000-0000201B0000}"/>
    <cellStyle name="쉼표 [0] 5 7 3 3 2" xfId="13720" xr:uid="{28BF29B1-E0B4-4DF3-A5B1-EA98CE88C3CC}"/>
    <cellStyle name="쉼표 [0] 5 7 3 4" xfId="10061" xr:uid="{C2C66FC0-5B8E-4C33-8B6A-DEFACF75A569}"/>
    <cellStyle name="쉼표 [0] 5 7 4" xfId="4569" xr:uid="{00000000-0005-0000-0000-0000211B0000}"/>
    <cellStyle name="쉼표 [0] 5 7 4 2" xfId="8230" xr:uid="{00000000-0005-0000-0000-0000221B0000}"/>
    <cellStyle name="쉼표 [0] 5 7 4 2 2" xfId="15547" xr:uid="{D9DB8672-8DDE-430F-A8C8-8A877E3C5D2B}"/>
    <cellStyle name="쉼표 [0] 5 7 4 3" xfId="11889" xr:uid="{E026832B-E81D-474F-8E31-FFFD886590FB}"/>
    <cellStyle name="쉼표 [0] 5 7 5" xfId="6401" xr:uid="{00000000-0005-0000-0000-0000231B0000}"/>
    <cellStyle name="쉼표 [0] 5 7 5 2" xfId="13718" xr:uid="{BBA8B434-BF28-4572-A38F-AAFFAABCE2D2}"/>
    <cellStyle name="쉼표 [0] 5 7 6" xfId="10059" xr:uid="{BE0B9426-F687-454B-A18E-64B24FE6D536}"/>
    <cellStyle name="쉼표 [0] 5 8" xfId="2231" xr:uid="{00000000-0005-0000-0000-0000241B0000}"/>
    <cellStyle name="쉼표 [0] 5 8 2" xfId="2232" xr:uid="{00000000-0005-0000-0000-0000251B0000}"/>
    <cellStyle name="쉼표 [0] 5 8 2 2" xfId="4573" xr:uid="{00000000-0005-0000-0000-0000261B0000}"/>
    <cellStyle name="쉼표 [0] 5 8 2 2 2" xfId="8234" xr:uid="{00000000-0005-0000-0000-0000271B0000}"/>
    <cellStyle name="쉼표 [0] 5 8 2 2 2 2" xfId="15551" xr:uid="{AE30064E-202B-4288-A52B-29A6069FF305}"/>
    <cellStyle name="쉼표 [0] 5 8 2 2 3" xfId="11893" xr:uid="{2DA2B8B2-25B1-486A-879B-EEE093D45335}"/>
    <cellStyle name="쉼표 [0] 5 8 2 3" xfId="6405" xr:uid="{00000000-0005-0000-0000-0000281B0000}"/>
    <cellStyle name="쉼표 [0] 5 8 2 3 2" xfId="13722" xr:uid="{B896B95F-4B3D-414B-8C64-36F3E21B9C49}"/>
    <cellStyle name="쉼표 [0] 5 8 2 4" xfId="10063" xr:uid="{97D85D24-F9C5-4767-9BCF-7C3D72BEBBAE}"/>
    <cellStyle name="쉼표 [0] 5 8 3" xfId="2233" xr:uid="{00000000-0005-0000-0000-0000291B0000}"/>
    <cellStyle name="쉼표 [0] 5 8 3 2" xfId="4574" xr:uid="{00000000-0005-0000-0000-00002A1B0000}"/>
    <cellStyle name="쉼표 [0] 5 8 3 2 2" xfId="8235" xr:uid="{00000000-0005-0000-0000-00002B1B0000}"/>
    <cellStyle name="쉼표 [0] 5 8 3 2 2 2" xfId="15552" xr:uid="{C8618309-A7D0-4B8F-AFFB-FE49E69BAFEF}"/>
    <cellStyle name="쉼표 [0] 5 8 3 2 3" xfId="11894" xr:uid="{08F15617-04CE-42FD-A30B-1736FBD0CAB6}"/>
    <cellStyle name="쉼표 [0] 5 8 3 3" xfId="6406" xr:uid="{00000000-0005-0000-0000-00002C1B0000}"/>
    <cellStyle name="쉼표 [0] 5 8 3 3 2" xfId="13723" xr:uid="{45DB39A7-D500-41FD-BF6A-B35172C71A8B}"/>
    <cellStyle name="쉼표 [0] 5 8 3 4" xfId="10064" xr:uid="{7D3E22E1-E710-4A62-B30C-0621B623833D}"/>
    <cellStyle name="쉼표 [0] 5 8 4" xfId="4572" xr:uid="{00000000-0005-0000-0000-00002D1B0000}"/>
    <cellStyle name="쉼표 [0] 5 8 4 2" xfId="8233" xr:uid="{00000000-0005-0000-0000-00002E1B0000}"/>
    <cellStyle name="쉼표 [0] 5 8 4 2 2" xfId="15550" xr:uid="{80695694-C602-4417-B69F-0AFE339CCC2F}"/>
    <cellStyle name="쉼표 [0] 5 8 4 3" xfId="11892" xr:uid="{35308C91-8437-48DE-A0F4-388CEE1E9DC7}"/>
    <cellStyle name="쉼표 [0] 5 8 5" xfId="6404" xr:uid="{00000000-0005-0000-0000-00002F1B0000}"/>
    <cellStyle name="쉼표 [0] 5 8 5 2" xfId="13721" xr:uid="{B9DF1AB7-3D7F-45D3-997C-A30877E04AEC}"/>
    <cellStyle name="쉼표 [0] 5 8 6" xfId="10062" xr:uid="{A667044C-5175-4960-A196-50838BAA1BB8}"/>
    <cellStyle name="쉼표 [0] 5 9" xfId="2234" xr:uid="{00000000-0005-0000-0000-0000301B0000}"/>
    <cellStyle name="쉼표 [0] 5 9 2" xfId="2235" xr:uid="{00000000-0005-0000-0000-0000311B0000}"/>
    <cellStyle name="쉼표 [0] 5 9 2 2" xfId="4576" xr:uid="{00000000-0005-0000-0000-0000321B0000}"/>
    <cellStyle name="쉼표 [0] 5 9 2 2 2" xfId="8237" xr:uid="{00000000-0005-0000-0000-0000331B0000}"/>
    <cellStyle name="쉼표 [0] 5 9 2 2 2 2" xfId="15554" xr:uid="{73BBA99E-2703-431A-BCB9-31D1368AE49F}"/>
    <cellStyle name="쉼표 [0] 5 9 2 2 3" xfId="11896" xr:uid="{581EBCF3-726A-4D52-8917-561777BF5CCE}"/>
    <cellStyle name="쉼표 [0] 5 9 2 3" xfId="6408" xr:uid="{00000000-0005-0000-0000-0000341B0000}"/>
    <cellStyle name="쉼표 [0] 5 9 2 3 2" xfId="13725" xr:uid="{0FBD635F-98DA-4733-9883-21B4EB210A38}"/>
    <cellStyle name="쉼표 [0] 5 9 2 4" xfId="10066" xr:uid="{25784AE1-9595-45BB-B4DD-DD327EC5ADBA}"/>
    <cellStyle name="쉼표 [0] 5 9 3" xfId="4575" xr:uid="{00000000-0005-0000-0000-0000351B0000}"/>
    <cellStyle name="쉼표 [0] 5 9 3 2" xfId="8236" xr:uid="{00000000-0005-0000-0000-0000361B0000}"/>
    <cellStyle name="쉼표 [0] 5 9 3 2 2" xfId="15553" xr:uid="{5B4D2FA4-B995-4010-8517-31C6715E38FD}"/>
    <cellStyle name="쉼표 [0] 5 9 3 3" xfId="11895" xr:uid="{9A79C684-D139-4EDC-9264-A97D56F167F1}"/>
    <cellStyle name="쉼표 [0] 5 9 4" xfId="6407" xr:uid="{00000000-0005-0000-0000-0000371B0000}"/>
    <cellStyle name="쉼표 [0] 5 9 4 2" xfId="13724" xr:uid="{C9857684-56D1-4B7C-925D-39EE00F84E5F}"/>
    <cellStyle name="쉼표 [0] 5 9 5" xfId="10065" xr:uid="{6C599AB6-9399-4E4B-8C1D-B85B89242A29}"/>
    <cellStyle name="쉼표 [0] 57" xfId="2236" xr:uid="{00000000-0005-0000-0000-0000381B0000}"/>
    <cellStyle name="쉼표 [0] 57 2" xfId="2237" xr:uid="{00000000-0005-0000-0000-0000391B0000}"/>
    <cellStyle name="쉼표 [0] 57 2 2" xfId="2238" xr:uid="{00000000-0005-0000-0000-00003A1B0000}"/>
    <cellStyle name="쉼표 [0] 57 2 2 2" xfId="4579" xr:uid="{00000000-0005-0000-0000-00003B1B0000}"/>
    <cellStyle name="쉼표 [0] 57 2 2 2 2" xfId="8240" xr:uid="{00000000-0005-0000-0000-00003C1B0000}"/>
    <cellStyle name="쉼표 [0] 57 2 2 2 2 2" xfId="15557" xr:uid="{BAFA2511-E725-40F9-B300-D7353B8F32F2}"/>
    <cellStyle name="쉼표 [0] 57 2 2 2 3" xfId="11899" xr:uid="{A4B7AFA6-8217-402A-A5CC-6F01A137CAD5}"/>
    <cellStyle name="쉼표 [0] 57 2 2 3" xfId="6411" xr:uid="{00000000-0005-0000-0000-00003D1B0000}"/>
    <cellStyle name="쉼표 [0] 57 2 2 3 2" xfId="13728" xr:uid="{815F22E5-2101-459A-954F-B6DB6423DD5B}"/>
    <cellStyle name="쉼표 [0] 57 2 2 4" xfId="10069" xr:uid="{5AA57E5C-E317-4ADA-A84F-027807CBAD05}"/>
    <cellStyle name="쉼표 [0] 57 2 3" xfId="2239" xr:uid="{00000000-0005-0000-0000-00003E1B0000}"/>
    <cellStyle name="쉼표 [0] 57 2 3 2" xfId="4580" xr:uid="{00000000-0005-0000-0000-00003F1B0000}"/>
    <cellStyle name="쉼표 [0] 57 2 3 2 2" xfId="8241" xr:uid="{00000000-0005-0000-0000-0000401B0000}"/>
    <cellStyle name="쉼표 [0] 57 2 3 2 2 2" xfId="15558" xr:uid="{D56EEC7D-179B-49CA-8C4F-D15480B7FEE5}"/>
    <cellStyle name="쉼표 [0] 57 2 3 2 3" xfId="11900" xr:uid="{7C8053D4-3D6A-4915-A065-E8A54C14E21D}"/>
    <cellStyle name="쉼표 [0] 57 2 3 3" xfId="6412" xr:uid="{00000000-0005-0000-0000-0000411B0000}"/>
    <cellStyle name="쉼표 [0] 57 2 3 3 2" xfId="13729" xr:uid="{9B4679D0-D1AA-42A3-8E48-11CC30298ABE}"/>
    <cellStyle name="쉼표 [0] 57 2 3 4" xfId="10070" xr:uid="{9B57A96B-531B-4A4B-92A0-980970BDAACF}"/>
    <cellStyle name="쉼표 [0] 57 2 4" xfId="2240" xr:uid="{00000000-0005-0000-0000-0000421B0000}"/>
    <cellStyle name="쉼표 [0] 57 2 4 2" xfId="4581" xr:uid="{00000000-0005-0000-0000-0000431B0000}"/>
    <cellStyle name="쉼표 [0] 57 2 4 2 2" xfId="8242" xr:uid="{00000000-0005-0000-0000-0000441B0000}"/>
    <cellStyle name="쉼표 [0] 57 2 4 2 2 2" xfId="15559" xr:uid="{D936C71A-F5E3-4B03-A64C-03F25E3E3DFC}"/>
    <cellStyle name="쉼표 [0] 57 2 4 2 3" xfId="11901" xr:uid="{60F806F4-F3CC-4871-9AE2-EC7FFF1C8303}"/>
    <cellStyle name="쉼표 [0] 57 2 4 3" xfId="6413" xr:uid="{00000000-0005-0000-0000-0000451B0000}"/>
    <cellStyle name="쉼표 [0] 57 2 4 3 2" xfId="13730" xr:uid="{3454CEB6-F53F-4496-BACE-EDDB9B639BD8}"/>
    <cellStyle name="쉼표 [0] 57 2 4 4" xfId="10071" xr:uid="{90C0998B-D70D-47E9-B2DD-598EBD1F0B65}"/>
    <cellStyle name="쉼표 [0] 57 2 5" xfId="4578" xr:uid="{00000000-0005-0000-0000-0000461B0000}"/>
    <cellStyle name="쉼표 [0] 57 2 5 2" xfId="8239" xr:uid="{00000000-0005-0000-0000-0000471B0000}"/>
    <cellStyle name="쉼표 [0] 57 2 5 2 2" xfId="15556" xr:uid="{11C29078-5320-4494-B7AB-E9A0AC0F826D}"/>
    <cellStyle name="쉼표 [0] 57 2 5 3" xfId="11898" xr:uid="{A7D36052-DAA2-4185-B6CE-29388C823350}"/>
    <cellStyle name="쉼표 [0] 57 2 6" xfId="6410" xr:uid="{00000000-0005-0000-0000-0000481B0000}"/>
    <cellStyle name="쉼표 [0] 57 2 6 2" xfId="13727" xr:uid="{92BD624D-7734-4265-9DCE-C3DEBEF73F65}"/>
    <cellStyle name="쉼표 [0] 57 2 7" xfId="10068" xr:uid="{296943FE-5EDB-44BF-9662-238541DC52FF}"/>
    <cellStyle name="쉼표 [0] 57 3" xfId="2241" xr:uid="{00000000-0005-0000-0000-0000491B0000}"/>
    <cellStyle name="쉼표 [0] 57 3 2" xfId="4582" xr:uid="{00000000-0005-0000-0000-00004A1B0000}"/>
    <cellStyle name="쉼표 [0] 57 3 2 2" xfId="8243" xr:uid="{00000000-0005-0000-0000-00004B1B0000}"/>
    <cellStyle name="쉼표 [0] 57 3 2 2 2" xfId="15560" xr:uid="{7AC11CDB-99CF-4656-8A0C-79D1466A5919}"/>
    <cellStyle name="쉼표 [0] 57 3 2 3" xfId="11902" xr:uid="{0D2BE50D-8C52-4C92-9A20-51C93666A0F0}"/>
    <cellStyle name="쉼표 [0] 57 3 3" xfId="6414" xr:uid="{00000000-0005-0000-0000-00004C1B0000}"/>
    <cellStyle name="쉼표 [0] 57 3 3 2" xfId="13731" xr:uid="{DF651B45-1817-49F7-86F5-89E8F15E51A0}"/>
    <cellStyle name="쉼표 [0] 57 3 4" xfId="10072" xr:uid="{CB8CB8E0-9649-46FC-878C-9D78F718CBB0}"/>
    <cellStyle name="쉼표 [0] 57 4" xfId="2242" xr:uid="{00000000-0005-0000-0000-00004D1B0000}"/>
    <cellStyle name="쉼표 [0] 57 4 2" xfId="4583" xr:uid="{00000000-0005-0000-0000-00004E1B0000}"/>
    <cellStyle name="쉼표 [0] 57 4 2 2" xfId="8244" xr:uid="{00000000-0005-0000-0000-00004F1B0000}"/>
    <cellStyle name="쉼표 [0] 57 4 2 2 2" xfId="15561" xr:uid="{9DEA8F08-C56A-4D21-B684-930EC5A9DE76}"/>
    <cellStyle name="쉼표 [0] 57 4 2 3" xfId="11903" xr:uid="{0CB4F87C-0FA1-431E-8ED3-08CDF3277424}"/>
    <cellStyle name="쉼표 [0] 57 4 3" xfId="6415" xr:uid="{00000000-0005-0000-0000-0000501B0000}"/>
    <cellStyle name="쉼표 [0] 57 4 3 2" xfId="13732" xr:uid="{2023ACA4-CA9F-4AC8-8158-6E88F063590C}"/>
    <cellStyle name="쉼표 [0] 57 4 4" xfId="10073" xr:uid="{C251CCD3-F7A0-4A94-A937-DA0C63CCF7DF}"/>
    <cellStyle name="쉼표 [0] 57 5" xfId="2243" xr:uid="{00000000-0005-0000-0000-0000511B0000}"/>
    <cellStyle name="쉼표 [0] 57 5 2" xfId="4584" xr:uid="{00000000-0005-0000-0000-0000521B0000}"/>
    <cellStyle name="쉼표 [0] 57 5 2 2" xfId="8245" xr:uid="{00000000-0005-0000-0000-0000531B0000}"/>
    <cellStyle name="쉼표 [0] 57 5 2 2 2" xfId="15562" xr:uid="{8009393D-B503-4FBB-AD48-63611AB76D9F}"/>
    <cellStyle name="쉼표 [0] 57 5 2 3" xfId="11904" xr:uid="{C8304F54-599A-4665-82DE-D0C7E1AE8B3C}"/>
    <cellStyle name="쉼표 [0] 57 5 3" xfId="6416" xr:uid="{00000000-0005-0000-0000-0000541B0000}"/>
    <cellStyle name="쉼표 [0] 57 5 3 2" xfId="13733" xr:uid="{50FB839E-BFC6-4676-908F-06C3BE80A586}"/>
    <cellStyle name="쉼표 [0] 57 5 4" xfId="10074" xr:uid="{C10DF077-C3E8-4F07-BF7D-ECFA64709220}"/>
    <cellStyle name="쉼표 [0] 57 6" xfId="4577" xr:uid="{00000000-0005-0000-0000-0000551B0000}"/>
    <cellStyle name="쉼표 [0] 57 6 2" xfId="8238" xr:uid="{00000000-0005-0000-0000-0000561B0000}"/>
    <cellStyle name="쉼표 [0] 57 6 2 2" xfId="15555" xr:uid="{8A8532E9-46F0-4714-A32A-4F6E224E17A2}"/>
    <cellStyle name="쉼표 [0] 57 6 3" xfId="11897" xr:uid="{4D8F0063-C688-46B3-AE29-E7DEB8467A23}"/>
    <cellStyle name="쉼표 [0] 57 7" xfId="6409" xr:uid="{00000000-0005-0000-0000-0000571B0000}"/>
    <cellStyle name="쉼표 [0] 57 7 2" xfId="13726" xr:uid="{4D53539B-2F37-429B-BDC7-7C55E0360085}"/>
    <cellStyle name="쉼표 [0] 57 8" xfId="10067" xr:uid="{C64BC991-CAFB-42CB-9A58-C64D4C903FBA}"/>
    <cellStyle name="쉼표 [0] 6" xfId="2244" xr:uid="{00000000-0005-0000-0000-0000581B0000}"/>
    <cellStyle name="쉼표 [0] 6 10" xfId="2245" xr:uid="{00000000-0005-0000-0000-0000591B0000}"/>
    <cellStyle name="쉼표 [0] 6 10 2" xfId="2246" xr:uid="{00000000-0005-0000-0000-00005A1B0000}"/>
    <cellStyle name="쉼표 [0] 6 10 2 2" xfId="4587" xr:uid="{00000000-0005-0000-0000-00005B1B0000}"/>
    <cellStyle name="쉼표 [0] 6 10 2 2 2" xfId="8248" xr:uid="{00000000-0005-0000-0000-00005C1B0000}"/>
    <cellStyle name="쉼표 [0] 6 10 2 2 2 2" xfId="15565" xr:uid="{47EF515A-BC36-466D-8829-F53F8B8D8294}"/>
    <cellStyle name="쉼표 [0] 6 10 2 2 3" xfId="11907" xr:uid="{66C862FC-4339-4904-BBD6-562B267C2C6B}"/>
    <cellStyle name="쉼표 [0] 6 10 2 3" xfId="6419" xr:uid="{00000000-0005-0000-0000-00005D1B0000}"/>
    <cellStyle name="쉼표 [0] 6 10 2 3 2" xfId="13736" xr:uid="{B6BC7E37-0DE7-42EC-A8A5-D24FF774E19A}"/>
    <cellStyle name="쉼표 [0] 6 10 2 4" xfId="10077" xr:uid="{6C630432-A256-42C3-9707-942E69D63306}"/>
    <cellStyle name="쉼표 [0] 6 10 3" xfId="4586" xr:uid="{00000000-0005-0000-0000-00005E1B0000}"/>
    <cellStyle name="쉼표 [0] 6 10 3 2" xfId="8247" xr:uid="{00000000-0005-0000-0000-00005F1B0000}"/>
    <cellStyle name="쉼표 [0] 6 10 3 2 2" xfId="15564" xr:uid="{AA30EB0C-8A20-46B4-A310-4DBBBAA3731C}"/>
    <cellStyle name="쉼표 [0] 6 10 3 3" xfId="11906" xr:uid="{E2D66950-0A21-4EEF-A930-745C1DCE0C20}"/>
    <cellStyle name="쉼표 [0] 6 10 4" xfId="6418" xr:uid="{00000000-0005-0000-0000-0000601B0000}"/>
    <cellStyle name="쉼표 [0] 6 10 4 2" xfId="13735" xr:uid="{1AA806FB-DFB4-4664-9CFD-69FF51E3A5DA}"/>
    <cellStyle name="쉼표 [0] 6 10 5" xfId="10076" xr:uid="{3939B1BD-F862-4B4B-B444-264930E022FC}"/>
    <cellStyle name="쉼표 [0] 6 11" xfId="2247" xr:uid="{00000000-0005-0000-0000-0000611B0000}"/>
    <cellStyle name="쉼표 [0] 6 11 2" xfId="4588" xr:uid="{00000000-0005-0000-0000-0000621B0000}"/>
    <cellStyle name="쉼표 [0] 6 11 2 2" xfId="8249" xr:uid="{00000000-0005-0000-0000-0000631B0000}"/>
    <cellStyle name="쉼표 [0] 6 11 2 2 2" xfId="15566" xr:uid="{7924106B-D3D5-4618-A98A-BEE6E83D04AC}"/>
    <cellStyle name="쉼표 [0] 6 11 2 3" xfId="11908" xr:uid="{7BEB1417-F4B5-46A5-A340-80BBD2BAEEB4}"/>
    <cellStyle name="쉼표 [0] 6 11 3" xfId="6420" xr:uid="{00000000-0005-0000-0000-0000641B0000}"/>
    <cellStyle name="쉼표 [0] 6 11 3 2" xfId="13737" xr:uid="{45A3BB6E-DD02-4D74-884A-DA078BC7A3DF}"/>
    <cellStyle name="쉼표 [0] 6 11 4" xfId="10078" xr:uid="{B5803473-7FB5-4CF8-AD8B-116DA9A7DEB8}"/>
    <cellStyle name="쉼표 [0] 6 12" xfId="2248" xr:uid="{00000000-0005-0000-0000-0000651B0000}"/>
    <cellStyle name="쉼표 [0] 6 12 2" xfId="2249" xr:uid="{00000000-0005-0000-0000-0000661B0000}"/>
    <cellStyle name="쉼표 [0] 6 12 2 2" xfId="4590" xr:uid="{00000000-0005-0000-0000-0000671B0000}"/>
    <cellStyle name="쉼표 [0] 6 12 2 2 2" xfId="8251" xr:uid="{00000000-0005-0000-0000-0000681B0000}"/>
    <cellStyle name="쉼표 [0] 6 12 2 2 2 2" xfId="15568" xr:uid="{BD3A2920-F749-4695-92E5-3638E1387B09}"/>
    <cellStyle name="쉼표 [0] 6 12 2 2 3" xfId="11910" xr:uid="{69AD252F-8742-4D57-A3AE-D769007F04A0}"/>
    <cellStyle name="쉼표 [0] 6 12 2 3" xfId="6422" xr:uid="{00000000-0005-0000-0000-0000691B0000}"/>
    <cellStyle name="쉼표 [0] 6 12 2 3 2" xfId="13739" xr:uid="{FF07DD2F-22C1-4D90-9190-1496B29CB20F}"/>
    <cellStyle name="쉼표 [0] 6 12 2 4" xfId="10080" xr:uid="{1DAE4CC3-0643-4B31-8CDF-2CFA5443A7E6}"/>
    <cellStyle name="쉼표 [0] 6 12 3" xfId="4589" xr:uid="{00000000-0005-0000-0000-00006A1B0000}"/>
    <cellStyle name="쉼표 [0] 6 12 3 2" xfId="8250" xr:uid="{00000000-0005-0000-0000-00006B1B0000}"/>
    <cellStyle name="쉼표 [0] 6 12 3 2 2" xfId="15567" xr:uid="{8CCB7468-3E05-4BE5-9D66-F7425E9878FC}"/>
    <cellStyle name="쉼표 [0] 6 12 3 3" xfId="11909" xr:uid="{3A2D03EC-2686-490C-9616-4C080DC39344}"/>
    <cellStyle name="쉼표 [0] 6 12 4" xfId="6421" xr:uid="{00000000-0005-0000-0000-00006C1B0000}"/>
    <cellStyle name="쉼표 [0] 6 12 4 2" xfId="13738" xr:uid="{C746CE5E-6B65-403A-9BC0-F81C7FA36DEB}"/>
    <cellStyle name="쉼표 [0] 6 12 5" xfId="10079" xr:uid="{5DB01B15-BA77-4F48-9AB7-5D2B1D8BE815}"/>
    <cellStyle name="쉼표 [0] 6 13" xfId="4585" xr:uid="{00000000-0005-0000-0000-00006D1B0000}"/>
    <cellStyle name="쉼표 [0] 6 13 2" xfId="8246" xr:uid="{00000000-0005-0000-0000-00006E1B0000}"/>
    <cellStyle name="쉼표 [0] 6 13 2 2" xfId="15563" xr:uid="{5AF6DC31-3FD7-45E8-9193-6CEA41386982}"/>
    <cellStyle name="쉼표 [0] 6 13 3" xfId="11905" xr:uid="{ADEF84FC-E9F4-4954-9300-CD318D07F56B}"/>
    <cellStyle name="쉼표 [0] 6 14" xfId="6417" xr:uid="{00000000-0005-0000-0000-00006F1B0000}"/>
    <cellStyle name="쉼표 [0] 6 14 2" xfId="13734" xr:uid="{2DCCA0CE-9210-4581-B101-3EFD2DDDFE6F}"/>
    <cellStyle name="쉼표 [0] 6 15" xfId="10075" xr:uid="{A0C2716C-1A5E-457E-8786-F4F4533DBD12}"/>
    <cellStyle name="쉼표 [0] 6 2" xfId="2250" xr:uid="{00000000-0005-0000-0000-0000701B0000}"/>
    <cellStyle name="쉼표 [0] 6 2 10" xfId="2251" xr:uid="{00000000-0005-0000-0000-0000711B0000}"/>
    <cellStyle name="쉼표 [0] 6 2 10 2" xfId="2252" xr:uid="{00000000-0005-0000-0000-0000721B0000}"/>
    <cellStyle name="쉼표 [0] 6 2 10 2 2" xfId="4593" xr:uid="{00000000-0005-0000-0000-0000731B0000}"/>
    <cellStyle name="쉼표 [0] 6 2 10 2 2 2" xfId="8254" xr:uid="{00000000-0005-0000-0000-0000741B0000}"/>
    <cellStyle name="쉼표 [0] 6 2 10 2 2 2 2" xfId="15571" xr:uid="{C8187DE8-9903-49C1-BF63-194CFED01566}"/>
    <cellStyle name="쉼표 [0] 6 2 10 2 2 3" xfId="11913" xr:uid="{08F60137-6E2C-426F-907E-7CC921FF58A0}"/>
    <cellStyle name="쉼표 [0] 6 2 10 2 3" xfId="6425" xr:uid="{00000000-0005-0000-0000-0000751B0000}"/>
    <cellStyle name="쉼표 [0] 6 2 10 2 3 2" xfId="13742" xr:uid="{9533A9F1-1114-4108-9865-C2325476EE96}"/>
    <cellStyle name="쉼표 [0] 6 2 10 2 4" xfId="10083" xr:uid="{AF885998-2C32-457D-807C-8A0EBC6E9474}"/>
    <cellStyle name="쉼표 [0] 6 2 10 3" xfId="4592" xr:uid="{00000000-0005-0000-0000-0000761B0000}"/>
    <cellStyle name="쉼표 [0] 6 2 10 3 2" xfId="8253" xr:uid="{00000000-0005-0000-0000-0000771B0000}"/>
    <cellStyle name="쉼표 [0] 6 2 10 3 2 2" xfId="15570" xr:uid="{8D9F01B8-EC2C-48FB-9072-6A5F3BB00AB9}"/>
    <cellStyle name="쉼표 [0] 6 2 10 3 3" xfId="11912" xr:uid="{DA285854-B222-40FD-A589-CF978151090E}"/>
    <cellStyle name="쉼표 [0] 6 2 10 4" xfId="6424" xr:uid="{00000000-0005-0000-0000-0000781B0000}"/>
    <cellStyle name="쉼표 [0] 6 2 10 4 2" xfId="13741" xr:uid="{12E6B4B3-6AFF-46BF-B32C-32FAAB543E36}"/>
    <cellStyle name="쉼표 [0] 6 2 10 5" xfId="10082" xr:uid="{260FE92C-F4D1-4B81-B358-EF0A4399888D}"/>
    <cellStyle name="쉼표 [0] 6 2 11" xfId="4591" xr:uid="{00000000-0005-0000-0000-0000791B0000}"/>
    <cellStyle name="쉼표 [0] 6 2 11 2" xfId="8252" xr:uid="{00000000-0005-0000-0000-00007A1B0000}"/>
    <cellStyle name="쉼표 [0] 6 2 11 2 2" xfId="15569" xr:uid="{51868F6A-1EF3-4F12-965A-9C09E130E787}"/>
    <cellStyle name="쉼표 [0] 6 2 11 3" xfId="11911" xr:uid="{6108E572-D41B-4747-8DA7-34251792FB10}"/>
    <cellStyle name="쉼표 [0] 6 2 12" xfId="6423" xr:uid="{00000000-0005-0000-0000-00007B1B0000}"/>
    <cellStyle name="쉼표 [0] 6 2 12 2" xfId="13740" xr:uid="{F8700166-79ED-4782-A652-1E6ECD71F261}"/>
    <cellStyle name="쉼표 [0] 6 2 13" xfId="10081" xr:uid="{DBDAD0A1-8B8C-49E0-91B8-5DDB2902B2A0}"/>
    <cellStyle name="쉼표 [0] 6 2 2" xfId="2253" xr:uid="{00000000-0005-0000-0000-00007C1B0000}"/>
    <cellStyle name="쉼표 [0] 6 2 2 2" xfId="2254" xr:uid="{00000000-0005-0000-0000-00007D1B0000}"/>
    <cellStyle name="쉼표 [0] 6 2 2 2 2" xfId="4595" xr:uid="{00000000-0005-0000-0000-00007E1B0000}"/>
    <cellStyle name="쉼표 [0] 6 2 2 2 2 2" xfId="8256" xr:uid="{00000000-0005-0000-0000-00007F1B0000}"/>
    <cellStyle name="쉼표 [0] 6 2 2 2 2 2 2" xfId="15573" xr:uid="{3002E285-124D-4B8F-AD9C-A3D7D4724125}"/>
    <cellStyle name="쉼표 [0] 6 2 2 2 2 3" xfId="11915" xr:uid="{51DDC6D8-57DA-4982-8C46-27FB07F85707}"/>
    <cellStyle name="쉼표 [0] 6 2 2 2 3" xfId="6427" xr:uid="{00000000-0005-0000-0000-0000801B0000}"/>
    <cellStyle name="쉼표 [0] 6 2 2 2 3 2" xfId="13744" xr:uid="{2194290C-EA0B-4CBC-935B-3DCDA45033C7}"/>
    <cellStyle name="쉼표 [0] 6 2 2 2 4" xfId="10085" xr:uid="{A1FAE18D-AC23-4B5D-9A61-9FB19969B5ED}"/>
    <cellStyle name="쉼표 [0] 6 2 2 3" xfId="2255" xr:uid="{00000000-0005-0000-0000-0000811B0000}"/>
    <cellStyle name="쉼표 [0] 6 2 2 3 2" xfId="4596" xr:uid="{00000000-0005-0000-0000-0000821B0000}"/>
    <cellStyle name="쉼표 [0] 6 2 2 3 2 2" xfId="8257" xr:uid="{00000000-0005-0000-0000-0000831B0000}"/>
    <cellStyle name="쉼표 [0] 6 2 2 3 2 2 2" xfId="15574" xr:uid="{B0A6CDC3-5634-4BE0-B1CB-15820ADC3AE8}"/>
    <cellStyle name="쉼표 [0] 6 2 2 3 2 3" xfId="11916" xr:uid="{9EDD1CB1-FD3D-427D-B5B3-DFF7196CACCF}"/>
    <cellStyle name="쉼표 [0] 6 2 2 3 3" xfId="6428" xr:uid="{00000000-0005-0000-0000-0000841B0000}"/>
    <cellStyle name="쉼표 [0] 6 2 2 3 3 2" xfId="13745" xr:uid="{90E04C00-7F06-4FBA-ABB0-5A4E466879A8}"/>
    <cellStyle name="쉼표 [0] 6 2 2 3 4" xfId="10086" xr:uid="{9F188215-33A6-4446-B1CD-AD1EABB1E285}"/>
    <cellStyle name="쉼표 [0] 6 2 2 4" xfId="4594" xr:uid="{00000000-0005-0000-0000-0000851B0000}"/>
    <cellStyle name="쉼표 [0] 6 2 2 4 2" xfId="8255" xr:uid="{00000000-0005-0000-0000-0000861B0000}"/>
    <cellStyle name="쉼표 [0] 6 2 2 4 2 2" xfId="15572" xr:uid="{AC7E76BD-F253-4667-BB32-F693F8BF3892}"/>
    <cellStyle name="쉼표 [0] 6 2 2 4 3" xfId="11914" xr:uid="{9196776D-508E-412E-8042-88FA2673FEDD}"/>
    <cellStyle name="쉼표 [0] 6 2 2 5" xfId="6426" xr:uid="{00000000-0005-0000-0000-0000871B0000}"/>
    <cellStyle name="쉼표 [0] 6 2 2 5 2" xfId="13743" xr:uid="{F9E820F8-D52A-471A-88BA-2A32203AF2C1}"/>
    <cellStyle name="쉼표 [0] 6 2 2 6" xfId="10084" xr:uid="{1351D5DD-CBAD-477D-B6C5-D04C0ACED6EC}"/>
    <cellStyle name="쉼표 [0] 6 2 3" xfId="2256" xr:uid="{00000000-0005-0000-0000-0000881B0000}"/>
    <cellStyle name="쉼표 [0] 6 2 3 2" xfId="2257" xr:uid="{00000000-0005-0000-0000-0000891B0000}"/>
    <cellStyle name="쉼표 [0] 6 2 3 2 2" xfId="4598" xr:uid="{00000000-0005-0000-0000-00008A1B0000}"/>
    <cellStyle name="쉼표 [0] 6 2 3 2 2 2" xfId="8259" xr:uid="{00000000-0005-0000-0000-00008B1B0000}"/>
    <cellStyle name="쉼표 [0] 6 2 3 2 2 2 2" xfId="15576" xr:uid="{1FC577FE-874F-4FEB-A95D-6926AD24B812}"/>
    <cellStyle name="쉼표 [0] 6 2 3 2 2 3" xfId="11918" xr:uid="{3EEDF476-F91F-4EEF-9B9C-33581BF99045}"/>
    <cellStyle name="쉼표 [0] 6 2 3 2 3" xfId="6430" xr:uid="{00000000-0005-0000-0000-00008C1B0000}"/>
    <cellStyle name="쉼표 [0] 6 2 3 2 3 2" xfId="13747" xr:uid="{19FDA0C2-5B40-4EC6-8C70-6EA537F6F047}"/>
    <cellStyle name="쉼표 [0] 6 2 3 2 4" xfId="10088" xr:uid="{E6073C6A-6BA7-4329-9190-9E1B0D303287}"/>
    <cellStyle name="쉼표 [0] 6 2 3 3" xfId="2258" xr:uid="{00000000-0005-0000-0000-00008D1B0000}"/>
    <cellStyle name="쉼표 [0] 6 2 3 3 2" xfId="4599" xr:uid="{00000000-0005-0000-0000-00008E1B0000}"/>
    <cellStyle name="쉼표 [0] 6 2 3 3 2 2" xfId="8260" xr:uid="{00000000-0005-0000-0000-00008F1B0000}"/>
    <cellStyle name="쉼표 [0] 6 2 3 3 2 2 2" xfId="15577" xr:uid="{05AF21CD-4F08-4375-B119-281F212294F9}"/>
    <cellStyle name="쉼표 [0] 6 2 3 3 2 3" xfId="11919" xr:uid="{3AA7F265-28A8-4409-BE15-346E2DEF221D}"/>
    <cellStyle name="쉼표 [0] 6 2 3 3 3" xfId="6431" xr:uid="{00000000-0005-0000-0000-0000901B0000}"/>
    <cellStyle name="쉼표 [0] 6 2 3 3 3 2" xfId="13748" xr:uid="{F9EE802C-BF7F-4D4E-B792-9FCBC4A2865E}"/>
    <cellStyle name="쉼표 [0] 6 2 3 3 4" xfId="10089" xr:uid="{C4B4DF73-57BE-417C-9C3F-C59026BFA48F}"/>
    <cellStyle name="쉼표 [0] 6 2 3 4" xfId="4597" xr:uid="{00000000-0005-0000-0000-0000911B0000}"/>
    <cellStyle name="쉼표 [0] 6 2 3 4 2" xfId="8258" xr:uid="{00000000-0005-0000-0000-0000921B0000}"/>
    <cellStyle name="쉼표 [0] 6 2 3 4 2 2" xfId="15575" xr:uid="{981F4C09-61AA-44F1-B546-F3DD66C4DDF6}"/>
    <cellStyle name="쉼표 [0] 6 2 3 4 3" xfId="11917" xr:uid="{E4DA3556-3C56-43AC-8708-03C7CD2ED8DE}"/>
    <cellStyle name="쉼표 [0] 6 2 3 5" xfId="6429" xr:uid="{00000000-0005-0000-0000-0000931B0000}"/>
    <cellStyle name="쉼표 [0] 6 2 3 5 2" xfId="13746" xr:uid="{9B4B4BBC-0C6F-4B8B-821B-E8CF261FD0A5}"/>
    <cellStyle name="쉼표 [0] 6 2 3 6" xfId="10087" xr:uid="{FE674E4E-410A-4C5F-BFA6-C91FABA53BD9}"/>
    <cellStyle name="쉼표 [0] 6 2 4" xfId="2259" xr:uid="{00000000-0005-0000-0000-0000941B0000}"/>
    <cellStyle name="쉼표 [0] 6 2 4 2" xfId="2260" xr:uid="{00000000-0005-0000-0000-0000951B0000}"/>
    <cellStyle name="쉼표 [0] 6 2 4 2 2" xfId="4601" xr:uid="{00000000-0005-0000-0000-0000961B0000}"/>
    <cellStyle name="쉼표 [0] 6 2 4 2 2 2" xfId="8262" xr:uid="{00000000-0005-0000-0000-0000971B0000}"/>
    <cellStyle name="쉼표 [0] 6 2 4 2 2 2 2" xfId="15579" xr:uid="{911E2AB7-B575-4177-B512-5289731A0AE2}"/>
    <cellStyle name="쉼표 [0] 6 2 4 2 2 3" xfId="11921" xr:uid="{56AF45B6-7F87-41A0-9FB2-185924532C0D}"/>
    <cellStyle name="쉼표 [0] 6 2 4 2 3" xfId="6433" xr:uid="{00000000-0005-0000-0000-0000981B0000}"/>
    <cellStyle name="쉼표 [0] 6 2 4 2 3 2" xfId="13750" xr:uid="{02E458C5-FF52-4EB9-964F-1BA0746C338B}"/>
    <cellStyle name="쉼표 [0] 6 2 4 2 4" xfId="10091" xr:uid="{D577713A-9F65-43A4-A63D-92B33F4BE847}"/>
    <cellStyle name="쉼표 [0] 6 2 4 3" xfId="2261" xr:uid="{00000000-0005-0000-0000-0000991B0000}"/>
    <cellStyle name="쉼표 [0] 6 2 4 3 2" xfId="4602" xr:uid="{00000000-0005-0000-0000-00009A1B0000}"/>
    <cellStyle name="쉼표 [0] 6 2 4 3 2 2" xfId="8263" xr:uid="{00000000-0005-0000-0000-00009B1B0000}"/>
    <cellStyle name="쉼표 [0] 6 2 4 3 2 2 2" xfId="15580" xr:uid="{31F56548-BBEC-4340-B8A7-C38BC68686A6}"/>
    <cellStyle name="쉼표 [0] 6 2 4 3 2 3" xfId="11922" xr:uid="{722E85F2-99DA-4062-906F-0B07CCF898BB}"/>
    <cellStyle name="쉼표 [0] 6 2 4 3 3" xfId="6434" xr:uid="{00000000-0005-0000-0000-00009C1B0000}"/>
    <cellStyle name="쉼표 [0] 6 2 4 3 3 2" xfId="13751" xr:uid="{33887FB6-FE64-4FF3-959E-64E4B26F2FAF}"/>
    <cellStyle name="쉼표 [0] 6 2 4 3 4" xfId="10092" xr:uid="{B7EC808E-DBF5-402E-9F50-D813CD7BBEEE}"/>
    <cellStyle name="쉼표 [0] 6 2 4 4" xfId="4600" xr:uid="{00000000-0005-0000-0000-00009D1B0000}"/>
    <cellStyle name="쉼표 [0] 6 2 4 4 2" xfId="8261" xr:uid="{00000000-0005-0000-0000-00009E1B0000}"/>
    <cellStyle name="쉼표 [0] 6 2 4 4 2 2" xfId="15578" xr:uid="{D7D984D9-5FC3-4AF9-B166-379F7555A914}"/>
    <cellStyle name="쉼표 [0] 6 2 4 4 3" xfId="11920" xr:uid="{065FD90E-97F3-4FA9-B244-72DF86CCA2E9}"/>
    <cellStyle name="쉼표 [0] 6 2 4 5" xfId="6432" xr:uid="{00000000-0005-0000-0000-00009F1B0000}"/>
    <cellStyle name="쉼표 [0] 6 2 4 5 2" xfId="13749" xr:uid="{DA24AB7B-318D-41B3-A43B-0415C3360DE5}"/>
    <cellStyle name="쉼표 [0] 6 2 4 6" xfId="10090" xr:uid="{06D69DEB-4C88-4321-9278-D5B97D69890D}"/>
    <cellStyle name="쉼표 [0] 6 2 5" xfId="2262" xr:uid="{00000000-0005-0000-0000-0000A01B0000}"/>
    <cellStyle name="쉼표 [0] 6 2 5 2" xfId="2263" xr:uid="{00000000-0005-0000-0000-0000A11B0000}"/>
    <cellStyle name="쉼표 [0] 6 2 5 2 2" xfId="4604" xr:uid="{00000000-0005-0000-0000-0000A21B0000}"/>
    <cellStyle name="쉼표 [0] 6 2 5 2 2 2" xfId="8265" xr:uid="{00000000-0005-0000-0000-0000A31B0000}"/>
    <cellStyle name="쉼표 [0] 6 2 5 2 2 2 2" xfId="15582" xr:uid="{250C1C27-9FCE-45D5-AB24-2567484CC269}"/>
    <cellStyle name="쉼표 [0] 6 2 5 2 2 3" xfId="11924" xr:uid="{DC8DF41C-D372-457A-B082-6B25311E66EE}"/>
    <cellStyle name="쉼표 [0] 6 2 5 2 3" xfId="6436" xr:uid="{00000000-0005-0000-0000-0000A41B0000}"/>
    <cellStyle name="쉼표 [0] 6 2 5 2 3 2" xfId="13753" xr:uid="{AFC63936-F631-4E1B-A647-98E1B88DC4EC}"/>
    <cellStyle name="쉼표 [0] 6 2 5 2 4" xfId="10094" xr:uid="{AD100169-2854-4351-92AA-2004364AD6E7}"/>
    <cellStyle name="쉼표 [0] 6 2 5 3" xfId="2264" xr:uid="{00000000-0005-0000-0000-0000A51B0000}"/>
    <cellStyle name="쉼표 [0] 6 2 5 3 2" xfId="4605" xr:uid="{00000000-0005-0000-0000-0000A61B0000}"/>
    <cellStyle name="쉼표 [0] 6 2 5 3 2 2" xfId="8266" xr:uid="{00000000-0005-0000-0000-0000A71B0000}"/>
    <cellStyle name="쉼표 [0] 6 2 5 3 2 2 2" xfId="15583" xr:uid="{B779381D-C3B2-4EEE-8BA3-6B2292D3AD4D}"/>
    <cellStyle name="쉼표 [0] 6 2 5 3 2 3" xfId="11925" xr:uid="{9F950D0E-AD63-4BDE-9464-A97340B8E869}"/>
    <cellStyle name="쉼표 [0] 6 2 5 3 3" xfId="6437" xr:uid="{00000000-0005-0000-0000-0000A81B0000}"/>
    <cellStyle name="쉼표 [0] 6 2 5 3 3 2" xfId="13754" xr:uid="{8DBB62B9-820C-460C-8DF8-78E4D9710D1C}"/>
    <cellStyle name="쉼표 [0] 6 2 5 3 4" xfId="10095" xr:uid="{4B755AF8-3BAF-4C52-A295-70F8F91DF7F2}"/>
    <cellStyle name="쉼표 [0] 6 2 5 4" xfId="4603" xr:uid="{00000000-0005-0000-0000-0000A91B0000}"/>
    <cellStyle name="쉼표 [0] 6 2 5 4 2" xfId="8264" xr:uid="{00000000-0005-0000-0000-0000AA1B0000}"/>
    <cellStyle name="쉼표 [0] 6 2 5 4 2 2" xfId="15581" xr:uid="{15CC9D3B-4FE0-403D-955A-0130E38722AE}"/>
    <cellStyle name="쉼표 [0] 6 2 5 4 3" xfId="11923" xr:uid="{76BF7BB9-321A-4538-A46C-AC97D395F6C7}"/>
    <cellStyle name="쉼표 [0] 6 2 5 5" xfId="6435" xr:uid="{00000000-0005-0000-0000-0000AB1B0000}"/>
    <cellStyle name="쉼표 [0] 6 2 5 5 2" xfId="13752" xr:uid="{01D18E53-9AD7-4AB4-B75E-9DB28BFAFAAC}"/>
    <cellStyle name="쉼표 [0] 6 2 5 6" xfId="10093" xr:uid="{84B8C773-7CE4-4ED3-A32A-20DB140DAF56}"/>
    <cellStyle name="쉼표 [0] 6 2 6" xfId="2265" xr:uid="{00000000-0005-0000-0000-0000AC1B0000}"/>
    <cellStyle name="쉼표 [0] 6 2 6 2" xfId="2266" xr:uid="{00000000-0005-0000-0000-0000AD1B0000}"/>
    <cellStyle name="쉼표 [0] 6 2 6 2 2" xfId="4607" xr:uid="{00000000-0005-0000-0000-0000AE1B0000}"/>
    <cellStyle name="쉼표 [0] 6 2 6 2 2 2" xfId="8268" xr:uid="{00000000-0005-0000-0000-0000AF1B0000}"/>
    <cellStyle name="쉼표 [0] 6 2 6 2 2 2 2" xfId="15585" xr:uid="{8017B44F-79F1-4389-8B1D-B49EE4AEAFBB}"/>
    <cellStyle name="쉼표 [0] 6 2 6 2 2 3" xfId="11927" xr:uid="{25C625CE-B1FB-4DA0-83D4-185757DE2073}"/>
    <cellStyle name="쉼표 [0] 6 2 6 2 3" xfId="6439" xr:uid="{00000000-0005-0000-0000-0000B01B0000}"/>
    <cellStyle name="쉼표 [0] 6 2 6 2 3 2" xfId="13756" xr:uid="{EB913065-F7E0-4F42-A843-A976C41037D5}"/>
    <cellStyle name="쉼표 [0] 6 2 6 2 4" xfId="10097" xr:uid="{670AD0DD-2EC9-44B1-94D1-38FED93B8E52}"/>
    <cellStyle name="쉼표 [0] 6 2 6 3" xfId="2267" xr:uid="{00000000-0005-0000-0000-0000B11B0000}"/>
    <cellStyle name="쉼표 [0] 6 2 6 3 2" xfId="4608" xr:uid="{00000000-0005-0000-0000-0000B21B0000}"/>
    <cellStyle name="쉼표 [0] 6 2 6 3 2 2" xfId="8269" xr:uid="{00000000-0005-0000-0000-0000B31B0000}"/>
    <cellStyle name="쉼표 [0] 6 2 6 3 2 2 2" xfId="15586" xr:uid="{5A1FB7DF-58AA-4C88-A904-C76FE3FFA6FD}"/>
    <cellStyle name="쉼표 [0] 6 2 6 3 2 3" xfId="11928" xr:uid="{0110497C-7C69-4523-9ADA-1F328F3449E9}"/>
    <cellStyle name="쉼표 [0] 6 2 6 3 3" xfId="6440" xr:uid="{00000000-0005-0000-0000-0000B41B0000}"/>
    <cellStyle name="쉼표 [0] 6 2 6 3 3 2" xfId="13757" xr:uid="{A1A4C68B-70C9-4A31-96D7-114934F696BF}"/>
    <cellStyle name="쉼표 [0] 6 2 6 3 4" xfId="10098" xr:uid="{5F72B4B4-18E9-4DA3-8F51-329052191379}"/>
    <cellStyle name="쉼표 [0] 6 2 6 4" xfId="4606" xr:uid="{00000000-0005-0000-0000-0000B51B0000}"/>
    <cellStyle name="쉼표 [0] 6 2 6 4 2" xfId="8267" xr:uid="{00000000-0005-0000-0000-0000B61B0000}"/>
    <cellStyle name="쉼표 [0] 6 2 6 4 2 2" xfId="15584" xr:uid="{E9EB495D-83CA-400B-AE82-174B5445D448}"/>
    <cellStyle name="쉼표 [0] 6 2 6 4 3" xfId="11926" xr:uid="{75ADA464-59C6-4949-97D0-773E5A171A86}"/>
    <cellStyle name="쉼표 [0] 6 2 6 5" xfId="6438" xr:uid="{00000000-0005-0000-0000-0000B71B0000}"/>
    <cellStyle name="쉼표 [0] 6 2 6 5 2" xfId="13755" xr:uid="{2CA40C10-09FB-4F03-AA89-200CE4DD26D5}"/>
    <cellStyle name="쉼표 [0] 6 2 6 6" xfId="10096" xr:uid="{EA459EE0-92D0-44ED-8787-B545EBD04393}"/>
    <cellStyle name="쉼표 [0] 6 2 7" xfId="2268" xr:uid="{00000000-0005-0000-0000-0000B81B0000}"/>
    <cellStyle name="쉼표 [0] 6 2 7 2" xfId="4609" xr:uid="{00000000-0005-0000-0000-0000B91B0000}"/>
    <cellStyle name="쉼표 [0] 6 2 7 2 2" xfId="8270" xr:uid="{00000000-0005-0000-0000-0000BA1B0000}"/>
    <cellStyle name="쉼표 [0] 6 2 7 2 2 2" xfId="15587" xr:uid="{13192973-4168-469A-87B3-7F5EBBB69E81}"/>
    <cellStyle name="쉼표 [0] 6 2 7 2 3" xfId="11929" xr:uid="{3B5A5190-1B4A-4BC3-A861-8124ED342123}"/>
    <cellStyle name="쉼표 [0] 6 2 7 3" xfId="6441" xr:uid="{00000000-0005-0000-0000-0000BB1B0000}"/>
    <cellStyle name="쉼표 [0] 6 2 7 3 2" xfId="13758" xr:uid="{7B040C3E-E35D-4A4A-8B9C-65C5528DE02D}"/>
    <cellStyle name="쉼표 [0] 6 2 7 4" xfId="10099" xr:uid="{9DFA997A-B23F-4D38-AB6E-71F106F73F4E}"/>
    <cellStyle name="쉼표 [0] 6 2 8" xfId="2269" xr:uid="{00000000-0005-0000-0000-0000BC1B0000}"/>
    <cellStyle name="쉼표 [0] 6 2 8 2" xfId="2270" xr:uid="{00000000-0005-0000-0000-0000BD1B0000}"/>
    <cellStyle name="쉼표 [0] 6 2 8 2 2" xfId="4611" xr:uid="{00000000-0005-0000-0000-0000BE1B0000}"/>
    <cellStyle name="쉼표 [0] 6 2 8 2 2 2" xfId="8272" xr:uid="{00000000-0005-0000-0000-0000BF1B0000}"/>
    <cellStyle name="쉼표 [0] 6 2 8 2 2 2 2" xfId="15589" xr:uid="{7770E557-EB00-4270-86DD-F3881B4C6EA0}"/>
    <cellStyle name="쉼표 [0] 6 2 8 2 2 3" xfId="11931" xr:uid="{CF5959D7-1CB2-4B68-969B-7E6D1373989D}"/>
    <cellStyle name="쉼표 [0] 6 2 8 2 3" xfId="6443" xr:uid="{00000000-0005-0000-0000-0000C01B0000}"/>
    <cellStyle name="쉼표 [0] 6 2 8 2 3 2" xfId="13760" xr:uid="{5F2C76B0-5AE2-4A7A-89F6-E738023DD4B5}"/>
    <cellStyle name="쉼표 [0] 6 2 8 2 4" xfId="10101" xr:uid="{7A75A725-97EE-44C4-97A0-27D2A42A11C5}"/>
    <cellStyle name="쉼표 [0] 6 2 8 3" xfId="4610" xr:uid="{00000000-0005-0000-0000-0000C11B0000}"/>
    <cellStyle name="쉼표 [0] 6 2 8 3 2" xfId="8271" xr:uid="{00000000-0005-0000-0000-0000C21B0000}"/>
    <cellStyle name="쉼표 [0] 6 2 8 3 2 2" xfId="15588" xr:uid="{CAB4C127-06DD-4A4E-8B9A-53DAA7AF32B2}"/>
    <cellStyle name="쉼표 [0] 6 2 8 3 3" xfId="11930" xr:uid="{8047CDA3-DB0A-4B42-AC8B-68B7FE5359DE}"/>
    <cellStyle name="쉼표 [0] 6 2 8 4" xfId="6442" xr:uid="{00000000-0005-0000-0000-0000C31B0000}"/>
    <cellStyle name="쉼표 [0] 6 2 8 4 2" xfId="13759" xr:uid="{AA109D2B-AC08-4E65-81DC-CE46D5768B07}"/>
    <cellStyle name="쉼표 [0] 6 2 8 5" xfId="10100" xr:uid="{46C58F71-834E-4A16-831E-1D8422371E1E}"/>
    <cellStyle name="쉼표 [0] 6 2 9" xfId="2271" xr:uid="{00000000-0005-0000-0000-0000C41B0000}"/>
    <cellStyle name="쉼표 [0] 6 2 9 2" xfId="4612" xr:uid="{00000000-0005-0000-0000-0000C51B0000}"/>
    <cellStyle name="쉼표 [0] 6 2 9 2 2" xfId="8273" xr:uid="{00000000-0005-0000-0000-0000C61B0000}"/>
    <cellStyle name="쉼표 [0] 6 2 9 2 2 2" xfId="15590" xr:uid="{AAEF9C4A-144C-4A9A-B901-070D13D8BDC2}"/>
    <cellStyle name="쉼표 [0] 6 2 9 2 3" xfId="11932" xr:uid="{DC2B40BB-8827-4BD3-B96C-F6282CC9A771}"/>
    <cellStyle name="쉼표 [0] 6 2 9 3" xfId="6444" xr:uid="{00000000-0005-0000-0000-0000C71B0000}"/>
    <cellStyle name="쉼표 [0] 6 2 9 3 2" xfId="13761" xr:uid="{1186FA0C-ADD3-49C5-BF98-409EBC5EFD39}"/>
    <cellStyle name="쉼표 [0] 6 2 9 4" xfId="10102" xr:uid="{A3ED6024-F62D-4319-BD36-3460DA5338BE}"/>
    <cellStyle name="쉼표 [0] 6 3" xfId="2272" xr:uid="{00000000-0005-0000-0000-0000C81B0000}"/>
    <cellStyle name="쉼표 [0] 6 3 2" xfId="2273" xr:uid="{00000000-0005-0000-0000-0000C91B0000}"/>
    <cellStyle name="쉼표 [0] 6 3 2 2" xfId="4614" xr:uid="{00000000-0005-0000-0000-0000CA1B0000}"/>
    <cellStyle name="쉼표 [0] 6 3 2 2 2" xfId="8275" xr:uid="{00000000-0005-0000-0000-0000CB1B0000}"/>
    <cellStyle name="쉼표 [0] 6 3 2 2 2 2" xfId="15592" xr:uid="{D9D040B4-2451-4473-A2B5-A9644685C45B}"/>
    <cellStyle name="쉼표 [0] 6 3 2 2 3" xfId="11934" xr:uid="{B03957EF-445F-4BF0-BB35-299BC6DFF1E2}"/>
    <cellStyle name="쉼표 [0] 6 3 2 3" xfId="6446" xr:uid="{00000000-0005-0000-0000-0000CC1B0000}"/>
    <cellStyle name="쉼표 [0] 6 3 2 3 2" xfId="13763" xr:uid="{7C746F98-B40B-4D24-B5A3-C468AF2B4C3D}"/>
    <cellStyle name="쉼표 [0] 6 3 2 4" xfId="10104" xr:uid="{087C5A3B-FAA3-4AAB-9C6A-836475C498B2}"/>
    <cellStyle name="쉼표 [0] 6 3 3" xfId="2274" xr:uid="{00000000-0005-0000-0000-0000CD1B0000}"/>
    <cellStyle name="쉼표 [0] 6 3 3 2" xfId="2275" xr:uid="{00000000-0005-0000-0000-0000CE1B0000}"/>
    <cellStyle name="쉼표 [0] 6 3 3 2 2" xfId="4616" xr:uid="{00000000-0005-0000-0000-0000CF1B0000}"/>
    <cellStyle name="쉼표 [0] 6 3 3 2 2 2" xfId="8277" xr:uid="{00000000-0005-0000-0000-0000D01B0000}"/>
    <cellStyle name="쉼표 [0] 6 3 3 2 2 2 2" xfId="15594" xr:uid="{AB79C6A9-FEA3-4D11-BA99-BB17EEF1DF70}"/>
    <cellStyle name="쉼표 [0] 6 3 3 2 2 3" xfId="11936" xr:uid="{0288E2DA-BD8A-4015-A33E-B5E3F73E44A6}"/>
    <cellStyle name="쉼표 [0] 6 3 3 2 3" xfId="6448" xr:uid="{00000000-0005-0000-0000-0000D11B0000}"/>
    <cellStyle name="쉼표 [0] 6 3 3 2 3 2" xfId="13765" xr:uid="{5E2D0603-C813-48DC-9F2F-B6A8330DB7B5}"/>
    <cellStyle name="쉼표 [0] 6 3 3 2 4" xfId="10106" xr:uid="{9E55AFE8-6216-4B1C-AAF9-C8817EFEF52B}"/>
    <cellStyle name="쉼표 [0] 6 3 3 3" xfId="4615" xr:uid="{00000000-0005-0000-0000-0000D21B0000}"/>
    <cellStyle name="쉼표 [0] 6 3 3 3 2" xfId="8276" xr:uid="{00000000-0005-0000-0000-0000D31B0000}"/>
    <cellStyle name="쉼표 [0] 6 3 3 3 2 2" xfId="15593" xr:uid="{0330B8A0-B751-4BA3-B2FF-EC3A87F953E2}"/>
    <cellStyle name="쉼표 [0] 6 3 3 3 3" xfId="11935" xr:uid="{1263F173-278A-48B1-955D-B4A261B6727F}"/>
    <cellStyle name="쉼표 [0] 6 3 3 4" xfId="6447" xr:uid="{00000000-0005-0000-0000-0000D41B0000}"/>
    <cellStyle name="쉼표 [0] 6 3 3 4 2" xfId="13764" xr:uid="{DFEF40E0-AE5A-4A0C-AE7A-5DC71F096003}"/>
    <cellStyle name="쉼표 [0] 6 3 3 5" xfId="10105" xr:uid="{D5F3793F-9DF1-4DB2-9429-BDDF9B5429ED}"/>
    <cellStyle name="쉼표 [0] 6 3 4" xfId="2276" xr:uid="{00000000-0005-0000-0000-0000D51B0000}"/>
    <cellStyle name="쉼표 [0] 6 3 4 2" xfId="4617" xr:uid="{00000000-0005-0000-0000-0000D61B0000}"/>
    <cellStyle name="쉼표 [0] 6 3 4 2 2" xfId="8278" xr:uid="{00000000-0005-0000-0000-0000D71B0000}"/>
    <cellStyle name="쉼표 [0] 6 3 4 2 2 2" xfId="15595" xr:uid="{AC9DA885-0749-45BF-A75B-8325DADDB562}"/>
    <cellStyle name="쉼표 [0] 6 3 4 2 3" xfId="11937" xr:uid="{AAB59C34-8301-409D-9B56-E71668CC0109}"/>
    <cellStyle name="쉼표 [0] 6 3 4 3" xfId="6449" xr:uid="{00000000-0005-0000-0000-0000D81B0000}"/>
    <cellStyle name="쉼표 [0] 6 3 4 3 2" xfId="13766" xr:uid="{52D05F1D-7F1D-494E-80A7-381863A90F12}"/>
    <cellStyle name="쉼표 [0] 6 3 4 4" xfId="10107" xr:uid="{37162101-9761-4819-A9D2-133F03FB9F87}"/>
    <cellStyle name="쉼표 [0] 6 3 5" xfId="2277" xr:uid="{00000000-0005-0000-0000-0000D91B0000}"/>
    <cellStyle name="쉼표 [0] 6 3 5 2" xfId="2278" xr:uid="{00000000-0005-0000-0000-0000DA1B0000}"/>
    <cellStyle name="쉼표 [0] 6 3 5 2 2" xfId="4619" xr:uid="{00000000-0005-0000-0000-0000DB1B0000}"/>
    <cellStyle name="쉼표 [0] 6 3 5 2 2 2" xfId="8280" xr:uid="{00000000-0005-0000-0000-0000DC1B0000}"/>
    <cellStyle name="쉼표 [0] 6 3 5 2 2 2 2" xfId="15597" xr:uid="{3A56E001-63A6-4759-BC1B-002A8DD2CA77}"/>
    <cellStyle name="쉼표 [0] 6 3 5 2 2 3" xfId="11939" xr:uid="{CDCFC933-52A0-41AC-B6CE-E77F832BAFA8}"/>
    <cellStyle name="쉼표 [0] 6 3 5 2 3" xfId="6451" xr:uid="{00000000-0005-0000-0000-0000DD1B0000}"/>
    <cellStyle name="쉼표 [0] 6 3 5 2 3 2" xfId="13768" xr:uid="{F78A5263-AC3D-474B-BCCA-946A8B7DB390}"/>
    <cellStyle name="쉼표 [0] 6 3 5 2 4" xfId="10109" xr:uid="{2C753883-DA8C-48CF-9612-4516CD54C9E3}"/>
    <cellStyle name="쉼표 [0] 6 3 5 3" xfId="4618" xr:uid="{00000000-0005-0000-0000-0000DE1B0000}"/>
    <cellStyle name="쉼표 [0] 6 3 5 3 2" xfId="8279" xr:uid="{00000000-0005-0000-0000-0000DF1B0000}"/>
    <cellStyle name="쉼표 [0] 6 3 5 3 2 2" xfId="15596" xr:uid="{7C52DA95-9CE3-499C-B177-17C4D907F9CA}"/>
    <cellStyle name="쉼표 [0] 6 3 5 3 3" xfId="11938" xr:uid="{E0547ECF-3016-4CA1-BEB5-EA56B22518B6}"/>
    <cellStyle name="쉼표 [0] 6 3 5 4" xfId="6450" xr:uid="{00000000-0005-0000-0000-0000E01B0000}"/>
    <cellStyle name="쉼표 [0] 6 3 5 4 2" xfId="13767" xr:uid="{64BABF41-5AF9-4ECE-8E87-F8618D775AE6}"/>
    <cellStyle name="쉼표 [0] 6 3 5 5" xfId="10108" xr:uid="{885DD3ED-3329-4956-9376-A5C6D544B78E}"/>
    <cellStyle name="쉼표 [0] 6 3 6" xfId="4613" xr:uid="{00000000-0005-0000-0000-0000E11B0000}"/>
    <cellStyle name="쉼표 [0] 6 3 6 2" xfId="8274" xr:uid="{00000000-0005-0000-0000-0000E21B0000}"/>
    <cellStyle name="쉼표 [0] 6 3 6 2 2" xfId="15591" xr:uid="{3958AC39-15B6-432A-AF7D-A1039A5F4F19}"/>
    <cellStyle name="쉼표 [0] 6 3 6 3" xfId="11933" xr:uid="{356A41EF-A202-45BA-85F8-15F96AE4DF08}"/>
    <cellStyle name="쉼표 [0] 6 3 7" xfId="6445" xr:uid="{00000000-0005-0000-0000-0000E31B0000}"/>
    <cellStyle name="쉼표 [0] 6 3 7 2" xfId="13762" xr:uid="{C33F34B9-EE3F-4BC7-91F4-A8ED1B550773}"/>
    <cellStyle name="쉼표 [0] 6 3 8" xfId="10103" xr:uid="{FC0658FC-ABE7-41E0-A681-256A743A6933}"/>
    <cellStyle name="쉼표 [0] 6 4" xfId="2279" xr:uid="{00000000-0005-0000-0000-0000E41B0000}"/>
    <cellStyle name="쉼표 [0] 6 4 2" xfId="2280" xr:uid="{00000000-0005-0000-0000-0000E51B0000}"/>
    <cellStyle name="쉼표 [0] 6 4 2 2" xfId="4621" xr:uid="{00000000-0005-0000-0000-0000E61B0000}"/>
    <cellStyle name="쉼표 [0] 6 4 2 2 2" xfId="8282" xr:uid="{00000000-0005-0000-0000-0000E71B0000}"/>
    <cellStyle name="쉼표 [0] 6 4 2 2 2 2" xfId="15599" xr:uid="{3C0D2991-412B-41DB-B93A-CA8A75FD7D8B}"/>
    <cellStyle name="쉼표 [0] 6 4 2 2 3" xfId="11941" xr:uid="{83158E5C-3949-4900-9030-41B152B16432}"/>
    <cellStyle name="쉼표 [0] 6 4 2 3" xfId="6453" xr:uid="{00000000-0005-0000-0000-0000E81B0000}"/>
    <cellStyle name="쉼표 [0] 6 4 2 3 2" xfId="13770" xr:uid="{5F17E33F-E275-4B9E-9EA0-FAB77E65FF1A}"/>
    <cellStyle name="쉼표 [0] 6 4 2 4" xfId="10111" xr:uid="{BC1B14F8-44E5-4320-A086-99AEC50CFA66}"/>
    <cellStyle name="쉼표 [0] 6 4 3" xfId="2281" xr:uid="{00000000-0005-0000-0000-0000E91B0000}"/>
    <cellStyle name="쉼표 [0] 6 4 3 2" xfId="4622" xr:uid="{00000000-0005-0000-0000-0000EA1B0000}"/>
    <cellStyle name="쉼표 [0] 6 4 3 2 2" xfId="8283" xr:uid="{00000000-0005-0000-0000-0000EB1B0000}"/>
    <cellStyle name="쉼표 [0] 6 4 3 2 2 2" xfId="15600" xr:uid="{E1012CA7-186B-4A88-A3AE-71FF624A0B7F}"/>
    <cellStyle name="쉼표 [0] 6 4 3 2 3" xfId="11942" xr:uid="{C9F777B2-3453-4F31-AB54-11E97F38AD02}"/>
    <cellStyle name="쉼표 [0] 6 4 3 3" xfId="6454" xr:uid="{00000000-0005-0000-0000-0000EC1B0000}"/>
    <cellStyle name="쉼표 [0] 6 4 3 3 2" xfId="13771" xr:uid="{4766FFE2-3BD4-4F82-BB3E-220DC1AB82A5}"/>
    <cellStyle name="쉼표 [0] 6 4 3 4" xfId="10112" xr:uid="{0978EE4A-DA1F-4E48-A18F-92AEB746CAA5}"/>
    <cellStyle name="쉼표 [0] 6 4 4" xfId="4620" xr:uid="{00000000-0005-0000-0000-0000ED1B0000}"/>
    <cellStyle name="쉼표 [0] 6 4 4 2" xfId="8281" xr:uid="{00000000-0005-0000-0000-0000EE1B0000}"/>
    <cellStyle name="쉼표 [0] 6 4 4 2 2" xfId="15598" xr:uid="{DFD8775C-0209-4F22-8580-CF6D747B5D20}"/>
    <cellStyle name="쉼표 [0] 6 4 4 3" xfId="11940" xr:uid="{D93FC613-361F-4165-AC3A-A2E28AF156B2}"/>
    <cellStyle name="쉼표 [0] 6 4 5" xfId="6452" xr:uid="{00000000-0005-0000-0000-0000EF1B0000}"/>
    <cellStyle name="쉼표 [0] 6 4 5 2" xfId="13769" xr:uid="{C3E01067-DE5B-4DF1-B251-A83DA30197BA}"/>
    <cellStyle name="쉼표 [0] 6 4 6" xfId="10110" xr:uid="{E475BBBF-D2DE-4C6E-AD2D-09B0021AB299}"/>
    <cellStyle name="쉼표 [0] 6 5" xfId="2282" xr:uid="{00000000-0005-0000-0000-0000F01B0000}"/>
    <cellStyle name="쉼표 [0] 6 5 2" xfId="2283" xr:uid="{00000000-0005-0000-0000-0000F11B0000}"/>
    <cellStyle name="쉼표 [0] 6 5 2 2" xfId="4624" xr:uid="{00000000-0005-0000-0000-0000F21B0000}"/>
    <cellStyle name="쉼표 [0] 6 5 2 2 2" xfId="8285" xr:uid="{00000000-0005-0000-0000-0000F31B0000}"/>
    <cellStyle name="쉼표 [0] 6 5 2 2 2 2" xfId="15602" xr:uid="{05919724-7285-4700-8992-59EF03DDE4B9}"/>
    <cellStyle name="쉼표 [0] 6 5 2 2 3" xfId="11944" xr:uid="{871C24C9-438D-4FDE-9A83-820B47DC219C}"/>
    <cellStyle name="쉼표 [0] 6 5 2 3" xfId="6456" xr:uid="{00000000-0005-0000-0000-0000F41B0000}"/>
    <cellStyle name="쉼표 [0] 6 5 2 3 2" xfId="13773" xr:uid="{8723FF41-1FE0-4E6B-9C98-FC558A098AD8}"/>
    <cellStyle name="쉼표 [0] 6 5 2 4" xfId="10114" xr:uid="{0981FC6B-862B-493D-BE0F-763952E8EBEA}"/>
    <cellStyle name="쉼표 [0] 6 5 3" xfId="2284" xr:uid="{00000000-0005-0000-0000-0000F51B0000}"/>
    <cellStyle name="쉼표 [0] 6 5 3 2" xfId="4625" xr:uid="{00000000-0005-0000-0000-0000F61B0000}"/>
    <cellStyle name="쉼표 [0] 6 5 3 2 2" xfId="8286" xr:uid="{00000000-0005-0000-0000-0000F71B0000}"/>
    <cellStyle name="쉼표 [0] 6 5 3 2 2 2" xfId="15603" xr:uid="{203DBB2D-D6F2-43CB-9E37-6E9C33F4EC64}"/>
    <cellStyle name="쉼표 [0] 6 5 3 2 3" xfId="11945" xr:uid="{27E53EBE-2B33-4AC1-8A4D-D90C7521FBE4}"/>
    <cellStyle name="쉼표 [0] 6 5 3 3" xfId="6457" xr:uid="{00000000-0005-0000-0000-0000F81B0000}"/>
    <cellStyle name="쉼표 [0] 6 5 3 3 2" xfId="13774" xr:uid="{987687C3-D55B-4F38-B256-5221ADE9D9E7}"/>
    <cellStyle name="쉼표 [0] 6 5 3 4" xfId="10115" xr:uid="{6C8FF2F2-82A6-41BA-BDE7-79B3A508A0BF}"/>
    <cellStyle name="쉼표 [0] 6 5 4" xfId="4623" xr:uid="{00000000-0005-0000-0000-0000F91B0000}"/>
    <cellStyle name="쉼표 [0] 6 5 4 2" xfId="8284" xr:uid="{00000000-0005-0000-0000-0000FA1B0000}"/>
    <cellStyle name="쉼표 [0] 6 5 4 2 2" xfId="15601" xr:uid="{8ECFE0D1-46F7-421B-8CCA-10EB463021ED}"/>
    <cellStyle name="쉼표 [0] 6 5 4 3" xfId="11943" xr:uid="{514CBF15-5900-44E2-8A26-59A0592DDC4B}"/>
    <cellStyle name="쉼표 [0] 6 5 5" xfId="6455" xr:uid="{00000000-0005-0000-0000-0000FB1B0000}"/>
    <cellStyle name="쉼표 [0] 6 5 5 2" xfId="13772" xr:uid="{9D770587-E82D-47BB-AACB-7FA724C121F3}"/>
    <cellStyle name="쉼표 [0] 6 5 6" xfId="10113" xr:uid="{C6665761-DC1E-4A4D-995A-EB1C7A636866}"/>
    <cellStyle name="쉼표 [0] 6 6" xfId="2285" xr:uid="{00000000-0005-0000-0000-0000FC1B0000}"/>
    <cellStyle name="쉼표 [0] 6 6 2" xfId="2286" xr:uid="{00000000-0005-0000-0000-0000FD1B0000}"/>
    <cellStyle name="쉼표 [0] 6 6 2 2" xfId="4627" xr:uid="{00000000-0005-0000-0000-0000FE1B0000}"/>
    <cellStyle name="쉼표 [0] 6 6 2 2 2" xfId="8288" xr:uid="{00000000-0005-0000-0000-0000FF1B0000}"/>
    <cellStyle name="쉼표 [0] 6 6 2 2 2 2" xfId="15605" xr:uid="{CAC7A2CA-7D47-4B6B-B1DF-39B154A97E65}"/>
    <cellStyle name="쉼표 [0] 6 6 2 2 3" xfId="11947" xr:uid="{EA27CF56-B157-4EA8-AD91-EA962F17580B}"/>
    <cellStyle name="쉼표 [0] 6 6 2 3" xfId="6459" xr:uid="{00000000-0005-0000-0000-0000001C0000}"/>
    <cellStyle name="쉼표 [0] 6 6 2 3 2" xfId="13776" xr:uid="{1D65D7D4-036F-4E9A-9696-228F1C368841}"/>
    <cellStyle name="쉼표 [0] 6 6 2 4" xfId="10117" xr:uid="{D826859D-BF3E-4E63-B537-7F999D29EE9E}"/>
    <cellStyle name="쉼표 [0] 6 6 3" xfId="2287" xr:uid="{00000000-0005-0000-0000-0000011C0000}"/>
    <cellStyle name="쉼표 [0] 6 6 3 2" xfId="4628" xr:uid="{00000000-0005-0000-0000-0000021C0000}"/>
    <cellStyle name="쉼표 [0] 6 6 3 2 2" xfId="8289" xr:uid="{00000000-0005-0000-0000-0000031C0000}"/>
    <cellStyle name="쉼표 [0] 6 6 3 2 2 2" xfId="15606" xr:uid="{598AE478-DCE0-4986-BFC0-3858F5013D75}"/>
    <cellStyle name="쉼표 [0] 6 6 3 2 3" xfId="11948" xr:uid="{F7FDE14D-B9CA-497E-A093-E60F99E0CBB1}"/>
    <cellStyle name="쉼표 [0] 6 6 3 3" xfId="6460" xr:uid="{00000000-0005-0000-0000-0000041C0000}"/>
    <cellStyle name="쉼표 [0] 6 6 3 3 2" xfId="13777" xr:uid="{E31A43A5-F2CC-4E3B-AC97-AA00A051EA42}"/>
    <cellStyle name="쉼표 [0] 6 6 3 4" xfId="10118" xr:uid="{FCCC8393-A7F3-47D4-863A-B7C2CE117F80}"/>
    <cellStyle name="쉼표 [0] 6 6 4" xfId="4626" xr:uid="{00000000-0005-0000-0000-0000051C0000}"/>
    <cellStyle name="쉼표 [0] 6 6 4 2" xfId="8287" xr:uid="{00000000-0005-0000-0000-0000061C0000}"/>
    <cellStyle name="쉼표 [0] 6 6 4 2 2" xfId="15604" xr:uid="{29D67564-84D8-4FF1-8F00-12DE0475B6F1}"/>
    <cellStyle name="쉼표 [0] 6 6 4 3" xfId="11946" xr:uid="{3503853F-FDE9-4B8E-9C55-CA3DD8C043BD}"/>
    <cellStyle name="쉼표 [0] 6 6 5" xfId="6458" xr:uid="{00000000-0005-0000-0000-0000071C0000}"/>
    <cellStyle name="쉼표 [0] 6 6 5 2" xfId="13775" xr:uid="{28A44CA3-C46F-413A-B3D8-C03AD8C84BEE}"/>
    <cellStyle name="쉼표 [0] 6 6 6" xfId="10116" xr:uid="{22ABE3E9-4546-4B26-BA0B-7C2AF8B7414D}"/>
    <cellStyle name="쉼표 [0] 6 7" xfId="2288" xr:uid="{00000000-0005-0000-0000-0000081C0000}"/>
    <cellStyle name="쉼표 [0] 6 7 2" xfId="2289" xr:uid="{00000000-0005-0000-0000-0000091C0000}"/>
    <cellStyle name="쉼표 [0] 6 7 2 2" xfId="4630" xr:uid="{00000000-0005-0000-0000-00000A1C0000}"/>
    <cellStyle name="쉼표 [0] 6 7 2 2 2" xfId="8291" xr:uid="{00000000-0005-0000-0000-00000B1C0000}"/>
    <cellStyle name="쉼표 [0] 6 7 2 2 2 2" xfId="15608" xr:uid="{6712AD3C-23E7-4D13-9D14-E5B214B51320}"/>
    <cellStyle name="쉼표 [0] 6 7 2 2 3" xfId="11950" xr:uid="{827221CB-98E8-4650-B497-47F44D9B0DE9}"/>
    <cellStyle name="쉼표 [0] 6 7 2 3" xfId="6462" xr:uid="{00000000-0005-0000-0000-00000C1C0000}"/>
    <cellStyle name="쉼표 [0] 6 7 2 3 2" xfId="13779" xr:uid="{54E287C5-8E5A-43C5-B4D7-ECFD8778605B}"/>
    <cellStyle name="쉼표 [0] 6 7 2 4" xfId="10120" xr:uid="{76BEE374-3FAF-447B-8CC3-1DFB30475EF0}"/>
    <cellStyle name="쉼표 [0] 6 7 3" xfId="2290" xr:uid="{00000000-0005-0000-0000-00000D1C0000}"/>
    <cellStyle name="쉼표 [0] 6 7 3 2" xfId="4631" xr:uid="{00000000-0005-0000-0000-00000E1C0000}"/>
    <cellStyle name="쉼표 [0] 6 7 3 2 2" xfId="8292" xr:uid="{00000000-0005-0000-0000-00000F1C0000}"/>
    <cellStyle name="쉼표 [0] 6 7 3 2 2 2" xfId="15609" xr:uid="{BC5A7A95-FC1E-4298-9F90-7E80E04A9023}"/>
    <cellStyle name="쉼표 [0] 6 7 3 2 3" xfId="11951" xr:uid="{B9D3C3EB-35DF-470F-ACC9-96CF4F95730C}"/>
    <cellStyle name="쉼표 [0] 6 7 3 3" xfId="6463" xr:uid="{00000000-0005-0000-0000-0000101C0000}"/>
    <cellStyle name="쉼표 [0] 6 7 3 3 2" xfId="13780" xr:uid="{2E955BDC-2313-47DF-8B19-9BEAEF16CCAE}"/>
    <cellStyle name="쉼표 [0] 6 7 3 4" xfId="10121" xr:uid="{E7B78552-1AB4-48AB-B0EF-6A205E8EE7F8}"/>
    <cellStyle name="쉼표 [0] 6 7 4" xfId="4629" xr:uid="{00000000-0005-0000-0000-0000111C0000}"/>
    <cellStyle name="쉼표 [0] 6 7 4 2" xfId="8290" xr:uid="{00000000-0005-0000-0000-0000121C0000}"/>
    <cellStyle name="쉼표 [0] 6 7 4 2 2" xfId="15607" xr:uid="{F7CCAE63-C693-4FCE-9EC8-C2E22E273A4F}"/>
    <cellStyle name="쉼표 [0] 6 7 4 3" xfId="11949" xr:uid="{205AF4AF-C397-4003-8A29-81DB009AE0EC}"/>
    <cellStyle name="쉼표 [0] 6 7 5" xfId="6461" xr:uid="{00000000-0005-0000-0000-0000131C0000}"/>
    <cellStyle name="쉼표 [0] 6 7 5 2" xfId="13778" xr:uid="{3B2BF6D3-5140-4AAA-8A50-95F78CF8AB8C}"/>
    <cellStyle name="쉼표 [0] 6 7 6" xfId="10119" xr:uid="{CCB01CC6-3841-4051-81B3-339F722460D9}"/>
    <cellStyle name="쉼표 [0] 6 8" xfId="2291" xr:uid="{00000000-0005-0000-0000-0000141C0000}"/>
    <cellStyle name="쉼표 [0] 6 8 2" xfId="2292" xr:uid="{00000000-0005-0000-0000-0000151C0000}"/>
    <cellStyle name="쉼표 [0] 6 8 2 2" xfId="4633" xr:uid="{00000000-0005-0000-0000-0000161C0000}"/>
    <cellStyle name="쉼표 [0] 6 8 2 2 2" xfId="8294" xr:uid="{00000000-0005-0000-0000-0000171C0000}"/>
    <cellStyle name="쉼표 [0] 6 8 2 2 2 2" xfId="15611" xr:uid="{6E2D70C8-7F17-446F-B96B-7D3F7FBB3557}"/>
    <cellStyle name="쉼표 [0] 6 8 2 2 3" xfId="11953" xr:uid="{71F8F0A8-944E-4DE0-910A-2E304A70F2D2}"/>
    <cellStyle name="쉼표 [0] 6 8 2 3" xfId="6465" xr:uid="{00000000-0005-0000-0000-0000181C0000}"/>
    <cellStyle name="쉼표 [0] 6 8 2 3 2" xfId="13782" xr:uid="{E28CDEE1-E429-42DF-9F10-0DD6437EA0F4}"/>
    <cellStyle name="쉼표 [0] 6 8 2 4" xfId="10123" xr:uid="{DD4CABD1-E9CD-44E4-AC89-E7C11DF090B2}"/>
    <cellStyle name="쉼표 [0] 6 8 3" xfId="4632" xr:uid="{00000000-0005-0000-0000-0000191C0000}"/>
    <cellStyle name="쉼표 [0] 6 8 3 2" xfId="8293" xr:uid="{00000000-0005-0000-0000-00001A1C0000}"/>
    <cellStyle name="쉼표 [0] 6 8 3 2 2" xfId="15610" xr:uid="{97BFBEF5-BCFB-4BA5-8384-689C0CB88A61}"/>
    <cellStyle name="쉼표 [0] 6 8 3 3" xfId="11952" xr:uid="{D0731CC6-C5DC-4669-A009-0615C1DEA2C3}"/>
    <cellStyle name="쉼표 [0] 6 8 4" xfId="6464" xr:uid="{00000000-0005-0000-0000-00001B1C0000}"/>
    <cellStyle name="쉼표 [0] 6 8 4 2" xfId="13781" xr:uid="{43462F46-A7D6-418D-A346-15A7DD21382C}"/>
    <cellStyle name="쉼표 [0] 6 8 5" xfId="10122" xr:uid="{4FE96397-8498-4085-96CD-A83A9D842AB3}"/>
    <cellStyle name="쉼표 [0] 6 9" xfId="2293" xr:uid="{00000000-0005-0000-0000-00001C1C0000}"/>
    <cellStyle name="쉼표 [0] 6 9 2" xfId="4634" xr:uid="{00000000-0005-0000-0000-00001D1C0000}"/>
    <cellStyle name="쉼표 [0] 6 9 2 2" xfId="8295" xr:uid="{00000000-0005-0000-0000-00001E1C0000}"/>
    <cellStyle name="쉼표 [0] 6 9 2 2 2" xfId="15612" xr:uid="{CAC821A3-E53F-4383-882B-4B18DAC9BB6B}"/>
    <cellStyle name="쉼표 [0] 6 9 2 3" xfId="11954" xr:uid="{DF663EDD-0249-4852-80A0-A0E88C22182D}"/>
    <cellStyle name="쉼표 [0] 6 9 3" xfId="6466" xr:uid="{00000000-0005-0000-0000-00001F1C0000}"/>
    <cellStyle name="쉼표 [0] 6 9 3 2" xfId="13783" xr:uid="{FF3CCE63-F58C-482C-AA59-20E6992E18F9}"/>
    <cellStyle name="쉼표 [0] 6 9 4" xfId="10124" xr:uid="{B78A5A40-09E0-4A78-A741-650C8B190E13}"/>
    <cellStyle name="쉼표 [0] 7" xfId="2294" xr:uid="{00000000-0005-0000-0000-0000201C0000}"/>
    <cellStyle name="쉼표 [0] 7 10" xfId="2295" xr:uid="{00000000-0005-0000-0000-0000211C0000}"/>
    <cellStyle name="쉼표 [0] 7 10 2" xfId="4636" xr:uid="{00000000-0005-0000-0000-0000221C0000}"/>
    <cellStyle name="쉼표 [0] 7 10 2 2" xfId="8297" xr:uid="{00000000-0005-0000-0000-0000231C0000}"/>
    <cellStyle name="쉼표 [0] 7 10 2 2 2" xfId="15614" xr:uid="{7587243E-2D6A-4B45-989E-8E4DA00FADE3}"/>
    <cellStyle name="쉼표 [0] 7 10 2 3" xfId="11956" xr:uid="{B0A99A0C-788B-484E-BACF-425D0298C681}"/>
    <cellStyle name="쉼표 [0] 7 10 3" xfId="6468" xr:uid="{00000000-0005-0000-0000-0000241C0000}"/>
    <cellStyle name="쉼표 [0] 7 10 3 2" xfId="13785" xr:uid="{6F3144CA-5DE1-4677-B4DD-13214DD8BA6E}"/>
    <cellStyle name="쉼표 [0] 7 10 4" xfId="10126" xr:uid="{450B6182-7CFF-4B0E-9163-865663BEFACE}"/>
    <cellStyle name="쉼표 [0] 7 11" xfId="4635" xr:uid="{00000000-0005-0000-0000-0000251C0000}"/>
    <cellStyle name="쉼표 [0] 7 11 2" xfId="8296" xr:uid="{00000000-0005-0000-0000-0000261C0000}"/>
    <cellStyle name="쉼표 [0] 7 11 2 2" xfId="15613" xr:uid="{D15717C9-21A6-44B9-AB9E-2696EE53A3D2}"/>
    <cellStyle name="쉼표 [0] 7 11 3" xfId="11955" xr:uid="{C353EBDF-3A57-49C0-BB39-EACE0CD0A695}"/>
    <cellStyle name="쉼표 [0] 7 12" xfId="6467" xr:uid="{00000000-0005-0000-0000-0000271C0000}"/>
    <cellStyle name="쉼표 [0] 7 12 2" xfId="13784" xr:uid="{291D618F-A3AE-417D-B12C-F1E8C555373F}"/>
    <cellStyle name="쉼표 [0] 7 13" xfId="10125" xr:uid="{51E6C26E-AA24-4ABD-AAC9-5F71EFAEDC24}"/>
    <cellStyle name="쉼표 [0] 7 2" xfId="2296" xr:uid="{00000000-0005-0000-0000-0000281C0000}"/>
    <cellStyle name="쉼표 [0] 7 2 2" xfId="2297" xr:uid="{00000000-0005-0000-0000-0000291C0000}"/>
    <cellStyle name="쉼표 [0] 7 2 2 2" xfId="2298" xr:uid="{00000000-0005-0000-0000-00002A1C0000}"/>
    <cellStyle name="쉼표 [0] 7 2 2 2 2" xfId="4639" xr:uid="{00000000-0005-0000-0000-00002B1C0000}"/>
    <cellStyle name="쉼표 [0] 7 2 2 2 2 2" xfId="8300" xr:uid="{00000000-0005-0000-0000-00002C1C0000}"/>
    <cellStyle name="쉼표 [0] 7 2 2 2 2 2 2" xfId="15617" xr:uid="{CEA8CB17-7FD0-4053-9AAA-F9D9B1DF99C1}"/>
    <cellStyle name="쉼표 [0] 7 2 2 2 2 3" xfId="11959" xr:uid="{1C46BB97-5AD5-4EDE-A3DC-3C89292226E0}"/>
    <cellStyle name="쉼표 [0] 7 2 2 2 3" xfId="6471" xr:uid="{00000000-0005-0000-0000-00002D1C0000}"/>
    <cellStyle name="쉼표 [0] 7 2 2 2 3 2" xfId="13788" xr:uid="{7514509A-020A-4546-9386-1ACCC2F56888}"/>
    <cellStyle name="쉼표 [0] 7 2 2 2 4" xfId="10129" xr:uid="{DB8CC694-7FAF-410A-A455-02F3929F57A4}"/>
    <cellStyle name="쉼표 [0] 7 2 2 3" xfId="4638" xr:uid="{00000000-0005-0000-0000-00002E1C0000}"/>
    <cellStyle name="쉼표 [0] 7 2 2 3 2" xfId="8299" xr:uid="{00000000-0005-0000-0000-00002F1C0000}"/>
    <cellStyle name="쉼표 [0] 7 2 2 3 2 2" xfId="15616" xr:uid="{975D9775-9C2C-47BC-80BA-C2A232292617}"/>
    <cellStyle name="쉼표 [0] 7 2 2 3 3" xfId="11958" xr:uid="{A3D29A9C-D03A-4B5B-A838-BD9C6D88FA37}"/>
    <cellStyle name="쉼표 [0] 7 2 2 4" xfId="6470" xr:uid="{00000000-0005-0000-0000-0000301C0000}"/>
    <cellStyle name="쉼표 [0] 7 2 2 4 2" xfId="13787" xr:uid="{B83B9B6E-405E-4C71-8244-D09CAA1627F1}"/>
    <cellStyle name="쉼표 [0] 7 2 2 5" xfId="10128" xr:uid="{0D0FD99A-AA43-48E9-A2A9-C88EBA26F5BF}"/>
    <cellStyle name="쉼표 [0] 7 2 3" xfId="2299" xr:uid="{00000000-0005-0000-0000-0000311C0000}"/>
    <cellStyle name="쉼표 [0] 7 2 3 2" xfId="2300" xr:uid="{00000000-0005-0000-0000-0000321C0000}"/>
    <cellStyle name="쉼표 [0] 7 2 3 2 2" xfId="4641" xr:uid="{00000000-0005-0000-0000-0000331C0000}"/>
    <cellStyle name="쉼표 [0] 7 2 3 2 2 2" xfId="8302" xr:uid="{00000000-0005-0000-0000-0000341C0000}"/>
    <cellStyle name="쉼표 [0] 7 2 3 2 2 2 2" xfId="15619" xr:uid="{87EDBD6F-E366-4B8D-A43E-F4DE35A8464D}"/>
    <cellStyle name="쉼표 [0] 7 2 3 2 2 3" xfId="11961" xr:uid="{7457F15C-AE36-4AF7-8EDF-DF05F719E038}"/>
    <cellStyle name="쉼표 [0] 7 2 3 2 3" xfId="6473" xr:uid="{00000000-0005-0000-0000-0000351C0000}"/>
    <cellStyle name="쉼표 [0] 7 2 3 2 3 2" xfId="13790" xr:uid="{7465A49A-5040-4A3A-B5D7-D0C01505EAA4}"/>
    <cellStyle name="쉼표 [0] 7 2 3 2 4" xfId="10131" xr:uid="{3C0A5FDA-FC22-4B2F-A7CB-D507655574DA}"/>
    <cellStyle name="쉼표 [0] 7 2 3 3" xfId="4640" xr:uid="{00000000-0005-0000-0000-0000361C0000}"/>
    <cellStyle name="쉼표 [0] 7 2 3 3 2" xfId="8301" xr:uid="{00000000-0005-0000-0000-0000371C0000}"/>
    <cellStyle name="쉼표 [0] 7 2 3 3 2 2" xfId="15618" xr:uid="{272040A5-EFFA-4F26-9C4F-E797042EBD7C}"/>
    <cellStyle name="쉼표 [0] 7 2 3 3 3" xfId="11960" xr:uid="{C0275D3B-9615-4E9E-88EF-FF91EE223D72}"/>
    <cellStyle name="쉼표 [0] 7 2 3 4" xfId="6472" xr:uid="{00000000-0005-0000-0000-0000381C0000}"/>
    <cellStyle name="쉼표 [0] 7 2 3 4 2" xfId="13789" xr:uid="{FCA19076-C8DD-4E2F-B692-7CAC6E4C3837}"/>
    <cellStyle name="쉼표 [0] 7 2 3 5" xfId="10130" xr:uid="{5ABA06E4-4895-49C6-AA6D-A5BEA8C2B50A}"/>
    <cellStyle name="쉼표 [0] 7 2 4" xfId="2301" xr:uid="{00000000-0005-0000-0000-0000391C0000}"/>
    <cellStyle name="쉼표 [0] 7 2 4 2" xfId="4642" xr:uid="{00000000-0005-0000-0000-00003A1C0000}"/>
    <cellStyle name="쉼표 [0] 7 2 4 2 2" xfId="8303" xr:uid="{00000000-0005-0000-0000-00003B1C0000}"/>
    <cellStyle name="쉼표 [0] 7 2 4 2 2 2" xfId="15620" xr:uid="{29FA5DBA-4243-40EF-91F3-8EACD92D38C0}"/>
    <cellStyle name="쉼표 [0] 7 2 4 2 3" xfId="11962" xr:uid="{8B6FD1DB-CC53-47FE-A9FB-EC441E368E60}"/>
    <cellStyle name="쉼표 [0] 7 2 4 3" xfId="6474" xr:uid="{00000000-0005-0000-0000-00003C1C0000}"/>
    <cellStyle name="쉼표 [0] 7 2 4 3 2" xfId="13791" xr:uid="{98D321DE-E8C1-4C15-A4C3-1358E567FCB0}"/>
    <cellStyle name="쉼표 [0] 7 2 4 4" xfId="10132" xr:uid="{830B5A54-42B6-47B8-BDDE-3B0FC74075A2}"/>
    <cellStyle name="쉼표 [0] 7 2 5" xfId="2302" xr:uid="{00000000-0005-0000-0000-00003D1C0000}"/>
    <cellStyle name="쉼표 [0] 7 2 5 2" xfId="4643" xr:uid="{00000000-0005-0000-0000-00003E1C0000}"/>
    <cellStyle name="쉼표 [0] 7 2 5 2 2" xfId="8304" xr:uid="{00000000-0005-0000-0000-00003F1C0000}"/>
    <cellStyle name="쉼표 [0] 7 2 5 2 2 2" xfId="15621" xr:uid="{D181579D-92EC-4A0B-A376-B50DC7E78655}"/>
    <cellStyle name="쉼표 [0] 7 2 5 2 3" xfId="11963" xr:uid="{0E23623B-1D04-4842-96BC-3F51BB786682}"/>
    <cellStyle name="쉼표 [0] 7 2 5 3" xfId="6475" xr:uid="{00000000-0005-0000-0000-0000401C0000}"/>
    <cellStyle name="쉼표 [0] 7 2 5 3 2" xfId="13792" xr:uid="{4F25D969-0F1C-4D9D-A8B7-2BC9E0BFB8CE}"/>
    <cellStyle name="쉼표 [0] 7 2 5 4" xfId="10133" xr:uid="{96AFC4DB-7081-45B9-BEF2-4096EDB5945D}"/>
    <cellStyle name="쉼표 [0] 7 2 6" xfId="4637" xr:uid="{00000000-0005-0000-0000-0000411C0000}"/>
    <cellStyle name="쉼표 [0] 7 2 6 2" xfId="8298" xr:uid="{00000000-0005-0000-0000-0000421C0000}"/>
    <cellStyle name="쉼표 [0] 7 2 6 2 2" xfId="15615" xr:uid="{59EEE2DF-B2A0-4D6B-AC58-3A63EC927F84}"/>
    <cellStyle name="쉼표 [0] 7 2 6 3" xfId="11957" xr:uid="{D92F47F3-8F3D-4648-9D98-9F2AF28C8CA1}"/>
    <cellStyle name="쉼표 [0] 7 2 7" xfId="6469" xr:uid="{00000000-0005-0000-0000-0000431C0000}"/>
    <cellStyle name="쉼표 [0] 7 2 7 2" xfId="13786" xr:uid="{A21BFB1D-2DE3-402F-97B3-8DEC6AC3D64E}"/>
    <cellStyle name="쉼표 [0] 7 2 8" xfId="10127" xr:uid="{C6B9E2BB-1930-4BA0-8702-02F1E98EA2AB}"/>
    <cellStyle name="쉼표 [0] 7 3" xfId="2303" xr:uid="{00000000-0005-0000-0000-0000441C0000}"/>
    <cellStyle name="쉼표 [0] 7 3 2" xfId="2304" xr:uid="{00000000-0005-0000-0000-0000451C0000}"/>
    <cellStyle name="쉼표 [0] 7 3 2 2" xfId="4645" xr:uid="{00000000-0005-0000-0000-0000461C0000}"/>
    <cellStyle name="쉼표 [0] 7 3 2 2 2" xfId="8306" xr:uid="{00000000-0005-0000-0000-0000471C0000}"/>
    <cellStyle name="쉼표 [0] 7 3 2 2 2 2" xfId="15623" xr:uid="{FA2E6764-25D3-4AA5-9650-FC4274C38B84}"/>
    <cellStyle name="쉼표 [0] 7 3 2 2 3" xfId="11965" xr:uid="{BD8FBDA4-1F65-483B-80A4-AFA2DA89EB17}"/>
    <cellStyle name="쉼표 [0] 7 3 2 3" xfId="6477" xr:uid="{00000000-0005-0000-0000-0000481C0000}"/>
    <cellStyle name="쉼표 [0] 7 3 2 3 2" xfId="13794" xr:uid="{A39EEF86-BC28-4B0D-A39B-C7BE8F134FBE}"/>
    <cellStyle name="쉼표 [0] 7 3 2 4" xfId="10135" xr:uid="{E5EE165C-B6EA-4332-A951-FF1D053143D7}"/>
    <cellStyle name="쉼표 [0] 7 3 3" xfId="2305" xr:uid="{00000000-0005-0000-0000-0000491C0000}"/>
    <cellStyle name="쉼표 [0] 7 3 3 2" xfId="4646" xr:uid="{00000000-0005-0000-0000-00004A1C0000}"/>
    <cellStyle name="쉼표 [0] 7 3 3 2 2" xfId="8307" xr:uid="{00000000-0005-0000-0000-00004B1C0000}"/>
    <cellStyle name="쉼표 [0] 7 3 3 2 2 2" xfId="15624" xr:uid="{7ABD7285-95CD-40AC-90EB-3127021B0ACF}"/>
    <cellStyle name="쉼표 [0] 7 3 3 2 3" xfId="11966" xr:uid="{4EBFEE61-B30F-4773-9531-97E516768CF3}"/>
    <cellStyle name="쉼표 [0] 7 3 3 3" xfId="6478" xr:uid="{00000000-0005-0000-0000-00004C1C0000}"/>
    <cellStyle name="쉼표 [0] 7 3 3 3 2" xfId="13795" xr:uid="{B042C043-9E58-4575-8C80-872A171B2AE4}"/>
    <cellStyle name="쉼표 [0] 7 3 3 4" xfId="10136" xr:uid="{77A5EE6C-49BE-4B55-9357-D832D1C722C5}"/>
    <cellStyle name="쉼표 [0] 7 3 4" xfId="2306" xr:uid="{00000000-0005-0000-0000-00004D1C0000}"/>
    <cellStyle name="쉼표 [0] 7 3 4 2" xfId="4647" xr:uid="{00000000-0005-0000-0000-00004E1C0000}"/>
    <cellStyle name="쉼표 [0] 7 3 4 2 2" xfId="8308" xr:uid="{00000000-0005-0000-0000-00004F1C0000}"/>
    <cellStyle name="쉼표 [0] 7 3 4 2 2 2" xfId="15625" xr:uid="{9AC30E1B-A7B5-4D1F-8BF7-2A84CF892BD1}"/>
    <cellStyle name="쉼표 [0] 7 3 4 2 3" xfId="11967" xr:uid="{C05D3F83-A4DF-4267-9CFE-212BF61A02D6}"/>
    <cellStyle name="쉼표 [0] 7 3 4 3" xfId="6479" xr:uid="{00000000-0005-0000-0000-0000501C0000}"/>
    <cellStyle name="쉼표 [0] 7 3 4 3 2" xfId="13796" xr:uid="{AA38BDE1-E27A-4CF1-8C8D-4F502E411317}"/>
    <cellStyle name="쉼표 [0] 7 3 4 4" xfId="10137" xr:uid="{449E7848-6B9F-48C2-8490-5700FCF284B4}"/>
    <cellStyle name="쉼표 [0] 7 3 5" xfId="4644" xr:uid="{00000000-0005-0000-0000-0000511C0000}"/>
    <cellStyle name="쉼표 [0] 7 3 5 2" xfId="8305" xr:uid="{00000000-0005-0000-0000-0000521C0000}"/>
    <cellStyle name="쉼표 [0] 7 3 5 2 2" xfId="15622" xr:uid="{3BA8FFFB-AF27-441C-94FD-370A3F55F5F5}"/>
    <cellStyle name="쉼표 [0] 7 3 5 3" xfId="11964" xr:uid="{AEB6FBC6-70EC-4A1E-A8C2-77B8A728E366}"/>
    <cellStyle name="쉼표 [0] 7 3 6" xfId="6476" xr:uid="{00000000-0005-0000-0000-0000531C0000}"/>
    <cellStyle name="쉼표 [0] 7 3 6 2" xfId="13793" xr:uid="{0272A5C6-184A-44AF-99BA-C0C6F7DF0BD5}"/>
    <cellStyle name="쉼표 [0] 7 3 7" xfId="10134" xr:uid="{7B2C78FE-AA12-46FC-A2DC-1399C8AC5802}"/>
    <cellStyle name="쉼표 [0] 7 4" xfId="2307" xr:uid="{00000000-0005-0000-0000-0000541C0000}"/>
    <cellStyle name="쉼표 [0] 7 4 2" xfId="2308" xr:uid="{00000000-0005-0000-0000-0000551C0000}"/>
    <cellStyle name="쉼표 [0] 7 4 2 2" xfId="4649" xr:uid="{00000000-0005-0000-0000-0000561C0000}"/>
    <cellStyle name="쉼표 [0] 7 4 2 2 2" xfId="8310" xr:uid="{00000000-0005-0000-0000-0000571C0000}"/>
    <cellStyle name="쉼표 [0] 7 4 2 2 2 2" xfId="15627" xr:uid="{6E0CCB90-5FAF-4F74-ABAC-49F4B7E64AC4}"/>
    <cellStyle name="쉼표 [0] 7 4 2 2 3" xfId="11969" xr:uid="{E7B0AE60-D9A4-4018-A46A-E14DEA42FC45}"/>
    <cellStyle name="쉼표 [0] 7 4 2 3" xfId="6481" xr:uid="{00000000-0005-0000-0000-0000581C0000}"/>
    <cellStyle name="쉼표 [0] 7 4 2 3 2" xfId="13798" xr:uid="{BCF802EA-2BA8-4E0D-9546-94B03BA6DEEE}"/>
    <cellStyle name="쉼표 [0] 7 4 2 4" xfId="10139" xr:uid="{BC39B20B-6A5A-4413-94B7-554FFA688C38}"/>
    <cellStyle name="쉼표 [0] 7 4 3" xfId="2309" xr:uid="{00000000-0005-0000-0000-0000591C0000}"/>
    <cellStyle name="쉼표 [0] 7 4 3 2" xfId="4650" xr:uid="{00000000-0005-0000-0000-00005A1C0000}"/>
    <cellStyle name="쉼표 [0] 7 4 3 2 2" xfId="8311" xr:uid="{00000000-0005-0000-0000-00005B1C0000}"/>
    <cellStyle name="쉼표 [0] 7 4 3 2 2 2" xfId="15628" xr:uid="{29EF4F53-0DFF-4254-8821-8AE23EA0F7D0}"/>
    <cellStyle name="쉼표 [0] 7 4 3 2 3" xfId="11970" xr:uid="{1AEB1565-EBDB-4170-A608-3D254F21B804}"/>
    <cellStyle name="쉼표 [0] 7 4 3 3" xfId="6482" xr:uid="{00000000-0005-0000-0000-00005C1C0000}"/>
    <cellStyle name="쉼표 [0] 7 4 3 3 2" xfId="13799" xr:uid="{755DA4D6-F5C6-4D95-A30F-3631BCBC8CF6}"/>
    <cellStyle name="쉼표 [0] 7 4 3 4" xfId="10140" xr:uid="{92BD5BA1-410C-4C11-87A4-BDDE906455DD}"/>
    <cellStyle name="쉼표 [0] 7 4 4" xfId="2310" xr:uid="{00000000-0005-0000-0000-00005D1C0000}"/>
    <cellStyle name="쉼표 [0] 7 4 4 2" xfId="4651" xr:uid="{00000000-0005-0000-0000-00005E1C0000}"/>
    <cellStyle name="쉼표 [0] 7 4 4 2 2" xfId="8312" xr:uid="{00000000-0005-0000-0000-00005F1C0000}"/>
    <cellStyle name="쉼표 [0] 7 4 4 2 2 2" xfId="15629" xr:uid="{32BEE078-B432-4E08-AA44-2AA99BE83AA4}"/>
    <cellStyle name="쉼표 [0] 7 4 4 2 3" xfId="11971" xr:uid="{D8206DF5-E07A-44C5-967C-CAC9A8DFE196}"/>
    <cellStyle name="쉼표 [0] 7 4 4 3" xfId="6483" xr:uid="{00000000-0005-0000-0000-0000601C0000}"/>
    <cellStyle name="쉼표 [0] 7 4 4 3 2" xfId="13800" xr:uid="{D59E5F72-7983-4D33-803A-F5823E0816A6}"/>
    <cellStyle name="쉼표 [0] 7 4 4 4" xfId="10141" xr:uid="{768A24DD-E19C-407C-B1BD-50B6BA21F5B4}"/>
    <cellStyle name="쉼표 [0] 7 4 5" xfId="4648" xr:uid="{00000000-0005-0000-0000-0000611C0000}"/>
    <cellStyle name="쉼표 [0] 7 4 5 2" xfId="8309" xr:uid="{00000000-0005-0000-0000-0000621C0000}"/>
    <cellStyle name="쉼표 [0] 7 4 5 2 2" xfId="15626" xr:uid="{72980A92-4F48-4BAD-B009-CF404AC8D886}"/>
    <cellStyle name="쉼표 [0] 7 4 5 3" xfId="11968" xr:uid="{21DC2823-0CB3-4DF6-A36F-882C3841F8DC}"/>
    <cellStyle name="쉼표 [0] 7 4 6" xfId="6480" xr:uid="{00000000-0005-0000-0000-0000631C0000}"/>
    <cellStyle name="쉼표 [0] 7 4 6 2" xfId="13797" xr:uid="{4F76EBED-63D6-409B-9C95-0DE7F1A79F5A}"/>
    <cellStyle name="쉼표 [0] 7 4 7" xfId="10138" xr:uid="{EDC1D396-7E17-4D14-967D-63931DBFD2A4}"/>
    <cellStyle name="쉼표 [0] 7 5" xfId="2311" xr:uid="{00000000-0005-0000-0000-0000641C0000}"/>
    <cellStyle name="쉼표 [0] 7 5 2" xfId="2312" xr:uid="{00000000-0005-0000-0000-0000651C0000}"/>
    <cellStyle name="쉼표 [0] 7 5 2 2" xfId="4653" xr:uid="{00000000-0005-0000-0000-0000661C0000}"/>
    <cellStyle name="쉼표 [0] 7 5 2 2 2" xfId="8314" xr:uid="{00000000-0005-0000-0000-0000671C0000}"/>
    <cellStyle name="쉼표 [0] 7 5 2 2 2 2" xfId="15631" xr:uid="{BFE701DF-7102-4826-81E6-5790DD8F2B48}"/>
    <cellStyle name="쉼표 [0] 7 5 2 2 3" xfId="11973" xr:uid="{75FF04B5-E22A-485C-A061-D6B9FDF29C02}"/>
    <cellStyle name="쉼표 [0] 7 5 2 3" xfId="6485" xr:uid="{00000000-0005-0000-0000-0000681C0000}"/>
    <cellStyle name="쉼표 [0] 7 5 2 3 2" xfId="13802" xr:uid="{142853E9-8C4B-42E9-9D58-756F68E5A59F}"/>
    <cellStyle name="쉼표 [0] 7 5 2 4" xfId="10143" xr:uid="{88B0C81A-62E9-47B8-9DF8-54BB856F4C53}"/>
    <cellStyle name="쉼표 [0] 7 5 3" xfId="2313" xr:uid="{00000000-0005-0000-0000-0000691C0000}"/>
    <cellStyle name="쉼표 [0] 7 5 3 2" xfId="4654" xr:uid="{00000000-0005-0000-0000-00006A1C0000}"/>
    <cellStyle name="쉼표 [0] 7 5 3 2 2" xfId="8315" xr:uid="{00000000-0005-0000-0000-00006B1C0000}"/>
    <cellStyle name="쉼표 [0] 7 5 3 2 2 2" xfId="15632" xr:uid="{92205E1C-B653-47ED-BFB1-3B570AF87346}"/>
    <cellStyle name="쉼표 [0] 7 5 3 2 3" xfId="11974" xr:uid="{932763C4-9F4A-4FF0-A747-F26598E0038A}"/>
    <cellStyle name="쉼표 [0] 7 5 3 3" xfId="6486" xr:uid="{00000000-0005-0000-0000-00006C1C0000}"/>
    <cellStyle name="쉼표 [0] 7 5 3 3 2" xfId="13803" xr:uid="{63E64DA3-B43D-4634-A996-DB366AC38F62}"/>
    <cellStyle name="쉼표 [0] 7 5 3 4" xfId="10144" xr:uid="{89C90802-E741-4EC6-83FB-9894CFD26DAE}"/>
    <cellStyle name="쉼표 [0] 7 5 4" xfId="4652" xr:uid="{00000000-0005-0000-0000-00006D1C0000}"/>
    <cellStyle name="쉼표 [0] 7 5 4 2" xfId="8313" xr:uid="{00000000-0005-0000-0000-00006E1C0000}"/>
    <cellStyle name="쉼표 [0] 7 5 4 2 2" xfId="15630" xr:uid="{8D4F6B40-91AC-4018-A43E-B4BF1C0CAFDF}"/>
    <cellStyle name="쉼표 [0] 7 5 4 3" xfId="11972" xr:uid="{7E65B3B3-3DC0-43D5-9E9F-FA84BE5EF20F}"/>
    <cellStyle name="쉼표 [0] 7 5 5" xfId="6484" xr:uid="{00000000-0005-0000-0000-00006F1C0000}"/>
    <cellStyle name="쉼표 [0] 7 5 5 2" xfId="13801" xr:uid="{E740330F-0A4E-4AD0-BDAA-9BF6D411D188}"/>
    <cellStyle name="쉼표 [0] 7 5 6" xfId="10142" xr:uid="{F02BD6F8-46BB-4EF7-AFB7-E7A48A15E565}"/>
    <cellStyle name="쉼표 [0] 7 6" xfId="2314" xr:uid="{00000000-0005-0000-0000-0000701C0000}"/>
    <cellStyle name="쉼표 [0] 7 6 2" xfId="2315" xr:uid="{00000000-0005-0000-0000-0000711C0000}"/>
    <cellStyle name="쉼표 [0] 7 6 2 2" xfId="4656" xr:uid="{00000000-0005-0000-0000-0000721C0000}"/>
    <cellStyle name="쉼표 [0] 7 6 2 2 2" xfId="8317" xr:uid="{00000000-0005-0000-0000-0000731C0000}"/>
    <cellStyle name="쉼표 [0] 7 6 2 2 2 2" xfId="15634" xr:uid="{C023638E-C39F-400C-ACA9-B373ECC3C699}"/>
    <cellStyle name="쉼표 [0] 7 6 2 2 3" xfId="11976" xr:uid="{FC4CC203-D47A-4699-81C8-2BA3253C2865}"/>
    <cellStyle name="쉼표 [0] 7 6 2 3" xfId="6488" xr:uid="{00000000-0005-0000-0000-0000741C0000}"/>
    <cellStyle name="쉼표 [0] 7 6 2 3 2" xfId="13805" xr:uid="{AA0E3CA1-648B-49D9-A843-CC228801445D}"/>
    <cellStyle name="쉼표 [0] 7 6 2 4" xfId="10146" xr:uid="{86F08E8B-14C1-4768-B504-828C3E931AD1}"/>
    <cellStyle name="쉼표 [0] 7 6 3" xfId="2316" xr:uid="{00000000-0005-0000-0000-0000751C0000}"/>
    <cellStyle name="쉼표 [0] 7 6 3 2" xfId="4657" xr:uid="{00000000-0005-0000-0000-0000761C0000}"/>
    <cellStyle name="쉼표 [0] 7 6 3 2 2" xfId="8318" xr:uid="{00000000-0005-0000-0000-0000771C0000}"/>
    <cellStyle name="쉼표 [0] 7 6 3 2 2 2" xfId="15635" xr:uid="{BC030398-B51C-47DA-9BB4-6ED64C68CAAA}"/>
    <cellStyle name="쉼표 [0] 7 6 3 2 3" xfId="11977" xr:uid="{67C44FC0-C83E-434C-A691-245E59920E43}"/>
    <cellStyle name="쉼표 [0] 7 6 3 3" xfId="6489" xr:uid="{00000000-0005-0000-0000-0000781C0000}"/>
    <cellStyle name="쉼표 [0] 7 6 3 3 2" xfId="13806" xr:uid="{36A42242-200B-41DB-ADB7-F5F34D9B5F48}"/>
    <cellStyle name="쉼표 [0] 7 6 3 4" xfId="10147" xr:uid="{F85A72B7-4DD2-4955-B05F-099B9424F384}"/>
    <cellStyle name="쉼표 [0] 7 6 4" xfId="4655" xr:uid="{00000000-0005-0000-0000-0000791C0000}"/>
    <cellStyle name="쉼표 [0] 7 6 4 2" xfId="8316" xr:uid="{00000000-0005-0000-0000-00007A1C0000}"/>
    <cellStyle name="쉼표 [0] 7 6 4 2 2" xfId="15633" xr:uid="{BE8038CA-E1BD-4354-83B1-EC18AB09C557}"/>
    <cellStyle name="쉼표 [0] 7 6 4 3" xfId="11975" xr:uid="{8DC84B35-9043-4516-8D72-ECBBD11BCC0C}"/>
    <cellStyle name="쉼표 [0] 7 6 5" xfId="6487" xr:uid="{00000000-0005-0000-0000-00007B1C0000}"/>
    <cellStyle name="쉼표 [0] 7 6 5 2" xfId="13804" xr:uid="{FBC0CE94-02A5-44FD-B67C-929AF0300A31}"/>
    <cellStyle name="쉼표 [0] 7 6 6" xfId="10145" xr:uid="{FCDFAD40-28B1-40C5-B253-E3C4F843AD37}"/>
    <cellStyle name="쉼표 [0] 7 7" xfId="2317" xr:uid="{00000000-0005-0000-0000-00007C1C0000}"/>
    <cellStyle name="쉼표 [0] 7 7 2" xfId="4658" xr:uid="{00000000-0005-0000-0000-00007D1C0000}"/>
    <cellStyle name="쉼표 [0] 7 7 2 2" xfId="8319" xr:uid="{00000000-0005-0000-0000-00007E1C0000}"/>
    <cellStyle name="쉼표 [0] 7 7 2 2 2" xfId="15636" xr:uid="{F981F701-AED1-4ED9-BA62-213DB714ECD8}"/>
    <cellStyle name="쉼표 [0] 7 7 2 3" xfId="11978" xr:uid="{D08460AF-CF35-4043-AD10-AFA833A61B58}"/>
    <cellStyle name="쉼표 [0] 7 7 3" xfId="6490" xr:uid="{00000000-0005-0000-0000-00007F1C0000}"/>
    <cellStyle name="쉼표 [0] 7 7 3 2" xfId="13807" xr:uid="{7D7CC259-D70D-4C70-88B3-59D5168CCAB7}"/>
    <cellStyle name="쉼표 [0] 7 7 4" xfId="10148" xr:uid="{25BD2158-B0C8-4BAA-A34E-016D8AFA3E30}"/>
    <cellStyle name="쉼표 [0] 7 8" xfId="2318" xr:uid="{00000000-0005-0000-0000-0000801C0000}"/>
    <cellStyle name="쉼표 [0] 7 8 2" xfId="4659" xr:uid="{00000000-0005-0000-0000-0000811C0000}"/>
    <cellStyle name="쉼표 [0] 7 8 2 2" xfId="8320" xr:uid="{00000000-0005-0000-0000-0000821C0000}"/>
    <cellStyle name="쉼표 [0] 7 8 2 2 2" xfId="15637" xr:uid="{E8FDADFB-C822-4D80-AF3C-A02930F4EA3B}"/>
    <cellStyle name="쉼표 [0] 7 8 2 3" xfId="11979" xr:uid="{CF7BA967-764B-4EF1-A860-1ABCEA9179B8}"/>
    <cellStyle name="쉼표 [0] 7 8 3" xfId="6491" xr:uid="{00000000-0005-0000-0000-0000831C0000}"/>
    <cellStyle name="쉼표 [0] 7 8 3 2" xfId="13808" xr:uid="{1B448511-88CD-4660-A3EF-A31F460BCB5F}"/>
    <cellStyle name="쉼표 [0] 7 8 4" xfId="10149" xr:uid="{11E276C9-DCB3-4A1C-8705-871AA699E556}"/>
    <cellStyle name="쉼표 [0] 7 9" xfId="2319" xr:uid="{00000000-0005-0000-0000-0000841C0000}"/>
    <cellStyle name="쉼표 [0] 7 9 2" xfId="4660" xr:uid="{00000000-0005-0000-0000-0000851C0000}"/>
    <cellStyle name="쉼표 [0] 7 9 2 2" xfId="8321" xr:uid="{00000000-0005-0000-0000-0000861C0000}"/>
    <cellStyle name="쉼표 [0] 7 9 2 2 2" xfId="15638" xr:uid="{E6F29314-221B-44A6-B9D6-B0080ACDE98A}"/>
    <cellStyle name="쉼표 [0] 7 9 2 3" xfId="11980" xr:uid="{D2580652-98E8-4F8B-98C7-AA34EB483968}"/>
    <cellStyle name="쉼표 [0] 7 9 3" xfId="6492" xr:uid="{00000000-0005-0000-0000-0000871C0000}"/>
    <cellStyle name="쉼표 [0] 7 9 3 2" xfId="13809" xr:uid="{B3B08F2F-8939-49F9-B8CA-09D512C9472A}"/>
    <cellStyle name="쉼표 [0] 7 9 4" xfId="10150" xr:uid="{98C6BF64-3F15-4413-BADA-D875C7DD895A}"/>
    <cellStyle name="쉼표 [0] 8" xfId="2320" xr:uid="{00000000-0005-0000-0000-0000881C0000}"/>
    <cellStyle name="쉼표 [0] 8 10" xfId="6493" xr:uid="{00000000-0005-0000-0000-0000891C0000}"/>
    <cellStyle name="쉼표 [0] 8 10 2" xfId="13810" xr:uid="{C3596A86-AFCC-412C-BDA3-3C1FF4655364}"/>
    <cellStyle name="쉼표 [0] 8 11" xfId="10151" xr:uid="{6CD2E787-02AE-4944-A4B8-CF888EB546DE}"/>
    <cellStyle name="쉼표 [0] 8 2" xfId="2321" xr:uid="{00000000-0005-0000-0000-00008A1C0000}"/>
    <cellStyle name="쉼표 [0] 8 2 10" xfId="2322" xr:uid="{00000000-0005-0000-0000-00008B1C0000}"/>
    <cellStyle name="쉼표 [0] 8 2 10 2" xfId="4663" xr:uid="{00000000-0005-0000-0000-00008C1C0000}"/>
    <cellStyle name="쉼표 [0] 8 2 10 2 2" xfId="8324" xr:uid="{00000000-0005-0000-0000-00008D1C0000}"/>
    <cellStyle name="쉼표 [0] 8 2 10 2 2 2" xfId="15641" xr:uid="{89C728CB-1FD2-4D8E-BAD5-1F2BC9E6DD25}"/>
    <cellStyle name="쉼표 [0] 8 2 10 2 3" xfId="11983" xr:uid="{8BCA9C99-AB5D-434B-9D5D-D7C95E368395}"/>
    <cellStyle name="쉼표 [0] 8 2 10 3" xfId="6495" xr:uid="{00000000-0005-0000-0000-00008E1C0000}"/>
    <cellStyle name="쉼표 [0] 8 2 10 3 2" xfId="13812" xr:uid="{87AF190A-F5B2-4960-B985-EEE0A8C5A97F}"/>
    <cellStyle name="쉼표 [0] 8 2 10 4" xfId="10153" xr:uid="{68C9A30F-E1CF-4939-8DA6-87DED97034E1}"/>
    <cellStyle name="쉼표 [0] 8 2 11" xfId="2323" xr:uid="{00000000-0005-0000-0000-00008F1C0000}"/>
    <cellStyle name="쉼표 [0] 8 2 11 2" xfId="4664" xr:uid="{00000000-0005-0000-0000-0000901C0000}"/>
    <cellStyle name="쉼표 [0] 8 2 11 2 2" xfId="8325" xr:uid="{00000000-0005-0000-0000-0000911C0000}"/>
    <cellStyle name="쉼표 [0] 8 2 11 2 2 2" xfId="15642" xr:uid="{00541DE0-3F48-4E15-883C-72D285CF4441}"/>
    <cellStyle name="쉼표 [0] 8 2 11 2 3" xfId="11984" xr:uid="{616F9C7D-F7B7-4244-B2BC-40025410A866}"/>
    <cellStyle name="쉼표 [0] 8 2 11 3" xfId="6496" xr:uid="{00000000-0005-0000-0000-0000921C0000}"/>
    <cellStyle name="쉼표 [0] 8 2 11 3 2" xfId="13813" xr:uid="{8E01EEC1-6B52-4115-A3AE-F5E54154F39A}"/>
    <cellStyle name="쉼표 [0] 8 2 11 4" xfId="10154" xr:uid="{8D518340-AEFB-45D3-842D-CDC2489CC555}"/>
    <cellStyle name="쉼표 [0] 8 2 12" xfId="4662" xr:uid="{00000000-0005-0000-0000-0000931C0000}"/>
    <cellStyle name="쉼표 [0] 8 2 12 2" xfId="8323" xr:uid="{00000000-0005-0000-0000-0000941C0000}"/>
    <cellStyle name="쉼표 [0] 8 2 12 2 2" xfId="15640" xr:uid="{2E845A5E-1509-48D4-8954-F0CC58C5BC86}"/>
    <cellStyle name="쉼표 [0] 8 2 12 3" xfId="11982" xr:uid="{E9239F08-A13D-4266-88B4-54F99FAF4766}"/>
    <cellStyle name="쉼표 [0] 8 2 13" xfId="6494" xr:uid="{00000000-0005-0000-0000-0000951C0000}"/>
    <cellStyle name="쉼표 [0] 8 2 13 2" xfId="13811" xr:uid="{40E6DD66-B399-482F-835C-501204B0E2BF}"/>
    <cellStyle name="쉼표 [0] 8 2 14" xfId="10152" xr:uid="{973E8532-235F-49D8-9E53-0541A8498D0B}"/>
    <cellStyle name="쉼표 [0] 8 2 2" xfId="2324" xr:uid="{00000000-0005-0000-0000-0000961C0000}"/>
    <cellStyle name="쉼표 [0] 8 2 2 10" xfId="4665" xr:uid="{00000000-0005-0000-0000-0000971C0000}"/>
    <cellStyle name="쉼표 [0] 8 2 2 10 2" xfId="8326" xr:uid="{00000000-0005-0000-0000-0000981C0000}"/>
    <cellStyle name="쉼표 [0] 8 2 2 10 2 2" xfId="15643" xr:uid="{6C9F8627-AA1D-41C0-B0E8-1BF02255858F}"/>
    <cellStyle name="쉼표 [0] 8 2 2 10 3" xfId="11985" xr:uid="{D2A151C8-5868-437A-93E5-468C525C70DC}"/>
    <cellStyle name="쉼표 [0] 8 2 2 11" xfId="6497" xr:uid="{00000000-0005-0000-0000-0000991C0000}"/>
    <cellStyle name="쉼표 [0] 8 2 2 11 2" xfId="13814" xr:uid="{917BF75E-75F3-47F5-9F4E-59DD15480B73}"/>
    <cellStyle name="쉼표 [0] 8 2 2 12" xfId="10155" xr:uid="{8FC4210A-5F80-4DFD-A336-9B3FC867953D}"/>
    <cellStyle name="쉼표 [0] 8 2 2 2" xfId="2325" xr:uid="{00000000-0005-0000-0000-00009A1C0000}"/>
    <cellStyle name="쉼표 [0] 8 2 2 2 2" xfId="2326" xr:uid="{00000000-0005-0000-0000-00009B1C0000}"/>
    <cellStyle name="쉼표 [0] 8 2 2 2 2 2" xfId="4667" xr:uid="{00000000-0005-0000-0000-00009C1C0000}"/>
    <cellStyle name="쉼표 [0] 8 2 2 2 2 2 2" xfId="8328" xr:uid="{00000000-0005-0000-0000-00009D1C0000}"/>
    <cellStyle name="쉼표 [0] 8 2 2 2 2 2 2 2" xfId="15645" xr:uid="{CF5BD21B-5741-4416-A433-3D089E30C47B}"/>
    <cellStyle name="쉼표 [0] 8 2 2 2 2 2 3" xfId="11987" xr:uid="{51439DF9-65A3-4B3B-8380-B19C891AB495}"/>
    <cellStyle name="쉼표 [0] 8 2 2 2 2 3" xfId="6499" xr:uid="{00000000-0005-0000-0000-00009E1C0000}"/>
    <cellStyle name="쉼표 [0] 8 2 2 2 2 3 2" xfId="13816" xr:uid="{2DCE029E-543A-4929-8150-94F9BEAA05C4}"/>
    <cellStyle name="쉼표 [0] 8 2 2 2 2 4" xfId="10157" xr:uid="{14C49460-2D16-4F6F-96F1-AFE82439F355}"/>
    <cellStyle name="쉼표 [0] 8 2 2 2 3" xfId="2327" xr:uid="{00000000-0005-0000-0000-00009F1C0000}"/>
    <cellStyle name="쉼표 [0] 8 2 2 2 3 2" xfId="4668" xr:uid="{00000000-0005-0000-0000-0000A01C0000}"/>
    <cellStyle name="쉼표 [0] 8 2 2 2 3 2 2" xfId="8329" xr:uid="{00000000-0005-0000-0000-0000A11C0000}"/>
    <cellStyle name="쉼표 [0] 8 2 2 2 3 2 2 2" xfId="15646" xr:uid="{CD85A985-F85D-4292-951A-88E84201E97E}"/>
    <cellStyle name="쉼표 [0] 8 2 2 2 3 2 3" xfId="11988" xr:uid="{5EB63DF5-834A-4410-80A5-E40442A6CA68}"/>
    <cellStyle name="쉼표 [0] 8 2 2 2 3 3" xfId="6500" xr:uid="{00000000-0005-0000-0000-0000A21C0000}"/>
    <cellStyle name="쉼표 [0] 8 2 2 2 3 3 2" xfId="13817" xr:uid="{C49C8AC4-E2C2-490C-8B21-3CE165375DFC}"/>
    <cellStyle name="쉼표 [0] 8 2 2 2 3 4" xfId="10158" xr:uid="{BE601819-49DE-4D59-B374-A32210F0CF52}"/>
    <cellStyle name="쉼표 [0] 8 2 2 2 4" xfId="4666" xr:uid="{00000000-0005-0000-0000-0000A31C0000}"/>
    <cellStyle name="쉼표 [0] 8 2 2 2 4 2" xfId="8327" xr:uid="{00000000-0005-0000-0000-0000A41C0000}"/>
    <cellStyle name="쉼표 [0] 8 2 2 2 4 2 2" xfId="15644" xr:uid="{DF99B629-591C-4FAD-AFCC-D4A10C4461FA}"/>
    <cellStyle name="쉼표 [0] 8 2 2 2 4 3" xfId="11986" xr:uid="{E4489068-4176-4BA7-8D45-65ACA1E2783B}"/>
    <cellStyle name="쉼표 [0] 8 2 2 2 5" xfId="6498" xr:uid="{00000000-0005-0000-0000-0000A51C0000}"/>
    <cellStyle name="쉼표 [0] 8 2 2 2 5 2" xfId="13815" xr:uid="{8B05A069-CECD-495A-84F1-2632893D4EDE}"/>
    <cellStyle name="쉼표 [0] 8 2 2 2 6" xfId="10156" xr:uid="{FB6BF591-4FF9-4E4C-BC9B-FF7A398533E6}"/>
    <cellStyle name="쉼표 [0] 8 2 2 3" xfId="2328" xr:uid="{00000000-0005-0000-0000-0000A61C0000}"/>
    <cellStyle name="쉼표 [0] 8 2 2 3 2" xfId="2329" xr:uid="{00000000-0005-0000-0000-0000A71C0000}"/>
    <cellStyle name="쉼표 [0] 8 2 2 3 2 2" xfId="4670" xr:uid="{00000000-0005-0000-0000-0000A81C0000}"/>
    <cellStyle name="쉼표 [0] 8 2 2 3 2 2 2" xfId="8331" xr:uid="{00000000-0005-0000-0000-0000A91C0000}"/>
    <cellStyle name="쉼표 [0] 8 2 2 3 2 2 2 2" xfId="15648" xr:uid="{77F63CAE-C108-4B89-9D65-7EA2D57402CA}"/>
    <cellStyle name="쉼표 [0] 8 2 2 3 2 2 3" xfId="11990" xr:uid="{F9287CB5-29F7-44BF-9A05-15B9787721C2}"/>
    <cellStyle name="쉼표 [0] 8 2 2 3 2 3" xfId="6502" xr:uid="{00000000-0005-0000-0000-0000AA1C0000}"/>
    <cellStyle name="쉼표 [0] 8 2 2 3 2 3 2" xfId="13819" xr:uid="{8DA63068-0644-4385-910C-CE58879DA12B}"/>
    <cellStyle name="쉼표 [0] 8 2 2 3 2 4" xfId="10160" xr:uid="{9D8EF82C-588B-4E3C-8AB8-5E0C5268192A}"/>
    <cellStyle name="쉼표 [0] 8 2 2 3 3" xfId="2330" xr:uid="{00000000-0005-0000-0000-0000AB1C0000}"/>
    <cellStyle name="쉼표 [0] 8 2 2 3 3 2" xfId="4671" xr:uid="{00000000-0005-0000-0000-0000AC1C0000}"/>
    <cellStyle name="쉼표 [0] 8 2 2 3 3 2 2" xfId="8332" xr:uid="{00000000-0005-0000-0000-0000AD1C0000}"/>
    <cellStyle name="쉼표 [0] 8 2 2 3 3 2 2 2" xfId="15649" xr:uid="{DE0B2A32-6604-4DD7-9457-8C405483F2BD}"/>
    <cellStyle name="쉼표 [0] 8 2 2 3 3 2 3" xfId="11991" xr:uid="{69EAD7F0-A3A3-4131-9C09-93908BEC1C4F}"/>
    <cellStyle name="쉼표 [0] 8 2 2 3 3 3" xfId="6503" xr:uid="{00000000-0005-0000-0000-0000AE1C0000}"/>
    <cellStyle name="쉼표 [0] 8 2 2 3 3 3 2" xfId="13820" xr:uid="{11893FE3-6343-44A2-85D0-DD493FD26BFA}"/>
    <cellStyle name="쉼표 [0] 8 2 2 3 3 4" xfId="10161" xr:uid="{6FE3F317-793B-4B07-A598-7EF8CAC205EB}"/>
    <cellStyle name="쉼표 [0] 8 2 2 3 4" xfId="4669" xr:uid="{00000000-0005-0000-0000-0000AF1C0000}"/>
    <cellStyle name="쉼표 [0] 8 2 2 3 4 2" xfId="8330" xr:uid="{00000000-0005-0000-0000-0000B01C0000}"/>
    <cellStyle name="쉼표 [0] 8 2 2 3 4 2 2" xfId="15647" xr:uid="{16354181-755F-45A1-84FD-D76BA578D550}"/>
    <cellStyle name="쉼표 [0] 8 2 2 3 4 3" xfId="11989" xr:uid="{6FFD2B63-4CA6-4514-B752-70C790924587}"/>
    <cellStyle name="쉼표 [0] 8 2 2 3 5" xfId="6501" xr:uid="{00000000-0005-0000-0000-0000B11C0000}"/>
    <cellStyle name="쉼표 [0] 8 2 2 3 5 2" xfId="13818" xr:uid="{C4E1FB09-1529-4C03-9F75-6E73B4F60D2D}"/>
    <cellStyle name="쉼표 [0] 8 2 2 3 6" xfId="10159" xr:uid="{820BFD7C-1A7B-4734-8110-98D0E5696139}"/>
    <cellStyle name="쉼표 [0] 8 2 2 4" xfId="2331" xr:uid="{00000000-0005-0000-0000-0000B21C0000}"/>
    <cellStyle name="쉼표 [0] 8 2 2 4 2" xfId="2332" xr:uid="{00000000-0005-0000-0000-0000B31C0000}"/>
    <cellStyle name="쉼표 [0] 8 2 2 4 2 2" xfId="4673" xr:uid="{00000000-0005-0000-0000-0000B41C0000}"/>
    <cellStyle name="쉼표 [0] 8 2 2 4 2 2 2" xfId="8334" xr:uid="{00000000-0005-0000-0000-0000B51C0000}"/>
    <cellStyle name="쉼표 [0] 8 2 2 4 2 2 2 2" xfId="15651" xr:uid="{5FF2B201-A156-4F98-B694-5055434E36F6}"/>
    <cellStyle name="쉼표 [0] 8 2 2 4 2 2 3" xfId="11993" xr:uid="{615A9F3B-B1D9-42D8-B154-D34FB7BBF69C}"/>
    <cellStyle name="쉼표 [0] 8 2 2 4 2 3" xfId="6505" xr:uid="{00000000-0005-0000-0000-0000B61C0000}"/>
    <cellStyle name="쉼표 [0] 8 2 2 4 2 3 2" xfId="13822" xr:uid="{797931EE-45A6-4B54-A557-5517EC2A0D49}"/>
    <cellStyle name="쉼표 [0] 8 2 2 4 2 4" xfId="10163" xr:uid="{929EF076-17FC-466E-ADC4-F35EC0AF5BE9}"/>
    <cellStyle name="쉼표 [0] 8 2 2 4 3" xfId="2333" xr:uid="{00000000-0005-0000-0000-0000B71C0000}"/>
    <cellStyle name="쉼표 [0] 8 2 2 4 3 2" xfId="4674" xr:uid="{00000000-0005-0000-0000-0000B81C0000}"/>
    <cellStyle name="쉼표 [0] 8 2 2 4 3 2 2" xfId="8335" xr:uid="{00000000-0005-0000-0000-0000B91C0000}"/>
    <cellStyle name="쉼표 [0] 8 2 2 4 3 2 2 2" xfId="15652" xr:uid="{13D5D3F3-ED75-42A2-9704-AF60FC014A0D}"/>
    <cellStyle name="쉼표 [0] 8 2 2 4 3 2 3" xfId="11994" xr:uid="{073B2AB8-6A6E-4325-9CB0-42459CE78ED6}"/>
    <cellStyle name="쉼표 [0] 8 2 2 4 3 3" xfId="6506" xr:uid="{00000000-0005-0000-0000-0000BA1C0000}"/>
    <cellStyle name="쉼표 [0] 8 2 2 4 3 3 2" xfId="13823" xr:uid="{12B34B58-94E1-40AD-8FCF-B979D6508B3B}"/>
    <cellStyle name="쉼표 [0] 8 2 2 4 3 4" xfId="10164" xr:uid="{E4528694-5EC8-43FB-AC13-25A149C743D9}"/>
    <cellStyle name="쉼표 [0] 8 2 2 4 4" xfId="4672" xr:uid="{00000000-0005-0000-0000-0000BB1C0000}"/>
    <cellStyle name="쉼표 [0] 8 2 2 4 4 2" xfId="8333" xr:uid="{00000000-0005-0000-0000-0000BC1C0000}"/>
    <cellStyle name="쉼표 [0] 8 2 2 4 4 2 2" xfId="15650" xr:uid="{15981B7F-0260-4988-9245-A3128067C565}"/>
    <cellStyle name="쉼표 [0] 8 2 2 4 4 3" xfId="11992" xr:uid="{67D7FB14-8F73-4E9A-B7FF-40BA0C452DB3}"/>
    <cellStyle name="쉼표 [0] 8 2 2 4 5" xfId="6504" xr:uid="{00000000-0005-0000-0000-0000BD1C0000}"/>
    <cellStyle name="쉼표 [0] 8 2 2 4 5 2" xfId="13821" xr:uid="{2BD57653-6BA1-4B33-B8E9-F0480346AF8C}"/>
    <cellStyle name="쉼표 [0] 8 2 2 4 6" xfId="10162" xr:uid="{5FCBA611-828E-462D-83F6-D6DCC512615F}"/>
    <cellStyle name="쉼표 [0] 8 2 2 5" xfId="2334" xr:uid="{00000000-0005-0000-0000-0000BE1C0000}"/>
    <cellStyle name="쉼표 [0] 8 2 2 5 2" xfId="2335" xr:uid="{00000000-0005-0000-0000-0000BF1C0000}"/>
    <cellStyle name="쉼표 [0] 8 2 2 5 2 2" xfId="4676" xr:uid="{00000000-0005-0000-0000-0000C01C0000}"/>
    <cellStyle name="쉼표 [0] 8 2 2 5 2 2 2" xfId="8337" xr:uid="{00000000-0005-0000-0000-0000C11C0000}"/>
    <cellStyle name="쉼표 [0] 8 2 2 5 2 2 2 2" xfId="15654" xr:uid="{D126E0DB-7C16-4D1D-9289-C27481CBDD1A}"/>
    <cellStyle name="쉼표 [0] 8 2 2 5 2 2 3" xfId="11996" xr:uid="{9F0A11A1-72DF-4314-ADB2-0B3A5239814B}"/>
    <cellStyle name="쉼표 [0] 8 2 2 5 2 3" xfId="6508" xr:uid="{00000000-0005-0000-0000-0000C21C0000}"/>
    <cellStyle name="쉼표 [0] 8 2 2 5 2 3 2" xfId="13825" xr:uid="{DA32F0A0-5866-484D-AAAE-DE473EEEE63C}"/>
    <cellStyle name="쉼표 [0] 8 2 2 5 2 4" xfId="10166" xr:uid="{EF118543-226E-4817-8DDF-6AFB01653B18}"/>
    <cellStyle name="쉼표 [0] 8 2 2 5 3" xfId="2336" xr:uid="{00000000-0005-0000-0000-0000C31C0000}"/>
    <cellStyle name="쉼표 [0] 8 2 2 5 3 2" xfId="4677" xr:uid="{00000000-0005-0000-0000-0000C41C0000}"/>
    <cellStyle name="쉼표 [0] 8 2 2 5 3 2 2" xfId="8338" xr:uid="{00000000-0005-0000-0000-0000C51C0000}"/>
    <cellStyle name="쉼표 [0] 8 2 2 5 3 2 2 2" xfId="15655" xr:uid="{D6E19DBF-F1F3-4073-BEDE-7281C4E78B14}"/>
    <cellStyle name="쉼표 [0] 8 2 2 5 3 2 3" xfId="11997" xr:uid="{C70FB19A-0976-432E-9A00-F78D1319188F}"/>
    <cellStyle name="쉼표 [0] 8 2 2 5 3 3" xfId="6509" xr:uid="{00000000-0005-0000-0000-0000C61C0000}"/>
    <cellStyle name="쉼표 [0] 8 2 2 5 3 3 2" xfId="13826" xr:uid="{B44B8952-FDF6-4E26-83A4-C0B5A909D093}"/>
    <cellStyle name="쉼표 [0] 8 2 2 5 3 4" xfId="10167" xr:uid="{EC1FE97D-F926-4673-93AC-DD77EEFB775E}"/>
    <cellStyle name="쉼표 [0] 8 2 2 5 4" xfId="4675" xr:uid="{00000000-0005-0000-0000-0000C71C0000}"/>
    <cellStyle name="쉼표 [0] 8 2 2 5 4 2" xfId="8336" xr:uid="{00000000-0005-0000-0000-0000C81C0000}"/>
    <cellStyle name="쉼표 [0] 8 2 2 5 4 2 2" xfId="15653" xr:uid="{EBFC27B7-345B-44F9-99F5-713DED336698}"/>
    <cellStyle name="쉼표 [0] 8 2 2 5 4 3" xfId="11995" xr:uid="{76ECC8EB-BA9C-4B79-A93B-0F164D6B1203}"/>
    <cellStyle name="쉼표 [0] 8 2 2 5 5" xfId="6507" xr:uid="{00000000-0005-0000-0000-0000C91C0000}"/>
    <cellStyle name="쉼표 [0] 8 2 2 5 5 2" xfId="13824" xr:uid="{3EA33DB5-64EF-4564-88B7-A6248A8CCDB6}"/>
    <cellStyle name="쉼표 [0] 8 2 2 5 6" xfId="10165" xr:uid="{2B1EF790-CC43-41F4-AA3C-4EB704A14465}"/>
    <cellStyle name="쉼표 [0] 8 2 2 6" xfId="2337" xr:uid="{00000000-0005-0000-0000-0000CA1C0000}"/>
    <cellStyle name="쉼표 [0] 8 2 2 6 2" xfId="2338" xr:uid="{00000000-0005-0000-0000-0000CB1C0000}"/>
    <cellStyle name="쉼표 [0] 8 2 2 6 2 2" xfId="4679" xr:uid="{00000000-0005-0000-0000-0000CC1C0000}"/>
    <cellStyle name="쉼표 [0] 8 2 2 6 2 2 2" xfId="8340" xr:uid="{00000000-0005-0000-0000-0000CD1C0000}"/>
    <cellStyle name="쉼표 [0] 8 2 2 6 2 2 2 2" xfId="15657" xr:uid="{80D37D40-3B85-45F5-94BC-51FDAD2C3E34}"/>
    <cellStyle name="쉼표 [0] 8 2 2 6 2 2 3" xfId="11999" xr:uid="{EF190461-1638-45AB-845E-6E2A562A5990}"/>
    <cellStyle name="쉼표 [0] 8 2 2 6 2 3" xfId="6511" xr:uid="{00000000-0005-0000-0000-0000CE1C0000}"/>
    <cellStyle name="쉼표 [0] 8 2 2 6 2 3 2" xfId="13828" xr:uid="{C20F1F82-1F67-4308-86A3-7EBC396C50BC}"/>
    <cellStyle name="쉼표 [0] 8 2 2 6 2 4" xfId="10169" xr:uid="{F10E4E43-04B0-47AD-9F10-0CC7F24ADD65}"/>
    <cellStyle name="쉼표 [0] 8 2 2 6 3" xfId="2339" xr:uid="{00000000-0005-0000-0000-0000CF1C0000}"/>
    <cellStyle name="쉼표 [0] 8 2 2 6 3 2" xfId="4680" xr:uid="{00000000-0005-0000-0000-0000D01C0000}"/>
    <cellStyle name="쉼표 [0] 8 2 2 6 3 2 2" xfId="8341" xr:uid="{00000000-0005-0000-0000-0000D11C0000}"/>
    <cellStyle name="쉼표 [0] 8 2 2 6 3 2 2 2" xfId="15658" xr:uid="{17E5D350-15B1-4DB6-86E4-99042802646C}"/>
    <cellStyle name="쉼표 [0] 8 2 2 6 3 2 3" xfId="12000" xr:uid="{518707FF-E499-4D67-8758-A3A6195C665A}"/>
    <cellStyle name="쉼표 [0] 8 2 2 6 3 3" xfId="6512" xr:uid="{00000000-0005-0000-0000-0000D21C0000}"/>
    <cellStyle name="쉼표 [0] 8 2 2 6 3 3 2" xfId="13829" xr:uid="{64BCAADF-EB89-452E-8D55-C729EDEFB771}"/>
    <cellStyle name="쉼표 [0] 8 2 2 6 3 4" xfId="10170" xr:uid="{EE05FC73-F226-4C95-9C68-3BBC21DBB7D5}"/>
    <cellStyle name="쉼표 [0] 8 2 2 6 4" xfId="4678" xr:uid="{00000000-0005-0000-0000-0000D31C0000}"/>
    <cellStyle name="쉼표 [0] 8 2 2 6 4 2" xfId="8339" xr:uid="{00000000-0005-0000-0000-0000D41C0000}"/>
    <cellStyle name="쉼표 [0] 8 2 2 6 4 2 2" xfId="15656" xr:uid="{D82BF954-E0B5-4C9A-9D5D-5CAE317E999F}"/>
    <cellStyle name="쉼표 [0] 8 2 2 6 4 3" xfId="11998" xr:uid="{56567F81-C255-4A9C-9A4F-D37DC879BD8A}"/>
    <cellStyle name="쉼표 [0] 8 2 2 6 5" xfId="6510" xr:uid="{00000000-0005-0000-0000-0000D51C0000}"/>
    <cellStyle name="쉼표 [0] 8 2 2 6 5 2" xfId="13827" xr:uid="{F4B8F7A6-5417-4A1C-A1C2-AB3FE8BA356C}"/>
    <cellStyle name="쉼표 [0] 8 2 2 6 6" xfId="10168" xr:uid="{FA9A69A8-C5C7-43BB-AAFB-90AC525C0DF7}"/>
    <cellStyle name="쉼표 [0] 8 2 2 7" xfId="2340" xr:uid="{00000000-0005-0000-0000-0000D61C0000}"/>
    <cellStyle name="쉼표 [0] 8 2 2 7 2" xfId="4681" xr:uid="{00000000-0005-0000-0000-0000D71C0000}"/>
    <cellStyle name="쉼표 [0] 8 2 2 7 2 2" xfId="8342" xr:uid="{00000000-0005-0000-0000-0000D81C0000}"/>
    <cellStyle name="쉼표 [0] 8 2 2 7 2 2 2" xfId="15659" xr:uid="{547D3A6B-3B64-4797-8E2D-3280CB0FA9C3}"/>
    <cellStyle name="쉼표 [0] 8 2 2 7 2 3" xfId="12001" xr:uid="{C7E3C810-6B22-463B-B1CA-D7025FDE1223}"/>
    <cellStyle name="쉼표 [0] 8 2 2 7 3" xfId="6513" xr:uid="{00000000-0005-0000-0000-0000D91C0000}"/>
    <cellStyle name="쉼표 [0] 8 2 2 7 3 2" xfId="13830" xr:uid="{8D844C48-E55C-4EC4-A14B-016D87A48ADD}"/>
    <cellStyle name="쉼표 [0] 8 2 2 7 4" xfId="10171" xr:uid="{DEA1A2AC-685E-4EB6-A499-366089F6B501}"/>
    <cellStyle name="쉼표 [0] 8 2 2 8" xfId="2341" xr:uid="{00000000-0005-0000-0000-0000DA1C0000}"/>
    <cellStyle name="쉼표 [0] 8 2 2 8 2" xfId="4682" xr:uid="{00000000-0005-0000-0000-0000DB1C0000}"/>
    <cellStyle name="쉼표 [0] 8 2 2 8 2 2" xfId="8343" xr:uid="{00000000-0005-0000-0000-0000DC1C0000}"/>
    <cellStyle name="쉼표 [0] 8 2 2 8 2 2 2" xfId="15660" xr:uid="{33AE0EAE-DA0C-43CB-B0FE-54C8B026711D}"/>
    <cellStyle name="쉼표 [0] 8 2 2 8 2 3" xfId="12002" xr:uid="{51F11C7D-D483-44B4-B3CA-AC12B4CF2E0E}"/>
    <cellStyle name="쉼표 [0] 8 2 2 8 3" xfId="6514" xr:uid="{00000000-0005-0000-0000-0000DD1C0000}"/>
    <cellStyle name="쉼표 [0] 8 2 2 8 3 2" xfId="13831" xr:uid="{72E91912-C432-4DAF-B874-5B159287E395}"/>
    <cellStyle name="쉼표 [0] 8 2 2 8 4" xfId="10172" xr:uid="{5123F7EC-45DD-4604-8734-57619510AACB}"/>
    <cellStyle name="쉼표 [0] 8 2 2 9" xfId="2342" xr:uid="{00000000-0005-0000-0000-0000DE1C0000}"/>
    <cellStyle name="쉼표 [0] 8 2 2 9 2" xfId="4683" xr:uid="{00000000-0005-0000-0000-0000DF1C0000}"/>
    <cellStyle name="쉼표 [0] 8 2 2 9 2 2" xfId="8344" xr:uid="{00000000-0005-0000-0000-0000E01C0000}"/>
    <cellStyle name="쉼표 [0] 8 2 2 9 2 2 2" xfId="15661" xr:uid="{1DB9659F-997B-4E91-AFAA-957EF1F1C4A3}"/>
    <cellStyle name="쉼표 [0] 8 2 2 9 2 3" xfId="12003" xr:uid="{838EF20A-70C5-4EAE-B666-2DB20022B9B8}"/>
    <cellStyle name="쉼표 [0] 8 2 2 9 3" xfId="6515" xr:uid="{00000000-0005-0000-0000-0000E11C0000}"/>
    <cellStyle name="쉼표 [0] 8 2 2 9 3 2" xfId="13832" xr:uid="{B8A2A93C-27C4-4DCB-B6A8-479EC4F8DCA8}"/>
    <cellStyle name="쉼표 [0] 8 2 2 9 4" xfId="10173" xr:uid="{BC7802BC-92E9-4F28-A744-ACEC21543218}"/>
    <cellStyle name="쉼표 [0] 8 2 3" xfId="2343" xr:uid="{00000000-0005-0000-0000-0000E21C0000}"/>
    <cellStyle name="쉼표 [0] 8 2 3 2" xfId="2344" xr:uid="{00000000-0005-0000-0000-0000E31C0000}"/>
    <cellStyle name="쉼표 [0] 8 2 3 2 2" xfId="4685" xr:uid="{00000000-0005-0000-0000-0000E41C0000}"/>
    <cellStyle name="쉼표 [0] 8 2 3 2 2 2" xfId="8346" xr:uid="{00000000-0005-0000-0000-0000E51C0000}"/>
    <cellStyle name="쉼표 [0] 8 2 3 2 2 2 2" xfId="15663" xr:uid="{66E47FB1-55C7-4D02-B016-211FF7CE41F8}"/>
    <cellStyle name="쉼표 [0] 8 2 3 2 2 3" xfId="12005" xr:uid="{62AC7395-0F76-431E-9958-38A323852637}"/>
    <cellStyle name="쉼표 [0] 8 2 3 2 3" xfId="6517" xr:uid="{00000000-0005-0000-0000-0000E61C0000}"/>
    <cellStyle name="쉼표 [0] 8 2 3 2 3 2" xfId="13834" xr:uid="{C54C6C94-68E3-4852-A766-DF384766D6A8}"/>
    <cellStyle name="쉼표 [0] 8 2 3 2 4" xfId="10175" xr:uid="{5EE2F6C0-8006-4DFE-9756-224A15508568}"/>
    <cellStyle name="쉼표 [0] 8 2 3 3" xfId="2345" xr:uid="{00000000-0005-0000-0000-0000E71C0000}"/>
    <cellStyle name="쉼표 [0] 8 2 3 3 2" xfId="4686" xr:uid="{00000000-0005-0000-0000-0000E81C0000}"/>
    <cellStyle name="쉼표 [0] 8 2 3 3 2 2" xfId="8347" xr:uid="{00000000-0005-0000-0000-0000E91C0000}"/>
    <cellStyle name="쉼표 [0] 8 2 3 3 2 2 2" xfId="15664" xr:uid="{531EAB19-8C39-4FED-892D-7E9ED8381441}"/>
    <cellStyle name="쉼표 [0] 8 2 3 3 2 3" xfId="12006" xr:uid="{76236DFA-865E-4DA1-B267-47D0E49FD235}"/>
    <cellStyle name="쉼표 [0] 8 2 3 3 3" xfId="6518" xr:uid="{00000000-0005-0000-0000-0000EA1C0000}"/>
    <cellStyle name="쉼표 [0] 8 2 3 3 3 2" xfId="13835" xr:uid="{2312A540-FDE6-4111-AFA5-57DFA51A3CBA}"/>
    <cellStyle name="쉼표 [0] 8 2 3 3 4" xfId="10176" xr:uid="{9E4541D6-0267-42F9-86F8-FD57A6D35195}"/>
    <cellStyle name="쉼표 [0] 8 2 3 4" xfId="2346" xr:uid="{00000000-0005-0000-0000-0000EB1C0000}"/>
    <cellStyle name="쉼표 [0] 8 2 3 4 2" xfId="4687" xr:uid="{00000000-0005-0000-0000-0000EC1C0000}"/>
    <cellStyle name="쉼표 [0] 8 2 3 4 2 2" xfId="8348" xr:uid="{00000000-0005-0000-0000-0000ED1C0000}"/>
    <cellStyle name="쉼표 [0] 8 2 3 4 2 2 2" xfId="15665" xr:uid="{62D6CEE9-66ED-4E60-9B44-E22CD5A8624D}"/>
    <cellStyle name="쉼표 [0] 8 2 3 4 2 3" xfId="12007" xr:uid="{B4AD5D38-1753-4D5A-A77A-07693081B020}"/>
    <cellStyle name="쉼표 [0] 8 2 3 4 3" xfId="6519" xr:uid="{00000000-0005-0000-0000-0000EE1C0000}"/>
    <cellStyle name="쉼표 [0] 8 2 3 4 3 2" xfId="13836" xr:uid="{B287CCC9-CDFE-4429-9FE9-A814EF7A4E7B}"/>
    <cellStyle name="쉼표 [0] 8 2 3 4 4" xfId="10177" xr:uid="{3533BC70-ACC4-4D6D-A2E8-1CF0F4C15778}"/>
    <cellStyle name="쉼표 [0] 8 2 3 5" xfId="4684" xr:uid="{00000000-0005-0000-0000-0000EF1C0000}"/>
    <cellStyle name="쉼표 [0] 8 2 3 5 2" xfId="8345" xr:uid="{00000000-0005-0000-0000-0000F01C0000}"/>
    <cellStyle name="쉼표 [0] 8 2 3 5 2 2" xfId="15662" xr:uid="{38F1E6C3-9A3D-4F9D-95EE-843F91D9783A}"/>
    <cellStyle name="쉼표 [0] 8 2 3 5 3" xfId="12004" xr:uid="{EDCC0109-2BDA-477C-B625-37B42B8E2417}"/>
    <cellStyle name="쉼표 [0] 8 2 3 6" xfId="6516" xr:uid="{00000000-0005-0000-0000-0000F11C0000}"/>
    <cellStyle name="쉼표 [0] 8 2 3 6 2" xfId="13833" xr:uid="{EE051203-060F-44E1-9EED-C5FA00A57561}"/>
    <cellStyle name="쉼표 [0] 8 2 3 7" xfId="10174" xr:uid="{24527BA5-9A8A-4C69-923D-FE56263C3026}"/>
    <cellStyle name="쉼표 [0] 8 2 4" xfId="2347" xr:uid="{00000000-0005-0000-0000-0000F21C0000}"/>
    <cellStyle name="쉼표 [0] 8 2 4 2" xfId="2348" xr:uid="{00000000-0005-0000-0000-0000F31C0000}"/>
    <cellStyle name="쉼표 [0] 8 2 4 2 2" xfId="4689" xr:uid="{00000000-0005-0000-0000-0000F41C0000}"/>
    <cellStyle name="쉼표 [0] 8 2 4 2 2 2" xfId="8350" xr:uid="{00000000-0005-0000-0000-0000F51C0000}"/>
    <cellStyle name="쉼표 [0] 8 2 4 2 2 2 2" xfId="15667" xr:uid="{F57A4E6C-5D22-42FC-99DD-56611D6A52EA}"/>
    <cellStyle name="쉼표 [0] 8 2 4 2 2 3" xfId="12009" xr:uid="{92CA6A91-F230-45F7-A05E-321F304ADE80}"/>
    <cellStyle name="쉼표 [0] 8 2 4 2 3" xfId="6521" xr:uid="{00000000-0005-0000-0000-0000F61C0000}"/>
    <cellStyle name="쉼표 [0] 8 2 4 2 3 2" xfId="13838" xr:uid="{919FB962-C43C-4B8E-9262-82058FBB20A9}"/>
    <cellStyle name="쉼표 [0] 8 2 4 2 4" xfId="10179" xr:uid="{37F92D1E-B388-4262-9CC8-E1066D9D1EB8}"/>
    <cellStyle name="쉼표 [0] 8 2 4 3" xfId="2349" xr:uid="{00000000-0005-0000-0000-0000F71C0000}"/>
    <cellStyle name="쉼표 [0] 8 2 4 3 2" xfId="4690" xr:uid="{00000000-0005-0000-0000-0000F81C0000}"/>
    <cellStyle name="쉼표 [0] 8 2 4 3 2 2" xfId="8351" xr:uid="{00000000-0005-0000-0000-0000F91C0000}"/>
    <cellStyle name="쉼표 [0] 8 2 4 3 2 2 2" xfId="15668" xr:uid="{4C32D9C5-2242-48CF-9365-7B73E8AB2888}"/>
    <cellStyle name="쉼표 [0] 8 2 4 3 2 3" xfId="12010" xr:uid="{08CDBB91-13EC-49EE-9E6A-7ABC8A1F21D1}"/>
    <cellStyle name="쉼표 [0] 8 2 4 3 3" xfId="6522" xr:uid="{00000000-0005-0000-0000-0000FA1C0000}"/>
    <cellStyle name="쉼표 [0] 8 2 4 3 3 2" xfId="13839" xr:uid="{C6295AE6-D195-42AE-BE23-604227AEBEF6}"/>
    <cellStyle name="쉼표 [0] 8 2 4 3 4" xfId="10180" xr:uid="{C84640C9-F141-45E1-B5C3-70F82FA06ECB}"/>
    <cellStyle name="쉼표 [0] 8 2 4 4" xfId="4688" xr:uid="{00000000-0005-0000-0000-0000FB1C0000}"/>
    <cellStyle name="쉼표 [0] 8 2 4 4 2" xfId="8349" xr:uid="{00000000-0005-0000-0000-0000FC1C0000}"/>
    <cellStyle name="쉼표 [0] 8 2 4 4 2 2" xfId="15666" xr:uid="{73A94AF7-A927-4833-AD09-912DE73BBEFC}"/>
    <cellStyle name="쉼표 [0] 8 2 4 4 3" xfId="12008" xr:uid="{6E76577E-BE45-4555-AEB0-31AC29F4AC9E}"/>
    <cellStyle name="쉼표 [0] 8 2 4 5" xfId="6520" xr:uid="{00000000-0005-0000-0000-0000FD1C0000}"/>
    <cellStyle name="쉼표 [0] 8 2 4 5 2" xfId="13837" xr:uid="{1E948F11-B464-404A-9ECB-B201800142E5}"/>
    <cellStyle name="쉼표 [0] 8 2 4 6" xfId="10178" xr:uid="{3212401B-BD37-4AD8-8C72-CFE29DBBAC71}"/>
    <cellStyle name="쉼표 [0] 8 2 5" xfId="2350" xr:uid="{00000000-0005-0000-0000-0000FE1C0000}"/>
    <cellStyle name="쉼표 [0] 8 2 5 2" xfId="2351" xr:uid="{00000000-0005-0000-0000-0000FF1C0000}"/>
    <cellStyle name="쉼표 [0] 8 2 5 2 2" xfId="4692" xr:uid="{00000000-0005-0000-0000-0000001D0000}"/>
    <cellStyle name="쉼표 [0] 8 2 5 2 2 2" xfId="8353" xr:uid="{00000000-0005-0000-0000-0000011D0000}"/>
    <cellStyle name="쉼표 [0] 8 2 5 2 2 2 2" xfId="15670" xr:uid="{38E73273-FA32-425D-88B5-CE8828ABADB4}"/>
    <cellStyle name="쉼표 [0] 8 2 5 2 2 3" xfId="12012" xr:uid="{6CD1BF8E-90EE-4672-9612-070B397D2B11}"/>
    <cellStyle name="쉼표 [0] 8 2 5 2 3" xfId="6524" xr:uid="{00000000-0005-0000-0000-0000021D0000}"/>
    <cellStyle name="쉼표 [0] 8 2 5 2 3 2" xfId="13841" xr:uid="{D7A9ABF0-7AF7-4E37-A889-804822BD4A11}"/>
    <cellStyle name="쉼표 [0] 8 2 5 2 4" xfId="10182" xr:uid="{618BF8C8-FBA7-4DD2-9093-1DACDA6661AE}"/>
    <cellStyle name="쉼표 [0] 8 2 5 3" xfId="2352" xr:uid="{00000000-0005-0000-0000-0000031D0000}"/>
    <cellStyle name="쉼표 [0] 8 2 5 3 2" xfId="4693" xr:uid="{00000000-0005-0000-0000-0000041D0000}"/>
    <cellStyle name="쉼표 [0] 8 2 5 3 2 2" xfId="8354" xr:uid="{00000000-0005-0000-0000-0000051D0000}"/>
    <cellStyle name="쉼표 [0] 8 2 5 3 2 2 2" xfId="15671" xr:uid="{6DC3FD94-1187-44F2-8190-C03370743782}"/>
    <cellStyle name="쉼표 [0] 8 2 5 3 2 3" xfId="12013" xr:uid="{442D0616-B880-4402-A384-ACA11437D965}"/>
    <cellStyle name="쉼표 [0] 8 2 5 3 3" xfId="6525" xr:uid="{00000000-0005-0000-0000-0000061D0000}"/>
    <cellStyle name="쉼표 [0] 8 2 5 3 3 2" xfId="13842" xr:uid="{15338B3F-E2D8-4AF1-8DB0-C1DE4C5EA59E}"/>
    <cellStyle name="쉼표 [0] 8 2 5 3 4" xfId="10183" xr:uid="{6BBE8F02-10D4-42D1-8564-45BDACC8E2F8}"/>
    <cellStyle name="쉼표 [0] 8 2 5 4" xfId="4691" xr:uid="{00000000-0005-0000-0000-0000071D0000}"/>
    <cellStyle name="쉼표 [0] 8 2 5 4 2" xfId="8352" xr:uid="{00000000-0005-0000-0000-0000081D0000}"/>
    <cellStyle name="쉼표 [0] 8 2 5 4 2 2" xfId="15669" xr:uid="{3C5FC527-58EE-4759-ACBB-7F5C03D4367C}"/>
    <cellStyle name="쉼표 [0] 8 2 5 4 3" xfId="12011" xr:uid="{E9F5D858-BB7B-4A02-8D7D-E3563DB493B5}"/>
    <cellStyle name="쉼표 [0] 8 2 5 5" xfId="6523" xr:uid="{00000000-0005-0000-0000-0000091D0000}"/>
    <cellStyle name="쉼표 [0] 8 2 5 5 2" xfId="13840" xr:uid="{84D32D81-574E-4EB7-BDCE-5C1C285842B9}"/>
    <cellStyle name="쉼표 [0] 8 2 5 6" xfId="10181" xr:uid="{9F90C78F-CDD8-4AED-B393-7FFBEF4FC6BD}"/>
    <cellStyle name="쉼표 [0] 8 2 6" xfId="2353" xr:uid="{00000000-0005-0000-0000-00000A1D0000}"/>
    <cellStyle name="쉼표 [0] 8 2 6 2" xfId="2354" xr:uid="{00000000-0005-0000-0000-00000B1D0000}"/>
    <cellStyle name="쉼표 [0] 8 2 6 2 2" xfId="4695" xr:uid="{00000000-0005-0000-0000-00000C1D0000}"/>
    <cellStyle name="쉼표 [0] 8 2 6 2 2 2" xfId="8356" xr:uid="{00000000-0005-0000-0000-00000D1D0000}"/>
    <cellStyle name="쉼표 [0] 8 2 6 2 2 2 2" xfId="15673" xr:uid="{1212278D-7A5D-4B6C-9D6B-4C339C2EC577}"/>
    <cellStyle name="쉼표 [0] 8 2 6 2 2 3" xfId="12015" xr:uid="{FAE92476-B000-4504-B509-1F780FB11069}"/>
    <cellStyle name="쉼표 [0] 8 2 6 2 3" xfId="6527" xr:uid="{00000000-0005-0000-0000-00000E1D0000}"/>
    <cellStyle name="쉼표 [0] 8 2 6 2 3 2" xfId="13844" xr:uid="{4B994B4F-D595-4481-91EA-23296AE375B2}"/>
    <cellStyle name="쉼표 [0] 8 2 6 2 4" xfId="10185" xr:uid="{A7F42A86-53C3-4890-8F82-572D4627DD24}"/>
    <cellStyle name="쉼표 [0] 8 2 6 3" xfId="2355" xr:uid="{00000000-0005-0000-0000-00000F1D0000}"/>
    <cellStyle name="쉼표 [0] 8 2 6 3 2" xfId="4696" xr:uid="{00000000-0005-0000-0000-0000101D0000}"/>
    <cellStyle name="쉼표 [0] 8 2 6 3 2 2" xfId="8357" xr:uid="{00000000-0005-0000-0000-0000111D0000}"/>
    <cellStyle name="쉼표 [0] 8 2 6 3 2 2 2" xfId="15674" xr:uid="{95256A8E-22A9-4275-9892-F6CA27CBA12C}"/>
    <cellStyle name="쉼표 [0] 8 2 6 3 2 3" xfId="12016" xr:uid="{23005B7B-B36A-4B6E-8E32-B7EE38C99B72}"/>
    <cellStyle name="쉼표 [0] 8 2 6 3 3" xfId="6528" xr:uid="{00000000-0005-0000-0000-0000121D0000}"/>
    <cellStyle name="쉼표 [0] 8 2 6 3 3 2" xfId="13845" xr:uid="{9F73E1BC-B249-4871-BFE5-D4A4204C2749}"/>
    <cellStyle name="쉼표 [0] 8 2 6 3 4" xfId="10186" xr:uid="{20B585A6-7EF0-408D-B61D-8D832FF75E29}"/>
    <cellStyle name="쉼표 [0] 8 2 6 4" xfId="4694" xr:uid="{00000000-0005-0000-0000-0000131D0000}"/>
    <cellStyle name="쉼표 [0] 8 2 6 4 2" xfId="8355" xr:uid="{00000000-0005-0000-0000-0000141D0000}"/>
    <cellStyle name="쉼표 [0] 8 2 6 4 2 2" xfId="15672" xr:uid="{C965A270-F822-473B-9E24-2268C1631DA1}"/>
    <cellStyle name="쉼표 [0] 8 2 6 4 3" xfId="12014" xr:uid="{2AC0AFA2-0F5B-4FBA-91A6-60D53F79949B}"/>
    <cellStyle name="쉼표 [0] 8 2 6 5" xfId="6526" xr:uid="{00000000-0005-0000-0000-0000151D0000}"/>
    <cellStyle name="쉼표 [0] 8 2 6 5 2" xfId="13843" xr:uid="{C862E9AF-6219-433E-8105-5EE4B30F8171}"/>
    <cellStyle name="쉼표 [0] 8 2 6 6" xfId="10184" xr:uid="{1546232A-E3E2-4231-8215-8DFEC25DA1D4}"/>
    <cellStyle name="쉼표 [0] 8 2 7" xfId="2356" xr:uid="{00000000-0005-0000-0000-0000161D0000}"/>
    <cellStyle name="쉼표 [0] 8 2 7 2" xfId="2357" xr:uid="{00000000-0005-0000-0000-0000171D0000}"/>
    <cellStyle name="쉼표 [0] 8 2 7 2 2" xfId="4698" xr:uid="{00000000-0005-0000-0000-0000181D0000}"/>
    <cellStyle name="쉼표 [0] 8 2 7 2 2 2" xfId="8359" xr:uid="{00000000-0005-0000-0000-0000191D0000}"/>
    <cellStyle name="쉼표 [0] 8 2 7 2 2 2 2" xfId="15676" xr:uid="{A3486483-AEFA-4BB7-9CF9-2529C402581B}"/>
    <cellStyle name="쉼표 [0] 8 2 7 2 2 3" xfId="12018" xr:uid="{9798FD5B-BB14-4A92-AC4A-6460EA067EF0}"/>
    <cellStyle name="쉼표 [0] 8 2 7 2 3" xfId="6530" xr:uid="{00000000-0005-0000-0000-00001A1D0000}"/>
    <cellStyle name="쉼표 [0] 8 2 7 2 3 2" xfId="13847" xr:uid="{BB33C06B-3882-4766-A47B-14CCFF565217}"/>
    <cellStyle name="쉼표 [0] 8 2 7 2 4" xfId="10188" xr:uid="{C494C7E1-DD99-49D7-B0D7-88818ED73242}"/>
    <cellStyle name="쉼표 [0] 8 2 7 3" xfId="2358" xr:uid="{00000000-0005-0000-0000-00001B1D0000}"/>
    <cellStyle name="쉼표 [0] 8 2 7 3 2" xfId="4699" xr:uid="{00000000-0005-0000-0000-00001C1D0000}"/>
    <cellStyle name="쉼표 [0] 8 2 7 3 2 2" xfId="8360" xr:uid="{00000000-0005-0000-0000-00001D1D0000}"/>
    <cellStyle name="쉼표 [0] 8 2 7 3 2 2 2" xfId="15677" xr:uid="{A4CF65B5-C4A5-488F-AB00-8EFD3A923E4C}"/>
    <cellStyle name="쉼표 [0] 8 2 7 3 2 3" xfId="12019" xr:uid="{5D95ECBE-5D4E-45DA-85B0-686EC5339ACB}"/>
    <cellStyle name="쉼표 [0] 8 2 7 3 3" xfId="6531" xr:uid="{00000000-0005-0000-0000-00001E1D0000}"/>
    <cellStyle name="쉼표 [0] 8 2 7 3 3 2" xfId="13848" xr:uid="{90DB2FFC-696D-4B38-BE6F-5C142C04AD43}"/>
    <cellStyle name="쉼표 [0] 8 2 7 3 4" xfId="10189" xr:uid="{DF23E131-A9AB-4D8C-BD8E-DDCE73749DE6}"/>
    <cellStyle name="쉼표 [0] 8 2 7 4" xfId="4697" xr:uid="{00000000-0005-0000-0000-00001F1D0000}"/>
    <cellStyle name="쉼표 [0] 8 2 7 4 2" xfId="8358" xr:uid="{00000000-0005-0000-0000-0000201D0000}"/>
    <cellStyle name="쉼표 [0] 8 2 7 4 2 2" xfId="15675" xr:uid="{C5A4FB96-59F7-4C10-96E7-53E60C32D21E}"/>
    <cellStyle name="쉼표 [0] 8 2 7 4 3" xfId="12017" xr:uid="{0DB76FCA-714B-4BA6-A9AB-B1DA3526FBF8}"/>
    <cellStyle name="쉼표 [0] 8 2 7 5" xfId="6529" xr:uid="{00000000-0005-0000-0000-0000211D0000}"/>
    <cellStyle name="쉼표 [0] 8 2 7 5 2" xfId="13846" xr:uid="{644D7D13-DFA8-407F-A71F-42262DF6594F}"/>
    <cellStyle name="쉼표 [0] 8 2 7 6" xfId="10187" xr:uid="{46C8B3C5-F6B6-4B8D-ADEA-BAF6AE6A924D}"/>
    <cellStyle name="쉼표 [0] 8 2 8" xfId="2359" xr:uid="{00000000-0005-0000-0000-0000221D0000}"/>
    <cellStyle name="쉼표 [0] 8 2 8 2" xfId="4700" xr:uid="{00000000-0005-0000-0000-0000231D0000}"/>
    <cellStyle name="쉼표 [0] 8 2 8 2 2" xfId="8361" xr:uid="{00000000-0005-0000-0000-0000241D0000}"/>
    <cellStyle name="쉼표 [0] 8 2 8 2 2 2" xfId="15678" xr:uid="{C9C47860-5A1E-477F-9BD6-F7C9305A0B76}"/>
    <cellStyle name="쉼표 [0] 8 2 8 2 3" xfId="12020" xr:uid="{5155D1A7-0A2D-4F6C-ABC8-CEDDA0C2DAC4}"/>
    <cellStyle name="쉼표 [0] 8 2 8 3" xfId="6532" xr:uid="{00000000-0005-0000-0000-0000251D0000}"/>
    <cellStyle name="쉼표 [0] 8 2 8 3 2" xfId="13849" xr:uid="{A624F920-5A02-405C-8A19-AF401B48E26F}"/>
    <cellStyle name="쉼표 [0] 8 2 8 4" xfId="10190" xr:uid="{42521A61-DD1B-4D3F-9F26-296A8F1AD343}"/>
    <cellStyle name="쉼표 [0] 8 2 9" xfId="2360" xr:uid="{00000000-0005-0000-0000-0000261D0000}"/>
    <cellStyle name="쉼표 [0] 8 2 9 2" xfId="4701" xr:uid="{00000000-0005-0000-0000-0000271D0000}"/>
    <cellStyle name="쉼표 [0] 8 2 9 2 2" xfId="8362" xr:uid="{00000000-0005-0000-0000-0000281D0000}"/>
    <cellStyle name="쉼표 [0] 8 2 9 2 2 2" xfId="15679" xr:uid="{45F7F37A-097D-4D35-8FF1-FAF8CA8FB3F3}"/>
    <cellStyle name="쉼표 [0] 8 2 9 2 3" xfId="12021" xr:uid="{2D1C6CB0-121C-4998-9B66-8C06C8E66CB2}"/>
    <cellStyle name="쉼표 [0] 8 2 9 3" xfId="6533" xr:uid="{00000000-0005-0000-0000-0000291D0000}"/>
    <cellStyle name="쉼표 [0] 8 2 9 3 2" xfId="13850" xr:uid="{C6C65781-C020-4EEE-98C5-A2FE60F901C1}"/>
    <cellStyle name="쉼표 [0] 8 2 9 4" xfId="10191" xr:uid="{1FCBB718-4A12-410F-B426-3AB787450DA2}"/>
    <cellStyle name="쉼표 [0] 8 3" xfId="2361" xr:uid="{00000000-0005-0000-0000-00002A1D0000}"/>
    <cellStyle name="쉼표 [0] 8 3 10" xfId="2362" xr:uid="{00000000-0005-0000-0000-00002B1D0000}"/>
    <cellStyle name="쉼표 [0] 8 3 10 2" xfId="4703" xr:uid="{00000000-0005-0000-0000-00002C1D0000}"/>
    <cellStyle name="쉼표 [0] 8 3 10 2 2" xfId="8364" xr:uid="{00000000-0005-0000-0000-00002D1D0000}"/>
    <cellStyle name="쉼표 [0] 8 3 10 2 2 2" xfId="15681" xr:uid="{7D166EA8-9BA6-4BD1-B5C3-065901659026}"/>
    <cellStyle name="쉼표 [0] 8 3 10 2 3" xfId="12023" xr:uid="{0AD7989A-8C60-4D6D-87F7-3E8D00AD8723}"/>
    <cellStyle name="쉼표 [0] 8 3 10 3" xfId="6535" xr:uid="{00000000-0005-0000-0000-00002E1D0000}"/>
    <cellStyle name="쉼표 [0] 8 3 10 3 2" xfId="13852" xr:uid="{34402E18-682C-4FCA-8AD6-598F2231AC46}"/>
    <cellStyle name="쉼표 [0] 8 3 10 4" xfId="10193" xr:uid="{575453EB-FF69-466E-9357-A05644217D78}"/>
    <cellStyle name="쉼표 [0] 8 3 11" xfId="4702" xr:uid="{00000000-0005-0000-0000-00002F1D0000}"/>
    <cellStyle name="쉼표 [0] 8 3 11 2" xfId="8363" xr:uid="{00000000-0005-0000-0000-0000301D0000}"/>
    <cellStyle name="쉼표 [0] 8 3 11 2 2" xfId="15680" xr:uid="{3D5BFEED-648D-425F-8A1E-D03323D8717A}"/>
    <cellStyle name="쉼표 [0] 8 3 11 3" xfId="12022" xr:uid="{DDC43847-E5C8-4D64-ADF9-449538CB4EB9}"/>
    <cellStyle name="쉼표 [0] 8 3 12" xfId="6534" xr:uid="{00000000-0005-0000-0000-0000311D0000}"/>
    <cellStyle name="쉼표 [0] 8 3 12 2" xfId="13851" xr:uid="{F3E8FB8D-BE2F-4B77-8C06-86982F199E8E}"/>
    <cellStyle name="쉼표 [0] 8 3 13" xfId="10192" xr:uid="{7D9EE0F8-B72F-4E47-809C-2DB7EA6ADC61}"/>
    <cellStyle name="쉼표 [0] 8 3 2" xfId="2363" xr:uid="{00000000-0005-0000-0000-0000321D0000}"/>
    <cellStyle name="쉼표 [0] 8 3 2 10" xfId="6536" xr:uid="{00000000-0005-0000-0000-0000331D0000}"/>
    <cellStyle name="쉼표 [0] 8 3 2 10 2" xfId="13853" xr:uid="{C87576F8-216E-4334-8442-BF80A6ED5429}"/>
    <cellStyle name="쉼표 [0] 8 3 2 11" xfId="10194" xr:uid="{70ED98E1-66A1-4209-ABE8-8448AE753D26}"/>
    <cellStyle name="쉼표 [0] 8 3 2 2" xfId="2364" xr:uid="{00000000-0005-0000-0000-0000341D0000}"/>
    <cellStyle name="쉼표 [0] 8 3 2 2 2" xfId="2365" xr:uid="{00000000-0005-0000-0000-0000351D0000}"/>
    <cellStyle name="쉼표 [0] 8 3 2 2 2 2" xfId="4706" xr:uid="{00000000-0005-0000-0000-0000361D0000}"/>
    <cellStyle name="쉼표 [0] 8 3 2 2 2 2 2" xfId="8367" xr:uid="{00000000-0005-0000-0000-0000371D0000}"/>
    <cellStyle name="쉼표 [0] 8 3 2 2 2 2 2 2" xfId="15684" xr:uid="{506B96CD-4706-4624-97D8-C6B92DD1D7D9}"/>
    <cellStyle name="쉼표 [0] 8 3 2 2 2 2 3" xfId="12026" xr:uid="{DD695D95-AF0D-4FB0-912B-CE696B9F4BCC}"/>
    <cellStyle name="쉼표 [0] 8 3 2 2 2 3" xfId="6538" xr:uid="{00000000-0005-0000-0000-0000381D0000}"/>
    <cellStyle name="쉼표 [0] 8 3 2 2 2 3 2" xfId="13855" xr:uid="{9FD933F6-26F1-497C-87E4-321DC5BB73CC}"/>
    <cellStyle name="쉼표 [0] 8 3 2 2 2 4" xfId="10196" xr:uid="{40E16468-482C-40BE-8E7D-A13A0F218705}"/>
    <cellStyle name="쉼표 [0] 8 3 2 2 3" xfId="2366" xr:uid="{00000000-0005-0000-0000-0000391D0000}"/>
    <cellStyle name="쉼표 [0] 8 3 2 2 3 2" xfId="4707" xr:uid="{00000000-0005-0000-0000-00003A1D0000}"/>
    <cellStyle name="쉼표 [0] 8 3 2 2 3 2 2" xfId="8368" xr:uid="{00000000-0005-0000-0000-00003B1D0000}"/>
    <cellStyle name="쉼표 [0] 8 3 2 2 3 2 2 2" xfId="15685" xr:uid="{DB5110AD-49FC-42D9-ACAC-82B26A3493E4}"/>
    <cellStyle name="쉼표 [0] 8 3 2 2 3 2 3" xfId="12027" xr:uid="{A1D19F83-4E17-494B-A129-849AB8F70F3F}"/>
    <cellStyle name="쉼표 [0] 8 3 2 2 3 3" xfId="6539" xr:uid="{00000000-0005-0000-0000-00003C1D0000}"/>
    <cellStyle name="쉼표 [0] 8 3 2 2 3 3 2" xfId="13856" xr:uid="{3EB20A9B-944D-4FB7-937F-FC9698B7883F}"/>
    <cellStyle name="쉼표 [0] 8 3 2 2 3 4" xfId="10197" xr:uid="{F4015AC7-FCE6-400C-A3C0-034EE5433C85}"/>
    <cellStyle name="쉼표 [0] 8 3 2 2 4" xfId="4705" xr:uid="{00000000-0005-0000-0000-00003D1D0000}"/>
    <cellStyle name="쉼표 [0] 8 3 2 2 4 2" xfId="8366" xr:uid="{00000000-0005-0000-0000-00003E1D0000}"/>
    <cellStyle name="쉼표 [0] 8 3 2 2 4 2 2" xfId="15683" xr:uid="{3C29409A-DE41-4B72-8372-AEBF7748793C}"/>
    <cellStyle name="쉼표 [0] 8 3 2 2 4 3" xfId="12025" xr:uid="{C17C9D6C-5CB8-4FDF-A392-98673731B7C0}"/>
    <cellStyle name="쉼표 [0] 8 3 2 2 5" xfId="6537" xr:uid="{00000000-0005-0000-0000-00003F1D0000}"/>
    <cellStyle name="쉼표 [0] 8 3 2 2 5 2" xfId="13854" xr:uid="{96A32A03-1E41-4621-B053-E166CE1977E0}"/>
    <cellStyle name="쉼표 [0] 8 3 2 2 6" xfId="10195" xr:uid="{22B92A67-39A0-4513-B951-989FB61F392B}"/>
    <cellStyle name="쉼표 [0] 8 3 2 3" xfId="2367" xr:uid="{00000000-0005-0000-0000-0000401D0000}"/>
    <cellStyle name="쉼표 [0] 8 3 2 3 2" xfId="2368" xr:uid="{00000000-0005-0000-0000-0000411D0000}"/>
    <cellStyle name="쉼표 [0] 8 3 2 3 2 2" xfId="4709" xr:uid="{00000000-0005-0000-0000-0000421D0000}"/>
    <cellStyle name="쉼표 [0] 8 3 2 3 2 2 2" xfId="8370" xr:uid="{00000000-0005-0000-0000-0000431D0000}"/>
    <cellStyle name="쉼표 [0] 8 3 2 3 2 2 2 2" xfId="15687" xr:uid="{CAD4F809-03DC-4957-93AC-0E6E5197BE18}"/>
    <cellStyle name="쉼표 [0] 8 3 2 3 2 2 3" xfId="12029" xr:uid="{4CFF7C42-59BC-4472-8EBB-A929588130E5}"/>
    <cellStyle name="쉼표 [0] 8 3 2 3 2 3" xfId="6541" xr:uid="{00000000-0005-0000-0000-0000441D0000}"/>
    <cellStyle name="쉼표 [0] 8 3 2 3 2 3 2" xfId="13858" xr:uid="{6A7E92B8-1ADA-4132-A0EB-3E3ED09ADA97}"/>
    <cellStyle name="쉼표 [0] 8 3 2 3 2 4" xfId="10199" xr:uid="{1C81FC22-FD56-435B-A4B9-5AB56576BCDB}"/>
    <cellStyle name="쉼표 [0] 8 3 2 3 3" xfId="2369" xr:uid="{00000000-0005-0000-0000-0000451D0000}"/>
    <cellStyle name="쉼표 [0] 8 3 2 3 3 2" xfId="4710" xr:uid="{00000000-0005-0000-0000-0000461D0000}"/>
    <cellStyle name="쉼표 [0] 8 3 2 3 3 2 2" xfId="8371" xr:uid="{00000000-0005-0000-0000-0000471D0000}"/>
    <cellStyle name="쉼표 [0] 8 3 2 3 3 2 2 2" xfId="15688" xr:uid="{BF66A2BB-903A-48FD-992D-93FD6896BAA3}"/>
    <cellStyle name="쉼표 [0] 8 3 2 3 3 2 3" xfId="12030" xr:uid="{8444C3DF-0336-4ACE-92D8-A7A74F549D6E}"/>
    <cellStyle name="쉼표 [0] 8 3 2 3 3 3" xfId="6542" xr:uid="{00000000-0005-0000-0000-0000481D0000}"/>
    <cellStyle name="쉼표 [0] 8 3 2 3 3 3 2" xfId="13859" xr:uid="{3C3BF4DE-21B4-47D2-A52D-C694530AC8D8}"/>
    <cellStyle name="쉼표 [0] 8 3 2 3 3 4" xfId="10200" xr:uid="{FE950F67-BFF4-4207-9EA1-5A576FC864FD}"/>
    <cellStyle name="쉼표 [0] 8 3 2 3 4" xfId="4708" xr:uid="{00000000-0005-0000-0000-0000491D0000}"/>
    <cellStyle name="쉼표 [0] 8 3 2 3 4 2" xfId="8369" xr:uid="{00000000-0005-0000-0000-00004A1D0000}"/>
    <cellStyle name="쉼표 [0] 8 3 2 3 4 2 2" xfId="15686" xr:uid="{946BA445-DDD5-4286-B254-671F10D2BFA1}"/>
    <cellStyle name="쉼표 [0] 8 3 2 3 4 3" xfId="12028" xr:uid="{071FF69A-D45B-4676-B134-E4628654058F}"/>
    <cellStyle name="쉼표 [0] 8 3 2 3 5" xfId="6540" xr:uid="{00000000-0005-0000-0000-00004B1D0000}"/>
    <cellStyle name="쉼표 [0] 8 3 2 3 5 2" xfId="13857" xr:uid="{DA453521-B679-4426-A8A4-669682B45828}"/>
    <cellStyle name="쉼표 [0] 8 3 2 3 6" xfId="10198" xr:uid="{7B5A7451-9848-417E-AC00-D09BEAA89B21}"/>
    <cellStyle name="쉼표 [0] 8 3 2 4" xfId="2370" xr:uid="{00000000-0005-0000-0000-00004C1D0000}"/>
    <cellStyle name="쉼표 [0] 8 3 2 4 2" xfId="2371" xr:uid="{00000000-0005-0000-0000-00004D1D0000}"/>
    <cellStyle name="쉼표 [0] 8 3 2 4 2 2" xfId="4712" xr:uid="{00000000-0005-0000-0000-00004E1D0000}"/>
    <cellStyle name="쉼표 [0] 8 3 2 4 2 2 2" xfId="8373" xr:uid="{00000000-0005-0000-0000-00004F1D0000}"/>
    <cellStyle name="쉼표 [0] 8 3 2 4 2 2 2 2" xfId="15690" xr:uid="{86955909-F6AE-4D22-A389-D90B67B9A355}"/>
    <cellStyle name="쉼표 [0] 8 3 2 4 2 2 3" xfId="12032" xr:uid="{786F76E8-D341-4B13-8A1B-F071994FA104}"/>
    <cellStyle name="쉼표 [0] 8 3 2 4 2 3" xfId="6544" xr:uid="{00000000-0005-0000-0000-0000501D0000}"/>
    <cellStyle name="쉼표 [0] 8 3 2 4 2 3 2" xfId="13861" xr:uid="{7100F56F-928A-4BA0-8C8A-5954C250AFCB}"/>
    <cellStyle name="쉼표 [0] 8 3 2 4 2 4" xfId="10202" xr:uid="{867CE10D-A6D6-4917-A731-B47C67238BAC}"/>
    <cellStyle name="쉼표 [0] 8 3 2 4 3" xfId="2372" xr:uid="{00000000-0005-0000-0000-0000511D0000}"/>
    <cellStyle name="쉼표 [0] 8 3 2 4 3 2" xfId="4713" xr:uid="{00000000-0005-0000-0000-0000521D0000}"/>
    <cellStyle name="쉼표 [0] 8 3 2 4 3 2 2" xfId="8374" xr:uid="{00000000-0005-0000-0000-0000531D0000}"/>
    <cellStyle name="쉼표 [0] 8 3 2 4 3 2 2 2" xfId="15691" xr:uid="{D8799C76-FC55-4B47-8309-375740E0076C}"/>
    <cellStyle name="쉼표 [0] 8 3 2 4 3 2 3" xfId="12033" xr:uid="{4D71D129-E8FC-466D-B0B9-3E1FE8A26B7F}"/>
    <cellStyle name="쉼표 [0] 8 3 2 4 3 3" xfId="6545" xr:uid="{00000000-0005-0000-0000-0000541D0000}"/>
    <cellStyle name="쉼표 [0] 8 3 2 4 3 3 2" xfId="13862" xr:uid="{BF3E01AF-83A3-4677-BA1F-19D55CEDAE3B}"/>
    <cellStyle name="쉼표 [0] 8 3 2 4 3 4" xfId="10203" xr:uid="{9CE7B9BB-5F3D-4544-95CA-BF762A007329}"/>
    <cellStyle name="쉼표 [0] 8 3 2 4 4" xfId="4711" xr:uid="{00000000-0005-0000-0000-0000551D0000}"/>
    <cellStyle name="쉼표 [0] 8 3 2 4 4 2" xfId="8372" xr:uid="{00000000-0005-0000-0000-0000561D0000}"/>
    <cellStyle name="쉼표 [0] 8 3 2 4 4 2 2" xfId="15689" xr:uid="{BCC78E6C-307B-4C2A-8F42-DBA4C7F5917E}"/>
    <cellStyle name="쉼표 [0] 8 3 2 4 4 3" xfId="12031" xr:uid="{2566B44D-F498-4D2A-BF51-2F05FD687F33}"/>
    <cellStyle name="쉼표 [0] 8 3 2 4 5" xfId="6543" xr:uid="{00000000-0005-0000-0000-0000571D0000}"/>
    <cellStyle name="쉼표 [0] 8 3 2 4 5 2" xfId="13860" xr:uid="{44ECE7DD-E201-4847-96F0-4FE3391DFB85}"/>
    <cellStyle name="쉼표 [0] 8 3 2 4 6" xfId="10201" xr:uid="{F2C19CF9-88B6-4DFB-BCBC-3EFBB8D1F03A}"/>
    <cellStyle name="쉼표 [0] 8 3 2 5" xfId="2373" xr:uid="{00000000-0005-0000-0000-0000581D0000}"/>
    <cellStyle name="쉼표 [0] 8 3 2 5 2" xfId="2374" xr:uid="{00000000-0005-0000-0000-0000591D0000}"/>
    <cellStyle name="쉼표 [0] 8 3 2 5 2 2" xfId="4715" xr:uid="{00000000-0005-0000-0000-00005A1D0000}"/>
    <cellStyle name="쉼표 [0] 8 3 2 5 2 2 2" xfId="8376" xr:uid="{00000000-0005-0000-0000-00005B1D0000}"/>
    <cellStyle name="쉼표 [0] 8 3 2 5 2 2 2 2" xfId="15693" xr:uid="{8425C95D-52E1-4652-9F39-4022D100B965}"/>
    <cellStyle name="쉼표 [0] 8 3 2 5 2 2 3" xfId="12035" xr:uid="{AD168D32-4115-4033-8D39-DBD52E75DF4C}"/>
    <cellStyle name="쉼표 [0] 8 3 2 5 2 3" xfId="6547" xr:uid="{00000000-0005-0000-0000-00005C1D0000}"/>
    <cellStyle name="쉼표 [0] 8 3 2 5 2 3 2" xfId="13864" xr:uid="{1BF36070-F1F0-4641-8E20-29EFA02BA1D4}"/>
    <cellStyle name="쉼표 [0] 8 3 2 5 2 4" xfId="10205" xr:uid="{0C1D4D9E-6FA6-44CB-A05B-FC216DAB9CBB}"/>
    <cellStyle name="쉼표 [0] 8 3 2 5 3" xfId="2375" xr:uid="{00000000-0005-0000-0000-00005D1D0000}"/>
    <cellStyle name="쉼표 [0] 8 3 2 5 3 2" xfId="4716" xr:uid="{00000000-0005-0000-0000-00005E1D0000}"/>
    <cellStyle name="쉼표 [0] 8 3 2 5 3 2 2" xfId="8377" xr:uid="{00000000-0005-0000-0000-00005F1D0000}"/>
    <cellStyle name="쉼표 [0] 8 3 2 5 3 2 2 2" xfId="15694" xr:uid="{DB54C8E8-F05A-4D72-9995-0381B8366969}"/>
    <cellStyle name="쉼표 [0] 8 3 2 5 3 2 3" xfId="12036" xr:uid="{59A85D4E-9E31-4458-805E-17191E22D7F4}"/>
    <cellStyle name="쉼표 [0] 8 3 2 5 3 3" xfId="6548" xr:uid="{00000000-0005-0000-0000-0000601D0000}"/>
    <cellStyle name="쉼표 [0] 8 3 2 5 3 3 2" xfId="13865" xr:uid="{D151CD9D-0F2F-47AC-B398-D1E0C64D976F}"/>
    <cellStyle name="쉼표 [0] 8 3 2 5 3 4" xfId="10206" xr:uid="{4B31F4A6-B1A4-4E72-8E79-1F9D7984FD43}"/>
    <cellStyle name="쉼표 [0] 8 3 2 5 4" xfId="4714" xr:uid="{00000000-0005-0000-0000-0000611D0000}"/>
    <cellStyle name="쉼표 [0] 8 3 2 5 4 2" xfId="8375" xr:uid="{00000000-0005-0000-0000-0000621D0000}"/>
    <cellStyle name="쉼표 [0] 8 3 2 5 4 2 2" xfId="15692" xr:uid="{01E3F26E-4A3D-4917-8BA8-5C0FDF37FA88}"/>
    <cellStyle name="쉼표 [0] 8 3 2 5 4 3" xfId="12034" xr:uid="{9E75F6DA-5DAE-4008-87D1-2509D4D450AC}"/>
    <cellStyle name="쉼표 [0] 8 3 2 5 5" xfId="6546" xr:uid="{00000000-0005-0000-0000-0000631D0000}"/>
    <cellStyle name="쉼표 [0] 8 3 2 5 5 2" xfId="13863" xr:uid="{A7762319-B46E-45BC-AE5A-FB0A66F1D113}"/>
    <cellStyle name="쉼표 [0] 8 3 2 5 6" xfId="10204" xr:uid="{1C4959F6-1BC4-4DBF-A5A3-D475C9807548}"/>
    <cellStyle name="쉼표 [0] 8 3 2 6" xfId="2376" xr:uid="{00000000-0005-0000-0000-0000641D0000}"/>
    <cellStyle name="쉼표 [0] 8 3 2 6 2" xfId="2377" xr:uid="{00000000-0005-0000-0000-0000651D0000}"/>
    <cellStyle name="쉼표 [0] 8 3 2 6 2 2" xfId="4718" xr:uid="{00000000-0005-0000-0000-0000661D0000}"/>
    <cellStyle name="쉼표 [0] 8 3 2 6 2 2 2" xfId="8379" xr:uid="{00000000-0005-0000-0000-0000671D0000}"/>
    <cellStyle name="쉼표 [0] 8 3 2 6 2 2 2 2" xfId="15696" xr:uid="{357AEBA7-49D3-47E6-8DD9-91BD7AB37E67}"/>
    <cellStyle name="쉼표 [0] 8 3 2 6 2 2 3" xfId="12038" xr:uid="{CF572534-8170-4A26-B548-9F844AE847FE}"/>
    <cellStyle name="쉼표 [0] 8 3 2 6 2 3" xfId="6550" xr:uid="{00000000-0005-0000-0000-0000681D0000}"/>
    <cellStyle name="쉼표 [0] 8 3 2 6 2 3 2" xfId="13867" xr:uid="{0666A79A-3783-4E34-B231-5A37D84D6051}"/>
    <cellStyle name="쉼표 [0] 8 3 2 6 2 4" xfId="10208" xr:uid="{0422BFF8-1346-4174-94D8-96BA7DCB16BC}"/>
    <cellStyle name="쉼표 [0] 8 3 2 6 3" xfId="2378" xr:uid="{00000000-0005-0000-0000-0000691D0000}"/>
    <cellStyle name="쉼표 [0] 8 3 2 6 3 2" xfId="4719" xr:uid="{00000000-0005-0000-0000-00006A1D0000}"/>
    <cellStyle name="쉼표 [0] 8 3 2 6 3 2 2" xfId="8380" xr:uid="{00000000-0005-0000-0000-00006B1D0000}"/>
    <cellStyle name="쉼표 [0] 8 3 2 6 3 2 2 2" xfId="15697" xr:uid="{6B023615-8A92-4F2A-937F-30CBC65937AB}"/>
    <cellStyle name="쉼표 [0] 8 3 2 6 3 2 3" xfId="12039" xr:uid="{2BD143C2-6141-4D8B-AA3C-5AC6473CC5E4}"/>
    <cellStyle name="쉼표 [0] 8 3 2 6 3 3" xfId="6551" xr:uid="{00000000-0005-0000-0000-00006C1D0000}"/>
    <cellStyle name="쉼표 [0] 8 3 2 6 3 3 2" xfId="13868" xr:uid="{CDA90FED-E3D9-494A-8746-68591941E01A}"/>
    <cellStyle name="쉼표 [0] 8 3 2 6 3 4" xfId="10209" xr:uid="{B6F39A85-C4EE-449B-877B-A77910BCC384}"/>
    <cellStyle name="쉼표 [0] 8 3 2 6 4" xfId="4717" xr:uid="{00000000-0005-0000-0000-00006D1D0000}"/>
    <cellStyle name="쉼표 [0] 8 3 2 6 4 2" xfId="8378" xr:uid="{00000000-0005-0000-0000-00006E1D0000}"/>
    <cellStyle name="쉼표 [0] 8 3 2 6 4 2 2" xfId="15695" xr:uid="{F060A0F2-8F3B-418F-AB11-AE95854A38D5}"/>
    <cellStyle name="쉼표 [0] 8 3 2 6 4 3" xfId="12037" xr:uid="{2DD47809-D7B7-45A8-BF9A-03D620DDDA97}"/>
    <cellStyle name="쉼표 [0] 8 3 2 6 5" xfId="6549" xr:uid="{00000000-0005-0000-0000-00006F1D0000}"/>
    <cellStyle name="쉼표 [0] 8 3 2 6 5 2" xfId="13866" xr:uid="{83DBFA66-9950-4D97-B45D-01375DED3FCB}"/>
    <cellStyle name="쉼표 [0] 8 3 2 6 6" xfId="10207" xr:uid="{C54CAEF4-2BE4-4BBC-AB4D-8C5C03361A92}"/>
    <cellStyle name="쉼표 [0] 8 3 2 7" xfId="2379" xr:uid="{00000000-0005-0000-0000-0000701D0000}"/>
    <cellStyle name="쉼표 [0] 8 3 2 7 2" xfId="4720" xr:uid="{00000000-0005-0000-0000-0000711D0000}"/>
    <cellStyle name="쉼표 [0] 8 3 2 7 2 2" xfId="8381" xr:uid="{00000000-0005-0000-0000-0000721D0000}"/>
    <cellStyle name="쉼표 [0] 8 3 2 7 2 2 2" xfId="15698" xr:uid="{18063229-07BE-4912-AF53-EF9E2F0F6850}"/>
    <cellStyle name="쉼표 [0] 8 3 2 7 2 3" xfId="12040" xr:uid="{3ED866D5-A147-4BED-9840-35E9C0D497AD}"/>
    <cellStyle name="쉼표 [0] 8 3 2 7 3" xfId="6552" xr:uid="{00000000-0005-0000-0000-0000731D0000}"/>
    <cellStyle name="쉼표 [0] 8 3 2 7 3 2" xfId="13869" xr:uid="{855C08C0-E073-4074-9C89-50BE736C83AF}"/>
    <cellStyle name="쉼표 [0] 8 3 2 7 4" xfId="10210" xr:uid="{C9A6A998-F438-4436-827E-06BF2267A710}"/>
    <cellStyle name="쉼표 [0] 8 3 2 8" xfId="2380" xr:uid="{00000000-0005-0000-0000-0000741D0000}"/>
    <cellStyle name="쉼표 [0] 8 3 2 8 2" xfId="4721" xr:uid="{00000000-0005-0000-0000-0000751D0000}"/>
    <cellStyle name="쉼표 [0] 8 3 2 8 2 2" xfId="8382" xr:uid="{00000000-0005-0000-0000-0000761D0000}"/>
    <cellStyle name="쉼표 [0] 8 3 2 8 2 2 2" xfId="15699" xr:uid="{B608F5B4-3B6B-455F-97D2-F550102849B2}"/>
    <cellStyle name="쉼표 [0] 8 3 2 8 2 3" xfId="12041" xr:uid="{ED9F4513-7222-44AD-BBF2-57561AAFEDB9}"/>
    <cellStyle name="쉼표 [0] 8 3 2 8 3" xfId="6553" xr:uid="{00000000-0005-0000-0000-0000771D0000}"/>
    <cellStyle name="쉼표 [0] 8 3 2 8 3 2" xfId="13870" xr:uid="{5F20B151-7BA6-4744-8F28-81BB496D8BBB}"/>
    <cellStyle name="쉼표 [0] 8 3 2 8 4" xfId="10211" xr:uid="{90BECA17-AEFC-46EB-8776-E8B056BD5A79}"/>
    <cellStyle name="쉼표 [0] 8 3 2 9" xfId="4704" xr:uid="{00000000-0005-0000-0000-0000781D0000}"/>
    <cellStyle name="쉼표 [0] 8 3 2 9 2" xfId="8365" xr:uid="{00000000-0005-0000-0000-0000791D0000}"/>
    <cellStyle name="쉼표 [0] 8 3 2 9 2 2" xfId="15682" xr:uid="{FDBE797D-6B59-4D36-842E-4CA91643C532}"/>
    <cellStyle name="쉼표 [0] 8 3 2 9 3" xfId="12024" xr:uid="{0D932122-CF48-48DD-A110-E939ADB9CF5E}"/>
    <cellStyle name="쉼표 [0] 8 3 3" xfId="2381" xr:uid="{00000000-0005-0000-0000-00007A1D0000}"/>
    <cellStyle name="쉼표 [0] 8 3 3 2" xfId="2382" xr:uid="{00000000-0005-0000-0000-00007B1D0000}"/>
    <cellStyle name="쉼표 [0] 8 3 3 2 2" xfId="4723" xr:uid="{00000000-0005-0000-0000-00007C1D0000}"/>
    <cellStyle name="쉼표 [0] 8 3 3 2 2 2" xfId="8384" xr:uid="{00000000-0005-0000-0000-00007D1D0000}"/>
    <cellStyle name="쉼표 [0] 8 3 3 2 2 2 2" xfId="15701" xr:uid="{769E585F-C58B-4148-8F2A-FE323697FEA9}"/>
    <cellStyle name="쉼표 [0] 8 3 3 2 2 3" xfId="12043" xr:uid="{1A4804D9-5FAF-4E81-BF62-22089DF3631C}"/>
    <cellStyle name="쉼표 [0] 8 3 3 2 3" xfId="6555" xr:uid="{00000000-0005-0000-0000-00007E1D0000}"/>
    <cellStyle name="쉼표 [0] 8 3 3 2 3 2" xfId="13872" xr:uid="{97B057ED-7548-4EA0-A9DA-723F3BBAEA37}"/>
    <cellStyle name="쉼표 [0] 8 3 3 2 4" xfId="10213" xr:uid="{E4F00B28-3E5C-4BA8-A735-8D1D423DDDD3}"/>
    <cellStyle name="쉼표 [0] 8 3 3 3" xfId="2383" xr:uid="{00000000-0005-0000-0000-00007F1D0000}"/>
    <cellStyle name="쉼표 [0] 8 3 3 3 2" xfId="4724" xr:uid="{00000000-0005-0000-0000-0000801D0000}"/>
    <cellStyle name="쉼표 [0] 8 3 3 3 2 2" xfId="8385" xr:uid="{00000000-0005-0000-0000-0000811D0000}"/>
    <cellStyle name="쉼표 [0] 8 3 3 3 2 2 2" xfId="15702" xr:uid="{7EF417ED-1E21-4A7E-BD77-97759B081067}"/>
    <cellStyle name="쉼표 [0] 8 3 3 3 2 3" xfId="12044" xr:uid="{5346B008-307F-47CB-BB47-007C80906D9B}"/>
    <cellStyle name="쉼표 [0] 8 3 3 3 3" xfId="6556" xr:uid="{00000000-0005-0000-0000-0000821D0000}"/>
    <cellStyle name="쉼표 [0] 8 3 3 3 3 2" xfId="13873" xr:uid="{44F1E65D-ADB1-4BE5-ADCC-01659C8189DF}"/>
    <cellStyle name="쉼표 [0] 8 3 3 3 4" xfId="10214" xr:uid="{417C0CCE-296F-43BD-AD6A-9E7AE0DE0B63}"/>
    <cellStyle name="쉼표 [0] 8 3 3 4" xfId="4722" xr:uid="{00000000-0005-0000-0000-0000831D0000}"/>
    <cellStyle name="쉼표 [0] 8 3 3 4 2" xfId="8383" xr:uid="{00000000-0005-0000-0000-0000841D0000}"/>
    <cellStyle name="쉼표 [0] 8 3 3 4 2 2" xfId="15700" xr:uid="{A80105A6-71B1-4F85-81F6-0CCF6218A574}"/>
    <cellStyle name="쉼표 [0] 8 3 3 4 3" xfId="12042" xr:uid="{5DB12FD0-3F2E-4DC0-8CB7-6F7F1372C1E0}"/>
    <cellStyle name="쉼표 [0] 8 3 3 5" xfId="6554" xr:uid="{00000000-0005-0000-0000-0000851D0000}"/>
    <cellStyle name="쉼표 [0] 8 3 3 5 2" xfId="13871" xr:uid="{60708A34-1A94-4B2F-AA1B-8A72DCDA6835}"/>
    <cellStyle name="쉼표 [0] 8 3 3 6" xfId="10212" xr:uid="{B123F0E2-88BF-48F8-963B-420AFDB56946}"/>
    <cellStyle name="쉼표 [0] 8 3 4" xfId="2384" xr:uid="{00000000-0005-0000-0000-0000861D0000}"/>
    <cellStyle name="쉼표 [0] 8 3 4 2" xfId="2385" xr:uid="{00000000-0005-0000-0000-0000871D0000}"/>
    <cellStyle name="쉼표 [0] 8 3 4 2 2" xfId="4726" xr:uid="{00000000-0005-0000-0000-0000881D0000}"/>
    <cellStyle name="쉼표 [0] 8 3 4 2 2 2" xfId="8387" xr:uid="{00000000-0005-0000-0000-0000891D0000}"/>
    <cellStyle name="쉼표 [0] 8 3 4 2 2 2 2" xfId="15704" xr:uid="{865EEF38-332D-43D9-A620-C432EB51A007}"/>
    <cellStyle name="쉼표 [0] 8 3 4 2 2 3" xfId="12046" xr:uid="{65FD9B56-7257-43DA-BBA8-0F4562F2E997}"/>
    <cellStyle name="쉼표 [0] 8 3 4 2 3" xfId="6558" xr:uid="{00000000-0005-0000-0000-00008A1D0000}"/>
    <cellStyle name="쉼표 [0] 8 3 4 2 3 2" xfId="13875" xr:uid="{6AB5870A-90EE-45A7-AE1A-3B57C91DB1D6}"/>
    <cellStyle name="쉼표 [0] 8 3 4 2 4" xfId="10216" xr:uid="{DFB8094E-9CEC-4B1E-8B0A-8F36F1714829}"/>
    <cellStyle name="쉼표 [0] 8 3 4 3" xfId="2386" xr:uid="{00000000-0005-0000-0000-00008B1D0000}"/>
    <cellStyle name="쉼표 [0] 8 3 4 3 2" xfId="4727" xr:uid="{00000000-0005-0000-0000-00008C1D0000}"/>
    <cellStyle name="쉼표 [0] 8 3 4 3 2 2" xfId="8388" xr:uid="{00000000-0005-0000-0000-00008D1D0000}"/>
    <cellStyle name="쉼표 [0] 8 3 4 3 2 2 2" xfId="15705" xr:uid="{C09F75DE-6CE0-4AE9-890E-2FAD238578F3}"/>
    <cellStyle name="쉼표 [0] 8 3 4 3 2 3" xfId="12047" xr:uid="{D4F7B1E8-4DA7-42ED-BBDE-B2FF93A762B4}"/>
    <cellStyle name="쉼표 [0] 8 3 4 3 3" xfId="6559" xr:uid="{00000000-0005-0000-0000-00008E1D0000}"/>
    <cellStyle name="쉼표 [0] 8 3 4 3 3 2" xfId="13876" xr:uid="{FF6931F5-6285-45AE-A1FA-56D262EA3AA0}"/>
    <cellStyle name="쉼표 [0] 8 3 4 3 4" xfId="10217" xr:uid="{5791D837-D32D-46C1-96AD-6B55EEF84338}"/>
    <cellStyle name="쉼표 [0] 8 3 4 4" xfId="4725" xr:uid="{00000000-0005-0000-0000-00008F1D0000}"/>
    <cellStyle name="쉼표 [0] 8 3 4 4 2" xfId="8386" xr:uid="{00000000-0005-0000-0000-0000901D0000}"/>
    <cellStyle name="쉼표 [0] 8 3 4 4 2 2" xfId="15703" xr:uid="{7EE8D5E8-471E-4649-9AC5-B45E1EFAE13B}"/>
    <cellStyle name="쉼표 [0] 8 3 4 4 3" xfId="12045" xr:uid="{5DEC313E-2884-4523-A3FB-5D8294F4159A}"/>
    <cellStyle name="쉼표 [0] 8 3 4 5" xfId="6557" xr:uid="{00000000-0005-0000-0000-0000911D0000}"/>
    <cellStyle name="쉼표 [0] 8 3 4 5 2" xfId="13874" xr:uid="{F9A14E3A-2DB1-44ED-9200-5AE2BDD60FD0}"/>
    <cellStyle name="쉼표 [0] 8 3 4 6" xfId="10215" xr:uid="{A91343D9-40E3-473D-8C63-77E9E386C6A9}"/>
    <cellStyle name="쉼표 [0] 8 3 5" xfId="2387" xr:uid="{00000000-0005-0000-0000-0000921D0000}"/>
    <cellStyle name="쉼표 [0] 8 3 5 2" xfId="2388" xr:uid="{00000000-0005-0000-0000-0000931D0000}"/>
    <cellStyle name="쉼표 [0] 8 3 5 2 2" xfId="4729" xr:uid="{00000000-0005-0000-0000-0000941D0000}"/>
    <cellStyle name="쉼표 [0] 8 3 5 2 2 2" xfId="8390" xr:uid="{00000000-0005-0000-0000-0000951D0000}"/>
    <cellStyle name="쉼표 [0] 8 3 5 2 2 2 2" xfId="15707" xr:uid="{AD5189D1-C3D6-41F0-90EB-2120BC09DA7F}"/>
    <cellStyle name="쉼표 [0] 8 3 5 2 2 3" xfId="12049" xr:uid="{985116B0-82B1-4258-8502-11F50767094E}"/>
    <cellStyle name="쉼표 [0] 8 3 5 2 3" xfId="6561" xr:uid="{00000000-0005-0000-0000-0000961D0000}"/>
    <cellStyle name="쉼표 [0] 8 3 5 2 3 2" xfId="13878" xr:uid="{CAE19E53-E840-4D95-9860-153EF02A1CCC}"/>
    <cellStyle name="쉼표 [0] 8 3 5 2 4" xfId="10219" xr:uid="{0A954496-9F2C-45DD-AB12-0EDDDE8D3B07}"/>
    <cellStyle name="쉼표 [0] 8 3 5 3" xfId="2389" xr:uid="{00000000-0005-0000-0000-0000971D0000}"/>
    <cellStyle name="쉼표 [0] 8 3 5 3 2" xfId="4730" xr:uid="{00000000-0005-0000-0000-0000981D0000}"/>
    <cellStyle name="쉼표 [0] 8 3 5 3 2 2" xfId="8391" xr:uid="{00000000-0005-0000-0000-0000991D0000}"/>
    <cellStyle name="쉼표 [0] 8 3 5 3 2 2 2" xfId="15708" xr:uid="{77A61DC4-9C08-43DB-9DC5-EB864E1A0B03}"/>
    <cellStyle name="쉼표 [0] 8 3 5 3 2 3" xfId="12050" xr:uid="{17240A21-1BEB-4077-AE44-67A9D2635F10}"/>
    <cellStyle name="쉼표 [0] 8 3 5 3 3" xfId="6562" xr:uid="{00000000-0005-0000-0000-00009A1D0000}"/>
    <cellStyle name="쉼표 [0] 8 3 5 3 3 2" xfId="13879" xr:uid="{407C6E8C-30A1-4E23-AB8F-C9E953C11483}"/>
    <cellStyle name="쉼표 [0] 8 3 5 3 4" xfId="10220" xr:uid="{614089DE-4D2A-474E-B956-018664C95C8B}"/>
    <cellStyle name="쉼표 [0] 8 3 5 4" xfId="4728" xr:uid="{00000000-0005-0000-0000-00009B1D0000}"/>
    <cellStyle name="쉼표 [0] 8 3 5 4 2" xfId="8389" xr:uid="{00000000-0005-0000-0000-00009C1D0000}"/>
    <cellStyle name="쉼표 [0] 8 3 5 4 2 2" xfId="15706" xr:uid="{B7D013AA-4D00-48AF-AD69-21BBAA055B74}"/>
    <cellStyle name="쉼표 [0] 8 3 5 4 3" xfId="12048" xr:uid="{A04867C9-AB9A-45E8-AAD5-A456932FFD13}"/>
    <cellStyle name="쉼표 [0] 8 3 5 5" xfId="6560" xr:uid="{00000000-0005-0000-0000-00009D1D0000}"/>
    <cellStyle name="쉼표 [0] 8 3 5 5 2" xfId="13877" xr:uid="{11DE6B1B-1BE8-404E-AFD0-482EFC4BE958}"/>
    <cellStyle name="쉼표 [0] 8 3 5 6" xfId="10218" xr:uid="{AF076699-7689-4D5B-9031-304AF6F0CD4C}"/>
    <cellStyle name="쉼표 [0] 8 3 6" xfId="2390" xr:uid="{00000000-0005-0000-0000-00009E1D0000}"/>
    <cellStyle name="쉼표 [0] 8 3 6 2" xfId="2391" xr:uid="{00000000-0005-0000-0000-00009F1D0000}"/>
    <cellStyle name="쉼표 [0] 8 3 6 2 2" xfId="4732" xr:uid="{00000000-0005-0000-0000-0000A01D0000}"/>
    <cellStyle name="쉼표 [0] 8 3 6 2 2 2" xfId="8393" xr:uid="{00000000-0005-0000-0000-0000A11D0000}"/>
    <cellStyle name="쉼표 [0] 8 3 6 2 2 2 2" xfId="15710" xr:uid="{2F4C88FB-02AE-4F25-93C9-CF5FEA9D9FAB}"/>
    <cellStyle name="쉼표 [0] 8 3 6 2 2 3" xfId="12052" xr:uid="{C0D5D1F8-6EC4-4093-B749-B2B0033847A5}"/>
    <cellStyle name="쉼표 [0] 8 3 6 2 3" xfId="6564" xr:uid="{00000000-0005-0000-0000-0000A21D0000}"/>
    <cellStyle name="쉼표 [0] 8 3 6 2 3 2" xfId="13881" xr:uid="{9CA93A83-742B-4B42-9AA0-C35DF2EAF667}"/>
    <cellStyle name="쉼표 [0] 8 3 6 2 4" xfId="10222" xr:uid="{2AEF8865-E609-4945-AE37-BDED8A6E8A2A}"/>
    <cellStyle name="쉼표 [0] 8 3 6 3" xfId="2392" xr:uid="{00000000-0005-0000-0000-0000A31D0000}"/>
    <cellStyle name="쉼표 [0] 8 3 6 3 2" xfId="4733" xr:uid="{00000000-0005-0000-0000-0000A41D0000}"/>
    <cellStyle name="쉼표 [0] 8 3 6 3 2 2" xfId="8394" xr:uid="{00000000-0005-0000-0000-0000A51D0000}"/>
    <cellStyle name="쉼표 [0] 8 3 6 3 2 2 2" xfId="15711" xr:uid="{1538F396-D19B-47CF-AFCB-A4CF559D843B}"/>
    <cellStyle name="쉼표 [0] 8 3 6 3 2 3" xfId="12053" xr:uid="{C86FE1B9-3162-4C83-8861-0836A50EB8AE}"/>
    <cellStyle name="쉼표 [0] 8 3 6 3 3" xfId="6565" xr:uid="{00000000-0005-0000-0000-0000A61D0000}"/>
    <cellStyle name="쉼표 [0] 8 3 6 3 3 2" xfId="13882" xr:uid="{7AF3D8CA-7940-4691-A46F-5CE6DF3C6057}"/>
    <cellStyle name="쉼표 [0] 8 3 6 3 4" xfId="10223" xr:uid="{FEBEF623-FD9A-4A52-BC30-344C27961BAF}"/>
    <cellStyle name="쉼표 [0] 8 3 6 4" xfId="4731" xr:uid="{00000000-0005-0000-0000-0000A71D0000}"/>
    <cellStyle name="쉼표 [0] 8 3 6 4 2" xfId="8392" xr:uid="{00000000-0005-0000-0000-0000A81D0000}"/>
    <cellStyle name="쉼표 [0] 8 3 6 4 2 2" xfId="15709" xr:uid="{D8370EB8-AF1E-42B4-B497-298BCFD1144C}"/>
    <cellStyle name="쉼표 [0] 8 3 6 4 3" xfId="12051" xr:uid="{108B634C-E830-465D-8544-20741BC27555}"/>
    <cellStyle name="쉼표 [0] 8 3 6 5" xfId="6563" xr:uid="{00000000-0005-0000-0000-0000A91D0000}"/>
    <cellStyle name="쉼표 [0] 8 3 6 5 2" xfId="13880" xr:uid="{E9D82C6C-5436-4628-BD72-0DDB48E3FE74}"/>
    <cellStyle name="쉼표 [0] 8 3 6 6" xfId="10221" xr:uid="{7204DE30-2155-49EF-9A89-321843AE8FA5}"/>
    <cellStyle name="쉼표 [0] 8 3 7" xfId="2393" xr:uid="{00000000-0005-0000-0000-0000AA1D0000}"/>
    <cellStyle name="쉼표 [0] 8 3 7 2" xfId="2394" xr:uid="{00000000-0005-0000-0000-0000AB1D0000}"/>
    <cellStyle name="쉼표 [0] 8 3 7 2 2" xfId="4735" xr:uid="{00000000-0005-0000-0000-0000AC1D0000}"/>
    <cellStyle name="쉼표 [0] 8 3 7 2 2 2" xfId="8396" xr:uid="{00000000-0005-0000-0000-0000AD1D0000}"/>
    <cellStyle name="쉼표 [0] 8 3 7 2 2 2 2" xfId="15713" xr:uid="{B7C9DACB-CA77-401A-9AFA-D5AFAA5CC19C}"/>
    <cellStyle name="쉼표 [0] 8 3 7 2 2 3" xfId="12055" xr:uid="{447DCDC2-9DE4-4ABA-AAF9-78FFEAC2F477}"/>
    <cellStyle name="쉼표 [0] 8 3 7 2 3" xfId="6567" xr:uid="{00000000-0005-0000-0000-0000AE1D0000}"/>
    <cellStyle name="쉼표 [0] 8 3 7 2 3 2" xfId="13884" xr:uid="{3F386475-33D7-4741-9291-1959C091DBB8}"/>
    <cellStyle name="쉼표 [0] 8 3 7 2 4" xfId="10225" xr:uid="{9F8AF94C-D54E-47EE-B722-2D2973B537E1}"/>
    <cellStyle name="쉼표 [0] 8 3 7 3" xfId="2395" xr:uid="{00000000-0005-0000-0000-0000AF1D0000}"/>
    <cellStyle name="쉼표 [0] 8 3 7 3 2" xfId="4736" xr:uid="{00000000-0005-0000-0000-0000B01D0000}"/>
    <cellStyle name="쉼표 [0] 8 3 7 3 2 2" xfId="8397" xr:uid="{00000000-0005-0000-0000-0000B11D0000}"/>
    <cellStyle name="쉼표 [0] 8 3 7 3 2 2 2" xfId="15714" xr:uid="{76A33D03-5126-483A-A6BA-E0BB077BF661}"/>
    <cellStyle name="쉼표 [0] 8 3 7 3 2 3" xfId="12056" xr:uid="{6C10B27A-8D6F-4FF4-AACD-B01B6EF27A84}"/>
    <cellStyle name="쉼표 [0] 8 3 7 3 3" xfId="6568" xr:uid="{00000000-0005-0000-0000-0000B21D0000}"/>
    <cellStyle name="쉼표 [0] 8 3 7 3 3 2" xfId="13885" xr:uid="{363F1B2D-A524-4692-B826-AE2D5FB8BD15}"/>
    <cellStyle name="쉼표 [0] 8 3 7 3 4" xfId="10226" xr:uid="{B15AB7D7-13E5-40AA-AB5C-730809E9842A}"/>
    <cellStyle name="쉼표 [0] 8 3 7 4" xfId="4734" xr:uid="{00000000-0005-0000-0000-0000B31D0000}"/>
    <cellStyle name="쉼표 [0] 8 3 7 4 2" xfId="8395" xr:uid="{00000000-0005-0000-0000-0000B41D0000}"/>
    <cellStyle name="쉼표 [0] 8 3 7 4 2 2" xfId="15712" xr:uid="{BB647B0B-AA36-4F0D-8124-8D0C1804498F}"/>
    <cellStyle name="쉼표 [0] 8 3 7 4 3" xfId="12054" xr:uid="{44532A58-8EF6-4D9D-81DE-B16498E245E8}"/>
    <cellStyle name="쉼표 [0] 8 3 7 5" xfId="6566" xr:uid="{00000000-0005-0000-0000-0000B51D0000}"/>
    <cellStyle name="쉼표 [0] 8 3 7 5 2" xfId="13883" xr:uid="{E07E0FC5-347D-4CE4-A2CA-39DD7E0EA3D8}"/>
    <cellStyle name="쉼표 [0] 8 3 7 6" xfId="10224" xr:uid="{B0CFBD84-E2D4-42B6-86A1-A33056B4A34D}"/>
    <cellStyle name="쉼표 [0] 8 3 8" xfId="2396" xr:uid="{00000000-0005-0000-0000-0000B61D0000}"/>
    <cellStyle name="쉼표 [0] 8 3 8 2" xfId="4737" xr:uid="{00000000-0005-0000-0000-0000B71D0000}"/>
    <cellStyle name="쉼표 [0] 8 3 8 2 2" xfId="8398" xr:uid="{00000000-0005-0000-0000-0000B81D0000}"/>
    <cellStyle name="쉼표 [0] 8 3 8 2 2 2" xfId="15715" xr:uid="{2AFAD1C3-BADA-43AF-9E4B-26004187895D}"/>
    <cellStyle name="쉼표 [0] 8 3 8 2 3" xfId="12057" xr:uid="{0F0B2B6A-3A66-46BF-A03E-AF1AEE148FAD}"/>
    <cellStyle name="쉼표 [0] 8 3 8 3" xfId="6569" xr:uid="{00000000-0005-0000-0000-0000B91D0000}"/>
    <cellStyle name="쉼표 [0] 8 3 8 3 2" xfId="13886" xr:uid="{63295475-B6DF-4C15-87B1-8F31CA4E32C9}"/>
    <cellStyle name="쉼표 [0] 8 3 8 4" xfId="10227" xr:uid="{D8CC885C-A637-4B19-911B-B4F05CD9B982}"/>
    <cellStyle name="쉼표 [0] 8 3 9" xfId="2397" xr:uid="{00000000-0005-0000-0000-0000BA1D0000}"/>
    <cellStyle name="쉼표 [0] 8 3 9 2" xfId="4738" xr:uid="{00000000-0005-0000-0000-0000BB1D0000}"/>
    <cellStyle name="쉼표 [0] 8 3 9 2 2" xfId="8399" xr:uid="{00000000-0005-0000-0000-0000BC1D0000}"/>
    <cellStyle name="쉼표 [0] 8 3 9 2 2 2" xfId="15716" xr:uid="{4EEC2E49-D75A-4682-833F-7B07520BA101}"/>
    <cellStyle name="쉼표 [0] 8 3 9 2 3" xfId="12058" xr:uid="{267CDAE5-2F04-4C77-9965-10CBBCF58B6B}"/>
    <cellStyle name="쉼표 [0] 8 3 9 3" xfId="6570" xr:uid="{00000000-0005-0000-0000-0000BD1D0000}"/>
    <cellStyle name="쉼표 [0] 8 3 9 3 2" xfId="13887" xr:uid="{5A54A0DF-605D-47E6-BCC1-8F11663E9E88}"/>
    <cellStyle name="쉼표 [0] 8 3 9 4" xfId="10228" xr:uid="{DFD93626-3D16-482A-B6BA-91B01CBC7D4E}"/>
    <cellStyle name="쉼표 [0] 8 4" xfId="2398" xr:uid="{00000000-0005-0000-0000-0000BE1D0000}"/>
    <cellStyle name="쉼표 [0] 8 4 10" xfId="4739" xr:uid="{00000000-0005-0000-0000-0000BF1D0000}"/>
    <cellStyle name="쉼표 [0] 8 4 10 2" xfId="8400" xr:uid="{00000000-0005-0000-0000-0000C01D0000}"/>
    <cellStyle name="쉼표 [0] 8 4 10 2 2" xfId="15717" xr:uid="{2A0E5AEB-66A3-410B-BEB1-A677F646C4A7}"/>
    <cellStyle name="쉼표 [0] 8 4 10 3" xfId="12059" xr:uid="{4CF5A554-D503-46C5-B951-5D2060C39A46}"/>
    <cellStyle name="쉼표 [0] 8 4 11" xfId="6571" xr:uid="{00000000-0005-0000-0000-0000C11D0000}"/>
    <cellStyle name="쉼표 [0] 8 4 11 2" xfId="13888" xr:uid="{149E7309-51B7-4653-BF5E-AFD286F2DB52}"/>
    <cellStyle name="쉼표 [0] 8 4 12" xfId="10229" xr:uid="{ED93C9DB-840C-4F83-ABDC-B6DDC0D8E480}"/>
    <cellStyle name="쉼표 [0] 8 4 2" xfId="2399" xr:uid="{00000000-0005-0000-0000-0000C21D0000}"/>
    <cellStyle name="쉼표 [0] 8 4 2 2" xfId="2400" xr:uid="{00000000-0005-0000-0000-0000C31D0000}"/>
    <cellStyle name="쉼표 [0] 8 4 2 2 2" xfId="4741" xr:uid="{00000000-0005-0000-0000-0000C41D0000}"/>
    <cellStyle name="쉼표 [0] 8 4 2 2 2 2" xfId="8402" xr:uid="{00000000-0005-0000-0000-0000C51D0000}"/>
    <cellStyle name="쉼표 [0] 8 4 2 2 2 2 2" xfId="15719" xr:uid="{D9AAA2AE-F836-4E46-8897-EDA81084D413}"/>
    <cellStyle name="쉼표 [0] 8 4 2 2 2 3" xfId="12061" xr:uid="{65B2B9C6-BD1B-42B3-B6EF-792A1FC3CB94}"/>
    <cellStyle name="쉼표 [0] 8 4 2 2 3" xfId="6573" xr:uid="{00000000-0005-0000-0000-0000C61D0000}"/>
    <cellStyle name="쉼표 [0] 8 4 2 2 3 2" xfId="13890" xr:uid="{6B104AD4-ADAF-4745-B3A9-D72C725D86EB}"/>
    <cellStyle name="쉼표 [0] 8 4 2 2 4" xfId="10231" xr:uid="{D6F1C84E-7CF2-4EA9-B34B-57BA8C4918E2}"/>
    <cellStyle name="쉼표 [0] 8 4 2 3" xfId="2401" xr:uid="{00000000-0005-0000-0000-0000C71D0000}"/>
    <cellStyle name="쉼표 [0] 8 4 2 3 2" xfId="4742" xr:uid="{00000000-0005-0000-0000-0000C81D0000}"/>
    <cellStyle name="쉼표 [0] 8 4 2 3 2 2" xfId="8403" xr:uid="{00000000-0005-0000-0000-0000C91D0000}"/>
    <cellStyle name="쉼표 [0] 8 4 2 3 2 2 2" xfId="15720" xr:uid="{146E2F0F-F6BA-43F7-ACFE-040E0682CE29}"/>
    <cellStyle name="쉼표 [0] 8 4 2 3 2 3" xfId="12062" xr:uid="{6D2742AA-1E00-4E84-9237-C1996E14B6A1}"/>
    <cellStyle name="쉼표 [0] 8 4 2 3 3" xfId="6574" xr:uid="{00000000-0005-0000-0000-0000CA1D0000}"/>
    <cellStyle name="쉼표 [0] 8 4 2 3 3 2" xfId="13891" xr:uid="{D13B87DE-74F8-49E9-9D66-301DC9EBB220}"/>
    <cellStyle name="쉼표 [0] 8 4 2 3 4" xfId="10232" xr:uid="{0A6DB9EF-B3A4-476C-9B99-9C231BC87DF3}"/>
    <cellStyle name="쉼표 [0] 8 4 2 4" xfId="4740" xr:uid="{00000000-0005-0000-0000-0000CB1D0000}"/>
    <cellStyle name="쉼표 [0] 8 4 2 4 2" xfId="8401" xr:uid="{00000000-0005-0000-0000-0000CC1D0000}"/>
    <cellStyle name="쉼표 [0] 8 4 2 4 2 2" xfId="15718" xr:uid="{D147963D-BB68-4A99-9C4F-B04DFE5D192F}"/>
    <cellStyle name="쉼표 [0] 8 4 2 4 3" xfId="12060" xr:uid="{0604BEEA-1432-42AD-BD0B-B60AB98DCF86}"/>
    <cellStyle name="쉼표 [0] 8 4 2 5" xfId="6572" xr:uid="{00000000-0005-0000-0000-0000CD1D0000}"/>
    <cellStyle name="쉼표 [0] 8 4 2 5 2" xfId="13889" xr:uid="{1329B634-B4C2-428B-B23D-68818251A8EE}"/>
    <cellStyle name="쉼표 [0] 8 4 2 6" xfId="10230" xr:uid="{EE2B2564-3374-4ACA-B9F9-899625EBE9EC}"/>
    <cellStyle name="쉼표 [0] 8 4 3" xfId="2402" xr:uid="{00000000-0005-0000-0000-0000CE1D0000}"/>
    <cellStyle name="쉼표 [0] 8 4 3 2" xfId="2403" xr:uid="{00000000-0005-0000-0000-0000CF1D0000}"/>
    <cellStyle name="쉼표 [0] 8 4 3 2 2" xfId="4744" xr:uid="{00000000-0005-0000-0000-0000D01D0000}"/>
    <cellStyle name="쉼표 [0] 8 4 3 2 2 2" xfId="8405" xr:uid="{00000000-0005-0000-0000-0000D11D0000}"/>
    <cellStyle name="쉼표 [0] 8 4 3 2 2 2 2" xfId="15722" xr:uid="{CEA66543-57BF-4ACB-833A-0B8008316080}"/>
    <cellStyle name="쉼표 [0] 8 4 3 2 2 3" xfId="12064" xr:uid="{89901D0D-FBF6-43B0-BE76-B24AB5C24D43}"/>
    <cellStyle name="쉼표 [0] 8 4 3 2 3" xfId="6576" xr:uid="{00000000-0005-0000-0000-0000D21D0000}"/>
    <cellStyle name="쉼표 [0] 8 4 3 2 3 2" xfId="13893" xr:uid="{A05CE5DC-4756-4763-940F-57C8309EBA2C}"/>
    <cellStyle name="쉼표 [0] 8 4 3 2 4" xfId="10234" xr:uid="{837D8DD4-6C9B-49A6-A558-8B0F95BC63EB}"/>
    <cellStyle name="쉼표 [0] 8 4 3 3" xfId="2404" xr:uid="{00000000-0005-0000-0000-0000D31D0000}"/>
    <cellStyle name="쉼표 [0] 8 4 3 3 2" xfId="4745" xr:uid="{00000000-0005-0000-0000-0000D41D0000}"/>
    <cellStyle name="쉼표 [0] 8 4 3 3 2 2" xfId="8406" xr:uid="{00000000-0005-0000-0000-0000D51D0000}"/>
    <cellStyle name="쉼표 [0] 8 4 3 3 2 2 2" xfId="15723" xr:uid="{196FFFDE-3AAF-4FE4-95EE-5F1ADC64FBCB}"/>
    <cellStyle name="쉼표 [0] 8 4 3 3 2 3" xfId="12065" xr:uid="{C3023342-FB0F-4AD0-B657-290468261A60}"/>
    <cellStyle name="쉼표 [0] 8 4 3 3 3" xfId="6577" xr:uid="{00000000-0005-0000-0000-0000D61D0000}"/>
    <cellStyle name="쉼표 [0] 8 4 3 3 3 2" xfId="13894" xr:uid="{64C1EC22-0BA8-40FE-B1AD-BDAA35E2273D}"/>
    <cellStyle name="쉼표 [0] 8 4 3 3 4" xfId="10235" xr:uid="{6DE213D5-F01A-4C96-A49C-9DB586A5EE60}"/>
    <cellStyle name="쉼표 [0] 8 4 3 4" xfId="4743" xr:uid="{00000000-0005-0000-0000-0000D71D0000}"/>
    <cellStyle name="쉼표 [0] 8 4 3 4 2" xfId="8404" xr:uid="{00000000-0005-0000-0000-0000D81D0000}"/>
    <cellStyle name="쉼표 [0] 8 4 3 4 2 2" xfId="15721" xr:uid="{EA3C8F19-EDD1-47EF-AB40-A6E7DA1C239E}"/>
    <cellStyle name="쉼표 [0] 8 4 3 4 3" xfId="12063" xr:uid="{860FA457-B795-4CC8-BECC-22F1FF2ED626}"/>
    <cellStyle name="쉼표 [0] 8 4 3 5" xfId="6575" xr:uid="{00000000-0005-0000-0000-0000D91D0000}"/>
    <cellStyle name="쉼표 [0] 8 4 3 5 2" xfId="13892" xr:uid="{47274895-070B-4721-8D32-C8E26BD3F14B}"/>
    <cellStyle name="쉼표 [0] 8 4 3 6" xfId="10233" xr:uid="{0F141BB0-6663-4562-AAD3-0656085DCDFD}"/>
    <cellStyle name="쉼표 [0] 8 4 4" xfId="2405" xr:uid="{00000000-0005-0000-0000-0000DA1D0000}"/>
    <cellStyle name="쉼표 [0] 8 4 4 2" xfId="2406" xr:uid="{00000000-0005-0000-0000-0000DB1D0000}"/>
    <cellStyle name="쉼표 [0] 8 4 4 2 2" xfId="4747" xr:uid="{00000000-0005-0000-0000-0000DC1D0000}"/>
    <cellStyle name="쉼표 [0] 8 4 4 2 2 2" xfId="8408" xr:uid="{00000000-0005-0000-0000-0000DD1D0000}"/>
    <cellStyle name="쉼표 [0] 8 4 4 2 2 2 2" xfId="15725" xr:uid="{CA6C2CD2-E449-440D-8F6E-AE7C2B8B7B72}"/>
    <cellStyle name="쉼표 [0] 8 4 4 2 2 3" xfId="12067" xr:uid="{DE3B54E6-D37E-484A-8576-C568B8AA8033}"/>
    <cellStyle name="쉼표 [0] 8 4 4 2 3" xfId="6579" xr:uid="{00000000-0005-0000-0000-0000DE1D0000}"/>
    <cellStyle name="쉼표 [0] 8 4 4 2 3 2" xfId="13896" xr:uid="{7B3CDA8B-418B-48D2-A20C-C249527801A3}"/>
    <cellStyle name="쉼표 [0] 8 4 4 2 4" xfId="10237" xr:uid="{953E5948-C97E-4898-A518-AF91548A71F9}"/>
    <cellStyle name="쉼표 [0] 8 4 4 3" xfId="2407" xr:uid="{00000000-0005-0000-0000-0000DF1D0000}"/>
    <cellStyle name="쉼표 [0] 8 4 4 3 2" xfId="4748" xr:uid="{00000000-0005-0000-0000-0000E01D0000}"/>
    <cellStyle name="쉼표 [0] 8 4 4 3 2 2" xfId="8409" xr:uid="{00000000-0005-0000-0000-0000E11D0000}"/>
    <cellStyle name="쉼표 [0] 8 4 4 3 2 2 2" xfId="15726" xr:uid="{E954EBFE-F2E2-48BC-9CE9-1A54209B5051}"/>
    <cellStyle name="쉼표 [0] 8 4 4 3 2 3" xfId="12068" xr:uid="{8553BB8F-8403-4AB3-8467-739C19378A04}"/>
    <cellStyle name="쉼표 [0] 8 4 4 3 3" xfId="6580" xr:uid="{00000000-0005-0000-0000-0000E21D0000}"/>
    <cellStyle name="쉼표 [0] 8 4 4 3 3 2" xfId="13897" xr:uid="{9C935006-AFAF-4216-8C96-2A2A4C3A2895}"/>
    <cellStyle name="쉼표 [0] 8 4 4 3 4" xfId="10238" xr:uid="{4E90B34C-015D-48EC-9291-623F6F154D38}"/>
    <cellStyle name="쉼표 [0] 8 4 4 4" xfId="4746" xr:uid="{00000000-0005-0000-0000-0000E31D0000}"/>
    <cellStyle name="쉼표 [0] 8 4 4 4 2" xfId="8407" xr:uid="{00000000-0005-0000-0000-0000E41D0000}"/>
    <cellStyle name="쉼표 [0] 8 4 4 4 2 2" xfId="15724" xr:uid="{A4FE380B-5808-4700-B7EC-98FE45749DBE}"/>
    <cellStyle name="쉼표 [0] 8 4 4 4 3" xfId="12066" xr:uid="{8CF31A08-2B77-49B0-A122-28FEDBDEFFF2}"/>
    <cellStyle name="쉼표 [0] 8 4 4 5" xfId="6578" xr:uid="{00000000-0005-0000-0000-0000E51D0000}"/>
    <cellStyle name="쉼표 [0] 8 4 4 5 2" xfId="13895" xr:uid="{1FA7A02D-3AA7-4FF4-9C79-1874222DC515}"/>
    <cellStyle name="쉼표 [0] 8 4 4 6" xfId="10236" xr:uid="{BEDAA12B-7910-49EF-85CD-8DD5B5C22982}"/>
    <cellStyle name="쉼표 [0] 8 4 5" xfId="2408" xr:uid="{00000000-0005-0000-0000-0000E61D0000}"/>
    <cellStyle name="쉼표 [0] 8 4 5 2" xfId="2409" xr:uid="{00000000-0005-0000-0000-0000E71D0000}"/>
    <cellStyle name="쉼표 [0] 8 4 5 2 2" xfId="4750" xr:uid="{00000000-0005-0000-0000-0000E81D0000}"/>
    <cellStyle name="쉼표 [0] 8 4 5 2 2 2" xfId="8411" xr:uid="{00000000-0005-0000-0000-0000E91D0000}"/>
    <cellStyle name="쉼표 [0] 8 4 5 2 2 2 2" xfId="15728" xr:uid="{79FF82DA-E675-4799-BF6E-9765AA0BE0A2}"/>
    <cellStyle name="쉼표 [0] 8 4 5 2 2 3" xfId="12070" xr:uid="{BD2B9DA8-8B74-48E8-AAE4-A70A7189E4F1}"/>
    <cellStyle name="쉼표 [0] 8 4 5 2 3" xfId="6582" xr:uid="{00000000-0005-0000-0000-0000EA1D0000}"/>
    <cellStyle name="쉼표 [0] 8 4 5 2 3 2" xfId="13899" xr:uid="{8BB26569-39FF-4BA0-A81A-9B2510A9FC0B}"/>
    <cellStyle name="쉼표 [0] 8 4 5 2 4" xfId="10240" xr:uid="{A4C16A58-73C6-4B2F-8E0B-9D33E936CA9E}"/>
    <cellStyle name="쉼표 [0] 8 4 5 3" xfId="2410" xr:uid="{00000000-0005-0000-0000-0000EB1D0000}"/>
    <cellStyle name="쉼표 [0] 8 4 5 3 2" xfId="4751" xr:uid="{00000000-0005-0000-0000-0000EC1D0000}"/>
    <cellStyle name="쉼표 [0] 8 4 5 3 2 2" xfId="8412" xr:uid="{00000000-0005-0000-0000-0000ED1D0000}"/>
    <cellStyle name="쉼표 [0] 8 4 5 3 2 2 2" xfId="15729" xr:uid="{F985465B-9441-44B4-813B-E82D1F79AA0D}"/>
    <cellStyle name="쉼표 [0] 8 4 5 3 2 3" xfId="12071" xr:uid="{13D0581F-FD65-4061-9A8C-5518DF5307A2}"/>
    <cellStyle name="쉼표 [0] 8 4 5 3 3" xfId="6583" xr:uid="{00000000-0005-0000-0000-0000EE1D0000}"/>
    <cellStyle name="쉼표 [0] 8 4 5 3 3 2" xfId="13900" xr:uid="{D4002233-7BE1-4010-B7D5-20C0E1D7AE60}"/>
    <cellStyle name="쉼표 [0] 8 4 5 3 4" xfId="10241" xr:uid="{89161A58-5FC3-48AD-86CC-C3A917586813}"/>
    <cellStyle name="쉼표 [0] 8 4 5 4" xfId="4749" xr:uid="{00000000-0005-0000-0000-0000EF1D0000}"/>
    <cellStyle name="쉼표 [0] 8 4 5 4 2" xfId="8410" xr:uid="{00000000-0005-0000-0000-0000F01D0000}"/>
    <cellStyle name="쉼표 [0] 8 4 5 4 2 2" xfId="15727" xr:uid="{0C65ECBE-AFD2-417F-A6F7-5EC428968A80}"/>
    <cellStyle name="쉼표 [0] 8 4 5 4 3" xfId="12069" xr:uid="{8AA9DAD3-C33F-4CF4-BE2B-8BA1B584A8AB}"/>
    <cellStyle name="쉼표 [0] 8 4 5 5" xfId="6581" xr:uid="{00000000-0005-0000-0000-0000F11D0000}"/>
    <cellStyle name="쉼표 [0] 8 4 5 5 2" xfId="13898" xr:uid="{A5093473-145E-4FAF-9485-9252058F117F}"/>
    <cellStyle name="쉼표 [0] 8 4 5 6" xfId="10239" xr:uid="{0E9F00F6-AE63-4807-9EF3-F37B2A9901B3}"/>
    <cellStyle name="쉼표 [0] 8 4 6" xfId="2411" xr:uid="{00000000-0005-0000-0000-0000F21D0000}"/>
    <cellStyle name="쉼표 [0] 8 4 6 2" xfId="2412" xr:uid="{00000000-0005-0000-0000-0000F31D0000}"/>
    <cellStyle name="쉼표 [0] 8 4 6 2 2" xfId="4753" xr:uid="{00000000-0005-0000-0000-0000F41D0000}"/>
    <cellStyle name="쉼표 [0] 8 4 6 2 2 2" xfId="8414" xr:uid="{00000000-0005-0000-0000-0000F51D0000}"/>
    <cellStyle name="쉼표 [0] 8 4 6 2 2 2 2" xfId="15731" xr:uid="{D6B333D7-3C34-4F45-80E0-15844587F5F8}"/>
    <cellStyle name="쉼표 [0] 8 4 6 2 2 3" xfId="12073" xr:uid="{8A7A8F29-B4B0-4FB8-BFEC-705ABF54F4D9}"/>
    <cellStyle name="쉼표 [0] 8 4 6 2 3" xfId="6585" xr:uid="{00000000-0005-0000-0000-0000F61D0000}"/>
    <cellStyle name="쉼표 [0] 8 4 6 2 3 2" xfId="13902" xr:uid="{7492978F-7B02-40C7-BD53-77F4BC19B1ED}"/>
    <cellStyle name="쉼표 [0] 8 4 6 2 4" xfId="10243" xr:uid="{E9322A42-6179-4BC8-AD87-79CB950AC7B6}"/>
    <cellStyle name="쉼표 [0] 8 4 6 3" xfId="2413" xr:uid="{00000000-0005-0000-0000-0000F71D0000}"/>
    <cellStyle name="쉼표 [0] 8 4 6 3 2" xfId="4754" xr:uid="{00000000-0005-0000-0000-0000F81D0000}"/>
    <cellStyle name="쉼표 [0] 8 4 6 3 2 2" xfId="8415" xr:uid="{00000000-0005-0000-0000-0000F91D0000}"/>
    <cellStyle name="쉼표 [0] 8 4 6 3 2 2 2" xfId="15732" xr:uid="{B8887F34-4E3F-417B-9ED0-35707ECEB08F}"/>
    <cellStyle name="쉼표 [0] 8 4 6 3 2 3" xfId="12074" xr:uid="{3B0E6845-75AA-494F-9E0B-30E781121DA7}"/>
    <cellStyle name="쉼표 [0] 8 4 6 3 3" xfId="6586" xr:uid="{00000000-0005-0000-0000-0000FA1D0000}"/>
    <cellStyle name="쉼표 [0] 8 4 6 3 3 2" xfId="13903" xr:uid="{E7394756-962F-444B-97BD-F5222A320435}"/>
    <cellStyle name="쉼표 [0] 8 4 6 3 4" xfId="10244" xr:uid="{2A6F9EB0-4424-4D1F-9122-85F57EC64E1A}"/>
    <cellStyle name="쉼표 [0] 8 4 6 4" xfId="4752" xr:uid="{00000000-0005-0000-0000-0000FB1D0000}"/>
    <cellStyle name="쉼표 [0] 8 4 6 4 2" xfId="8413" xr:uid="{00000000-0005-0000-0000-0000FC1D0000}"/>
    <cellStyle name="쉼표 [0] 8 4 6 4 2 2" xfId="15730" xr:uid="{7964E5B6-4DB5-4788-9DA5-DCA68D6B5C58}"/>
    <cellStyle name="쉼표 [0] 8 4 6 4 3" xfId="12072" xr:uid="{A2C2A4B7-EA33-4562-A50E-7F7ECCF7E7EE}"/>
    <cellStyle name="쉼표 [0] 8 4 6 5" xfId="6584" xr:uid="{00000000-0005-0000-0000-0000FD1D0000}"/>
    <cellStyle name="쉼표 [0] 8 4 6 5 2" xfId="13901" xr:uid="{EAF0959D-9C01-474B-8B0D-E5E55F9DB62B}"/>
    <cellStyle name="쉼표 [0] 8 4 6 6" xfId="10242" xr:uid="{E24747FC-082A-451E-A7BB-22803E929FB4}"/>
    <cellStyle name="쉼표 [0] 8 4 7" xfId="2414" xr:uid="{00000000-0005-0000-0000-0000FE1D0000}"/>
    <cellStyle name="쉼표 [0] 8 4 7 2" xfId="4755" xr:uid="{00000000-0005-0000-0000-0000FF1D0000}"/>
    <cellStyle name="쉼표 [0] 8 4 7 2 2" xfId="8416" xr:uid="{00000000-0005-0000-0000-0000001E0000}"/>
    <cellStyle name="쉼표 [0] 8 4 7 2 2 2" xfId="15733" xr:uid="{26A24A1F-C5A6-4FA9-8F55-B3DF6F7DE3B0}"/>
    <cellStyle name="쉼표 [0] 8 4 7 2 3" xfId="12075" xr:uid="{A964110A-BD42-4A18-B1AD-C8C037DAA8C3}"/>
    <cellStyle name="쉼표 [0] 8 4 7 3" xfId="6587" xr:uid="{00000000-0005-0000-0000-0000011E0000}"/>
    <cellStyle name="쉼표 [0] 8 4 7 3 2" xfId="13904" xr:uid="{DFEAFADD-2D24-413C-9628-B28CB22FF3E9}"/>
    <cellStyle name="쉼표 [0] 8 4 7 4" xfId="10245" xr:uid="{B4FB0C49-D8D0-47CD-91EA-7D65A128EDBD}"/>
    <cellStyle name="쉼표 [0] 8 4 8" xfId="2415" xr:uid="{00000000-0005-0000-0000-0000021E0000}"/>
    <cellStyle name="쉼표 [0] 8 4 8 2" xfId="4756" xr:uid="{00000000-0005-0000-0000-0000031E0000}"/>
    <cellStyle name="쉼표 [0] 8 4 8 2 2" xfId="8417" xr:uid="{00000000-0005-0000-0000-0000041E0000}"/>
    <cellStyle name="쉼표 [0] 8 4 8 2 2 2" xfId="15734" xr:uid="{2ADA2956-A3CA-407C-B07F-14772BE9DCF7}"/>
    <cellStyle name="쉼표 [0] 8 4 8 2 3" xfId="12076" xr:uid="{29AE502C-CB21-4822-BC08-3D7F6C29F931}"/>
    <cellStyle name="쉼표 [0] 8 4 8 3" xfId="6588" xr:uid="{00000000-0005-0000-0000-0000051E0000}"/>
    <cellStyle name="쉼표 [0] 8 4 8 3 2" xfId="13905" xr:uid="{205CE9CF-76C6-495E-8B41-20C197FC73C9}"/>
    <cellStyle name="쉼표 [0] 8 4 8 4" xfId="10246" xr:uid="{5254B80E-6426-4AEA-9E30-AC217136ADCD}"/>
    <cellStyle name="쉼표 [0] 8 4 9" xfId="2416" xr:uid="{00000000-0005-0000-0000-0000061E0000}"/>
    <cellStyle name="쉼표 [0] 8 4 9 2" xfId="4757" xr:uid="{00000000-0005-0000-0000-0000071E0000}"/>
    <cellStyle name="쉼표 [0] 8 4 9 2 2" xfId="8418" xr:uid="{00000000-0005-0000-0000-0000081E0000}"/>
    <cellStyle name="쉼표 [0] 8 4 9 2 2 2" xfId="15735" xr:uid="{47654C2D-0725-4574-BADA-2881FCA637D2}"/>
    <cellStyle name="쉼표 [0] 8 4 9 2 3" xfId="12077" xr:uid="{64B0CE37-2F33-4E92-93C6-F98AF3648D10}"/>
    <cellStyle name="쉼표 [0] 8 4 9 3" xfId="6589" xr:uid="{00000000-0005-0000-0000-0000091E0000}"/>
    <cellStyle name="쉼표 [0] 8 4 9 3 2" xfId="13906" xr:uid="{90F1A68E-2BA5-46B7-B34F-1590991677DC}"/>
    <cellStyle name="쉼표 [0] 8 4 9 4" xfId="10247" xr:uid="{769E0A8C-C519-420A-BDB2-3D255851E186}"/>
    <cellStyle name="쉼표 [0] 8 5" xfId="2417" xr:uid="{00000000-0005-0000-0000-00000A1E0000}"/>
    <cellStyle name="쉼표 [0] 8 5 2" xfId="4758" xr:uid="{00000000-0005-0000-0000-00000B1E0000}"/>
    <cellStyle name="쉼표 [0] 8 5 2 2" xfId="8419" xr:uid="{00000000-0005-0000-0000-00000C1E0000}"/>
    <cellStyle name="쉼표 [0] 8 5 2 2 2" xfId="15736" xr:uid="{5D5A650B-2AD5-44FE-A42B-B2BF05F14128}"/>
    <cellStyle name="쉼표 [0] 8 5 2 3" xfId="12078" xr:uid="{5FE9C702-C22F-417F-9982-C66587FC560A}"/>
    <cellStyle name="쉼표 [0] 8 5 3" xfId="6590" xr:uid="{00000000-0005-0000-0000-00000D1E0000}"/>
    <cellStyle name="쉼표 [0] 8 5 3 2" xfId="13907" xr:uid="{365FEDBA-7C20-4BE9-BCEE-D74D6A7089D4}"/>
    <cellStyle name="쉼표 [0] 8 5 4" xfId="10248" xr:uid="{DB2FA9E4-0636-4476-A1CE-A9B672D75462}"/>
    <cellStyle name="쉼표 [0] 8 6" xfId="2418" xr:uid="{00000000-0005-0000-0000-00000E1E0000}"/>
    <cellStyle name="쉼표 [0] 8 6 2" xfId="4759" xr:uid="{00000000-0005-0000-0000-00000F1E0000}"/>
    <cellStyle name="쉼표 [0] 8 6 2 2" xfId="8420" xr:uid="{00000000-0005-0000-0000-0000101E0000}"/>
    <cellStyle name="쉼표 [0] 8 6 2 2 2" xfId="15737" xr:uid="{02D568B5-237F-4DCB-9137-DEC03D79A49D}"/>
    <cellStyle name="쉼표 [0] 8 6 2 3" xfId="12079" xr:uid="{DBECA4A3-FEED-4655-A8CB-630CA99F10B0}"/>
    <cellStyle name="쉼표 [0] 8 6 3" xfId="6591" xr:uid="{00000000-0005-0000-0000-0000111E0000}"/>
    <cellStyle name="쉼표 [0] 8 6 3 2" xfId="13908" xr:uid="{E0EB63F9-44E5-4171-8AF2-3F88967F549F}"/>
    <cellStyle name="쉼표 [0] 8 6 4" xfId="10249" xr:uid="{E32270F6-46A4-4128-A840-F3943A5CA70B}"/>
    <cellStyle name="쉼표 [0] 8 7" xfId="2419" xr:uid="{00000000-0005-0000-0000-0000121E0000}"/>
    <cellStyle name="쉼표 [0] 8 7 2" xfId="4760" xr:uid="{00000000-0005-0000-0000-0000131E0000}"/>
    <cellStyle name="쉼표 [0] 8 7 2 2" xfId="8421" xr:uid="{00000000-0005-0000-0000-0000141E0000}"/>
    <cellStyle name="쉼표 [0] 8 7 2 2 2" xfId="15738" xr:uid="{8CC58130-98E5-44B8-B1A1-15EE60389126}"/>
    <cellStyle name="쉼표 [0] 8 7 2 3" xfId="12080" xr:uid="{DB4ABE93-7598-4EC0-8C88-0A22F634D1F8}"/>
    <cellStyle name="쉼표 [0] 8 7 3" xfId="6592" xr:uid="{00000000-0005-0000-0000-0000151E0000}"/>
    <cellStyle name="쉼표 [0] 8 7 3 2" xfId="13909" xr:uid="{0892B958-CEBD-4F57-B835-AF253777634B}"/>
    <cellStyle name="쉼표 [0] 8 7 4" xfId="10250" xr:uid="{E928AE9E-94A9-4F2C-A4C5-CC63127D8D15}"/>
    <cellStyle name="쉼표 [0] 8 8" xfId="2420" xr:uid="{00000000-0005-0000-0000-0000161E0000}"/>
    <cellStyle name="쉼표 [0] 8 8 2" xfId="4761" xr:uid="{00000000-0005-0000-0000-0000171E0000}"/>
    <cellStyle name="쉼표 [0] 8 8 2 2" xfId="8422" xr:uid="{00000000-0005-0000-0000-0000181E0000}"/>
    <cellStyle name="쉼표 [0] 8 8 2 2 2" xfId="15739" xr:uid="{4996F48B-A4FC-450C-ACCE-D745BADE4FC0}"/>
    <cellStyle name="쉼표 [0] 8 8 2 3" xfId="12081" xr:uid="{E0C7C551-6AC4-4D66-954D-064FA4125084}"/>
    <cellStyle name="쉼표 [0] 8 8 3" xfId="6593" xr:uid="{00000000-0005-0000-0000-0000191E0000}"/>
    <cellStyle name="쉼표 [0] 8 8 3 2" xfId="13910" xr:uid="{269EA2DB-A2AC-4EA0-9798-E9C92B34E179}"/>
    <cellStyle name="쉼표 [0] 8 8 4" xfId="10251" xr:uid="{09EE3EDA-11CD-4231-923D-41A90D7C44D4}"/>
    <cellStyle name="쉼표 [0] 8 9" xfId="4661" xr:uid="{00000000-0005-0000-0000-00001A1E0000}"/>
    <cellStyle name="쉼표 [0] 8 9 2" xfId="8322" xr:uid="{00000000-0005-0000-0000-00001B1E0000}"/>
    <cellStyle name="쉼표 [0] 8 9 2 2" xfId="15639" xr:uid="{37E49AB3-252E-407E-BE17-8DBA1CA00068}"/>
    <cellStyle name="쉼표 [0] 8 9 3" xfId="11981" xr:uid="{D03BE763-460F-488F-9A95-22A476C5469C}"/>
    <cellStyle name="쉼표 [0] 9" xfId="2421" xr:uid="{00000000-0005-0000-0000-00001C1E0000}"/>
    <cellStyle name="쉼표 [0] 9 10" xfId="2422" xr:uid="{00000000-0005-0000-0000-00001D1E0000}"/>
    <cellStyle name="쉼표 [0] 9 10 2" xfId="4763" xr:uid="{00000000-0005-0000-0000-00001E1E0000}"/>
    <cellStyle name="쉼표 [0] 9 10 2 2" xfId="8424" xr:uid="{00000000-0005-0000-0000-00001F1E0000}"/>
    <cellStyle name="쉼표 [0] 9 10 2 2 2" xfId="15741" xr:uid="{3CB52E37-F2A7-4756-AE12-9D981EE3160C}"/>
    <cellStyle name="쉼표 [0] 9 10 2 3" xfId="12083" xr:uid="{B12071D5-C4F4-4939-AADC-994FE96C63D3}"/>
    <cellStyle name="쉼표 [0] 9 10 3" xfId="6595" xr:uid="{00000000-0005-0000-0000-0000201E0000}"/>
    <cellStyle name="쉼표 [0] 9 10 3 2" xfId="13912" xr:uid="{56D5EEB9-E3B2-4523-BD52-2AB20C6110C5}"/>
    <cellStyle name="쉼표 [0] 9 10 4" xfId="10253" xr:uid="{1B8123DB-4B20-4859-8A45-2E7FF280CC6F}"/>
    <cellStyle name="쉼표 [0] 9 11" xfId="4762" xr:uid="{00000000-0005-0000-0000-0000211E0000}"/>
    <cellStyle name="쉼표 [0] 9 11 2" xfId="8423" xr:uid="{00000000-0005-0000-0000-0000221E0000}"/>
    <cellStyle name="쉼표 [0] 9 11 2 2" xfId="15740" xr:uid="{54D25AB4-6C7E-4A63-927C-D55DFB8BF08B}"/>
    <cellStyle name="쉼표 [0] 9 11 3" xfId="12082" xr:uid="{29E8DB82-425C-4F54-B9D9-DFDAD8CF88DD}"/>
    <cellStyle name="쉼표 [0] 9 12" xfId="6594" xr:uid="{00000000-0005-0000-0000-0000231E0000}"/>
    <cellStyle name="쉼표 [0] 9 12 2" xfId="13911" xr:uid="{DA52521D-415D-458C-BA81-1A4301E29916}"/>
    <cellStyle name="쉼표 [0] 9 13" xfId="10252" xr:uid="{CE5F059D-E2F9-4E12-985A-222A93B66E81}"/>
    <cellStyle name="쉼표 [0] 9 2" xfId="2423" xr:uid="{00000000-0005-0000-0000-0000241E0000}"/>
    <cellStyle name="쉼표 [0] 9 2 2" xfId="2424" xr:uid="{00000000-0005-0000-0000-0000251E0000}"/>
    <cellStyle name="쉼표 [0] 9 2 2 2" xfId="2425" xr:uid="{00000000-0005-0000-0000-0000261E0000}"/>
    <cellStyle name="쉼표 [0] 9 2 2 2 2" xfId="4766" xr:uid="{00000000-0005-0000-0000-0000271E0000}"/>
    <cellStyle name="쉼표 [0] 9 2 2 2 2 2" xfId="8427" xr:uid="{00000000-0005-0000-0000-0000281E0000}"/>
    <cellStyle name="쉼표 [0] 9 2 2 2 2 2 2" xfId="15744" xr:uid="{DA60D0F5-3722-4836-9707-DB4DC7357FAD}"/>
    <cellStyle name="쉼표 [0] 9 2 2 2 2 3" xfId="12086" xr:uid="{62808DE1-3F03-4BA1-930A-45A53B9168A6}"/>
    <cellStyle name="쉼표 [0] 9 2 2 2 3" xfId="6598" xr:uid="{00000000-0005-0000-0000-0000291E0000}"/>
    <cellStyle name="쉼표 [0] 9 2 2 2 3 2" xfId="13915" xr:uid="{AFB37C27-A63A-4320-9F7B-5E636F5E8C30}"/>
    <cellStyle name="쉼표 [0] 9 2 2 2 4" xfId="10256" xr:uid="{78C25543-F447-41C8-B576-0FDCA8407424}"/>
    <cellStyle name="쉼표 [0] 9 2 2 3" xfId="4765" xr:uid="{00000000-0005-0000-0000-00002A1E0000}"/>
    <cellStyle name="쉼표 [0] 9 2 2 3 2" xfId="8426" xr:uid="{00000000-0005-0000-0000-00002B1E0000}"/>
    <cellStyle name="쉼표 [0] 9 2 2 3 2 2" xfId="15743" xr:uid="{5AB76512-6817-40DD-8780-554FCB0645CA}"/>
    <cellStyle name="쉼표 [0] 9 2 2 3 3" xfId="12085" xr:uid="{6E7D1533-F087-4674-B51A-0D1FC9C59886}"/>
    <cellStyle name="쉼표 [0] 9 2 2 4" xfId="6597" xr:uid="{00000000-0005-0000-0000-00002C1E0000}"/>
    <cellStyle name="쉼표 [0] 9 2 2 4 2" xfId="13914" xr:uid="{8231E72C-AF22-4C66-B906-01867311295E}"/>
    <cellStyle name="쉼표 [0] 9 2 2 5" xfId="10255" xr:uid="{6C233617-BD07-4BB3-A500-00CF05C3E4E8}"/>
    <cellStyle name="쉼표 [0] 9 2 3" xfId="2426" xr:uid="{00000000-0005-0000-0000-00002D1E0000}"/>
    <cellStyle name="쉼표 [0] 9 2 3 2" xfId="2427" xr:uid="{00000000-0005-0000-0000-00002E1E0000}"/>
    <cellStyle name="쉼표 [0] 9 2 3 2 2" xfId="4768" xr:uid="{00000000-0005-0000-0000-00002F1E0000}"/>
    <cellStyle name="쉼표 [0] 9 2 3 2 2 2" xfId="8429" xr:uid="{00000000-0005-0000-0000-0000301E0000}"/>
    <cellStyle name="쉼표 [0] 9 2 3 2 2 2 2" xfId="15746" xr:uid="{100421E2-D673-40BA-A458-27BE69647873}"/>
    <cellStyle name="쉼표 [0] 9 2 3 2 2 3" xfId="12088" xr:uid="{A0C1C961-BD94-4D3C-BA02-6A1EB083F1A0}"/>
    <cellStyle name="쉼표 [0] 9 2 3 2 3" xfId="6600" xr:uid="{00000000-0005-0000-0000-0000311E0000}"/>
    <cellStyle name="쉼표 [0] 9 2 3 2 3 2" xfId="13917" xr:uid="{21AFB22F-77B7-4877-8D80-860D65E773B9}"/>
    <cellStyle name="쉼표 [0] 9 2 3 2 4" xfId="10258" xr:uid="{2060E54B-CA9E-4520-B4FB-1C79871C99AB}"/>
    <cellStyle name="쉼표 [0] 9 2 3 3" xfId="4767" xr:uid="{00000000-0005-0000-0000-0000321E0000}"/>
    <cellStyle name="쉼표 [0] 9 2 3 3 2" xfId="8428" xr:uid="{00000000-0005-0000-0000-0000331E0000}"/>
    <cellStyle name="쉼표 [0] 9 2 3 3 2 2" xfId="15745" xr:uid="{5ED9101A-48A3-4EB0-8734-90235DEA4E19}"/>
    <cellStyle name="쉼표 [0] 9 2 3 3 3" xfId="12087" xr:uid="{E704F215-7466-4E3C-8C8B-B3B8F3DAB485}"/>
    <cellStyle name="쉼표 [0] 9 2 3 4" xfId="6599" xr:uid="{00000000-0005-0000-0000-0000341E0000}"/>
    <cellStyle name="쉼표 [0] 9 2 3 4 2" xfId="13916" xr:uid="{0AC52008-522F-4443-8F14-85CD26C7ADC7}"/>
    <cellStyle name="쉼표 [0] 9 2 3 5" xfId="10257" xr:uid="{AD28CBFC-4C82-4CFD-957E-69B8FA2F6D39}"/>
    <cellStyle name="쉼표 [0] 9 2 4" xfId="2428" xr:uid="{00000000-0005-0000-0000-0000351E0000}"/>
    <cellStyle name="쉼표 [0] 9 2 4 2" xfId="4769" xr:uid="{00000000-0005-0000-0000-0000361E0000}"/>
    <cellStyle name="쉼표 [0] 9 2 4 2 2" xfId="8430" xr:uid="{00000000-0005-0000-0000-0000371E0000}"/>
    <cellStyle name="쉼표 [0] 9 2 4 2 2 2" xfId="15747" xr:uid="{EB296656-DA6F-4E21-B800-7F5DDBFCD4EF}"/>
    <cellStyle name="쉼표 [0] 9 2 4 2 3" xfId="12089" xr:uid="{24D7EF90-21F4-4FE7-A3B8-5A231F632F62}"/>
    <cellStyle name="쉼표 [0] 9 2 4 3" xfId="6601" xr:uid="{00000000-0005-0000-0000-0000381E0000}"/>
    <cellStyle name="쉼표 [0] 9 2 4 3 2" xfId="13918" xr:uid="{E35D478A-81B6-4A9D-AD79-E9EB7001031F}"/>
    <cellStyle name="쉼표 [0] 9 2 4 4" xfId="10259" xr:uid="{03B1069E-94B4-4BAD-8891-389BD1EFE20D}"/>
    <cellStyle name="쉼표 [0] 9 2 5" xfId="2429" xr:uid="{00000000-0005-0000-0000-0000391E0000}"/>
    <cellStyle name="쉼표 [0] 9 2 5 2" xfId="4770" xr:uid="{00000000-0005-0000-0000-00003A1E0000}"/>
    <cellStyle name="쉼표 [0] 9 2 5 2 2" xfId="8431" xr:uid="{00000000-0005-0000-0000-00003B1E0000}"/>
    <cellStyle name="쉼표 [0] 9 2 5 2 2 2" xfId="15748" xr:uid="{F26DA951-1D0E-4B6E-A26F-FB6A282450EC}"/>
    <cellStyle name="쉼표 [0] 9 2 5 2 3" xfId="12090" xr:uid="{446FFC44-D7B9-4881-B1C0-AEB7F8691062}"/>
    <cellStyle name="쉼표 [0] 9 2 5 3" xfId="6602" xr:uid="{00000000-0005-0000-0000-00003C1E0000}"/>
    <cellStyle name="쉼표 [0] 9 2 5 3 2" xfId="13919" xr:uid="{1F68B512-5775-4E2C-956E-967420F12B13}"/>
    <cellStyle name="쉼표 [0] 9 2 5 4" xfId="10260" xr:uid="{92D30470-779C-4213-B85B-06F5D6D7C1E4}"/>
    <cellStyle name="쉼표 [0] 9 2 6" xfId="4764" xr:uid="{00000000-0005-0000-0000-00003D1E0000}"/>
    <cellStyle name="쉼표 [0] 9 2 6 2" xfId="8425" xr:uid="{00000000-0005-0000-0000-00003E1E0000}"/>
    <cellStyle name="쉼표 [0] 9 2 6 2 2" xfId="15742" xr:uid="{F5A3D869-CDCD-4183-BDD9-1DFD057C685D}"/>
    <cellStyle name="쉼표 [0] 9 2 6 3" xfId="12084" xr:uid="{64A9B1C3-BEB8-443E-BDF9-938B268CF8E4}"/>
    <cellStyle name="쉼표 [0] 9 2 7" xfId="6596" xr:uid="{00000000-0005-0000-0000-00003F1E0000}"/>
    <cellStyle name="쉼표 [0] 9 2 7 2" xfId="13913" xr:uid="{211359F2-6617-4AFF-8C79-1FC9D4E7F67B}"/>
    <cellStyle name="쉼표 [0] 9 2 8" xfId="10254" xr:uid="{4B64E6DF-BCFE-4D3C-8B36-700FF447CB40}"/>
    <cellStyle name="쉼표 [0] 9 3" xfId="2430" xr:uid="{00000000-0005-0000-0000-0000401E0000}"/>
    <cellStyle name="쉼표 [0] 9 3 2" xfId="2431" xr:uid="{00000000-0005-0000-0000-0000411E0000}"/>
    <cellStyle name="쉼표 [0] 9 3 2 2" xfId="4772" xr:uid="{00000000-0005-0000-0000-0000421E0000}"/>
    <cellStyle name="쉼표 [0] 9 3 2 2 2" xfId="8433" xr:uid="{00000000-0005-0000-0000-0000431E0000}"/>
    <cellStyle name="쉼표 [0] 9 3 2 2 2 2" xfId="15750" xr:uid="{A37EEBAD-CC41-44DC-9D73-01F3E37E0443}"/>
    <cellStyle name="쉼표 [0] 9 3 2 2 3" xfId="12092" xr:uid="{09260108-2E2B-4170-AA07-6A1A7B412DBE}"/>
    <cellStyle name="쉼표 [0] 9 3 2 3" xfId="6604" xr:uid="{00000000-0005-0000-0000-0000441E0000}"/>
    <cellStyle name="쉼표 [0] 9 3 2 3 2" xfId="13921" xr:uid="{61992B75-6143-4D3D-A759-557679030181}"/>
    <cellStyle name="쉼표 [0] 9 3 2 4" xfId="10262" xr:uid="{AA22CDF7-AE33-4D9A-90B4-3C7FF5B2DF16}"/>
    <cellStyle name="쉼표 [0] 9 3 3" xfId="2432" xr:uid="{00000000-0005-0000-0000-0000451E0000}"/>
    <cellStyle name="쉼표 [0] 9 3 3 2" xfId="4773" xr:uid="{00000000-0005-0000-0000-0000461E0000}"/>
    <cellStyle name="쉼표 [0] 9 3 3 2 2" xfId="8434" xr:uid="{00000000-0005-0000-0000-0000471E0000}"/>
    <cellStyle name="쉼표 [0] 9 3 3 2 2 2" xfId="15751" xr:uid="{2C88220D-4B23-46A8-9284-37D59D1FDF82}"/>
    <cellStyle name="쉼표 [0] 9 3 3 2 3" xfId="12093" xr:uid="{4C942A54-6957-4282-BE09-DFB2564D358F}"/>
    <cellStyle name="쉼표 [0] 9 3 3 3" xfId="6605" xr:uid="{00000000-0005-0000-0000-0000481E0000}"/>
    <cellStyle name="쉼표 [0] 9 3 3 3 2" xfId="13922" xr:uid="{E44D06AF-C76B-4D9B-B609-07EB0C2F3FB2}"/>
    <cellStyle name="쉼표 [0] 9 3 3 4" xfId="10263" xr:uid="{269125FE-4693-48CB-A2C1-069B2F3E57CD}"/>
    <cellStyle name="쉼표 [0] 9 3 4" xfId="2433" xr:uid="{00000000-0005-0000-0000-0000491E0000}"/>
    <cellStyle name="쉼표 [0] 9 3 4 2" xfId="4774" xr:uid="{00000000-0005-0000-0000-00004A1E0000}"/>
    <cellStyle name="쉼표 [0] 9 3 4 2 2" xfId="8435" xr:uid="{00000000-0005-0000-0000-00004B1E0000}"/>
    <cellStyle name="쉼표 [0] 9 3 4 2 2 2" xfId="15752" xr:uid="{15AF6CB8-595F-4E10-9161-F7F8A3EC47A0}"/>
    <cellStyle name="쉼표 [0] 9 3 4 2 3" xfId="12094" xr:uid="{D0C8816D-7AE0-42DD-A098-5C08DBED6055}"/>
    <cellStyle name="쉼표 [0] 9 3 4 3" xfId="6606" xr:uid="{00000000-0005-0000-0000-00004C1E0000}"/>
    <cellStyle name="쉼표 [0] 9 3 4 3 2" xfId="13923" xr:uid="{3353C407-1377-4C6C-9812-94954675907D}"/>
    <cellStyle name="쉼표 [0] 9 3 4 4" xfId="10264" xr:uid="{8279C336-85A9-4986-AAE0-8D80583EE115}"/>
    <cellStyle name="쉼표 [0] 9 3 5" xfId="4771" xr:uid="{00000000-0005-0000-0000-00004D1E0000}"/>
    <cellStyle name="쉼표 [0] 9 3 5 2" xfId="8432" xr:uid="{00000000-0005-0000-0000-00004E1E0000}"/>
    <cellStyle name="쉼표 [0] 9 3 5 2 2" xfId="15749" xr:uid="{441030B5-E3FA-412D-99C4-2C20270797D8}"/>
    <cellStyle name="쉼표 [0] 9 3 5 3" xfId="12091" xr:uid="{DBB7A309-F0A8-44E8-A828-4BEAC13D643A}"/>
    <cellStyle name="쉼표 [0] 9 3 6" xfId="6603" xr:uid="{00000000-0005-0000-0000-00004F1E0000}"/>
    <cellStyle name="쉼표 [0] 9 3 6 2" xfId="13920" xr:uid="{559B2647-9788-4D4C-9B41-234864C213DE}"/>
    <cellStyle name="쉼표 [0] 9 3 7" xfId="10261" xr:uid="{CAFC693B-8F0A-490E-9181-F36EDA0F4057}"/>
    <cellStyle name="쉼표 [0] 9 4" xfId="2434" xr:uid="{00000000-0005-0000-0000-0000501E0000}"/>
    <cellStyle name="쉼표 [0] 9 4 2" xfId="2435" xr:uid="{00000000-0005-0000-0000-0000511E0000}"/>
    <cellStyle name="쉼표 [0] 9 4 2 2" xfId="4776" xr:uid="{00000000-0005-0000-0000-0000521E0000}"/>
    <cellStyle name="쉼표 [0] 9 4 2 2 2" xfId="8437" xr:uid="{00000000-0005-0000-0000-0000531E0000}"/>
    <cellStyle name="쉼표 [0] 9 4 2 2 2 2" xfId="15754" xr:uid="{15683FA2-A19B-4C83-B4C8-C92D8D846A81}"/>
    <cellStyle name="쉼표 [0] 9 4 2 2 3" xfId="12096" xr:uid="{11953B43-7DB0-4848-ACB4-658D25B66C58}"/>
    <cellStyle name="쉼표 [0] 9 4 2 3" xfId="6608" xr:uid="{00000000-0005-0000-0000-0000541E0000}"/>
    <cellStyle name="쉼표 [0] 9 4 2 3 2" xfId="13925" xr:uid="{297C1E50-E965-48E8-AD4D-20E5F9AEEA9D}"/>
    <cellStyle name="쉼표 [0] 9 4 2 4" xfId="10266" xr:uid="{67447E84-6BE7-4B6A-9333-04E5583F9F08}"/>
    <cellStyle name="쉼표 [0] 9 4 3" xfId="2436" xr:uid="{00000000-0005-0000-0000-0000551E0000}"/>
    <cellStyle name="쉼표 [0] 9 4 3 2" xfId="4777" xr:uid="{00000000-0005-0000-0000-0000561E0000}"/>
    <cellStyle name="쉼표 [0] 9 4 3 2 2" xfId="8438" xr:uid="{00000000-0005-0000-0000-0000571E0000}"/>
    <cellStyle name="쉼표 [0] 9 4 3 2 2 2" xfId="15755" xr:uid="{854C9E02-2528-498F-B9A7-AC8EB270795E}"/>
    <cellStyle name="쉼표 [0] 9 4 3 2 3" xfId="12097" xr:uid="{B35D0749-B103-4F5F-BE55-446CCE661D1D}"/>
    <cellStyle name="쉼표 [0] 9 4 3 3" xfId="6609" xr:uid="{00000000-0005-0000-0000-0000581E0000}"/>
    <cellStyle name="쉼표 [0] 9 4 3 3 2" xfId="13926" xr:uid="{B4CAE28D-AC43-4F32-BCD2-D730427CE065}"/>
    <cellStyle name="쉼표 [0] 9 4 3 4" xfId="10267" xr:uid="{B5476BE4-F98B-470B-AA23-2F6BAE3EBFB3}"/>
    <cellStyle name="쉼표 [0] 9 4 4" xfId="2437" xr:uid="{00000000-0005-0000-0000-0000591E0000}"/>
    <cellStyle name="쉼표 [0] 9 4 4 2" xfId="4778" xr:uid="{00000000-0005-0000-0000-00005A1E0000}"/>
    <cellStyle name="쉼표 [0] 9 4 4 2 2" xfId="8439" xr:uid="{00000000-0005-0000-0000-00005B1E0000}"/>
    <cellStyle name="쉼표 [0] 9 4 4 2 2 2" xfId="15756" xr:uid="{D5BD26AC-23C4-4526-973D-14872FC83003}"/>
    <cellStyle name="쉼표 [0] 9 4 4 2 3" xfId="12098" xr:uid="{BB5A910F-98E6-4FB4-8F5E-FCF91D3DF025}"/>
    <cellStyle name="쉼표 [0] 9 4 4 3" xfId="6610" xr:uid="{00000000-0005-0000-0000-00005C1E0000}"/>
    <cellStyle name="쉼표 [0] 9 4 4 3 2" xfId="13927" xr:uid="{486E6432-BF6C-4EB7-BAD0-5B3A6F45A480}"/>
    <cellStyle name="쉼표 [0] 9 4 4 4" xfId="10268" xr:uid="{18A1BBE9-CDBD-49C3-8183-89585DB4E9C6}"/>
    <cellStyle name="쉼표 [0] 9 4 5" xfId="4775" xr:uid="{00000000-0005-0000-0000-00005D1E0000}"/>
    <cellStyle name="쉼표 [0] 9 4 5 2" xfId="8436" xr:uid="{00000000-0005-0000-0000-00005E1E0000}"/>
    <cellStyle name="쉼표 [0] 9 4 5 2 2" xfId="15753" xr:uid="{7564D23D-1FF4-4741-914C-D51451DB5680}"/>
    <cellStyle name="쉼표 [0] 9 4 5 3" xfId="12095" xr:uid="{4AC1C908-04C4-458B-AFD3-7E2DB0F3AA60}"/>
    <cellStyle name="쉼표 [0] 9 4 6" xfId="6607" xr:uid="{00000000-0005-0000-0000-00005F1E0000}"/>
    <cellStyle name="쉼표 [0] 9 4 6 2" xfId="13924" xr:uid="{9EB0A810-1B08-425D-9A72-C17879664CBD}"/>
    <cellStyle name="쉼표 [0] 9 4 7" xfId="10265" xr:uid="{9FA21509-E9B9-4DEF-82E1-C381B6CDFA4D}"/>
    <cellStyle name="쉼표 [0] 9 5" xfId="2438" xr:uid="{00000000-0005-0000-0000-0000601E0000}"/>
    <cellStyle name="쉼표 [0] 9 5 2" xfId="2439" xr:uid="{00000000-0005-0000-0000-0000611E0000}"/>
    <cellStyle name="쉼표 [0] 9 5 2 2" xfId="4780" xr:uid="{00000000-0005-0000-0000-0000621E0000}"/>
    <cellStyle name="쉼표 [0] 9 5 2 2 2" xfId="8441" xr:uid="{00000000-0005-0000-0000-0000631E0000}"/>
    <cellStyle name="쉼표 [0] 9 5 2 2 2 2" xfId="15758" xr:uid="{005F5645-BDC1-492E-AA3D-89A7EE7E3A2F}"/>
    <cellStyle name="쉼표 [0] 9 5 2 2 3" xfId="12100" xr:uid="{37819347-49AF-4FF3-A0A3-B6A7DDEFEB38}"/>
    <cellStyle name="쉼표 [0] 9 5 2 3" xfId="6612" xr:uid="{00000000-0005-0000-0000-0000641E0000}"/>
    <cellStyle name="쉼표 [0] 9 5 2 3 2" xfId="13929" xr:uid="{15907915-5278-42BB-BAC7-301C6ED9E001}"/>
    <cellStyle name="쉼표 [0] 9 5 2 4" xfId="10270" xr:uid="{12E50812-AEFF-40F4-B3CE-ADBB3830EBBF}"/>
    <cellStyle name="쉼표 [0] 9 5 3" xfId="2440" xr:uid="{00000000-0005-0000-0000-0000651E0000}"/>
    <cellStyle name="쉼표 [0] 9 5 3 2" xfId="4781" xr:uid="{00000000-0005-0000-0000-0000661E0000}"/>
    <cellStyle name="쉼표 [0] 9 5 3 2 2" xfId="8442" xr:uid="{00000000-0005-0000-0000-0000671E0000}"/>
    <cellStyle name="쉼표 [0] 9 5 3 2 2 2" xfId="15759" xr:uid="{F0A143AA-66A3-4FA5-9869-487EA93CE6D2}"/>
    <cellStyle name="쉼표 [0] 9 5 3 2 3" xfId="12101" xr:uid="{54D6B630-3D78-4D88-8489-59980740FDB9}"/>
    <cellStyle name="쉼표 [0] 9 5 3 3" xfId="6613" xr:uid="{00000000-0005-0000-0000-0000681E0000}"/>
    <cellStyle name="쉼표 [0] 9 5 3 3 2" xfId="13930" xr:uid="{39825BB8-23FD-4E41-A81D-AFD6BA61A8DB}"/>
    <cellStyle name="쉼표 [0] 9 5 3 4" xfId="10271" xr:uid="{B66AED96-9870-4C65-8F06-61211F2E52DF}"/>
    <cellStyle name="쉼표 [0] 9 5 4" xfId="4779" xr:uid="{00000000-0005-0000-0000-0000691E0000}"/>
    <cellStyle name="쉼표 [0] 9 5 4 2" xfId="8440" xr:uid="{00000000-0005-0000-0000-00006A1E0000}"/>
    <cellStyle name="쉼표 [0] 9 5 4 2 2" xfId="15757" xr:uid="{0580C6AD-9A1B-470E-A336-8D320889C910}"/>
    <cellStyle name="쉼표 [0] 9 5 4 3" xfId="12099" xr:uid="{40D560CD-5A12-45B2-8EE5-D5578908B645}"/>
    <cellStyle name="쉼표 [0] 9 5 5" xfId="6611" xr:uid="{00000000-0005-0000-0000-00006B1E0000}"/>
    <cellStyle name="쉼표 [0] 9 5 5 2" xfId="13928" xr:uid="{4825F629-67CB-4E10-872E-0E8A26459B80}"/>
    <cellStyle name="쉼표 [0] 9 5 6" xfId="10269" xr:uid="{E86B2742-F1FF-495D-9D1E-21B2A98D5238}"/>
    <cellStyle name="쉼표 [0] 9 6" xfId="2441" xr:uid="{00000000-0005-0000-0000-00006C1E0000}"/>
    <cellStyle name="쉼표 [0] 9 6 2" xfId="2442" xr:uid="{00000000-0005-0000-0000-00006D1E0000}"/>
    <cellStyle name="쉼표 [0] 9 6 2 2" xfId="4783" xr:uid="{00000000-0005-0000-0000-00006E1E0000}"/>
    <cellStyle name="쉼표 [0] 9 6 2 2 2" xfId="8444" xr:uid="{00000000-0005-0000-0000-00006F1E0000}"/>
    <cellStyle name="쉼표 [0] 9 6 2 2 2 2" xfId="15761" xr:uid="{A74BDC3C-F00A-499E-9E79-F1A87944A72F}"/>
    <cellStyle name="쉼표 [0] 9 6 2 2 3" xfId="12103" xr:uid="{330E7A34-544F-4C59-A143-98A2D9B99EB4}"/>
    <cellStyle name="쉼표 [0] 9 6 2 3" xfId="6615" xr:uid="{00000000-0005-0000-0000-0000701E0000}"/>
    <cellStyle name="쉼표 [0] 9 6 2 3 2" xfId="13932" xr:uid="{B54121C1-558A-473C-9B9F-F37DE43E2E13}"/>
    <cellStyle name="쉼표 [0] 9 6 2 4" xfId="10273" xr:uid="{996BF4A8-4FE6-4434-822C-F76A1949A653}"/>
    <cellStyle name="쉼표 [0] 9 6 3" xfId="2443" xr:uid="{00000000-0005-0000-0000-0000711E0000}"/>
    <cellStyle name="쉼표 [0] 9 6 3 2" xfId="4784" xr:uid="{00000000-0005-0000-0000-0000721E0000}"/>
    <cellStyle name="쉼표 [0] 9 6 3 2 2" xfId="8445" xr:uid="{00000000-0005-0000-0000-0000731E0000}"/>
    <cellStyle name="쉼표 [0] 9 6 3 2 2 2" xfId="15762" xr:uid="{4D1FDD35-860E-482A-AE19-75BAFDF2E299}"/>
    <cellStyle name="쉼표 [0] 9 6 3 2 3" xfId="12104" xr:uid="{5BB6C1BB-F221-4273-A4E0-867013FF2B85}"/>
    <cellStyle name="쉼표 [0] 9 6 3 3" xfId="6616" xr:uid="{00000000-0005-0000-0000-0000741E0000}"/>
    <cellStyle name="쉼표 [0] 9 6 3 3 2" xfId="13933" xr:uid="{0FA1D717-2B12-4452-B6D4-8FEF5D16D9BA}"/>
    <cellStyle name="쉼표 [0] 9 6 3 4" xfId="10274" xr:uid="{8FEBB93E-FA88-4847-BCE2-9BB603243439}"/>
    <cellStyle name="쉼표 [0] 9 6 4" xfId="4782" xr:uid="{00000000-0005-0000-0000-0000751E0000}"/>
    <cellStyle name="쉼표 [0] 9 6 4 2" xfId="8443" xr:uid="{00000000-0005-0000-0000-0000761E0000}"/>
    <cellStyle name="쉼표 [0] 9 6 4 2 2" xfId="15760" xr:uid="{F376D0FD-5BE8-4ED9-B825-AF937C233CF0}"/>
    <cellStyle name="쉼표 [0] 9 6 4 3" xfId="12102" xr:uid="{17ADA7EE-F32E-4CCC-B60A-EED26287D882}"/>
    <cellStyle name="쉼표 [0] 9 6 5" xfId="6614" xr:uid="{00000000-0005-0000-0000-0000771E0000}"/>
    <cellStyle name="쉼표 [0] 9 6 5 2" xfId="13931" xr:uid="{8AF4F998-0C13-418B-A0CB-2D91525EB294}"/>
    <cellStyle name="쉼표 [0] 9 6 6" xfId="10272" xr:uid="{3B13EB6B-A9D8-4477-912E-E579B4335AFA}"/>
    <cellStyle name="쉼표 [0] 9 7" xfId="2444" xr:uid="{00000000-0005-0000-0000-0000781E0000}"/>
    <cellStyle name="쉼표 [0] 9 7 2" xfId="4785" xr:uid="{00000000-0005-0000-0000-0000791E0000}"/>
    <cellStyle name="쉼표 [0] 9 7 2 2" xfId="8446" xr:uid="{00000000-0005-0000-0000-00007A1E0000}"/>
    <cellStyle name="쉼표 [0] 9 7 2 2 2" xfId="15763" xr:uid="{BEC1091A-D2EF-4D67-87AC-88CF61BE2E8B}"/>
    <cellStyle name="쉼표 [0] 9 7 2 3" xfId="12105" xr:uid="{8ACAAA5A-0A7E-4518-9160-8A6FBCBE6D65}"/>
    <cellStyle name="쉼표 [0] 9 7 3" xfId="6617" xr:uid="{00000000-0005-0000-0000-00007B1E0000}"/>
    <cellStyle name="쉼표 [0] 9 7 3 2" xfId="13934" xr:uid="{75741DA5-8BA1-4BF9-9218-F5FCB7BDF41C}"/>
    <cellStyle name="쉼표 [0] 9 7 4" xfId="10275" xr:uid="{61F4E448-7DD1-4E39-BDD1-CF59B8737F7C}"/>
    <cellStyle name="쉼표 [0] 9 8" xfId="2445" xr:uid="{00000000-0005-0000-0000-00007C1E0000}"/>
    <cellStyle name="쉼표 [0] 9 8 2" xfId="4786" xr:uid="{00000000-0005-0000-0000-00007D1E0000}"/>
    <cellStyle name="쉼표 [0] 9 8 2 2" xfId="8447" xr:uid="{00000000-0005-0000-0000-00007E1E0000}"/>
    <cellStyle name="쉼표 [0] 9 8 2 2 2" xfId="15764" xr:uid="{71BD9163-C575-4E18-BD7E-40F3FCBFA6DC}"/>
    <cellStyle name="쉼표 [0] 9 8 2 3" xfId="12106" xr:uid="{F2DC27C3-BDC2-426D-B561-4920BE6E1626}"/>
    <cellStyle name="쉼표 [0] 9 8 3" xfId="6618" xr:uid="{00000000-0005-0000-0000-00007F1E0000}"/>
    <cellStyle name="쉼표 [0] 9 8 3 2" xfId="13935" xr:uid="{4560E360-5FED-4720-B00C-FF0E063CC970}"/>
    <cellStyle name="쉼표 [0] 9 8 4" xfId="10276" xr:uid="{58DCE4C9-B9BC-4443-AE5C-6D82FFB36252}"/>
    <cellStyle name="쉼표 [0] 9 9" xfId="2446" xr:uid="{00000000-0005-0000-0000-0000801E0000}"/>
    <cellStyle name="쉼표 [0] 9 9 2" xfId="4787" xr:uid="{00000000-0005-0000-0000-0000811E0000}"/>
    <cellStyle name="쉼표 [0] 9 9 2 2" xfId="8448" xr:uid="{00000000-0005-0000-0000-0000821E0000}"/>
    <cellStyle name="쉼표 [0] 9 9 2 2 2" xfId="15765" xr:uid="{C32CA8A7-E43E-4309-A775-B43E898151B4}"/>
    <cellStyle name="쉼표 [0] 9 9 2 3" xfId="12107" xr:uid="{9D1D9A2A-17B4-4C5F-AF1F-77DF7E6A8240}"/>
    <cellStyle name="쉼표 [0] 9 9 3" xfId="6619" xr:uid="{00000000-0005-0000-0000-0000831E0000}"/>
    <cellStyle name="쉼표 [0] 9 9 3 2" xfId="13936" xr:uid="{02DFEBEE-7992-44B8-8DBF-51A1502E1EE4}"/>
    <cellStyle name="쉼표 [0] 9 9 4" xfId="10277" xr:uid="{98109F66-E040-4474-AB83-D4E603825932}"/>
    <cellStyle name="쉼표 2" xfId="3000" xr:uid="{00000000-0005-0000-0000-0000841E0000}"/>
    <cellStyle name="쉼표 2 2" xfId="6661" xr:uid="{00000000-0005-0000-0000-0000851E0000}"/>
    <cellStyle name="쉼표 2 2 2" xfId="13978" xr:uid="{059F8953-660C-4B6C-AD70-2A4195A08EDB}"/>
    <cellStyle name="쉼표 2 3" xfId="10320" xr:uid="{0275D439-942F-4E01-B264-E617ACE627C0}"/>
    <cellStyle name="쉼표 3" xfId="4832" xr:uid="{00000000-0005-0000-0000-0000861E0000}"/>
    <cellStyle name="쉼표 3 2" xfId="12149" xr:uid="{20292BD0-AD3F-48FE-9056-C1FE6801833D}"/>
    <cellStyle name="쉼표 4" xfId="8490" xr:uid="{097F19DF-63BD-46CA-8952-B5766DCC6018}"/>
    <cellStyle name="쉼표 5" xfId="10294" xr:uid="{88023CA7-3888-41A8-8122-9693C171FB1F}"/>
    <cellStyle name="쉼표 6" xfId="15807" xr:uid="{F472E9AF-0739-4C7B-9D04-361F52824D7D}"/>
    <cellStyle name="스타일 1" xfId="2447" xr:uid="{00000000-0005-0000-0000-0000871E0000}"/>
    <cellStyle name="스타일 2" xfId="2448" xr:uid="{00000000-0005-0000-0000-0000881E0000}"/>
    <cellStyle name="스타일 3" xfId="2449" xr:uid="{00000000-0005-0000-0000-0000891E0000}"/>
    <cellStyle name="스타일 4" xfId="2450" xr:uid="{00000000-0005-0000-0000-00008A1E0000}"/>
    <cellStyle name="스타일 5" xfId="2451" xr:uid="{00000000-0005-0000-0000-00008B1E0000}"/>
    <cellStyle name="스타일 5 2" xfId="2452" xr:uid="{00000000-0005-0000-0000-00008C1E0000}"/>
    <cellStyle name="스타일 5 2 2" xfId="2453" xr:uid="{00000000-0005-0000-0000-00008D1E0000}"/>
    <cellStyle name="스타일 5 2 2 2" xfId="4790" xr:uid="{00000000-0005-0000-0000-00008E1E0000}"/>
    <cellStyle name="스타일 5 2 2 2 2" xfId="8451" xr:uid="{00000000-0005-0000-0000-00008F1E0000}"/>
    <cellStyle name="스타일 5 2 2 2 2 2" xfId="15768" xr:uid="{F9D07A19-3902-4522-B378-069F81B229A0}"/>
    <cellStyle name="스타일 5 2 2 2 3" xfId="12110" xr:uid="{ADB93D6F-4DFE-4075-BC6B-EEF0E389CB63}"/>
    <cellStyle name="스타일 5 2 2 3" xfId="6622" xr:uid="{00000000-0005-0000-0000-0000901E0000}"/>
    <cellStyle name="스타일 5 2 2 3 2" xfId="13939" xr:uid="{E2D1D6D7-4CE7-4068-A7E6-2630A7D05D71}"/>
    <cellStyle name="스타일 5 2 2 4" xfId="10280" xr:uid="{4EFDF5D9-6A2E-483A-A6A5-9F8512555234}"/>
    <cellStyle name="스타일 5 2 3" xfId="2454" xr:uid="{00000000-0005-0000-0000-0000911E0000}"/>
    <cellStyle name="스타일 5 2 3 2" xfId="4791" xr:uid="{00000000-0005-0000-0000-0000921E0000}"/>
    <cellStyle name="스타일 5 2 3 2 2" xfId="8452" xr:uid="{00000000-0005-0000-0000-0000931E0000}"/>
    <cellStyle name="스타일 5 2 3 2 2 2" xfId="15769" xr:uid="{FEEC36EA-6EEF-4096-B1CF-ADB68AABE0EF}"/>
    <cellStyle name="스타일 5 2 3 2 3" xfId="12111" xr:uid="{FF89FE49-6A85-4548-87C4-1499B6FE9CF2}"/>
    <cellStyle name="스타일 5 2 3 3" xfId="6623" xr:uid="{00000000-0005-0000-0000-0000941E0000}"/>
    <cellStyle name="스타일 5 2 3 3 2" xfId="13940" xr:uid="{8C5DE9AE-ACD7-414F-9BF7-1B606B99A7C4}"/>
    <cellStyle name="스타일 5 2 3 4" xfId="10281" xr:uid="{DC4D2668-88CC-4A59-ADA9-148D8A426FE2}"/>
    <cellStyle name="스타일 5 2 4" xfId="2455" xr:uid="{00000000-0005-0000-0000-0000951E0000}"/>
    <cellStyle name="스타일 5 2 4 2" xfId="4792" xr:uid="{00000000-0005-0000-0000-0000961E0000}"/>
    <cellStyle name="스타일 5 2 4 2 2" xfId="8453" xr:uid="{00000000-0005-0000-0000-0000971E0000}"/>
    <cellStyle name="스타일 5 2 4 2 2 2" xfId="15770" xr:uid="{20B50E8C-DBFF-4A6F-8960-5589D469B953}"/>
    <cellStyle name="스타일 5 2 4 2 3" xfId="12112" xr:uid="{28D74EFD-15B1-4467-B3F5-1B4BF3F1BB0F}"/>
    <cellStyle name="스타일 5 2 4 3" xfId="6624" xr:uid="{00000000-0005-0000-0000-0000981E0000}"/>
    <cellStyle name="스타일 5 2 4 3 2" xfId="13941" xr:uid="{78A6F767-4B4F-4343-B416-7CA29C807A66}"/>
    <cellStyle name="스타일 5 2 4 4" xfId="10282" xr:uid="{D599662D-4D5F-48AD-8AC4-AD769AE50B7F}"/>
    <cellStyle name="스타일 5 2 5" xfId="4789" xr:uid="{00000000-0005-0000-0000-0000991E0000}"/>
    <cellStyle name="스타일 5 2 5 2" xfId="8450" xr:uid="{00000000-0005-0000-0000-00009A1E0000}"/>
    <cellStyle name="스타일 5 2 5 2 2" xfId="15767" xr:uid="{6213B239-D448-42CB-A40F-641D16ECBD31}"/>
    <cellStyle name="스타일 5 2 5 3" xfId="12109" xr:uid="{17B4AA9D-A8EC-4DC9-8994-59D68D2FBD56}"/>
    <cellStyle name="스타일 5 2 6" xfId="6621" xr:uid="{00000000-0005-0000-0000-00009B1E0000}"/>
    <cellStyle name="스타일 5 2 6 2" xfId="13938" xr:uid="{D15898C5-20FC-497C-86E1-BC35FF328FF5}"/>
    <cellStyle name="스타일 5 2 7" xfId="10279" xr:uid="{261E168E-B3C5-47F3-927F-9A9F8D4000FD}"/>
    <cellStyle name="스타일 5 3" xfId="2456" xr:uid="{00000000-0005-0000-0000-00009C1E0000}"/>
    <cellStyle name="스타일 5 3 2" xfId="4793" xr:uid="{00000000-0005-0000-0000-00009D1E0000}"/>
    <cellStyle name="스타일 5 3 2 2" xfId="8454" xr:uid="{00000000-0005-0000-0000-00009E1E0000}"/>
    <cellStyle name="스타일 5 3 2 2 2" xfId="15771" xr:uid="{FABA375C-1FC4-4EA9-968D-9F9098202A36}"/>
    <cellStyle name="스타일 5 3 2 3" xfId="12113" xr:uid="{746D497F-3238-4274-B2C6-75196EFD67B8}"/>
    <cellStyle name="스타일 5 3 3" xfId="6625" xr:uid="{00000000-0005-0000-0000-00009F1E0000}"/>
    <cellStyle name="스타일 5 3 3 2" xfId="13942" xr:uid="{C83E714C-C6B7-42E2-93D8-B02E55F75C88}"/>
    <cellStyle name="스타일 5 3 4" xfId="10283" xr:uid="{70F1753B-CC2A-41DB-899E-ADAF79F0DE5B}"/>
    <cellStyle name="스타일 5 4" xfId="2457" xr:uid="{00000000-0005-0000-0000-0000A01E0000}"/>
    <cellStyle name="스타일 5 4 2" xfId="4794" xr:uid="{00000000-0005-0000-0000-0000A11E0000}"/>
    <cellStyle name="스타일 5 4 2 2" xfId="8455" xr:uid="{00000000-0005-0000-0000-0000A21E0000}"/>
    <cellStyle name="스타일 5 4 2 2 2" xfId="15772" xr:uid="{23E65F20-8497-4ED0-9284-00498C0899C1}"/>
    <cellStyle name="스타일 5 4 2 3" xfId="12114" xr:uid="{2972779E-2929-4C94-93E7-DBD2B2F25538}"/>
    <cellStyle name="스타일 5 4 3" xfId="6626" xr:uid="{00000000-0005-0000-0000-0000A31E0000}"/>
    <cellStyle name="스타일 5 4 3 2" xfId="13943" xr:uid="{416F9111-D12E-4606-A248-0C27D430A6E0}"/>
    <cellStyle name="스타일 5 4 4" xfId="10284" xr:uid="{ECE77A1B-3FB2-4F5D-A53B-79B030143E0A}"/>
    <cellStyle name="스타일 5 5" xfId="2458" xr:uid="{00000000-0005-0000-0000-0000A41E0000}"/>
    <cellStyle name="스타일 5 5 2" xfId="4795" xr:uid="{00000000-0005-0000-0000-0000A51E0000}"/>
    <cellStyle name="스타일 5 5 2 2" xfId="8456" xr:uid="{00000000-0005-0000-0000-0000A61E0000}"/>
    <cellStyle name="스타일 5 5 2 2 2" xfId="15773" xr:uid="{868E4662-FEF1-4FC9-97FC-9A971C5A5D3D}"/>
    <cellStyle name="스타일 5 5 2 3" xfId="12115" xr:uid="{3400BC46-19AC-483D-91AC-49EFBA098ECC}"/>
    <cellStyle name="스타일 5 5 3" xfId="6627" xr:uid="{00000000-0005-0000-0000-0000A71E0000}"/>
    <cellStyle name="스타일 5 5 3 2" xfId="13944" xr:uid="{5560AB5C-5DB6-4960-BBCD-930DA4CE1D7D}"/>
    <cellStyle name="스타일 5 5 4" xfId="10285" xr:uid="{C8599BB0-DF72-4DD7-935D-84F9BD358475}"/>
    <cellStyle name="스타일 5 6" xfId="4788" xr:uid="{00000000-0005-0000-0000-0000A81E0000}"/>
    <cellStyle name="스타일 5 6 2" xfId="8449" xr:uid="{00000000-0005-0000-0000-0000A91E0000}"/>
    <cellStyle name="스타일 5 6 2 2" xfId="15766" xr:uid="{F7FA4D74-BB9E-40D4-BC95-81CD4E4255F5}"/>
    <cellStyle name="스타일 5 6 3" xfId="12108" xr:uid="{7DF4B2B6-85D4-49FE-A85E-87DF3BC3B4AA}"/>
    <cellStyle name="스타일 5 7" xfId="6620" xr:uid="{00000000-0005-0000-0000-0000AA1E0000}"/>
    <cellStyle name="스타일 5 7 2" xfId="13937" xr:uid="{A199F071-41D4-484D-98E9-40C145D535E7}"/>
    <cellStyle name="스타일 5 8" xfId="10278" xr:uid="{11045BB6-624E-4AEB-9FC3-94FA6EF4C19B}"/>
    <cellStyle name="스타일 6" xfId="2459" xr:uid="{00000000-0005-0000-0000-0000AB1E0000}"/>
    <cellStyle name="아래" xfId="2460" xr:uid="{00000000-0005-0000-0000-0000AC1E0000}"/>
    <cellStyle name="안성맞춤" xfId="2461" xr:uid="{00000000-0005-0000-0000-0000AD1E0000}"/>
    <cellStyle name="안성맞춤 2" xfId="2462" xr:uid="{00000000-0005-0000-0000-0000AE1E0000}"/>
    <cellStyle name="안성맞춤 2 2" xfId="2463" xr:uid="{00000000-0005-0000-0000-0000AF1E0000}"/>
    <cellStyle name="안성맞춤 2 2 2" xfId="4798" xr:uid="{00000000-0005-0000-0000-0000B01E0000}"/>
    <cellStyle name="안성맞춤 2 2 2 2" xfId="8459" xr:uid="{00000000-0005-0000-0000-0000B11E0000}"/>
    <cellStyle name="안성맞춤 2 2 2 2 2" xfId="15776" xr:uid="{7244B47D-71D8-44C1-96D9-4131DDC77A24}"/>
    <cellStyle name="안성맞춤 2 2 2 3" xfId="12118" xr:uid="{E4573F32-5A60-45AA-969B-3C80A8ACBF02}"/>
    <cellStyle name="안성맞춤 2 2 3" xfId="6630" xr:uid="{00000000-0005-0000-0000-0000B21E0000}"/>
    <cellStyle name="안성맞춤 2 2 3 2" xfId="13947" xr:uid="{5457E8A9-46D8-4744-BA16-4E68902385A7}"/>
    <cellStyle name="안성맞춤 2 2 4" xfId="10288" xr:uid="{E8EA4598-80BE-48C4-A4FE-AF8EAFCF0478}"/>
    <cellStyle name="안성맞춤 2 3" xfId="2464" xr:uid="{00000000-0005-0000-0000-0000B31E0000}"/>
    <cellStyle name="안성맞춤 2 3 2" xfId="4799" xr:uid="{00000000-0005-0000-0000-0000B41E0000}"/>
    <cellStyle name="안성맞춤 2 3 2 2" xfId="8460" xr:uid="{00000000-0005-0000-0000-0000B51E0000}"/>
    <cellStyle name="안성맞춤 2 3 2 2 2" xfId="15777" xr:uid="{ADE1BC16-564A-4762-9F1C-0317307C3D3C}"/>
    <cellStyle name="안성맞춤 2 3 2 3" xfId="12119" xr:uid="{C1761DCD-B085-44C9-B747-B69058FB3BD6}"/>
    <cellStyle name="안성맞춤 2 3 3" xfId="6631" xr:uid="{00000000-0005-0000-0000-0000B61E0000}"/>
    <cellStyle name="안성맞춤 2 3 3 2" xfId="13948" xr:uid="{DABD9B74-037F-49B2-80F6-B6B8B4585AC0}"/>
    <cellStyle name="안성맞춤 2 3 4" xfId="10289" xr:uid="{83F369EF-8E90-42F7-9E4F-C168B5E33F72}"/>
    <cellStyle name="안성맞춤 2 4" xfId="2465" xr:uid="{00000000-0005-0000-0000-0000B71E0000}"/>
    <cellStyle name="안성맞춤 2 4 2" xfId="4800" xr:uid="{00000000-0005-0000-0000-0000B81E0000}"/>
    <cellStyle name="안성맞춤 2 4 2 2" xfId="8461" xr:uid="{00000000-0005-0000-0000-0000B91E0000}"/>
    <cellStyle name="안성맞춤 2 4 2 2 2" xfId="15778" xr:uid="{1FDD1392-AB43-447C-B9A1-ACB5292C7C7E}"/>
    <cellStyle name="안성맞춤 2 4 2 3" xfId="12120" xr:uid="{0858F06C-D6F8-485E-AB99-8167AC5156D3}"/>
    <cellStyle name="안성맞춤 2 4 3" xfId="6632" xr:uid="{00000000-0005-0000-0000-0000BA1E0000}"/>
    <cellStyle name="안성맞춤 2 4 3 2" xfId="13949" xr:uid="{58AD2E84-873A-4FCA-8D7C-3E468026945E}"/>
    <cellStyle name="안성맞춤 2 4 4" xfId="10290" xr:uid="{F982C3E6-BE1D-4DF1-B185-746C58393CB1}"/>
    <cellStyle name="안성맞춤 2 5" xfId="4797" xr:uid="{00000000-0005-0000-0000-0000BB1E0000}"/>
    <cellStyle name="안성맞춤 2 5 2" xfId="8458" xr:uid="{00000000-0005-0000-0000-0000BC1E0000}"/>
    <cellStyle name="안성맞춤 2 5 2 2" xfId="15775" xr:uid="{2E3BA033-D74C-4FFF-964F-B08B471CF106}"/>
    <cellStyle name="안성맞춤 2 5 3" xfId="12117" xr:uid="{FC2B8E61-5EF3-4E7F-9C70-A9B272370DCF}"/>
    <cellStyle name="안성맞춤 2 6" xfId="6629" xr:uid="{00000000-0005-0000-0000-0000BD1E0000}"/>
    <cellStyle name="안성맞춤 2 6 2" xfId="13946" xr:uid="{9CA24004-0C56-496F-B341-68F6B4D42EF1}"/>
    <cellStyle name="안성맞춤 2 7" xfId="10287" xr:uid="{43F3066F-D51A-4A28-854A-5A12C722E50F}"/>
    <cellStyle name="안성맞춤 3" xfId="2466" xr:uid="{00000000-0005-0000-0000-0000BE1E0000}"/>
    <cellStyle name="안성맞춤 3 2" xfId="4801" xr:uid="{00000000-0005-0000-0000-0000BF1E0000}"/>
    <cellStyle name="안성맞춤 3 2 2" xfId="8462" xr:uid="{00000000-0005-0000-0000-0000C01E0000}"/>
    <cellStyle name="안성맞춤 3 2 2 2" xfId="15779" xr:uid="{D67B73C8-C4D1-403B-A72C-F6E111018230}"/>
    <cellStyle name="안성맞춤 3 2 3" xfId="12121" xr:uid="{C4D92FB8-7657-44B5-8BA3-F2CD920A7335}"/>
    <cellStyle name="안성맞춤 3 3" xfId="6633" xr:uid="{00000000-0005-0000-0000-0000C11E0000}"/>
    <cellStyle name="안성맞춤 3 3 2" xfId="13950" xr:uid="{6EC30D13-4FA1-4E20-AE9C-FBE68F0C5C72}"/>
    <cellStyle name="안성맞춤 3 4" xfId="10291" xr:uid="{E4C6AFA6-7224-4D2A-8B26-18CC001809A5}"/>
    <cellStyle name="안성맞춤 4" xfId="2467" xr:uid="{00000000-0005-0000-0000-0000C21E0000}"/>
    <cellStyle name="안성맞춤 4 2" xfId="4802" xr:uid="{00000000-0005-0000-0000-0000C31E0000}"/>
    <cellStyle name="안성맞춤 4 2 2" xfId="8463" xr:uid="{00000000-0005-0000-0000-0000C41E0000}"/>
    <cellStyle name="안성맞춤 4 2 2 2" xfId="15780" xr:uid="{0BE79104-A479-4EE9-ADCF-C96BE9186125}"/>
    <cellStyle name="안성맞춤 4 2 3" xfId="12122" xr:uid="{AE28116A-4A6D-4977-9B88-B571CB549E80}"/>
    <cellStyle name="안성맞춤 4 3" xfId="6634" xr:uid="{00000000-0005-0000-0000-0000C51E0000}"/>
    <cellStyle name="안성맞춤 4 3 2" xfId="13951" xr:uid="{D8E7D71A-3BCF-4E68-B566-28EB66BBE677}"/>
    <cellStyle name="안성맞춤 4 4" xfId="10292" xr:uid="{0F256B0E-2009-4FC2-903C-17DEE32BF4CF}"/>
    <cellStyle name="안성맞춤 5" xfId="2468" xr:uid="{00000000-0005-0000-0000-0000C61E0000}"/>
    <cellStyle name="안성맞춤 5 2" xfId="4803" xr:uid="{00000000-0005-0000-0000-0000C71E0000}"/>
    <cellStyle name="안성맞춤 5 2 2" xfId="8464" xr:uid="{00000000-0005-0000-0000-0000C81E0000}"/>
    <cellStyle name="안성맞춤 5 2 2 2" xfId="15781" xr:uid="{6D6CBC70-B2D3-48B0-AC26-22BC9DE8273C}"/>
    <cellStyle name="안성맞춤 5 2 3" xfId="12123" xr:uid="{60BEB499-C917-42EC-BF03-58A09CF0FFA4}"/>
    <cellStyle name="안성맞춤 5 3" xfId="6635" xr:uid="{00000000-0005-0000-0000-0000C91E0000}"/>
    <cellStyle name="안성맞춤 5 3 2" xfId="13952" xr:uid="{7FCBD691-7854-431E-A86F-296A14B9E8E4}"/>
    <cellStyle name="안성맞춤 5 4" xfId="10293" xr:uid="{43E2AF75-BE21-4B1E-B881-BB185552CFE1}"/>
    <cellStyle name="안성맞춤 6" xfId="4796" xr:uid="{00000000-0005-0000-0000-0000CA1E0000}"/>
    <cellStyle name="안성맞춤 6 2" xfId="8457" xr:uid="{00000000-0005-0000-0000-0000CB1E0000}"/>
    <cellStyle name="안성맞춤 6 2 2" xfId="15774" xr:uid="{7E3446B9-17EC-44A0-A0C3-8C2DFD683073}"/>
    <cellStyle name="안성맞춤 6 3" xfId="12116" xr:uid="{C0E8B1EE-EADC-4790-B811-E626A60074F3}"/>
    <cellStyle name="안성맞춤 7" xfId="6628" xr:uid="{00000000-0005-0000-0000-0000CC1E0000}"/>
    <cellStyle name="안성맞춤 7 2" xfId="13945" xr:uid="{57DA813F-FF2C-4E23-A02B-84E90F889E8E}"/>
    <cellStyle name="안성맞춤 8" xfId="10286" xr:uid="{D39BD191-86B4-470B-9975-81557B2F703B}"/>
    <cellStyle name="样式 1" xfId="2992" xr:uid="{00000000-0005-0000-0000-000024210000}"/>
    <cellStyle name="연결된 셀 10" xfId="2469" xr:uid="{00000000-0005-0000-0000-0000CD1E0000}"/>
    <cellStyle name="연결된 셀 11" xfId="2470" xr:uid="{00000000-0005-0000-0000-0000CE1E0000}"/>
    <cellStyle name="연결된 셀 12" xfId="2471" xr:uid="{00000000-0005-0000-0000-0000CF1E0000}"/>
    <cellStyle name="연결된 셀 13" xfId="2472" xr:uid="{00000000-0005-0000-0000-0000D01E0000}"/>
    <cellStyle name="연결된 셀 14" xfId="2473" xr:uid="{00000000-0005-0000-0000-0000D11E0000}"/>
    <cellStyle name="연결된 셀 15" xfId="2474" xr:uid="{00000000-0005-0000-0000-0000D21E0000}"/>
    <cellStyle name="연결된 셀 16" xfId="2475" xr:uid="{00000000-0005-0000-0000-0000D31E0000}"/>
    <cellStyle name="연결된 셀 2" xfId="2476" xr:uid="{00000000-0005-0000-0000-0000D41E0000}"/>
    <cellStyle name="연결된 셀 3" xfId="2477" xr:uid="{00000000-0005-0000-0000-0000D51E0000}"/>
    <cellStyle name="연결된 셀 4" xfId="2478" xr:uid="{00000000-0005-0000-0000-0000D61E0000}"/>
    <cellStyle name="연결된 셀 5" xfId="2479" xr:uid="{00000000-0005-0000-0000-0000D71E0000}"/>
    <cellStyle name="연결된 셀 6" xfId="2480" xr:uid="{00000000-0005-0000-0000-0000D81E0000}"/>
    <cellStyle name="연결된 셀 7" xfId="2481" xr:uid="{00000000-0005-0000-0000-0000D91E0000}"/>
    <cellStyle name="연결된 셀 8" xfId="2482" xr:uid="{00000000-0005-0000-0000-0000DA1E0000}"/>
    <cellStyle name="연결된 셀 9" xfId="2483" xr:uid="{00000000-0005-0000-0000-0000DB1E0000}"/>
    <cellStyle name="요약 10" xfId="2484" xr:uid="{00000000-0005-0000-0000-0000DC1E0000}"/>
    <cellStyle name="요약 11" xfId="2485" xr:uid="{00000000-0005-0000-0000-0000DD1E0000}"/>
    <cellStyle name="요약 12" xfId="2486" xr:uid="{00000000-0005-0000-0000-0000DE1E0000}"/>
    <cellStyle name="요약 13" xfId="2487" xr:uid="{00000000-0005-0000-0000-0000DF1E0000}"/>
    <cellStyle name="요약 14" xfId="2488" xr:uid="{00000000-0005-0000-0000-0000E01E0000}"/>
    <cellStyle name="요약 15" xfId="2489" xr:uid="{00000000-0005-0000-0000-0000E11E0000}"/>
    <cellStyle name="요약 16" xfId="2490" xr:uid="{00000000-0005-0000-0000-0000E21E0000}"/>
    <cellStyle name="요약 2" xfId="2491" xr:uid="{00000000-0005-0000-0000-0000E31E0000}"/>
    <cellStyle name="요약 2 2" xfId="2492" xr:uid="{00000000-0005-0000-0000-0000E41E0000}"/>
    <cellStyle name="요약 2 3" xfId="2493" xr:uid="{00000000-0005-0000-0000-0000E51E0000}"/>
    <cellStyle name="요약 3" xfId="2494" xr:uid="{00000000-0005-0000-0000-0000E61E0000}"/>
    <cellStyle name="요약 4" xfId="2495" xr:uid="{00000000-0005-0000-0000-0000E71E0000}"/>
    <cellStyle name="요약 5" xfId="2496" xr:uid="{00000000-0005-0000-0000-0000E81E0000}"/>
    <cellStyle name="요약 6" xfId="2497" xr:uid="{00000000-0005-0000-0000-0000E91E0000}"/>
    <cellStyle name="요약 7" xfId="2498" xr:uid="{00000000-0005-0000-0000-0000EA1E0000}"/>
    <cellStyle name="요약 8" xfId="2499" xr:uid="{00000000-0005-0000-0000-0000EB1E0000}"/>
    <cellStyle name="요약 9" xfId="2500" xr:uid="{00000000-0005-0000-0000-0000EC1E0000}"/>
    <cellStyle name="위" xfId="2501" xr:uid="{00000000-0005-0000-0000-0000ED1E0000}"/>
    <cellStyle name="입력 10" xfId="2502" xr:uid="{00000000-0005-0000-0000-0000EE1E0000}"/>
    <cellStyle name="입력 11" xfId="2503" xr:uid="{00000000-0005-0000-0000-0000EF1E0000}"/>
    <cellStyle name="입력 12" xfId="2504" xr:uid="{00000000-0005-0000-0000-0000F01E0000}"/>
    <cellStyle name="입력 13" xfId="2505" xr:uid="{00000000-0005-0000-0000-0000F11E0000}"/>
    <cellStyle name="입력 14" xfId="2506" xr:uid="{00000000-0005-0000-0000-0000F21E0000}"/>
    <cellStyle name="입력 15" xfId="2507" xr:uid="{00000000-0005-0000-0000-0000F31E0000}"/>
    <cellStyle name="입력 16" xfId="2508" xr:uid="{00000000-0005-0000-0000-0000F41E0000}"/>
    <cellStyle name="입력 2" xfId="2509" xr:uid="{00000000-0005-0000-0000-0000F51E0000}"/>
    <cellStyle name="입력 3" xfId="2510" xr:uid="{00000000-0005-0000-0000-0000F61E0000}"/>
    <cellStyle name="입력 4" xfId="2511" xr:uid="{00000000-0005-0000-0000-0000F71E0000}"/>
    <cellStyle name="입력 5" xfId="2512" xr:uid="{00000000-0005-0000-0000-0000F81E0000}"/>
    <cellStyle name="입력 6" xfId="2513" xr:uid="{00000000-0005-0000-0000-0000F91E0000}"/>
    <cellStyle name="입력 7" xfId="2514" xr:uid="{00000000-0005-0000-0000-0000FA1E0000}"/>
    <cellStyle name="입력 8" xfId="2515" xr:uid="{00000000-0005-0000-0000-0000FB1E0000}"/>
    <cellStyle name="입력 9" xfId="2516" xr:uid="{00000000-0005-0000-0000-0000FC1E0000}"/>
    <cellStyle name="자리수_V-200제작추진 " xfId="2517" xr:uid="{00000000-0005-0000-0000-0000FD1E0000}"/>
    <cellStyle name="자리수0_V-200제작추진 " xfId="2518" xr:uid="{00000000-0005-0000-0000-0000FE1E0000}"/>
    <cellStyle name="제목 1 10" xfId="2519" xr:uid="{00000000-0005-0000-0000-0000FF1E0000}"/>
    <cellStyle name="제목 1 11" xfId="2520" xr:uid="{00000000-0005-0000-0000-0000001F0000}"/>
    <cellStyle name="제목 1 12" xfId="2521" xr:uid="{00000000-0005-0000-0000-0000011F0000}"/>
    <cellStyle name="제목 1 13" xfId="2522" xr:uid="{00000000-0005-0000-0000-0000021F0000}"/>
    <cellStyle name="제목 1 14" xfId="2523" xr:uid="{00000000-0005-0000-0000-0000031F0000}"/>
    <cellStyle name="제목 1 15" xfId="2524" xr:uid="{00000000-0005-0000-0000-0000041F0000}"/>
    <cellStyle name="제목 1 16" xfId="2525" xr:uid="{00000000-0005-0000-0000-0000051F0000}"/>
    <cellStyle name="제목 1 2" xfId="2526" xr:uid="{00000000-0005-0000-0000-0000061F0000}"/>
    <cellStyle name="제목 1 2 2" xfId="2527" xr:uid="{00000000-0005-0000-0000-0000071F0000}"/>
    <cellStyle name="제목 1 2 3" xfId="2528" xr:uid="{00000000-0005-0000-0000-0000081F0000}"/>
    <cellStyle name="제목 1 3" xfId="2529" xr:uid="{00000000-0005-0000-0000-0000091F0000}"/>
    <cellStyle name="제목 1 4" xfId="2530" xr:uid="{00000000-0005-0000-0000-00000A1F0000}"/>
    <cellStyle name="제목 1 5" xfId="2531" xr:uid="{00000000-0005-0000-0000-00000B1F0000}"/>
    <cellStyle name="제목 1 6" xfId="2532" xr:uid="{00000000-0005-0000-0000-00000C1F0000}"/>
    <cellStyle name="제목 1 7" xfId="2533" xr:uid="{00000000-0005-0000-0000-00000D1F0000}"/>
    <cellStyle name="제목 1 8" xfId="2534" xr:uid="{00000000-0005-0000-0000-00000E1F0000}"/>
    <cellStyle name="제목 1 9" xfId="2535" xr:uid="{00000000-0005-0000-0000-00000F1F0000}"/>
    <cellStyle name="제목 10" xfId="2536" xr:uid="{00000000-0005-0000-0000-0000101F0000}"/>
    <cellStyle name="제목 11" xfId="2537" xr:uid="{00000000-0005-0000-0000-0000111F0000}"/>
    <cellStyle name="제목 12" xfId="2538" xr:uid="{00000000-0005-0000-0000-0000121F0000}"/>
    <cellStyle name="제목 13" xfId="2539" xr:uid="{00000000-0005-0000-0000-0000131F0000}"/>
    <cellStyle name="제목 14" xfId="2540" xr:uid="{00000000-0005-0000-0000-0000141F0000}"/>
    <cellStyle name="제목 15" xfId="2541" xr:uid="{00000000-0005-0000-0000-0000151F0000}"/>
    <cellStyle name="제목 16" xfId="2542" xr:uid="{00000000-0005-0000-0000-0000161F0000}"/>
    <cellStyle name="제목 17" xfId="2543" xr:uid="{00000000-0005-0000-0000-0000171F0000}"/>
    <cellStyle name="제목 18" xfId="2544" xr:uid="{00000000-0005-0000-0000-0000181F0000}"/>
    <cellStyle name="제목 19" xfId="2545" xr:uid="{00000000-0005-0000-0000-0000191F0000}"/>
    <cellStyle name="제목 2 10" xfId="2546" xr:uid="{00000000-0005-0000-0000-00001A1F0000}"/>
    <cellStyle name="제목 2 11" xfId="2547" xr:uid="{00000000-0005-0000-0000-00001B1F0000}"/>
    <cellStyle name="제목 2 12" xfId="2548" xr:uid="{00000000-0005-0000-0000-00001C1F0000}"/>
    <cellStyle name="제목 2 13" xfId="2549" xr:uid="{00000000-0005-0000-0000-00001D1F0000}"/>
    <cellStyle name="제목 2 14" xfId="2550" xr:uid="{00000000-0005-0000-0000-00001E1F0000}"/>
    <cellStyle name="제목 2 15" xfId="2551" xr:uid="{00000000-0005-0000-0000-00001F1F0000}"/>
    <cellStyle name="제목 2 16" xfId="2552" xr:uid="{00000000-0005-0000-0000-0000201F0000}"/>
    <cellStyle name="제목 2 2" xfId="2553" xr:uid="{00000000-0005-0000-0000-0000211F0000}"/>
    <cellStyle name="제목 2 2 2" xfId="2554" xr:uid="{00000000-0005-0000-0000-0000221F0000}"/>
    <cellStyle name="제목 2 2 3" xfId="2555" xr:uid="{00000000-0005-0000-0000-0000231F0000}"/>
    <cellStyle name="제목 2 3" xfId="2556" xr:uid="{00000000-0005-0000-0000-0000241F0000}"/>
    <cellStyle name="제목 2 4" xfId="2557" xr:uid="{00000000-0005-0000-0000-0000251F0000}"/>
    <cellStyle name="제목 2 5" xfId="2558" xr:uid="{00000000-0005-0000-0000-0000261F0000}"/>
    <cellStyle name="제목 2 6" xfId="2559" xr:uid="{00000000-0005-0000-0000-0000271F0000}"/>
    <cellStyle name="제목 2 7" xfId="2560" xr:uid="{00000000-0005-0000-0000-0000281F0000}"/>
    <cellStyle name="제목 2 8" xfId="2561" xr:uid="{00000000-0005-0000-0000-0000291F0000}"/>
    <cellStyle name="제목 2 9" xfId="2562" xr:uid="{00000000-0005-0000-0000-00002A1F0000}"/>
    <cellStyle name="제목 3 10" xfId="2563" xr:uid="{00000000-0005-0000-0000-00002B1F0000}"/>
    <cellStyle name="제목 3 11" xfId="2564" xr:uid="{00000000-0005-0000-0000-00002C1F0000}"/>
    <cellStyle name="제목 3 12" xfId="2565" xr:uid="{00000000-0005-0000-0000-00002D1F0000}"/>
    <cellStyle name="제목 3 13" xfId="2566" xr:uid="{00000000-0005-0000-0000-00002E1F0000}"/>
    <cellStyle name="제목 3 14" xfId="2567" xr:uid="{00000000-0005-0000-0000-00002F1F0000}"/>
    <cellStyle name="제목 3 15" xfId="2568" xr:uid="{00000000-0005-0000-0000-0000301F0000}"/>
    <cellStyle name="제목 3 16" xfId="2569" xr:uid="{00000000-0005-0000-0000-0000311F0000}"/>
    <cellStyle name="제목 3 2" xfId="2570" xr:uid="{00000000-0005-0000-0000-0000321F0000}"/>
    <cellStyle name="제목 3 2 2" xfId="2571" xr:uid="{00000000-0005-0000-0000-0000331F0000}"/>
    <cellStyle name="제목 3 2 3" xfId="2572" xr:uid="{00000000-0005-0000-0000-0000341F0000}"/>
    <cellStyle name="제목 3 3" xfId="2573" xr:uid="{00000000-0005-0000-0000-0000351F0000}"/>
    <cellStyle name="제목 3 4" xfId="2574" xr:uid="{00000000-0005-0000-0000-0000361F0000}"/>
    <cellStyle name="제목 3 5" xfId="2575" xr:uid="{00000000-0005-0000-0000-0000371F0000}"/>
    <cellStyle name="제목 3 6" xfId="2576" xr:uid="{00000000-0005-0000-0000-0000381F0000}"/>
    <cellStyle name="제목 3 7" xfId="2577" xr:uid="{00000000-0005-0000-0000-0000391F0000}"/>
    <cellStyle name="제목 3 8" xfId="2578" xr:uid="{00000000-0005-0000-0000-00003A1F0000}"/>
    <cellStyle name="제목 3 9" xfId="2579" xr:uid="{00000000-0005-0000-0000-00003B1F0000}"/>
    <cellStyle name="제목 4 10" xfId="2580" xr:uid="{00000000-0005-0000-0000-00003C1F0000}"/>
    <cellStyle name="제목 4 11" xfId="2581" xr:uid="{00000000-0005-0000-0000-00003D1F0000}"/>
    <cellStyle name="제목 4 12" xfId="2582" xr:uid="{00000000-0005-0000-0000-00003E1F0000}"/>
    <cellStyle name="제목 4 13" xfId="2583" xr:uid="{00000000-0005-0000-0000-00003F1F0000}"/>
    <cellStyle name="제목 4 14" xfId="2584" xr:uid="{00000000-0005-0000-0000-0000401F0000}"/>
    <cellStyle name="제목 4 15" xfId="2585" xr:uid="{00000000-0005-0000-0000-0000411F0000}"/>
    <cellStyle name="제목 4 16" xfId="2586" xr:uid="{00000000-0005-0000-0000-0000421F0000}"/>
    <cellStyle name="제목 4 2" xfId="2587" xr:uid="{00000000-0005-0000-0000-0000431F0000}"/>
    <cellStyle name="제목 4 2 2" xfId="2588" xr:uid="{00000000-0005-0000-0000-0000441F0000}"/>
    <cellStyle name="제목 4 2 3" xfId="2589" xr:uid="{00000000-0005-0000-0000-0000451F0000}"/>
    <cellStyle name="제목 4 3" xfId="2590" xr:uid="{00000000-0005-0000-0000-0000461F0000}"/>
    <cellStyle name="제목 4 4" xfId="2591" xr:uid="{00000000-0005-0000-0000-0000471F0000}"/>
    <cellStyle name="제목 4 5" xfId="2592" xr:uid="{00000000-0005-0000-0000-0000481F0000}"/>
    <cellStyle name="제목 4 6" xfId="2593" xr:uid="{00000000-0005-0000-0000-0000491F0000}"/>
    <cellStyle name="제목 4 7" xfId="2594" xr:uid="{00000000-0005-0000-0000-00004A1F0000}"/>
    <cellStyle name="제목 4 8" xfId="2595" xr:uid="{00000000-0005-0000-0000-00004B1F0000}"/>
    <cellStyle name="제목 4 9" xfId="2596" xr:uid="{00000000-0005-0000-0000-00004C1F0000}"/>
    <cellStyle name="제목 5" xfId="2597" xr:uid="{00000000-0005-0000-0000-00004D1F0000}"/>
    <cellStyle name="제목 5 2" xfId="2598" xr:uid="{00000000-0005-0000-0000-00004E1F0000}"/>
    <cellStyle name="제목 5 3" xfId="2599" xr:uid="{00000000-0005-0000-0000-00004F1F0000}"/>
    <cellStyle name="제목 6" xfId="2600" xr:uid="{00000000-0005-0000-0000-0000501F0000}"/>
    <cellStyle name="제목 7" xfId="2601" xr:uid="{00000000-0005-0000-0000-0000511F0000}"/>
    <cellStyle name="제목 8" xfId="2602" xr:uid="{00000000-0005-0000-0000-0000521F0000}"/>
    <cellStyle name="제목 9" xfId="2603" xr:uid="{00000000-0005-0000-0000-0000531F0000}"/>
    <cellStyle name="좋음 10" xfId="2604" xr:uid="{00000000-0005-0000-0000-0000541F0000}"/>
    <cellStyle name="좋음 11" xfId="2605" xr:uid="{00000000-0005-0000-0000-0000551F0000}"/>
    <cellStyle name="좋음 12" xfId="2606" xr:uid="{00000000-0005-0000-0000-0000561F0000}"/>
    <cellStyle name="좋음 13" xfId="2607" xr:uid="{00000000-0005-0000-0000-0000571F0000}"/>
    <cellStyle name="좋음 14" xfId="2608" xr:uid="{00000000-0005-0000-0000-0000581F0000}"/>
    <cellStyle name="좋음 15" xfId="2609" xr:uid="{00000000-0005-0000-0000-0000591F0000}"/>
    <cellStyle name="좋음 16" xfId="2610" xr:uid="{00000000-0005-0000-0000-00005A1F0000}"/>
    <cellStyle name="좋음 2" xfId="2611" xr:uid="{00000000-0005-0000-0000-00005B1F0000}"/>
    <cellStyle name="좋음 2 2" xfId="2612" xr:uid="{00000000-0005-0000-0000-00005C1F0000}"/>
    <cellStyle name="좋음 2 3" xfId="2613" xr:uid="{00000000-0005-0000-0000-00005D1F0000}"/>
    <cellStyle name="좋음 3" xfId="2614" xr:uid="{00000000-0005-0000-0000-00005E1F0000}"/>
    <cellStyle name="좋음 4" xfId="2615" xr:uid="{00000000-0005-0000-0000-00005F1F0000}"/>
    <cellStyle name="좋음 5" xfId="2616" xr:uid="{00000000-0005-0000-0000-0000601F0000}"/>
    <cellStyle name="좋음 6" xfId="2617" xr:uid="{00000000-0005-0000-0000-0000611F0000}"/>
    <cellStyle name="좋음 7" xfId="2618" xr:uid="{00000000-0005-0000-0000-0000621F0000}"/>
    <cellStyle name="좋음 8" xfId="2619" xr:uid="{00000000-0005-0000-0000-0000631F0000}"/>
    <cellStyle name="좋음 9" xfId="2620" xr:uid="{00000000-0005-0000-0000-0000641F0000}"/>
    <cellStyle name="지정되지 않음" xfId="2621" xr:uid="{00000000-0005-0000-0000-0000651F0000}"/>
    <cellStyle name="千位分隔[0]_Sheet1" xfId="2979" xr:uid="{00000000-0005-0000-0000-000017210000}"/>
    <cellStyle name="출력 10" xfId="2622" xr:uid="{00000000-0005-0000-0000-0000661F0000}"/>
    <cellStyle name="출력 11" xfId="2623" xr:uid="{00000000-0005-0000-0000-0000671F0000}"/>
    <cellStyle name="출력 12" xfId="2624" xr:uid="{00000000-0005-0000-0000-0000681F0000}"/>
    <cellStyle name="출력 13" xfId="2625" xr:uid="{00000000-0005-0000-0000-0000691F0000}"/>
    <cellStyle name="출력 14" xfId="2626" xr:uid="{00000000-0005-0000-0000-00006A1F0000}"/>
    <cellStyle name="출력 15" xfId="2627" xr:uid="{00000000-0005-0000-0000-00006B1F0000}"/>
    <cellStyle name="출력 16" xfId="2628" xr:uid="{00000000-0005-0000-0000-00006C1F0000}"/>
    <cellStyle name="출력 2" xfId="2629" xr:uid="{00000000-0005-0000-0000-00006D1F0000}"/>
    <cellStyle name="출력 3" xfId="2630" xr:uid="{00000000-0005-0000-0000-00006E1F0000}"/>
    <cellStyle name="출력 4" xfId="2631" xr:uid="{00000000-0005-0000-0000-00006F1F0000}"/>
    <cellStyle name="출력 5" xfId="2632" xr:uid="{00000000-0005-0000-0000-0000701F0000}"/>
    <cellStyle name="출력 6" xfId="2633" xr:uid="{00000000-0005-0000-0000-0000711F0000}"/>
    <cellStyle name="출력 7" xfId="2634" xr:uid="{00000000-0005-0000-0000-0000721F0000}"/>
    <cellStyle name="출력 8" xfId="2635" xr:uid="{00000000-0005-0000-0000-0000731F0000}"/>
    <cellStyle name="출력 9" xfId="2636" xr:uid="{00000000-0005-0000-0000-0000741F0000}"/>
    <cellStyle name="콤마 [0]_          " xfId="2637" xr:uid="{00000000-0005-0000-0000-0000751F0000}"/>
    <cellStyle name="콤마_          " xfId="2638" xr:uid="{00000000-0005-0000-0000-0000761F0000}"/>
    <cellStyle name="脱浦 [0.00]_・講" xfId="2996" xr:uid="{00000000-0005-0000-0000-000028210000}"/>
    <cellStyle name="脱浦_・講" xfId="2997" xr:uid="{00000000-0005-0000-0000-000029210000}"/>
    <cellStyle name="通貨 [0.00]_~ME310B" xfId="2998" xr:uid="{00000000-0005-0000-0000-00002A210000}"/>
    <cellStyle name="통화 [0] 2" xfId="2639" xr:uid="{00000000-0005-0000-0000-0000771F0000}"/>
    <cellStyle name="통화 [0] 2 10" xfId="10295" xr:uid="{DE923710-AF4F-4D03-BE1F-BD41AF03AD04}"/>
    <cellStyle name="통화 [0] 2 2" xfId="2640" xr:uid="{00000000-0005-0000-0000-0000781F0000}"/>
    <cellStyle name="통화 [0] 2 2 2" xfId="2641" xr:uid="{00000000-0005-0000-0000-0000791F0000}"/>
    <cellStyle name="통화 [0] 2 2 2 2" xfId="2642" xr:uid="{00000000-0005-0000-0000-00007A1F0000}"/>
    <cellStyle name="통화 [0] 2 2 2 2 2" xfId="4807" xr:uid="{00000000-0005-0000-0000-00007B1F0000}"/>
    <cellStyle name="통화 [0] 2 2 2 2 2 2" xfId="8468" xr:uid="{00000000-0005-0000-0000-00007C1F0000}"/>
    <cellStyle name="통화 [0] 2 2 2 2 2 2 2" xfId="15785" xr:uid="{CC674E05-CA3E-497F-847A-356F5B1085A1}"/>
    <cellStyle name="통화 [0] 2 2 2 2 2 3" xfId="12127" xr:uid="{1913B1C7-F5BC-4EA0-B068-671DBC5CF227}"/>
    <cellStyle name="통화 [0] 2 2 2 2 3" xfId="6639" xr:uid="{00000000-0005-0000-0000-00007D1F0000}"/>
    <cellStyle name="통화 [0] 2 2 2 2 3 2" xfId="13956" xr:uid="{B2B084F9-AB43-4262-8AC4-964F9091CB0D}"/>
    <cellStyle name="통화 [0] 2 2 2 2 4" xfId="10298" xr:uid="{81E2F5C9-BE1A-44A9-8FD2-027F3E2E6356}"/>
    <cellStyle name="통화 [0] 2 2 2 3" xfId="4806" xr:uid="{00000000-0005-0000-0000-00007E1F0000}"/>
    <cellStyle name="통화 [0] 2 2 2 3 2" xfId="8467" xr:uid="{00000000-0005-0000-0000-00007F1F0000}"/>
    <cellStyle name="통화 [0] 2 2 2 3 2 2" xfId="15784" xr:uid="{7075DA85-CC15-42C8-A21C-B7DF7F1A2139}"/>
    <cellStyle name="통화 [0] 2 2 2 3 3" xfId="12126" xr:uid="{9A58C36A-0945-4C3C-9D34-D088BE111A17}"/>
    <cellStyle name="통화 [0] 2 2 2 4" xfId="6638" xr:uid="{00000000-0005-0000-0000-0000801F0000}"/>
    <cellStyle name="통화 [0] 2 2 2 4 2" xfId="13955" xr:uid="{98517DA4-5E44-4B2E-8CC9-E4900CD684EC}"/>
    <cellStyle name="통화 [0] 2 2 2 5" xfId="10297" xr:uid="{0715BB59-0D08-4838-9A04-0C7620C8E218}"/>
    <cellStyle name="통화 [0] 2 2 3" xfId="2643" xr:uid="{00000000-0005-0000-0000-0000811F0000}"/>
    <cellStyle name="통화 [0] 2 2 3 2" xfId="2644" xr:uid="{00000000-0005-0000-0000-0000821F0000}"/>
    <cellStyle name="통화 [0] 2 2 3 2 2" xfId="4809" xr:uid="{00000000-0005-0000-0000-0000831F0000}"/>
    <cellStyle name="통화 [0] 2 2 3 2 2 2" xfId="8470" xr:uid="{00000000-0005-0000-0000-0000841F0000}"/>
    <cellStyle name="통화 [0] 2 2 3 2 2 2 2" xfId="15787" xr:uid="{7F96E65E-9887-4ECB-A17A-012756BE2CE0}"/>
    <cellStyle name="통화 [0] 2 2 3 2 2 3" xfId="12129" xr:uid="{D00CCB10-23D2-4641-A060-B4E3119E995F}"/>
    <cellStyle name="통화 [0] 2 2 3 2 3" xfId="6641" xr:uid="{00000000-0005-0000-0000-0000851F0000}"/>
    <cellStyle name="통화 [0] 2 2 3 2 3 2" xfId="13958" xr:uid="{0970B06F-DD6A-43A5-BCCF-ACBA2EA843D4}"/>
    <cellStyle name="통화 [0] 2 2 3 2 4" xfId="10300" xr:uid="{A611ECBE-BC52-43CC-A3C6-D62B9E2A868B}"/>
    <cellStyle name="통화 [0] 2 2 3 3" xfId="4808" xr:uid="{00000000-0005-0000-0000-0000861F0000}"/>
    <cellStyle name="통화 [0] 2 2 3 3 2" xfId="8469" xr:uid="{00000000-0005-0000-0000-0000871F0000}"/>
    <cellStyle name="통화 [0] 2 2 3 3 2 2" xfId="15786" xr:uid="{24D0F993-AD52-4AF5-B347-CAA206F97AE4}"/>
    <cellStyle name="통화 [0] 2 2 3 3 3" xfId="12128" xr:uid="{1BD76E27-78CE-4615-AC18-4E6186655921}"/>
    <cellStyle name="통화 [0] 2 2 3 4" xfId="6640" xr:uid="{00000000-0005-0000-0000-0000881F0000}"/>
    <cellStyle name="통화 [0] 2 2 3 4 2" xfId="13957" xr:uid="{9B7FE5B2-DC74-4A9F-B5DF-6FFE7939431C}"/>
    <cellStyle name="통화 [0] 2 2 3 5" xfId="10299" xr:uid="{39612F1D-7EBB-4125-A76A-7506968CC2FE}"/>
    <cellStyle name="통화 [0] 2 2 4" xfId="2645" xr:uid="{00000000-0005-0000-0000-0000891F0000}"/>
    <cellStyle name="통화 [0] 2 2 4 2" xfId="4810" xr:uid="{00000000-0005-0000-0000-00008A1F0000}"/>
    <cellStyle name="통화 [0] 2 2 4 2 2" xfId="8471" xr:uid="{00000000-0005-0000-0000-00008B1F0000}"/>
    <cellStyle name="통화 [0] 2 2 4 2 2 2" xfId="15788" xr:uid="{C8FF15B1-D1E1-4E71-955C-DD9B97101EF5}"/>
    <cellStyle name="통화 [0] 2 2 4 2 3" xfId="12130" xr:uid="{4EDE1F2C-F6A8-447E-B838-80D3A82CBE07}"/>
    <cellStyle name="통화 [0] 2 2 4 3" xfId="6642" xr:uid="{00000000-0005-0000-0000-00008C1F0000}"/>
    <cellStyle name="통화 [0] 2 2 4 3 2" xfId="13959" xr:uid="{89A8DBD5-6DCA-480A-BC99-222183713DBC}"/>
    <cellStyle name="통화 [0] 2 2 4 4" xfId="10301" xr:uid="{C940A005-A856-4E06-8DCD-BFA7602EB755}"/>
    <cellStyle name="통화 [0] 2 2 5" xfId="4805" xr:uid="{00000000-0005-0000-0000-00008D1F0000}"/>
    <cellStyle name="통화 [0] 2 2 5 2" xfId="8466" xr:uid="{00000000-0005-0000-0000-00008E1F0000}"/>
    <cellStyle name="통화 [0] 2 2 5 2 2" xfId="15783" xr:uid="{EF653DFB-093E-45C4-92E0-3D5202717190}"/>
    <cellStyle name="통화 [0] 2 2 5 3" xfId="12125" xr:uid="{612BBD53-32E9-4401-9164-26908022305E}"/>
    <cellStyle name="통화 [0] 2 2 6" xfId="6637" xr:uid="{00000000-0005-0000-0000-00008F1F0000}"/>
    <cellStyle name="통화 [0] 2 2 6 2" xfId="13954" xr:uid="{C2577BE0-E1C7-4D9E-ABC5-8F1AA0C99EE3}"/>
    <cellStyle name="통화 [0] 2 2 7" xfId="10296" xr:uid="{42E9794A-1414-4B0B-831B-81AF6DDC2C53}"/>
    <cellStyle name="통화 [0] 2 3" xfId="2646" xr:uid="{00000000-0005-0000-0000-0000901F0000}"/>
    <cellStyle name="통화 [0] 2 3 2" xfId="2647" xr:uid="{00000000-0005-0000-0000-0000911F0000}"/>
    <cellStyle name="통화 [0] 2 3 2 2" xfId="4812" xr:uid="{00000000-0005-0000-0000-0000921F0000}"/>
    <cellStyle name="통화 [0] 2 3 2 2 2" xfId="8473" xr:uid="{00000000-0005-0000-0000-0000931F0000}"/>
    <cellStyle name="통화 [0] 2 3 2 2 2 2" xfId="15790" xr:uid="{F7BB4127-334C-465A-9149-B3A316794F56}"/>
    <cellStyle name="통화 [0] 2 3 2 2 3" xfId="12132" xr:uid="{DD78F012-0A08-47E6-97A0-7BD2AC69A1B1}"/>
    <cellStyle name="통화 [0] 2 3 2 3" xfId="6644" xr:uid="{00000000-0005-0000-0000-0000941F0000}"/>
    <cellStyle name="통화 [0] 2 3 2 3 2" xfId="13961" xr:uid="{AB96B4D7-6D23-41A4-A5CC-B2A96A7BDDEB}"/>
    <cellStyle name="통화 [0] 2 3 2 4" xfId="10303" xr:uid="{2A63A588-8331-467A-B23B-0DA10DAF38C4}"/>
    <cellStyle name="통화 [0] 2 3 3" xfId="4811" xr:uid="{00000000-0005-0000-0000-0000951F0000}"/>
    <cellStyle name="통화 [0] 2 3 3 2" xfId="8472" xr:uid="{00000000-0005-0000-0000-0000961F0000}"/>
    <cellStyle name="통화 [0] 2 3 3 2 2" xfId="15789" xr:uid="{16E839F4-2401-4C9B-B0E6-BF8B2311D569}"/>
    <cellStyle name="통화 [0] 2 3 3 3" xfId="12131" xr:uid="{E6815829-8A7E-42C7-A0C1-6CA1D4CFE37E}"/>
    <cellStyle name="통화 [0] 2 3 4" xfId="6643" xr:uid="{00000000-0005-0000-0000-0000971F0000}"/>
    <cellStyle name="통화 [0] 2 3 4 2" xfId="13960" xr:uid="{F6CD2E4B-0831-4C61-B13D-AA671A55AB2C}"/>
    <cellStyle name="통화 [0] 2 3 5" xfId="10302" xr:uid="{DD918E96-2963-462A-8FF4-44CCD08740DB}"/>
    <cellStyle name="통화 [0] 2 4" xfId="2648" xr:uid="{00000000-0005-0000-0000-0000981F0000}"/>
    <cellStyle name="통화 [0] 2 4 2" xfId="4813" xr:uid="{00000000-0005-0000-0000-0000991F0000}"/>
    <cellStyle name="통화 [0] 2 4 2 2" xfId="8474" xr:uid="{00000000-0005-0000-0000-00009A1F0000}"/>
    <cellStyle name="통화 [0] 2 4 2 2 2" xfId="15791" xr:uid="{6495ABAE-3C6D-4566-9FD4-9FC4C46962B9}"/>
    <cellStyle name="통화 [0] 2 4 2 3" xfId="12133" xr:uid="{1A1E4B2A-F698-40EA-B22F-F2CCAE2E07D1}"/>
    <cellStyle name="통화 [0] 2 4 3" xfId="6645" xr:uid="{00000000-0005-0000-0000-00009B1F0000}"/>
    <cellStyle name="통화 [0] 2 4 3 2" xfId="13962" xr:uid="{5FDAD2FE-8B35-4F29-918C-FDFFED01AE83}"/>
    <cellStyle name="통화 [0] 2 4 4" xfId="10304" xr:uid="{246205AA-6DFB-458D-82B1-5B2B451DECC5}"/>
    <cellStyle name="통화 [0] 2 5" xfId="2649" xr:uid="{00000000-0005-0000-0000-00009C1F0000}"/>
    <cellStyle name="통화 [0] 2 5 2" xfId="4814" xr:uid="{00000000-0005-0000-0000-00009D1F0000}"/>
    <cellStyle name="통화 [0] 2 5 2 2" xfId="8475" xr:uid="{00000000-0005-0000-0000-00009E1F0000}"/>
    <cellStyle name="통화 [0] 2 5 2 2 2" xfId="15792" xr:uid="{A0CC059F-D67D-45E2-9AE4-2A07E9EEDD4B}"/>
    <cellStyle name="통화 [0] 2 5 2 3" xfId="12134" xr:uid="{8744720D-9E3F-45D5-A1BB-D6423D10EB77}"/>
    <cellStyle name="통화 [0] 2 5 3" xfId="6646" xr:uid="{00000000-0005-0000-0000-00009F1F0000}"/>
    <cellStyle name="통화 [0] 2 5 3 2" xfId="13963" xr:uid="{FB93CDEA-1E24-4BF7-9C33-DDB8E14E1462}"/>
    <cellStyle name="통화 [0] 2 5 4" xfId="10305" xr:uid="{DF42AB93-8950-4B9F-AB71-D679516B8A67}"/>
    <cellStyle name="통화 [0] 2 6" xfId="2650" xr:uid="{00000000-0005-0000-0000-0000A01F0000}"/>
    <cellStyle name="통화 [0] 2 6 2" xfId="4815" xr:uid="{00000000-0005-0000-0000-0000A11F0000}"/>
    <cellStyle name="통화 [0] 2 6 2 2" xfId="8476" xr:uid="{00000000-0005-0000-0000-0000A21F0000}"/>
    <cellStyle name="통화 [0] 2 6 2 2 2" xfId="15793" xr:uid="{BAE10379-4AB0-40D9-AEF1-16C598450108}"/>
    <cellStyle name="통화 [0] 2 6 2 3" xfId="12135" xr:uid="{AE6DF426-B81C-4666-9207-208B0D8DCBF5}"/>
    <cellStyle name="통화 [0] 2 6 3" xfId="6647" xr:uid="{00000000-0005-0000-0000-0000A31F0000}"/>
    <cellStyle name="통화 [0] 2 6 3 2" xfId="13964" xr:uid="{0DA19728-2570-4AD3-9A43-94365EA3E1C8}"/>
    <cellStyle name="통화 [0] 2 6 4" xfId="10306" xr:uid="{E9AD326F-0919-4FDC-A4DB-A21909C6B66F}"/>
    <cellStyle name="통화 [0] 2 7" xfId="2651" xr:uid="{00000000-0005-0000-0000-0000A41F0000}"/>
    <cellStyle name="통화 [0] 2 7 2" xfId="4816" xr:uid="{00000000-0005-0000-0000-0000A51F0000}"/>
    <cellStyle name="통화 [0] 2 7 2 2" xfId="8477" xr:uid="{00000000-0005-0000-0000-0000A61F0000}"/>
    <cellStyle name="통화 [0] 2 7 2 2 2" xfId="15794" xr:uid="{262746DA-3195-4345-8FC1-B8CAC897E65E}"/>
    <cellStyle name="통화 [0] 2 7 2 3" xfId="12136" xr:uid="{79BBA40E-8A68-4CED-B25B-A3202C10C841}"/>
    <cellStyle name="통화 [0] 2 7 3" xfId="6648" xr:uid="{00000000-0005-0000-0000-0000A71F0000}"/>
    <cellStyle name="통화 [0] 2 7 3 2" xfId="13965" xr:uid="{ECF4FE0B-CE7D-4311-A145-270E7FC06041}"/>
    <cellStyle name="통화 [0] 2 7 4" xfId="10307" xr:uid="{E63B60F6-760F-4C71-A8BB-56E236E78665}"/>
    <cellStyle name="통화 [0] 2 8" xfId="4804" xr:uid="{00000000-0005-0000-0000-0000A81F0000}"/>
    <cellStyle name="통화 [0] 2 8 2" xfId="8465" xr:uid="{00000000-0005-0000-0000-0000A91F0000}"/>
    <cellStyle name="통화 [0] 2 8 2 2" xfId="15782" xr:uid="{86C71B87-E459-4BDA-A684-FF2943E556E1}"/>
    <cellStyle name="통화 [0] 2 8 3" xfId="12124" xr:uid="{8BA58CED-856D-4B3D-8A53-65A32811962B}"/>
    <cellStyle name="통화 [0] 2 9" xfId="6636" xr:uid="{00000000-0005-0000-0000-0000AA1F0000}"/>
    <cellStyle name="통화 [0] 2 9 2" xfId="13953" xr:uid="{179380E1-1C5F-45DB-A7D4-DB0873EE45A5}"/>
    <cellStyle name="통화 [0] 3" xfId="2652" xr:uid="{00000000-0005-0000-0000-0000AB1F0000}"/>
    <cellStyle name="통화 [0] 3 2" xfId="2653" xr:uid="{00000000-0005-0000-0000-0000AC1F0000}"/>
    <cellStyle name="통화 [0] 3 2 2" xfId="4818" xr:uid="{00000000-0005-0000-0000-0000AD1F0000}"/>
    <cellStyle name="통화 [0] 3 2 2 2" xfId="8479" xr:uid="{00000000-0005-0000-0000-0000AE1F0000}"/>
    <cellStyle name="통화 [0] 3 2 2 2 2" xfId="15796" xr:uid="{1C05D381-3EDC-49FD-8329-CD317BA52FA3}"/>
    <cellStyle name="통화 [0] 3 2 2 3" xfId="12138" xr:uid="{8B56289A-5738-4D2B-8A43-E39D8AAF2272}"/>
    <cellStyle name="통화 [0] 3 2 3" xfId="6650" xr:uid="{00000000-0005-0000-0000-0000AF1F0000}"/>
    <cellStyle name="통화 [0] 3 2 3 2" xfId="13967" xr:uid="{5116C645-764A-4436-BEB6-A6FB86442B1B}"/>
    <cellStyle name="통화 [0] 3 2 4" xfId="10309" xr:uid="{1D719C2B-35EC-4824-9137-B26534C3D1F5}"/>
    <cellStyle name="통화 [0] 3 3" xfId="2654" xr:uid="{00000000-0005-0000-0000-0000B01F0000}"/>
    <cellStyle name="통화 [0] 3 3 2" xfId="2655" xr:uid="{00000000-0005-0000-0000-0000B11F0000}"/>
    <cellStyle name="통화 [0] 3 3 2 2" xfId="4820" xr:uid="{00000000-0005-0000-0000-0000B21F0000}"/>
    <cellStyle name="통화 [0] 3 3 2 2 2" xfId="8481" xr:uid="{00000000-0005-0000-0000-0000B31F0000}"/>
    <cellStyle name="통화 [0] 3 3 2 2 2 2" xfId="15798" xr:uid="{72E8CED4-7E14-4488-9946-63AA3642263D}"/>
    <cellStyle name="통화 [0] 3 3 2 2 3" xfId="12140" xr:uid="{417B54B9-63E8-44B9-B4BE-758DCE45368D}"/>
    <cellStyle name="통화 [0] 3 3 2 3" xfId="6652" xr:uid="{00000000-0005-0000-0000-0000B41F0000}"/>
    <cellStyle name="통화 [0] 3 3 2 3 2" xfId="13969" xr:uid="{956B440B-EF64-49EB-AB59-2B3630EB195D}"/>
    <cellStyle name="통화 [0] 3 3 2 4" xfId="10311" xr:uid="{E1F774EA-7E69-4DBF-BA4A-4B65570A23B7}"/>
    <cellStyle name="통화 [0] 3 3 3" xfId="4819" xr:uid="{00000000-0005-0000-0000-0000B51F0000}"/>
    <cellStyle name="통화 [0] 3 3 3 2" xfId="8480" xr:uid="{00000000-0005-0000-0000-0000B61F0000}"/>
    <cellStyle name="통화 [0] 3 3 3 2 2" xfId="15797" xr:uid="{766D5631-652E-4278-BEC8-0EB797A60C71}"/>
    <cellStyle name="통화 [0] 3 3 3 3" xfId="12139" xr:uid="{1CA558A9-6899-45AA-A448-4A7F3826AC39}"/>
    <cellStyle name="통화 [0] 3 3 4" xfId="6651" xr:uid="{00000000-0005-0000-0000-0000B71F0000}"/>
    <cellStyle name="통화 [0] 3 3 4 2" xfId="13968" xr:uid="{8732D860-0254-4A17-BAC2-094A4AC2C84E}"/>
    <cellStyle name="통화 [0] 3 3 5" xfId="10310" xr:uid="{1092C911-916D-4B03-AA1A-7818BBDF9B19}"/>
    <cellStyle name="통화 [0] 3 4" xfId="4817" xr:uid="{00000000-0005-0000-0000-0000B81F0000}"/>
    <cellStyle name="통화 [0] 3 4 2" xfId="8478" xr:uid="{00000000-0005-0000-0000-0000B91F0000}"/>
    <cellStyle name="통화 [0] 3 4 2 2" xfId="15795" xr:uid="{EA24C0E1-E01E-4FA3-9361-EC8699DF4DA9}"/>
    <cellStyle name="통화 [0] 3 4 3" xfId="12137" xr:uid="{A81FCA5F-9347-4D64-9625-25EB831DEA14}"/>
    <cellStyle name="통화 [0] 3 5" xfId="6649" xr:uid="{00000000-0005-0000-0000-0000BA1F0000}"/>
    <cellStyle name="통화 [0] 3 5 2" xfId="13966" xr:uid="{B23C8C67-DEAA-4940-8028-17025481F380}"/>
    <cellStyle name="통화 [0] 3 6" xfId="10308" xr:uid="{3AFEC4A8-E977-437A-BA3E-032410BED986}"/>
    <cellStyle name="통화 [0] 4" xfId="2656" xr:uid="{00000000-0005-0000-0000-0000BB1F0000}"/>
    <cellStyle name="통화 [0] 4 2" xfId="2657" xr:uid="{00000000-0005-0000-0000-0000BC1F0000}"/>
    <cellStyle name="통화 [0] 4 2 2" xfId="2658" xr:uid="{00000000-0005-0000-0000-0000BD1F0000}"/>
    <cellStyle name="통화 [0] 4 2 2 2" xfId="4823" xr:uid="{00000000-0005-0000-0000-0000BE1F0000}"/>
    <cellStyle name="통화 [0] 4 2 2 2 2" xfId="8484" xr:uid="{00000000-0005-0000-0000-0000BF1F0000}"/>
    <cellStyle name="통화 [0] 4 2 2 2 2 2" xfId="15801" xr:uid="{79496B18-E9CA-4723-BF7B-BE1B6570B141}"/>
    <cellStyle name="통화 [0] 4 2 2 2 3" xfId="12143" xr:uid="{DFE6920C-29F0-46AC-8F6F-D0962B9DFF79}"/>
    <cellStyle name="통화 [0] 4 2 2 3" xfId="6655" xr:uid="{00000000-0005-0000-0000-0000C01F0000}"/>
    <cellStyle name="통화 [0] 4 2 2 3 2" xfId="13972" xr:uid="{B722C8A3-0065-4962-A8CC-4345909B1110}"/>
    <cellStyle name="통화 [0] 4 2 2 4" xfId="10314" xr:uid="{408EBBF9-F0B9-464E-9DBB-A80AE55A8F83}"/>
    <cellStyle name="통화 [0] 4 2 3" xfId="4822" xr:uid="{00000000-0005-0000-0000-0000C11F0000}"/>
    <cellStyle name="통화 [0] 4 2 3 2" xfId="8483" xr:uid="{00000000-0005-0000-0000-0000C21F0000}"/>
    <cellStyle name="통화 [0] 4 2 3 2 2" xfId="15800" xr:uid="{CAFF0B74-E91A-4A32-B3B0-9FA0B21346EE}"/>
    <cellStyle name="통화 [0] 4 2 3 3" xfId="12142" xr:uid="{17D8D856-98D8-416F-973A-9267BF210C68}"/>
    <cellStyle name="통화 [0] 4 2 4" xfId="6654" xr:uid="{00000000-0005-0000-0000-0000C31F0000}"/>
    <cellStyle name="통화 [0] 4 2 4 2" xfId="13971" xr:uid="{2F982296-D8A5-4674-84F1-58DB5358E7B3}"/>
    <cellStyle name="통화 [0] 4 2 5" xfId="10313" xr:uid="{4A32E031-71AA-4D36-AE6F-84D46CB6E4C6}"/>
    <cellStyle name="통화 [0] 4 3" xfId="2659" xr:uid="{00000000-0005-0000-0000-0000C41F0000}"/>
    <cellStyle name="통화 [0] 4 3 2" xfId="4824" xr:uid="{00000000-0005-0000-0000-0000C51F0000}"/>
    <cellStyle name="통화 [0] 4 3 2 2" xfId="8485" xr:uid="{00000000-0005-0000-0000-0000C61F0000}"/>
    <cellStyle name="통화 [0] 4 3 2 2 2" xfId="15802" xr:uid="{A7C61BD1-DC81-49E5-AB20-18F57EF7EE3A}"/>
    <cellStyle name="통화 [0] 4 3 2 3" xfId="12144" xr:uid="{BAC40947-B53C-45A7-A0B6-57DACAC60F22}"/>
    <cellStyle name="통화 [0] 4 3 3" xfId="6656" xr:uid="{00000000-0005-0000-0000-0000C71F0000}"/>
    <cellStyle name="통화 [0] 4 3 3 2" xfId="13973" xr:uid="{C039EB6E-C5CF-45BA-90A6-6DBC92DDBCA6}"/>
    <cellStyle name="통화 [0] 4 3 4" xfId="10315" xr:uid="{7A8624A9-253C-46FE-BEA7-4B202912C02B}"/>
    <cellStyle name="통화 [0] 4 4" xfId="4821" xr:uid="{00000000-0005-0000-0000-0000C81F0000}"/>
    <cellStyle name="통화 [0] 4 4 2" xfId="8482" xr:uid="{00000000-0005-0000-0000-0000C91F0000}"/>
    <cellStyle name="통화 [0] 4 4 2 2" xfId="15799" xr:uid="{2AF53E08-2770-4D8A-B759-87C18767F045}"/>
    <cellStyle name="통화 [0] 4 4 3" xfId="12141" xr:uid="{27579280-A7E4-4898-9F13-4EEB9E64B980}"/>
    <cellStyle name="통화 [0] 4 5" xfId="6653" xr:uid="{00000000-0005-0000-0000-0000CA1F0000}"/>
    <cellStyle name="통화 [0] 4 5 2" xfId="13970" xr:uid="{13A9B88C-C4CB-4AC3-BFA3-136EDAF86960}"/>
    <cellStyle name="통화 [0] 4 6" xfId="10312" xr:uid="{BAF4D75B-C98A-4AC0-B240-C41F5D72D799}"/>
    <cellStyle name="통화 [0] 5" xfId="2660" xr:uid="{00000000-0005-0000-0000-0000CB1F0000}"/>
    <cellStyle name="통화 [0] 5 2" xfId="4825" xr:uid="{00000000-0005-0000-0000-0000CC1F0000}"/>
    <cellStyle name="통화 [0] 5 2 2" xfId="8486" xr:uid="{00000000-0005-0000-0000-0000CD1F0000}"/>
    <cellStyle name="통화 [0] 5 2 2 2" xfId="15803" xr:uid="{5ABAA094-25BB-48B6-B9A0-AA2F4AE10D52}"/>
    <cellStyle name="통화 [0] 5 2 3" xfId="12145" xr:uid="{D39597B9-F156-45F4-A7CB-377223F3787B}"/>
    <cellStyle name="통화 [0] 5 3" xfId="6657" xr:uid="{00000000-0005-0000-0000-0000CE1F0000}"/>
    <cellStyle name="통화 [0] 5 3 2" xfId="13974" xr:uid="{2C6FCF2E-5FD1-49D9-BC76-4480BD175FC0}"/>
    <cellStyle name="통화 [0] 5 4" xfId="10316" xr:uid="{3B5372E0-A7A0-4478-924D-A738E0BADF56}"/>
    <cellStyle name="통화 [0] 6" xfId="2661" xr:uid="{00000000-0005-0000-0000-0000CF1F0000}"/>
    <cellStyle name="통화 [0] 6 2" xfId="4826" xr:uid="{00000000-0005-0000-0000-0000D01F0000}"/>
    <cellStyle name="통화 [0] 6 2 2" xfId="8487" xr:uid="{00000000-0005-0000-0000-0000D11F0000}"/>
    <cellStyle name="통화 [0] 6 2 2 2" xfId="15804" xr:uid="{E463D3C8-2100-4FD1-A64A-6A7DAD38D750}"/>
    <cellStyle name="통화 [0] 6 2 3" xfId="12146" xr:uid="{43CF71AA-24A0-4F0E-8777-07B18E504AF3}"/>
    <cellStyle name="통화 [0] 6 3" xfId="6658" xr:uid="{00000000-0005-0000-0000-0000D21F0000}"/>
    <cellStyle name="통화 [0] 6 3 2" xfId="13975" xr:uid="{61BE6809-AACC-4691-9D10-4ED5AA8F5762}"/>
    <cellStyle name="통화 [0] 6 4" xfId="10317" xr:uid="{5D31C9B3-8C8C-4FCA-B4C4-7B605BEEA652}"/>
    <cellStyle name="통화 [0] 7" xfId="2662" xr:uid="{00000000-0005-0000-0000-0000D31F0000}"/>
    <cellStyle name="통화 [0] 7 2" xfId="2663" xr:uid="{00000000-0005-0000-0000-0000D41F0000}"/>
    <cellStyle name="통화 [0] 7 2 2" xfId="4828" xr:uid="{00000000-0005-0000-0000-0000D51F0000}"/>
    <cellStyle name="통화 [0] 7 2 2 2" xfId="8489" xr:uid="{00000000-0005-0000-0000-0000D61F0000}"/>
    <cellStyle name="통화 [0] 7 2 2 2 2" xfId="15806" xr:uid="{D02906A0-FB21-4CE0-8070-375303FF5FBD}"/>
    <cellStyle name="통화 [0] 7 2 2 3" xfId="12148" xr:uid="{D3BEBC68-F3AF-495D-91E5-91FD26E65432}"/>
    <cellStyle name="통화 [0] 7 2 3" xfId="6660" xr:uid="{00000000-0005-0000-0000-0000D71F0000}"/>
    <cellStyle name="통화 [0] 7 2 3 2" xfId="13977" xr:uid="{086D25A5-9589-42B8-9940-429377DB99DF}"/>
    <cellStyle name="통화 [0] 7 2 4" xfId="10319" xr:uid="{DB3A56D2-096E-45AB-BBBF-835D2300E92A}"/>
    <cellStyle name="통화 [0] 7 3" xfId="4827" xr:uid="{00000000-0005-0000-0000-0000D81F0000}"/>
    <cellStyle name="통화 [0] 7 3 2" xfId="8488" xr:uid="{00000000-0005-0000-0000-0000D91F0000}"/>
    <cellStyle name="통화 [0] 7 3 2 2" xfId="15805" xr:uid="{53407B75-FC94-4F4F-AE5C-207A119278B1}"/>
    <cellStyle name="통화 [0] 7 3 3" xfId="12147" xr:uid="{731F85F6-0771-4453-9C05-5329C8D56E9E}"/>
    <cellStyle name="통화 [0] 7 4" xfId="6659" xr:uid="{00000000-0005-0000-0000-0000DA1F0000}"/>
    <cellStyle name="통화 [0] 7 4 2" xfId="13976" xr:uid="{ECDA7616-8379-450C-893B-B0B3E42BDE43}"/>
    <cellStyle name="통화 [0] 7 5" xfId="10318" xr:uid="{878CBB43-F0BF-4B51-8B42-FD7B42D6835A}"/>
    <cellStyle name="통화 2" xfId="4829" xr:uid="{00000000-0005-0000-0000-0000DB1F0000}"/>
    <cellStyle name="通貨_~ME310B" xfId="2999" xr:uid="{00000000-0005-0000-0000-00002B210000}"/>
    <cellStyle name="퍼센트_V-200제작추진 " xfId="2664" xr:uid="{00000000-0005-0000-0000-0000DC1F0000}"/>
    <cellStyle name="표준" xfId="0" builtinId="0"/>
    <cellStyle name="표준 10" xfId="2665" xr:uid="{00000000-0005-0000-0000-0000DD1F0000}"/>
    <cellStyle name="표준 10 2" xfId="2666" xr:uid="{00000000-0005-0000-0000-0000DE1F0000}"/>
    <cellStyle name="표준 10 3" xfId="2667" xr:uid="{00000000-0005-0000-0000-0000DF1F0000}"/>
    <cellStyle name="표준 11" xfId="2668" xr:uid="{00000000-0005-0000-0000-0000E01F0000}"/>
    <cellStyle name="표준 11 2" xfId="2669" xr:uid="{00000000-0005-0000-0000-0000E11F0000}"/>
    <cellStyle name="표준 11 3" xfId="2670" xr:uid="{00000000-0005-0000-0000-0000E21F0000}"/>
    <cellStyle name="표준 12" xfId="2671" xr:uid="{00000000-0005-0000-0000-0000E31F0000}"/>
    <cellStyle name="표준 12 2" xfId="2672" xr:uid="{00000000-0005-0000-0000-0000E41F0000}"/>
    <cellStyle name="표준 12 2 2" xfId="2673" xr:uid="{00000000-0005-0000-0000-0000E51F0000}"/>
    <cellStyle name="표준 12 3" xfId="2674" xr:uid="{00000000-0005-0000-0000-0000E61F0000}"/>
    <cellStyle name="표준 12 4" xfId="2675" xr:uid="{00000000-0005-0000-0000-0000E71F0000}"/>
    <cellStyle name="표준 13" xfId="2676" xr:uid="{00000000-0005-0000-0000-0000E81F0000}"/>
    <cellStyle name="표준 13 2" xfId="2677" xr:uid="{00000000-0005-0000-0000-0000E91F0000}"/>
    <cellStyle name="표준 13 2 2" xfId="2678" xr:uid="{00000000-0005-0000-0000-0000EA1F0000}"/>
    <cellStyle name="표준 13 3" xfId="2679" xr:uid="{00000000-0005-0000-0000-0000EB1F0000}"/>
    <cellStyle name="표준 13 4" xfId="2680" xr:uid="{00000000-0005-0000-0000-0000EC1F0000}"/>
    <cellStyle name="표준 14" xfId="2681" xr:uid="{00000000-0005-0000-0000-0000ED1F0000}"/>
    <cellStyle name="표준 14 2" xfId="2682" xr:uid="{00000000-0005-0000-0000-0000EE1F0000}"/>
    <cellStyle name="표준 14 3" xfId="2683" xr:uid="{00000000-0005-0000-0000-0000EF1F0000}"/>
    <cellStyle name="표준 14 3 2" xfId="2684" xr:uid="{00000000-0005-0000-0000-0000F01F0000}"/>
    <cellStyle name="표준 15" xfId="2685" xr:uid="{00000000-0005-0000-0000-0000F11F0000}"/>
    <cellStyle name="표준 16" xfId="2686" xr:uid="{00000000-0005-0000-0000-0000F21F0000}"/>
    <cellStyle name="표준 17" xfId="2687" xr:uid="{00000000-0005-0000-0000-0000F31F0000}"/>
    <cellStyle name="표준 18" xfId="2688" xr:uid="{00000000-0005-0000-0000-0000F41F0000}"/>
    <cellStyle name="표준 19" xfId="2689" xr:uid="{00000000-0005-0000-0000-0000F51F0000}"/>
    <cellStyle name="표준 19 2" xfId="2690" xr:uid="{00000000-0005-0000-0000-0000F61F0000}"/>
    <cellStyle name="표준 19 3" xfId="2691" xr:uid="{00000000-0005-0000-0000-0000F71F0000}"/>
    <cellStyle name="표준 2" xfId="2692" xr:uid="{00000000-0005-0000-0000-0000F81F0000}"/>
    <cellStyle name="표준 2 10" xfId="2693" xr:uid="{00000000-0005-0000-0000-0000F91F0000}"/>
    <cellStyle name="표준 2 10 2" xfId="2694" xr:uid="{00000000-0005-0000-0000-0000FA1F0000}"/>
    <cellStyle name="표준 2 10 3" xfId="2695" xr:uid="{00000000-0005-0000-0000-0000FB1F0000}"/>
    <cellStyle name="표준 2 11" xfId="2696" xr:uid="{00000000-0005-0000-0000-0000FC1F0000}"/>
    <cellStyle name="표준 2 11 2" xfId="2697" xr:uid="{00000000-0005-0000-0000-0000FD1F0000}"/>
    <cellStyle name="표준 2 11 3" xfId="2698" xr:uid="{00000000-0005-0000-0000-0000FE1F0000}"/>
    <cellStyle name="표준 2 12" xfId="2699" xr:uid="{00000000-0005-0000-0000-0000FF1F0000}"/>
    <cellStyle name="표준 2 12 2" xfId="2700" xr:uid="{00000000-0005-0000-0000-000000200000}"/>
    <cellStyle name="표준 2 12 2 2" xfId="2701" xr:uid="{00000000-0005-0000-0000-000001200000}"/>
    <cellStyle name="표준 2 12 3" xfId="2702" xr:uid="{00000000-0005-0000-0000-000002200000}"/>
    <cellStyle name="표준 2 12 3 2" xfId="2703" xr:uid="{00000000-0005-0000-0000-000003200000}"/>
    <cellStyle name="표준 2 12 4" xfId="2704" xr:uid="{00000000-0005-0000-0000-000004200000}"/>
    <cellStyle name="표준 2 12 4 2" xfId="2705" xr:uid="{00000000-0005-0000-0000-000005200000}"/>
    <cellStyle name="표준 2 12 5" xfId="2706" xr:uid="{00000000-0005-0000-0000-000006200000}"/>
    <cellStyle name="표준 2 12 6" xfId="2707" xr:uid="{00000000-0005-0000-0000-000007200000}"/>
    <cellStyle name="표준 2 13" xfId="2708" xr:uid="{00000000-0005-0000-0000-000008200000}"/>
    <cellStyle name="표준 2 13 2" xfId="2709" xr:uid="{00000000-0005-0000-0000-000009200000}"/>
    <cellStyle name="표준 2 13 2 2" xfId="2710" xr:uid="{00000000-0005-0000-0000-00000A200000}"/>
    <cellStyle name="표준 2 13 3" xfId="2711" xr:uid="{00000000-0005-0000-0000-00000B200000}"/>
    <cellStyle name="표준 2 13 3 2" xfId="2712" xr:uid="{00000000-0005-0000-0000-00000C200000}"/>
    <cellStyle name="표준 2 13 4" xfId="2713" xr:uid="{00000000-0005-0000-0000-00000D200000}"/>
    <cellStyle name="표준 2 13 4 2" xfId="2714" xr:uid="{00000000-0005-0000-0000-00000E200000}"/>
    <cellStyle name="표준 2 13 5" xfId="2715" xr:uid="{00000000-0005-0000-0000-00000F200000}"/>
    <cellStyle name="표준 2 13 6" xfId="2716" xr:uid="{00000000-0005-0000-0000-000010200000}"/>
    <cellStyle name="표준 2 14" xfId="2717" xr:uid="{00000000-0005-0000-0000-000011200000}"/>
    <cellStyle name="표준 2 14 2" xfId="2718" xr:uid="{00000000-0005-0000-0000-000012200000}"/>
    <cellStyle name="표준 2 14 2 2" xfId="2719" xr:uid="{00000000-0005-0000-0000-000013200000}"/>
    <cellStyle name="표준 2 14 3" xfId="2720" xr:uid="{00000000-0005-0000-0000-000014200000}"/>
    <cellStyle name="표준 2 14 3 2" xfId="2721" xr:uid="{00000000-0005-0000-0000-000015200000}"/>
    <cellStyle name="표준 2 14 4" xfId="2722" xr:uid="{00000000-0005-0000-0000-000016200000}"/>
    <cellStyle name="표준 2 14 4 2" xfId="2723" xr:uid="{00000000-0005-0000-0000-000017200000}"/>
    <cellStyle name="표준 2 14 5" xfId="2724" xr:uid="{00000000-0005-0000-0000-000018200000}"/>
    <cellStyle name="표준 2 14 6" xfId="2725" xr:uid="{00000000-0005-0000-0000-000019200000}"/>
    <cellStyle name="표준 2 15" xfId="2726" xr:uid="{00000000-0005-0000-0000-00001A200000}"/>
    <cellStyle name="표준 2 15 2" xfId="2727" xr:uid="{00000000-0005-0000-0000-00001B200000}"/>
    <cellStyle name="표준 2 15 2 2" xfId="2728" xr:uid="{00000000-0005-0000-0000-00001C200000}"/>
    <cellStyle name="표준 2 15 3" xfId="2729" xr:uid="{00000000-0005-0000-0000-00001D200000}"/>
    <cellStyle name="표준 2 15 3 2" xfId="2730" xr:uid="{00000000-0005-0000-0000-00001E200000}"/>
    <cellStyle name="표준 2 15 4" xfId="2731" xr:uid="{00000000-0005-0000-0000-00001F200000}"/>
    <cellStyle name="표준 2 15 4 2" xfId="2732" xr:uid="{00000000-0005-0000-0000-000020200000}"/>
    <cellStyle name="표준 2 15 5" xfId="2733" xr:uid="{00000000-0005-0000-0000-000021200000}"/>
    <cellStyle name="표준 2 15 6" xfId="2734" xr:uid="{00000000-0005-0000-0000-000022200000}"/>
    <cellStyle name="표준 2 16" xfId="2735" xr:uid="{00000000-0005-0000-0000-000023200000}"/>
    <cellStyle name="표준 2 16 2" xfId="2736" xr:uid="{00000000-0005-0000-0000-000024200000}"/>
    <cellStyle name="표준 2 16 2 2" xfId="2737" xr:uid="{00000000-0005-0000-0000-000025200000}"/>
    <cellStyle name="표준 2 16 3" xfId="2738" xr:uid="{00000000-0005-0000-0000-000026200000}"/>
    <cellStyle name="표준 2 16 3 2" xfId="2739" xr:uid="{00000000-0005-0000-0000-000027200000}"/>
    <cellStyle name="표준 2 16 4" xfId="2740" xr:uid="{00000000-0005-0000-0000-000028200000}"/>
    <cellStyle name="표준 2 16 4 2" xfId="2741" xr:uid="{00000000-0005-0000-0000-000029200000}"/>
    <cellStyle name="표준 2 16 5" xfId="2742" xr:uid="{00000000-0005-0000-0000-00002A200000}"/>
    <cellStyle name="표준 2 16 6" xfId="2743" xr:uid="{00000000-0005-0000-0000-00002B200000}"/>
    <cellStyle name="표준 2 17" xfId="2744" xr:uid="{00000000-0005-0000-0000-00002C200000}"/>
    <cellStyle name="표준 2 17 2" xfId="2745" xr:uid="{00000000-0005-0000-0000-00002D200000}"/>
    <cellStyle name="표준 2 18" xfId="2746" xr:uid="{00000000-0005-0000-0000-00002E200000}"/>
    <cellStyle name="표준 2 18 2" xfId="2747" xr:uid="{00000000-0005-0000-0000-00002F200000}"/>
    <cellStyle name="표준 2 19" xfId="2748" xr:uid="{00000000-0005-0000-0000-000030200000}"/>
    <cellStyle name="표준 2 19 2" xfId="2749" xr:uid="{00000000-0005-0000-0000-000031200000}"/>
    <cellStyle name="표준 2 2" xfId="2750" xr:uid="{00000000-0005-0000-0000-000032200000}"/>
    <cellStyle name="표준 2 2 10" xfId="2751" xr:uid="{00000000-0005-0000-0000-000033200000}"/>
    <cellStyle name="표준 2 2 10 2" xfId="2752" xr:uid="{00000000-0005-0000-0000-000034200000}"/>
    <cellStyle name="표준 2 2 11" xfId="2753" xr:uid="{00000000-0005-0000-0000-000035200000}"/>
    <cellStyle name="표준 2 2 11 2" xfId="2754" xr:uid="{00000000-0005-0000-0000-000036200000}"/>
    <cellStyle name="표준 2 2 11 2 2" xfId="2755" xr:uid="{00000000-0005-0000-0000-000037200000}"/>
    <cellStyle name="표준 2 2 11 2 2 2" xfId="2756" xr:uid="{00000000-0005-0000-0000-000038200000}"/>
    <cellStyle name="표준 2 2 11 2 2 2 2" xfId="2757" xr:uid="{00000000-0005-0000-0000-000039200000}"/>
    <cellStyle name="표준 2 2 11 2 2 3" xfId="2758" xr:uid="{00000000-0005-0000-0000-00003A200000}"/>
    <cellStyle name="표준 2 2 11 2 3" xfId="2759" xr:uid="{00000000-0005-0000-0000-00003B200000}"/>
    <cellStyle name="표준 2 2 11 3" xfId="2760" xr:uid="{00000000-0005-0000-0000-00003C200000}"/>
    <cellStyle name="표준 2 2 11 3 2" xfId="2761" xr:uid="{00000000-0005-0000-0000-00003D200000}"/>
    <cellStyle name="표준 2 2 11 4" xfId="2762" xr:uid="{00000000-0005-0000-0000-00003E200000}"/>
    <cellStyle name="표준 2 2 12" xfId="2763" xr:uid="{00000000-0005-0000-0000-00003F200000}"/>
    <cellStyle name="표준 2 2 12 2" xfId="2764" xr:uid="{00000000-0005-0000-0000-000040200000}"/>
    <cellStyle name="표준 2 2 13" xfId="2765" xr:uid="{00000000-0005-0000-0000-000041200000}"/>
    <cellStyle name="표준 2 2 13 2" xfId="2766" xr:uid="{00000000-0005-0000-0000-000042200000}"/>
    <cellStyle name="표준 2 2 13 2 2" xfId="2767" xr:uid="{00000000-0005-0000-0000-000043200000}"/>
    <cellStyle name="표준 2 2 13 3" xfId="2768" xr:uid="{00000000-0005-0000-0000-000044200000}"/>
    <cellStyle name="표준 2 2 14" xfId="2769" xr:uid="{00000000-0005-0000-0000-000045200000}"/>
    <cellStyle name="표준 2 2 15" xfId="2770" xr:uid="{00000000-0005-0000-0000-000046200000}"/>
    <cellStyle name="표준 2 2 2" xfId="2771" xr:uid="{00000000-0005-0000-0000-000047200000}"/>
    <cellStyle name="표준 2 2 2 2" xfId="2772" xr:uid="{00000000-0005-0000-0000-000048200000}"/>
    <cellStyle name="표준 2 2 2 2 2" xfId="2773" xr:uid="{00000000-0005-0000-0000-000049200000}"/>
    <cellStyle name="표준 2 2 2 2 2 2" xfId="2774" xr:uid="{00000000-0005-0000-0000-00004A200000}"/>
    <cellStyle name="표준 2 2 2 2 2 2 2" xfId="2775" xr:uid="{00000000-0005-0000-0000-00004B200000}"/>
    <cellStyle name="표준 2 2 2 2 2 2 2 2" xfId="2776" xr:uid="{00000000-0005-0000-0000-00004C200000}"/>
    <cellStyle name="표준 2 2 2 2 2 2 3" xfId="2777" xr:uid="{00000000-0005-0000-0000-00004D200000}"/>
    <cellStyle name="표준 2 2 2 2 2 3" xfId="2778" xr:uid="{00000000-0005-0000-0000-00004E200000}"/>
    <cellStyle name="표준 2 2 2 2 3" xfId="2779" xr:uid="{00000000-0005-0000-0000-00004F200000}"/>
    <cellStyle name="표준 2 2 2 2 3 2" xfId="2780" xr:uid="{00000000-0005-0000-0000-000050200000}"/>
    <cellStyle name="표준 2 2 2 2 4" xfId="2781" xr:uid="{00000000-0005-0000-0000-000051200000}"/>
    <cellStyle name="표준 2 2 2 3" xfId="2782" xr:uid="{00000000-0005-0000-0000-000052200000}"/>
    <cellStyle name="표준 2 2 2 3 2" xfId="2783" xr:uid="{00000000-0005-0000-0000-000053200000}"/>
    <cellStyle name="표준 2 2 2 4" xfId="2784" xr:uid="{00000000-0005-0000-0000-000054200000}"/>
    <cellStyle name="표준 2 2 2 4 2" xfId="2785" xr:uid="{00000000-0005-0000-0000-000055200000}"/>
    <cellStyle name="표준 2 2 2 5" xfId="2786" xr:uid="{00000000-0005-0000-0000-000056200000}"/>
    <cellStyle name="표준 2 2 2 5 2" xfId="2787" xr:uid="{00000000-0005-0000-0000-000057200000}"/>
    <cellStyle name="표준 2 2 2 5 2 2" xfId="2788" xr:uid="{00000000-0005-0000-0000-000058200000}"/>
    <cellStyle name="표준 2 2 2 5 3" xfId="2789" xr:uid="{00000000-0005-0000-0000-000059200000}"/>
    <cellStyle name="표준 2 2 2 6" xfId="2790" xr:uid="{00000000-0005-0000-0000-00005A200000}"/>
    <cellStyle name="표준 2 2 2 7" xfId="2791" xr:uid="{00000000-0005-0000-0000-00005B200000}"/>
    <cellStyle name="표준 2 2 3" xfId="2792" xr:uid="{00000000-0005-0000-0000-00005C200000}"/>
    <cellStyle name="표준 2 2 3 2" xfId="2793" xr:uid="{00000000-0005-0000-0000-00005D200000}"/>
    <cellStyle name="표준 2 2 3 3" xfId="2794" xr:uid="{00000000-0005-0000-0000-00005E200000}"/>
    <cellStyle name="표준 2 2 4" xfId="2795" xr:uid="{00000000-0005-0000-0000-00005F200000}"/>
    <cellStyle name="표준 2 2 4 2" xfId="2796" xr:uid="{00000000-0005-0000-0000-000060200000}"/>
    <cellStyle name="표준 2 2 4 3" xfId="2797" xr:uid="{00000000-0005-0000-0000-000061200000}"/>
    <cellStyle name="표준 2 2 5" xfId="2798" xr:uid="{00000000-0005-0000-0000-000062200000}"/>
    <cellStyle name="표준 2 2 5 2" xfId="2799" xr:uid="{00000000-0005-0000-0000-000063200000}"/>
    <cellStyle name="표준 2 2 5 3" xfId="2800" xr:uid="{00000000-0005-0000-0000-000064200000}"/>
    <cellStyle name="표준 2 2 6" xfId="2801" xr:uid="{00000000-0005-0000-0000-000065200000}"/>
    <cellStyle name="표준 2 2 6 2" xfId="2802" xr:uid="{00000000-0005-0000-0000-000066200000}"/>
    <cellStyle name="표준 2 2 6 3" xfId="2803" xr:uid="{00000000-0005-0000-0000-000067200000}"/>
    <cellStyle name="표준 2 2 7" xfId="2804" xr:uid="{00000000-0005-0000-0000-000068200000}"/>
    <cellStyle name="표준 2 2 7 2" xfId="2805" xr:uid="{00000000-0005-0000-0000-000069200000}"/>
    <cellStyle name="표준 2 2 7 3" xfId="2806" xr:uid="{00000000-0005-0000-0000-00006A200000}"/>
    <cellStyle name="표준 2 2 8" xfId="2807" xr:uid="{00000000-0005-0000-0000-00006B200000}"/>
    <cellStyle name="표준 2 2 8 2" xfId="2808" xr:uid="{00000000-0005-0000-0000-00006C200000}"/>
    <cellStyle name="표준 2 2 9" xfId="2809" xr:uid="{00000000-0005-0000-0000-00006D200000}"/>
    <cellStyle name="표준 2 2 9 2" xfId="2810" xr:uid="{00000000-0005-0000-0000-00006E200000}"/>
    <cellStyle name="표준 2 20" xfId="2811" xr:uid="{00000000-0005-0000-0000-00006F200000}"/>
    <cellStyle name="표준 2 20 2" xfId="2812" xr:uid="{00000000-0005-0000-0000-000070200000}"/>
    <cellStyle name="표준 2 21" xfId="2813" xr:uid="{00000000-0005-0000-0000-000071200000}"/>
    <cellStyle name="표준 2 21 2" xfId="2814" xr:uid="{00000000-0005-0000-0000-000072200000}"/>
    <cellStyle name="표준 2 22" xfId="2815" xr:uid="{00000000-0005-0000-0000-000073200000}"/>
    <cellStyle name="표준 2 22 2" xfId="2816" xr:uid="{00000000-0005-0000-0000-000074200000}"/>
    <cellStyle name="표준 2 23" xfId="2817" xr:uid="{00000000-0005-0000-0000-000075200000}"/>
    <cellStyle name="표준 2 23 2" xfId="2818" xr:uid="{00000000-0005-0000-0000-000076200000}"/>
    <cellStyle name="표준 2 23 2 2" xfId="2819" xr:uid="{00000000-0005-0000-0000-000077200000}"/>
    <cellStyle name="표준 2 23 2 2 2" xfId="2820" xr:uid="{00000000-0005-0000-0000-000078200000}"/>
    <cellStyle name="표준 2 23 2 2 2 2" xfId="2821" xr:uid="{00000000-0005-0000-0000-000079200000}"/>
    <cellStyle name="표준 2 23 2 2 3" xfId="2822" xr:uid="{00000000-0005-0000-0000-00007A200000}"/>
    <cellStyle name="표준 2 23 2 3" xfId="2823" xr:uid="{00000000-0005-0000-0000-00007B200000}"/>
    <cellStyle name="표준 2 23 3" xfId="2824" xr:uid="{00000000-0005-0000-0000-00007C200000}"/>
    <cellStyle name="표준 2 23 3 2" xfId="2825" xr:uid="{00000000-0005-0000-0000-00007D200000}"/>
    <cellStyle name="표준 2 23 4" xfId="2826" xr:uid="{00000000-0005-0000-0000-00007E200000}"/>
    <cellStyle name="표준 2 24" xfId="2827" xr:uid="{00000000-0005-0000-0000-00007F200000}"/>
    <cellStyle name="표준 2 24 2" xfId="2828" xr:uid="{00000000-0005-0000-0000-000080200000}"/>
    <cellStyle name="표준 2 25" xfId="2829" xr:uid="{00000000-0005-0000-0000-000081200000}"/>
    <cellStyle name="표준 2 25 2" xfId="2830" xr:uid="{00000000-0005-0000-0000-000082200000}"/>
    <cellStyle name="표준 2 25 2 2" xfId="2831" xr:uid="{00000000-0005-0000-0000-000083200000}"/>
    <cellStyle name="표준 2 25 3" xfId="2832" xr:uid="{00000000-0005-0000-0000-000084200000}"/>
    <cellStyle name="표준 2 26" xfId="2833" xr:uid="{00000000-0005-0000-0000-000085200000}"/>
    <cellStyle name="표준 2 27" xfId="2834" xr:uid="{00000000-0005-0000-0000-000086200000}"/>
    <cellStyle name="표준 2 27 2" xfId="2835" xr:uid="{00000000-0005-0000-0000-000087200000}"/>
    <cellStyle name="표준 2 27 2 2" xfId="2836" xr:uid="{00000000-0005-0000-0000-000088200000}"/>
    <cellStyle name="표준 2 28" xfId="2837" xr:uid="{00000000-0005-0000-0000-000089200000}"/>
    <cellStyle name="표준 2 29" xfId="2838" xr:uid="{00000000-0005-0000-0000-00008A200000}"/>
    <cellStyle name="표준 2 3" xfId="2839" xr:uid="{00000000-0005-0000-0000-00008B200000}"/>
    <cellStyle name="표준 2 3 2" xfId="2840" xr:uid="{00000000-0005-0000-0000-00008C200000}"/>
    <cellStyle name="표준 2 3 3" xfId="2841" xr:uid="{00000000-0005-0000-0000-00008D200000}"/>
    <cellStyle name="표준 2 4" xfId="2842" xr:uid="{00000000-0005-0000-0000-00008E200000}"/>
    <cellStyle name="표준 2 4 2" xfId="2843" xr:uid="{00000000-0005-0000-0000-00008F200000}"/>
    <cellStyle name="표준 2 4 3" xfId="2844" xr:uid="{00000000-0005-0000-0000-000090200000}"/>
    <cellStyle name="표준 2 5" xfId="2845" xr:uid="{00000000-0005-0000-0000-000091200000}"/>
    <cellStyle name="표준 2 5 2" xfId="2846" xr:uid="{00000000-0005-0000-0000-000092200000}"/>
    <cellStyle name="표준 2 5 3" xfId="2847" xr:uid="{00000000-0005-0000-0000-000093200000}"/>
    <cellStyle name="표준 2 6" xfId="2848" xr:uid="{00000000-0005-0000-0000-000094200000}"/>
    <cellStyle name="표준 2 6 2" xfId="2849" xr:uid="{00000000-0005-0000-0000-000095200000}"/>
    <cellStyle name="표준 2 6 3" xfId="2850" xr:uid="{00000000-0005-0000-0000-000096200000}"/>
    <cellStyle name="표준 2 7" xfId="2851" xr:uid="{00000000-0005-0000-0000-000097200000}"/>
    <cellStyle name="표준 2 7 2" xfId="2852" xr:uid="{00000000-0005-0000-0000-000098200000}"/>
    <cellStyle name="표준 2 7 3" xfId="2853" xr:uid="{00000000-0005-0000-0000-000099200000}"/>
    <cellStyle name="표준 2 8" xfId="2854" xr:uid="{00000000-0005-0000-0000-00009A200000}"/>
    <cellStyle name="표준 2 8 2" xfId="2855" xr:uid="{00000000-0005-0000-0000-00009B200000}"/>
    <cellStyle name="표준 2 8 3" xfId="2856" xr:uid="{00000000-0005-0000-0000-00009C200000}"/>
    <cellStyle name="표준 2 9" xfId="2857" xr:uid="{00000000-0005-0000-0000-00009D200000}"/>
    <cellStyle name="표준 2 9 2" xfId="2858" xr:uid="{00000000-0005-0000-0000-00009E200000}"/>
    <cellStyle name="표준 2 9 3" xfId="2859" xr:uid="{00000000-0005-0000-0000-00009F200000}"/>
    <cellStyle name="표준 2_10월 생산2과 품질 현황" xfId="2860" xr:uid="{00000000-0005-0000-0000-0000A0200000}"/>
    <cellStyle name="표준 20" xfId="2861" xr:uid="{00000000-0005-0000-0000-0000A1200000}"/>
    <cellStyle name="표준 20 2" xfId="2862" xr:uid="{00000000-0005-0000-0000-0000A2200000}"/>
    <cellStyle name="표준 21" xfId="2863" xr:uid="{00000000-0005-0000-0000-0000A3200000}"/>
    <cellStyle name="표준 21 2" xfId="2864" xr:uid="{00000000-0005-0000-0000-0000A4200000}"/>
    <cellStyle name="표준 22" xfId="2865" xr:uid="{00000000-0005-0000-0000-0000A5200000}"/>
    <cellStyle name="표준 22 2" xfId="2866" xr:uid="{00000000-0005-0000-0000-0000A6200000}"/>
    <cellStyle name="표준 23" xfId="2867" xr:uid="{00000000-0005-0000-0000-0000A7200000}"/>
    <cellStyle name="표준 23 2" xfId="2868" xr:uid="{00000000-0005-0000-0000-0000A8200000}"/>
    <cellStyle name="표준 23 2 2" xfId="2869" xr:uid="{00000000-0005-0000-0000-0000A9200000}"/>
    <cellStyle name="표준 23 3" xfId="2870" xr:uid="{00000000-0005-0000-0000-0000AA200000}"/>
    <cellStyle name="표준 24" xfId="2871" xr:uid="{00000000-0005-0000-0000-0000AB200000}"/>
    <cellStyle name="표준 24 2" xfId="2872" xr:uid="{00000000-0005-0000-0000-0000AC200000}"/>
    <cellStyle name="표준 24 2 2" xfId="2873" xr:uid="{00000000-0005-0000-0000-0000AD200000}"/>
    <cellStyle name="표준 24 3" xfId="2874" xr:uid="{00000000-0005-0000-0000-0000AE200000}"/>
    <cellStyle name="표준 25" xfId="2875" xr:uid="{00000000-0005-0000-0000-0000AF200000}"/>
    <cellStyle name="표준 25 2" xfId="2876" xr:uid="{00000000-0005-0000-0000-0000B0200000}"/>
    <cellStyle name="표준 25 2 2" xfId="2877" xr:uid="{00000000-0005-0000-0000-0000B1200000}"/>
    <cellStyle name="표준 25 3" xfId="2878" xr:uid="{00000000-0005-0000-0000-0000B2200000}"/>
    <cellStyle name="표준 26" xfId="2879" xr:uid="{00000000-0005-0000-0000-0000B3200000}"/>
    <cellStyle name="표준 26 2" xfId="2880" xr:uid="{00000000-0005-0000-0000-0000B4200000}"/>
    <cellStyle name="표준 26 2 2" xfId="2881" xr:uid="{00000000-0005-0000-0000-0000B5200000}"/>
    <cellStyle name="표준 26 3" xfId="2882" xr:uid="{00000000-0005-0000-0000-0000B6200000}"/>
    <cellStyle name="표준 27" xfId="2883" xr:uid="{00000000-0005-0000-0000-0000B7200000}"/>
    <cellStyle name="표준 28" xfId="2884" xr:uid="{00000000-0005-0000-0000-0000B8200000}"/>
    <cellStyle name="표준 29" xfId="2885" xr:uid="{00000000-0005-0000-0000-0000B9200000}"/>
    <cellStyle name="표준 3" xfId="2886" xr:uid="{00000000-0005-0000-0000-0000BA200000}"/>
    <cellStyle name="표준 3 10" xfId="2887" xr:uid="{00000000-0005-0000-0000-0000BB200000}"/>
    <cellStyle name="표준 3 11" xfId="2888" xr:uid="{00000000-0005-0000-0000-0000BC200000}"/>
    <cellStyle name="표준 3 2" xfId="2889" xr:uid="{00000000-0005-0000-0000-0000BD200000}"/>
    <cellStyle name="표준 3 2 2" xfId="2890" xr:uid="{00000000-0005-0000-0000-0000BE200000}"/>
    <cellStyle name="표준 3 3" xfId="2891" xr:uid="{00000000-0005-0000-0000-0000BF200000}"/>
    <cellStyle name="표준 3 3 2" xfId="2892" xr:uid="{00000000-0005-0000-0000-0000C0200000}"/>
    <cellStyle name="표준 3 4" xfId="2893" xr:uid="{00000000-0005-0000-0000-0000C1200000}"/>
    <cellStyle name="표준 3 4 2" xfId="2894" xr:uid="{00000000-0005-0000-0000-0000C2200000}"/>
    <cellStyle name="표준 3 5" xfId="2895" xr:uid="{00000000-0005-0000-0000-0000C3200000}"/>
    <cellStyle name="표준 3 5 2" xfId="2896" xr:uid="{00000000-0005-0000-0000-0000C4200000}"/>
    <cellStyle name="표준 3 6" xfId="2897" xr:uid="{00000000-0005-0000-0000-0000C5200000}"/>
    <cellStyle name="표준 3 6 2" xfId="2898" xr:uid="{00000000-0005-0000-0000-0000C6200000}"/>
    <cellStyle name="표준 3 7" xfId="2899" xr:uid="{00000000-0005-0000-0000-0000C7200000}"/>
    <cellStyle name="표준 3 7 2" xfId="2900" xr:uid="{00000000-0005-0000-0000-0000C8200000}"/>
    <cellStyle name="표준 3 8" xfId="2901" xr:uid="{00000000-0005-0000-0000-0000C9200000}"/>
    <cellStyle name="표준 3 8 2" xfId="2902" xr:uid="{00000000-0005-0000-0000-0000CA200000}"/>
    <cellStyle name="표준 3 9" xfId="2903" xr:uid="{00000000-0005-0000-0000-0000CB200000}"/>
    <cellStyle name="표준 3 9 2" xfId="2904" xr:uid="{00000000-0005-0000-0000-0000CC200000}"/>
    <cellStyle name="표준 30" xfId="2905" xr:uid="{00000000-0005-0000-0000-0000CD200000}"/>
    <cellStyle name="표준 31" xfId="2906" xr:uid="{00000000-0005-0000-0000-0000CE200000}"/>
    <cellStyle name="표준 32" xfId="2907" xr:uid="{00000000-0005-0000-0000-0000CF200000}"/>
    <cellStyle name="표준 33" xfId="2908" xr:uid="{00000000-0005-0000-0000-0000D0200000}"/>
    <cellStyle name="표준 34" xfId="2909" xr:uid="{00000000-0005-0000-0000-0000D1200000}"/>
    <cellStyle name="표준 35" xfId="2910" xr:uid="{00000000-0005-0000-0000-0000D2200000}"/>
    <cellStyle name="표준 36" xfId="2911" xr:uid="{00000000-0005-0000-0000-0000D3200000}"/>
    <cellStyle name="표준 37" xfId="2912" xr:uid="{00000000-0005-0000-0000-0000D4200000}"/>
    <cellStyle name="표준 38" xfId="2913" xr:uid="{00000000-0005-0000-0000-0000D5200000}"/>
    <cellStyle name="표준 39" xfId="2914" xr:uid="{00000000-0005-0000-0000-0000D6200000}"/>
    <cellStyle name="표준 4" xfId="2915" xr:uid="{00000000-0005-0000-0000-0000D7200000}"/>
    <cellStyle name="표준 4 2" xfId="2916" xr:uid="{00000000-0005-0000-0000-0000D8200000}"/>
    <cellStyle name="표준 4 3" xfId="2917" xr:uid="{00000000-0005-0000-0000-0000D9200000}"/>
    <cellStyle name="표준 40" xfId="2918" xr:uid="{00000000-0005-0000-0000-0000DA200000}"/>
    <cellStyle name="표준 41" xfId="2919" xr:uid="{00000000-0005-0000-0000-0000DB200000}"/>
    <cellStyle name="표준 42" xfId="2920" xr:uid="{00000000-0005-0000-0000-0000DC200000}"/>
    <cellStyle name="표준 43" xfId="2921" xr:uid="{00000000-0005-0000-0000-0000DD200000}"/>
    <cellStyle name="표준 44" xfId="2922" xr:uid="{00000000-0005-0000-0000-0000DE200000}"/>
    <cellStyle name="표준 45" xfId="2923" xr:uid="{00000000-0005-0000-0000-0000DF200000}"/>
    <cellStyle name="표준 46" xfId="2924" xr:uid="{00000000-0005-0000-0000-0000E0200000}"/>
    <cellStyle name="표준 47" xfId="2925" xr:uid="{00000000-0005-0000-0000-0000E1200000}"/>
    <cellStyle name="표준 48" xfId="2926" xr:uid="{00000000-0005-0000-0000-0000E2200000}"/>
    <cellStyle name="표준 49" xfId="2927" xr:uid="{00000000-0005-0000-0000-0000E3200000}"/>
    <cellStyle name="표준 5" xfId="2928" xr:uid="{00000000-0005-0000-0000-0000E4200000}"/>
    <cellStyle name="표준 5 2" xfId="2929" xr:uid="{00000000-0005-0000-0000-0000E5200000}"/>
    <cellStyle name="표준 5 3" xfId="2930" xr:uid="{00000000-0005-0000-0000-0000E6200000}"/>
    <cellStyle name="표준 50" xfId="2931" xr:uid="{00000000-0005-0000-0000-0000E7200000}"/>
    <cellStyle name="표준 51" xfId="2932" xr:uid="{00000000-0005-0000-0000-0000E8200000}"/>
    <cellStyle name="표준 52" xfId="2933" xr:uid="{00000000-0005-0000-0000-0000E9200000}"/>
    <cellStyle name="표준 53" xfId="2934" xr:uid="{00000000-0005-0000-0000-0000EA200000}"/>
    <cellStyle name="표준 54" xfId="2935" xr:uid="{00000000-0005-0000-0000-0000EB200000}"/>
    <cellStyle name="표준 55" xfId="2936" xr:uid="{00000000-0005-0000-0000-0000EC200000}"/>
    <cellStyle name="표준 56" xfId="2937" xr:uid="{00000000-0005-0000-0000-0000ED200000}"/>
    <cellStyle name="표준 57" xfId="2938" xr:uid="{00000000-0005-0000-0000-0000EE200000}"/>
    <cellStyle name="표준 58" xfId="2939" xr:uid="{00000000-0005-0000-0000-0000EF200000}"/>
    <cellStyle name="표준 59" xfId="2940" xr:uid="{00000000-0005-0000-0000-0000F0200000}"/>
    <cellStyle name="표준 6" xfId="2941" xr:uid="{00000000-0005-0000-0000-0000F1200000}"/>
    <cellStyle name="표준 6 2" xfId="2942" xr:uid="{00000000-0005-0000-0000-0000F2200000}"/>
    <cellStyle name="표준 6 3" xfId="2943" xr:uid="{00000000-0005-0000-0000-0000F3200000}"/>
    <cellStyle name="표준 60" xfId="2944" xr:uid="{00000000-0005-0000-0000-0000F4200000}"/>
    <cellStyle name="표준 61" xfId="2945" xr:uid="{00000000-0005-0000-0000-0000F5200000}"/>
    <cellStyle name="표준 62" xfId="2946" xr:uid="{00000000-0005-0000-0000-0000F6200000}"/>
    <cellStyle name="표준 63" xfId="2947" xr:uid="{00000000-0005-0000-0000-0000F7200000}"/>
    <cellStyle name="표준 64" xfId="2948" xr:uid="{00000000-0005-0000-0000-0000F8200000}"/>
    <cellStyle name="표준 65" xfId="2949" xr:uid="{00000000-0005-0000-0000-0000F9200000}"/>
    <cellStyle name="표준 66" xfId="2950" xr:uid="{00000000-0005-0000-0000-0000FA200000}"/>
    <cellStyle name="표준 67" xfId="2951" xr:uid="{00000000-0005-0000-0000-0000FB200000}"/>
    <cellStyle name="표준 68" xfId="2952" xr:uid="{00000000-0005-0000-0000-0000FC200000}"/>
    <cellStyle name="표준 69" xfId="2953" xr:uid="{00000000-0005-0000-0000-0000FD200000}"/>
    <cellStyle name="표준 7" xfId="2954" xr:uid="{00000000-0005-0000-0000-0000FE200000}"/>
    <cellStyle name="표준 7 2" xfId="2955" xr:uid="{00000000-0005-0000-0000-0000FF200000}"/>
    <cellStyle name="표준 7 3" xfId="2956" xr:uid="{00000000-0005-0000-0000-000000210000}"/>
    <cellStyle name="표준 70" xfId="2957" xr:uid="{00000000-0005-0000-0000-000001210000}"/>
    <cellStyle name="표준 71" xfId="2958" xr:uid="{00000000-0005-0000-0000-000002210000}"/>
    <cellStyle name="표준 72" xfId="2959" xr:uid="{00000000-0005-0000-0000-000003210000}"/>
    <cellStyle name="표준 73" xfId="2960" xr:uid="{00000000-0005-0000-0000-000004210000}"/>
    <cellStyle name="표준 74" xfId="2961" xr:uid="{00000000-0005-0000-0000-000005210000}"/>
    <cellStyle name="표준 75" xfId="2962" xr:uid="{00000000-0005-0000-0000-000006210000}"/>
    <cellStyle name="표준 76" xfId="2963" xr:uid="{00000000-0005-0000-0000-000007210000}"/>
    <cellStyle name="표준 77" xfId="2964" xr:uid="{00000000-0005-0000-0000-000008210000}"/>
    <cellStyle name="표준 78" xfId="2965" xr:uid="{00000000-0005-0000-0000-000009210000}"/>
    <cellStyle name="표준 79" xfId="2966" xr:uid="{00000000-0005-0000-0000-00000A210000}"/>
    <cellStyle name="표준 8" xfId="2967" xr:uid="{00000000-0005-0000-0000-00000B210000}"/>
    <cellStyle name="표준 8 2" xfId="2968" xr:uid="{00000000-0005-0000-0000-00000C210000}"/>
    <cellStyle name="표준 8 3" xfId="2969" xr:uid="{00000000-0005-0000-0000-00000D210000}"/>
    <cellStyle name="표준 80" xfId="2970" xr:uid="{00000000-0005-0000-0000-00000E210000}"/>
    <cellStyle name="표준 9" xfId="2971" xr:uid="{00000000-0005-0000-0000-00000F210000}"/>
    <cellStyle name="표준 9 2" xfId="2972" xr:uid="{00000000-0005-0000-0000-000010210000}"/>
    <cellStyle name="표준 9 3" xfId="2973" xr:uid="{00000000-0005-0000-0000-000011210000}"/>
    <cellStyle name="標準_~0009901" xfId="2995" xr:uid="{00000000-0005-0000-0000-000027210000}"/>
    <cellStyle name="퓭닉_ㅶA??絡 " xfId="2974" xr:uid="{00000000-0005-0000-0000-000012210000}"/>
    <cellStyle name="하이퍼링크 2" xfId="2975" xr:uid="{00000000-0005-0000-0000-000013210000}"/>
    <cellStyle name="합산_V-200제작추진 " xfId="2976" xr:uid="{00000000-0005-0000-0000-000014210000}"/>
    <cellStyle name="桁区切り [0.00]_~ME310B" xfId="2993" xr:uid="{00000000-0005-0000-0000-000025210000}"/>
    <cellStyle name="桁区切り_~ME310B" xfId="2994" xr:uid="{00000000-0005-0000-0000-000026210000}"/>
    <cellStyle name="화폐기호_7월31기준(+BPN)_7월실적 (누적bpn) " xfId="2977" xr:uid="{00000000-0005-0000-0000-000015210000}"/>
    <cellStyle name="화폐기호0_미승인양식 " xfId="2978" xr:uid="{00000000-0005-0000-0000-00001621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756</xdr:row>
      <xdr:rowOff>0</xdr:rowOff>
    </xdr:from>
    <xdr:to>
      <xdr:col>8</xdr:col>
      <xdr:colOff>323850</xdr:colOff>
      <xdr:row>757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A048913-BC23-4250-9E1E-79AF8BD45684}"/>
            </a:ext>
          </a:extLst>
        </xdr:cNvPr>
        <xdr:cNvSpPr txBox="1">
          <a:spLocks noChangeArrowheads="1"/>
        </xdr:cNvSpPr>
      </xdr:nvSpPr>
      <xdr:spPr bwMode="auto">
        <a:xfrm>
          <a:off x="7781925" y="624744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228600</xdr:colOff>
      <xdr:row>758</xdr:row>
      <xdr:rowOff>0</xdr:rowOff>
    </xdr:from>
    <xdr:to>
      <xdr:col>8</xdr:col>
      <xdr:colOff>323850</xdr:colOff>
      <xdr:row>759</xdr:row>
      <xdr:rowOff>19050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9AC5E1E-50D0-4256-84D9-550B58AE1C00}"/>
            </a:ext>
          </a:extLst>
        </xdr:cNvPr>
        <xdr:cNvSpPr txBox="1">
          <a:spLocks noChangeArrowheads="1"/>
        </xdr:cNvSpPr>
      </xdr:nvSpPr>
      <xdr:spPr bwMode="auto">
        <a:xfrm>
          <a:off x="7781925" y="628173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142875</xdr:colOff>
      <xdr:row>746</xdr:row>
      <xdr:rowOff>47624</xdr:rowOff>
    </xdr:from>
    <xdr:to>
      <xdr:col>8</xdr:col>
      <xdr:colOff>1846168</xdr:colOff>
      <xdr:row>752</xdr:row>
      <xdr:rowOff>103687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40B98684-8591-402C-B64F-D644E99A8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60807599"/>
          <a:ext cx="2704762" cy="1084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760</xdr:row>
      <xdr:rowOff>0</xdr:rowOff>
    </xdr:from>
    <xdr:to>
      <xdr:col>9</xdr:col>
      <xdr:colOff>323850</xdr:colOff>
      <xdr:row>761</xdr:row>
      <xdr:rowOff>38100</xdr:rowOff>
    </xdr:to>
    <xdr:sp macro="" textlink="">
      <xdr:nvSpPr>
        <xdr:cNvPr id="178224" name="Text Box 1">
          <a:extLst>
            <a:ext uri="{FF2B5EF4-FFF2-40B4-BE49-F238E27FC236}">
              <a16:creationId xmlns:a16="http://schemas.microsoft.com/office/drawing/2014/main" id="{FBA04E1A-8ADE-ACBF-DAFB-7EE4CFAE7D1E}"/>
            </a:ext>
          </a:extLst>
        </xdr:cNvPr>
        <xdr:cNvSpPr txBox="1">
          <a:spLocks noChangeArrowheads="1"/>
        </xdr:cNvSpPr>
      </xdr:nvSpPr>
      <xdr:spPr bwMode="auto">
        <a:xfrm>
          <a:off x="8924925" y="1133379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228600</xdr:colOff>
      <xdr:row>762</xdr:row>
      <xdr:rowOff>0</xdr:rowOff>
    </xdr:from>
    <xdr:to>
      <xdr:col>9</xdr:col>
      <xdr:colOff>323850</xdr:colOff>
      <xdr:row>763</xdr:row>
      <xdr:rowOff>19050</xdr:rowOff>
    </xdr:to>
    <xdr:sp macro="" textlink="">
      <xdr:nvSpPr>
        <xdr:cNvPr id="178225" name="Text Box 2">
          <a:extLst>
            <a:ext uri="{FF2B5EF4-FFF2-40B4-BE49-F238E27FC236}">
              <a16:creationId xmlns:a16="http://schemas.microsoft.com/office/drawing/2014/main" id="{B690C5A8-B79B-8A6B-080B-EBC40178CE25}"/>
            </a:ext>
          </a:extLst>
        </xdr:cNvPr>
        <xdr:cNvSpPr txBox="1">
          <a:spLocks noChangeArrowheads="1"/>
        </xdr:cNvSpPr>
      </xdr:nvSpPr>
      <xdr:spPr bwMode="auto">
        <a:xfrm>
          <a:off x="8924925" y="1136808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85725</xdr:colOff>
      <xdr:row>750</xdr:row>
      <xdr:rowOff>66675</xdr:rowOff>
    </xdr:from>
    <xdr:to>
      <xdr:col>9</xdr:col>
      <xdr:colOff>861674</xdr:colOff>
      <xdr:row>756</xdr:row>
      <xdr:rowOff>117975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5DC5A4E1-6352-4C1F-83EA-76D7C7AF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12439650"/>
          <a:ext cx="2700000" cy="108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E4A1-CE88-4925-9331-A0A22776BB62}">
  <sheetPr codeName="Sheet1"/>
  <dimension ref="A1:O828"/>
  <sheetViews>
    <sheetView showGridLines="0" zoomScale="85" zoomScaleNormal="85" workbookViewId="0">
      <selection activeCell="N13" sqref="N13"/>
    </sheetView>
  </sheetViews>
  <sheetFormatPr defaultColWidth="8.87890625" defaultRowHeight="10.15"/>
  <cols>
    <col min="1" max="1" width="2.3515625" style="1" customWidth="1"/>
    <col min="2" max="2" width="11.52734375" style="1" customWidth="1"/>
    <col min="3" max="3" width="12.76171875" style="1" customWidth="1"/>
    <col min="4" max="4" width="20" style="1" customWidth="1"/>
    <col min="5" max="5" width="13.76171875" style="1" customWidth="1"/>
    <col min="6" max="6" width="2.3515625" style="1" customWidth="1"/>
    <col min="7" max="7" width="12.3515625" style="1" customWidth="1"/>
    <col min="8" max="8" width="13" style="1" customWidth="1"/>
    <col min="9" max="9" width="21.87890625" style="1" customWidth="1"/>
    <col min="10" max="10" width="22.87890625" style="93" customWidth="1"/>
    <col min="11" max="11" width="10.52734375" style="1" bestFit="1" customWidth="1"/>
    <col min="12" max="12" width="6.64453125" style="1" hidden="1" customWidth="1"/>
    <col min="13" max="13" width="30" style="89" customWidth="1"/>
    <col min="14" max="14" width="17.87890625" style="133" customWidth="1"/>
    <col min="15" max="15" width="171.234375" style="1" bestFit="1" customWidth="1"/>
    <col min="16" max="16384" width="8.87890625" style="1"/>
  </cols>
  <sheetData>
    <row r="1" spans="1:10" ht="51.75" customHeight="1" thickBot="1">
      <c r="A1" s="220" t="s">
        <v>32</v>
      </c>
      <c r="B1" s="221"/>
      <c r="C1" s="221"/>
      <c r="D1" s="221"/>
      <c r="E1" s="221"/>
      <c r="F1" s="221"/>
      <c r="G1" s="221"/>
      <c r="H1" s="221"/>
      <c r="I1" s="222"/>
      <c r="J1" s="88"/>
    </row>
    <row r="2" spans="1:10" ht="15" customHeight="1">
      <c r="A2" s="194" t="s">
        <v>5</v>
      </c>
      <c r="B2" s="195"/>
      <c r="C2" s="195"/>
      <c r="D2" s="195"/>
      <c r="E2" s="196"/>
      <c r="F2" s="194" t="s">
        <v>6</v>
      </c>
      <c r="G2" s="195"/>
      <c r="H2" s="195"/>
      <c r="I2" s="196"/>
      <c r="J2" s="90"/>
    </row>
    <row r="3" spans="1:10" ht="15" customHeight="1">
      <c r="A3" s="26"/>
      <c r="B3" s="3"/>
      <c r="C3" s="3"/>
      <c r="D3" s="3"/>
      <c r="E3" s="3"/>
      <c r="F3" s="26"/>
      <c r="G3" s="3"/>
      <c r="H3" s="3"/>
      <c r="I3" s="23"/>
      <c r="J3" s="91"/>
    </row>
    <row r="4" spans="1:10" ht="15" customHeight="1">
      <c r="A4" s="26"/>
      <c r="B4" s="16" t="s">
        <v>35</v>
      </c>
      <c r="C4" s="16"/>
      <c r="D4" s="16"/>
      <c r="E4" s="16"/>
      <c r="F4" s="26"/>
      <c r="G4" s="3" t="s">
        <v>48</v>
      </c>
      <c r="H4" s="37" t="s">
        <v>22</v>
      </c>
      <c r="I4" s="38">
        <v>46114</v>
      </c>
      <c r="J4" s="92"/>
    </row>
    <row r="5" spans="1:10" ht="15" customHeight="1">
      <c r="A5" s="26"/>
      <c r="B5" s="16" t="s">
        <v>36</v>
      </c>
      <c r="C5" s="16"/>
      <c r="D5" s="16"/>
      <c r="E5" s="16"/>
      <c r="F5" s="24"/>
      <c r="G5" s="5"/>
      <c r="H5" s="37"/>
      <c r="I5" s="38"/>
      <c r="J5" s="92"/>
    </row>
    <row r="6" spans="1:10" ht="15" customHeight="1" thickBot="1">
      <c r="A6" s="26"/>
      <c r="B6" s="16" t="s">
        <v>37</v>
      </c>
      <c r="C6" s="16"/>
      <c r="D6" s="16" t="s">
        <v>38</v>
      </c>
      <c r="E6" s="16"/>
      <c r="F6" s="39"/>
      <c r="G6" s="35"/>
      <c r="H6" s="35"/>
      <c r="I6" s="40"/>
      <c r="J6" s="91"/>
    </row>
    <row r="7" spans="1:10" ht="15" customHeight="1">
      <c r="A7" s="26"/>
      <c r="E7" s="16"/>
      <c r="F7" s="194" t="s">
        <v>7</v>
      </c>
      <c r="G7" s="195"/>
      <c r="H7" s="195"/>
      <c r="I7" s="196"/>
      <c r="J7" s="90"/>
    </row>
    <row r="8" spans="1:10" ht="15" customHeight="1">
      <c r="A8" s="26"/>
      <c r="B8" s="16" t="s">
        <v>39</v>
      </c>
      <c r="C8" s="16"/>
      <c r="D8" s="16"/>
      <c r="E8" s="49"/>
      <c r="F8" s="24"/>
      <c r="G8" s="5"/>
      <c r="H8" s="5"/>
      <c r="I8" s="23"/>
      <c r="J8" s="91"/>
    </row>
    <row r="9" spans="1:10" ht="6" customHeight="1" thickBot="1">
      <c r="A9" s="26"/>
      <c r="B9" s="16"/>
      <c r="C9" s="16"/>
      <c r="D9" s="16"/>
      <c r="E9" s="16"/>
      <c r="F9" s="24"/>
      <c r="G9" s="5"/>
      <c r="H9" s="5"/>
      <c r="I9" s="23"/>
      <c r="J9" s="91"/>
    </row>
    <row r="10" spans="1:10" ht="15" customHeight="1">
      <c r="A10" s="194" t="s">
        <v>8</v>
      </c>
      <c r="B10" s="195"/>
      <c r="C10" s="195"/>
      <c r="D10" s="195"/>
      <c r="E10" s="196"/>
      <c r="F10" s="223" t="s">
        <v>3</v>
      </c>
      <c r="G10" s="224"/>
      <c r="H10" s="5"/>
      <c r="I10" s="23"/>
      <c r="J10" s="91"/>
    </row>
    <row r="11" spans="1:10" ht="15" customHeight="1">
      <c r="A11" s="54"/>
      <c r="B11" s="3"/>
      <c r="C11" s="16"/>
      <c r="D11" s="16"/>
      <c r="E11" s="16"/>
      <c r="F11" s="24"/>
      <c r="G11" s="41"/>
      <c r="H11" s="5"/>
      <c r="I11" s="23"/>
      <c r="J11" s="91"/>
    </row>
    <row r="12" spans="1:10" ht="15" customHeight="1" thickBot="1">
      <c r="A12" s="54"/>
      <c r="B12" s="3" t="s">
        <v>23</v>
      </c>
      <c r="F12" s="33"/>
      <c r="G12" s="17"/>
      <c r="H12" s="17"/>
      <c r="I12" s="34"/>
    </row>
    <row r="13" spans="1:10" ht="15" customHeight="1">
      <c r="A13" s="59"/>
      <c r="B13" s="61" t="s">
        <v>42</v>
      </c>
      <c r="C13" s="16"/>
      <c r="D13" s="16"/>
      <c r="E13" s="16"/>
      <c r="F13" s="194" t="s">
        <v>19</v>
      </c>
      <c r="G13" s="195"/>
      <c r="H13" s="195"/>
      <c r="I13" s="196"/>
      <c r="J13" s="90"/>
    </row>
    <row r="14" spans="1:10" ht="15" customHeight="1">
      <c r="A14" s="60"/>
      <c r="B14" s="61" t="s">
        <v>43</v>
      </c>
      <c r="C14" s="94"/>
      <c r="D14" s="94"/>
      <c r="E14" s="94"/>
      <c r="F14" s="44"/>
      <c r="G14" s="5"/>
      <c r="H14" s="5"/>
      <c r="I14" s="23"/>
      <c r="J14" s="91"/>
    </row>
    <row r="15" spans="1:10" ht="15" customHeight="1">
      <c r="A15" s="60"/>
      <c r="B15" s="61"/>
      <c r="C15" s="94"/>
      <c r="D15" s="94"/>
      <c r="E15" s="94"/>
      <c r="F15" s="44"/>
      <c r="G15" s="5"/>
      <c r="H15" s="5"/>
      <c r="I15" s="23"/>
      <c r="J15" s="91"/>
    </row>
    <row r="16" spans="1:10" ht="15" customHeight="1">
      <c r="A16" s="55"/>
      <c r="B16" s="16"/>
      <c r="D16" s="16"/>
      <c r="F16" s="26"/>
      <c r="G16" s="3"/>
      <c r="H16" s="3"/>
      <c r="I16" s="23"/>
      <c r="J16" s="91"/>
    </row>
    <row r="17" spans="1:15" ht="15" customHeight="1">
      <c r="A17" s="26"/>
      <c r="B17" s="16" t="s">
        <v>34</v>
      </c>
      <c r="C17" s="16"/>
      <c r="D17" s="16"/>
      <c r="E17" s="16"/>
      <c r="F17" s="26"/>
      <c r="G17" s="3"/>
      <c r="H17" s="3"/>
      <c r="I17" s="23"/>
      <c r="J17" s="91"/>
    </row>
    <row r="18" spans="1:15" ht="6" customHeight="1" thickBot="1">
      <c r="A18" s="26"/>
      <c r="B18" s="16"/>
      <c r="C18" s="16"/>
      <c r="D18" s="16"/>
      <c r="E18" s="16"/>
      <c r="F18" s="26"/>
      <c r="G18" s="3"/>
      <c r="H18" s="3"/>
      <c r="I18" s="23"/>
      <c r="J18" s="91"/>
    </row>
    <row r="19" spans="1:15" ht="15" customHeight="1">
      <c r="A19" s="194" t="s">
        <v>9</v>
      </c>
      <c r="B19" s="195"/>
      <c r="C19" s="195"/>
      <c r="D19" s="195"/>
      <c r="E19" s="196"/>
      <c r="F19" s="194" t="s">
        <v>10</v>
      </c>
      <c r="G19" s="195"/>
      <c r="H19" s="195"/>
      <c r="I19" s="196"/>
      <c r="J19" s="90"/>
    </row>
    <row r="20" spans="1:15" ht="15" customHeight="1">
      <c r="A20" s="56"/>
      <c r="B20" s="8"/>
      <c r="C20" s="8"/>
      <c r="D20" s="8"/>
      <c r="E20" s="95"/>
      <c r="F20" s="8"/>
      <c r="G20" s="8"/>
      <c r="H20" s="8"/>
      <c r="I20" s="95"/>
      <c r="J20" s="90"/>
    </row>
    <row r="21" spans="1:15" ht="15" customHeight="1">
      <c r="A21" s="54"/>
      <c r="B21" s="3" t="s">
        <v>24</v>
      </c>
      <c r="E21" s="22"/>
      <c r="G21" s="3" t="s">
        <v>41</v>
      </c>
      <c r="I21" s="22"/>
    </row>
    <row r="22" spans="1:15" ht="15" customHeight="1">
      <c r="A22" s="26"/>
      <c r="B22" s="16"/>
      <c r="C22" s="3"/>
      <c r="D22" s="3"/>
      <c r="E22" s="23"/>
      <c r="F22" s="3"/>
      <c r="I22" s="47"/>
      <c r="J22" s="96"/>
      <c r="K22" s="19"/>
      <c r="L22" s="19"/>
      <c r="M22" s="8"/>
      <c r="N22" s="4"/>
      <c r="O22" s="2"/>
    </row>
    <row r="23" spans="1:15" ht="6" customHeight="1" thickBot="1">
      <c r="A23" s="26"/>
      <c r="B23" s="16"/>
      <c r="C23" s="3"/>
      <c r="D23" s="3"/>
      <c r="E23" s="23"/>
      <c r="F23" s="3"/>
      <c r="G23" s="63"/>
      <c r="I23" s="47"/>
      <c r="J23" s="96"/>
      <c r="K23" s="19"/>
      <c r="L23" s="19"/>
      <c r="M23" s="8"/>
      <c r="N23" s="4"/>
      <c r="O23" s="2"/>
    </row>
    <row r="24" spans="1:15" ht="15" customHeight="1">
      <c r="A24" s="194" t="s">
        <v>11</v>
      </c>
      <c r="B24" s="195"/>
      <c r="C24" s="196"/>
      <c r="D24" s="200" t="s">
        <v>12</v>
      </c>
      <c r="E24" s="201"/>
      <c r="F24" s="3"/>
      <c r="G24" s="63"/>
      <c r="H24" s="63"/>
      <c r="I24" s="23"/>
      <c r="J24" s="91"/>
    </row>
    <row r="25" spans="1:15" ht="15" customHeight="1">
      <c r="A25" s="223" t="s">
        <v>33</v>
      </c>
      <c r="B25" s="224"/>
      <c r="C25" s="225"/>
      <c r="D25" s="223" t="s">
        <v>40</v>
      </c>
      <c r="E25" s="225"/>
      <c r="F25" s="3"/>
      <c r="G25" s="63"/>
      <c r="H25" s="63"/>
      <c r="I25" s="23"/>
      <c r="J25" s="91"/>
    </row>
    <row r="26" spans="1:15" ht="15" customHeight="1">
      <c r="A26" s="223"/>
      <c r="B26" s="224"/>
      <c r="C26" s="225"/>
      <c r="D26" s="223"/>
      <c r="E26" s="225"/>
      <c r="F26" s="3"/>
      <c r="G26" s="63"/>
      <c r="H26" s="63"/>
      <c r="I26" s="23"/>
      <c r="J26" s="91"/>
      <c r="K26" s="18"/>
      <c r="L26" s="18"/>
      <c r="M26" s="120"/>
      <c r="N26" s="134"/>
      <c r="O26" s="18"/>
    </row>
    <row r="27" spans="1:15" ht="15" customHeight="1" thickBot="1">
      <c r="A27" s="226"/>
      <c r="B27" s="227"/>
      <c r="C27" s="228"/>
      <c r="D27" s="226"/>
      <c r="E27" s="228"/>
      <c r="F27" s="3"/>
      <c r="G27" s="63"/>
      <c r="H27" s="63"/>
      <c r="I27" s="23"/>
      <c r="J27" s="91"/>
    </row>
    <row r="28" spans="1:15" ht="15" customHeight="1">
      <c r="A28" s="194" t="s">
        <v>13</v>
      </c>
      <c r="B28" s="195"/>
      <c r="C28" s="196"/>
      <c r="D28" s="200" t="s">
        <v>14</v>
      </c>
      <c r="E28" s="201"/>
      <c r="F28" s="3"/>
      <c r="G28" s="63"/>
      <c r="H28" s="3"/>
      <c r="I28" s="23"/>
      <c r="J28" s="91"/>
      <c r="M28" s="264" t="s">
        <v>994</v>
      </c>
    </row>
    <row r="29" spans="1:15" ht="15" customHeight="1">
      <c r="A29" s="223"/>
      <c r="B29" s="224"/>
      <c r="C29" s="225"/>
      <c r="D29" s="231">
        <v>46116</v>
      </c>
      <c r="E29" s="232"/>
      <c r="F29" s="3"/>
      <c r="I29" s="23"/>
      <c r="J29" s="91"/>
    </row>
    <row r="30" spans="1:15" ht="15" customHeight="1" thickBot="1">
      <c r="A30" s="223"/>
      <c r="B30" s="224"/>
      <c r="C30" s="225"/>
      <c r="D30" s="233"/>
      <c r="E30" s="234"/>
      <c r="F30" s="3"/>
      <c r="I30" s="23"/>
      <c r="J30" s="91"/>
    </row>
    <row r="31" spans="1:15" ht="15" customHeight="1">
      <c r="A31" s="194" t="s">
        <v>15</v>
      </c>
      <c r="B31" s="195"/>
      <c r="C31" s="196"/>
      <c r="D31" s="194" t="s">
        <v>18</v>
      </c>
      <c r="E31" s="196"/>
      <c r="F31" s="202" t="s">
        <v>16</v>
      </c>
      <c r="G31" s="203"/>
      <c r="H31" s="206" t="s">
        <v>17</v>
      </c>
      <c r="I31" s="206" t="s">
        <v>4</v>
      </c>
      <c r="J31" s="121"/>
      <c r="K31" s="238" t="s">
        <v>325</v>
      </c>
      <c r="L31" s="236" t="s">
        <v>44</v>
      </c>
      <c r="M31" s="236" t="s">
        <v>591</v>
      </c>
      <c r="N31" s="236" t="s">
        <v>592</v>
      </c>
      <c r="O31" s="236"/>
    </row>
    <row r="32" spans="1:15" ht="15" customHeight="1" thickBot="1">
      <c r="A32" s="197"/>
      <c r="B32" s="198"/>
      <c r="C32" s="199"/>
      <c r="D32" s="197"/>
      <c r="E32" s="199"/>
      <c r="F32" s="204"/>
      <c r="G32" s="205"/>
      <c r="H32" s="207"/>
      <c r="I32" s="207"/>
      <c r="J32" s="122"/>
      <c r="K32" s="238"/>
      <c r="L32" s="237"/>
      <c r="M32" s="237"/>
      <c r="N32" s="237"/>
      <c r="O32" s="237"/>
    </row>
    <row r="33" spans="1:15" ht="15" customHeight="1">
      <c r="A33" s="123"/>
      <c r="B33" s="124"/>
      <c r="C33" s="125"/>
      <c r="D33" s="126"/>
      <c r="E33" s="125"/>
      <c r="F33" s="229"/>
      <c r="G33" s="230"/>
      <c r="H33" s="125"/>
      <c r="I33" s="125"/>
      <c r="J33" s="91"/>
      <c r="K33" s="127"/>
      <c r="L33" s="127"/>
      <c r="M33" s="147"/>
      <c r="N33" s="147"/>
      <c r="O33" s="127"/>
    </row>
    <row r="34" spans="1:15" ht="15" customHeight="1">
      <c r="A34" s="128"/>
      <c r="B34" s="97" t="s">
        <v>49</v>
      </c>
      <c r="C34" s="98"/>
      <c r="D34" s="99" t="s">
        <v>50</v>
      </c>
      <c r="E34" s="100"/>
      <c r="F34" s="192">
        <v>14</v>
      </c>
      <c r="G34" s="193"/>
      <c r="H34" s="129">
        <v>9.83</v>
      </c>
      <c r="I34" s="80">
        <f t="shared" ref="I34:I502" si="0">F34*H34</f>
        <v>137.62</v>
      </c>
      <c r="J34" s="119" t="s">
        <v>986</v>
      </c>
      <c r="K34" s="145" t="s">
        <v>226</v>
      </c>
      <c r="L34" s="146"/>
      <c r="M34" s="148" t="s">
        <v>233</v>
      </c>
      <c r="N34" s="136" t="s">
        <v>593</v>
      </c>
      <c r="O34" s="150" t="s">
        <v>594</v>
      </c>
    </row>
    <row r="35" spans="1:15" ht="15" customHeight="1">
      <c r="A35" s="70"/>
      <c r="B35" s="97" t="s">
        <v>49</v>
      </c>
      <c r="C35" s="77"/>
      <c r="D35" s="101" t="s">
        <v>51</v>
      </c>
      <c r="E35" s="79"/>
      <c r="F35" s="192">
        <v>4</v>
      </c>
      <c r="G35" s="193"/>
      <c r="H35" s="132">
        <v>0.23</v>
      </c>
      <c r="I35" s="78">
        <f t="shared" si="0"/>
        <v>0.92</v>
      </c>
      <c r="J35" s="119" t="s">
        <v>986</v>
      </c>
      <c r="K35" s="130" t="s">
        <v>227</v>
      </c>
      <c r="L35" s="131"/>
      <c r="M35" s="149" t="s">
        <v>234</v>
      </c>
      <c r="N35" s="135" t="s">
        <v>595</v>
      </c>
      <c r="O35" s="151" t="s">
        <v>596</v>
      </c>
    </row>
    <row r="36" spans="1:15" ht="15" customHeight="1">
      <c r="A36" s="70"/>
      <c r="B36" s="97" t="s">
        <v>49</v>
      </c>
      <c r="C36" s="98"/>
      <c r="D36" s="101" t="s">
        <v>52</v>
      </c>
      <c r="E36" s="79"/>
      <c r="F36" s="192">
        <v>14</v>
      </c>
      <c r="G36" s="193"/>
      <c r="H36" s="132">
        <v>13.81</v>
      </c>
      <c r="I36" s="78">
        <f t="shared" si="0"/>
        <v>193.34</v>
      </c>
      <c r="J36" s="119" t="s">
        <v>986</v>
      </c>
      <c r="K36" s="130" t="s">
        <v>226</v>
      </c>
      <c r="L36" s="131"/>
      <c r="M36" s="149" t="s">
        <v>235</v>
      </c>
      <c r="N36" s="135" t="s">
        <v>597</v>
      </c>
      <c r="O36" s="151" t="s">
        <v>598</v>
      </c>
    </row>
    <row r="37" spans="1:15" ht="15" customHeight="1">
      <c r="A37" s="70"/>
      <c r="B37" s="97" t="s">
        <v>49</v>
      </c>
      <c r="C37" s="77"/>
      <c r="D37" s="101" t="s">
        <v>53</v>
      </c>
      <c r="E37" s="79"/>
      <c r="F37" s="192">
        <v>2</v>
      </c>
      <c r="G37" s="193"/>
      <c r="H37" s="132">
        <v>13.81</v>
      </c>
      <c r="I37" s="78">
        <f t="shared" si="0"/>
        <v>27.62</v>
      </c>
      <c r="J37" s="119" t="s">
        <v>986</v>
      </c>
      <c r="K37" s="130" t="s">
        <v>226</v>
      </c>
      <c r="L37" s="131"/>
      <c r="M37" s="149" t="s">
        <v>235</v>
      </c>
      <c r="N37" s="135" t="s">
        <v>597</v>
      </c>
      <c r="O37" s="151" t="s">
        <v>599</v>
      </c>
    </row>
    <row r="38" spans="1:15" ht="15" customHeight="1">
      <c r="A38" s="70"/>
      <c r="B38" s="97" t="s">
        <v>49</v>
      </c>
      <c r="C38" s="98"/>
      <c r="D38" s="101" t="s">
        <v>54</v>
      </c>
      <c r="E38" s="79"/>
      <c r="F38" s="192">
        <v>2</v>
      </c>
      <c r="G38" s="193"/>
      <c r="H38" s="132">
        <v>9.36</v>
      </c>
      <c r="I38" s="78">
        <f t="shared" si="0"/>
        <v>18.72</v>
      </c>
      <c r="J38" s="119" t="s">
        <v>986</v>
      </c>
      <c r="K38" s="130" t="s">
        <v>228</v>
      </c>
      <c r="L38" s="131"/>
      <c r="M38" s="149" t="s">
        <v>236</v>
      </c>
      <c r="N38" s="135" t="s">
        <v>600</v>
      </c>
      <c r="O38" s="151" t="s">
        <v>601</v>
      </c>
    </row>
    <row r="39" spans="1:15" ht="15" customHeight="1">
      <c r="A39" s="70"/>
      <c r="B39" s="97" t="s">
        <v>49</v>
      </c>
      <c r="C39" s="77"/>
      <c r="D39" s="101" t="s">
        <v>55</v>
      </c>
      <c r="E39" s="79"/>
      <c r="F39" s="192">
        <v>2</v>
      </c>
      <c r="G39" s="193"/>
      <c r="H39" s="132">
        <v>12.64</v>
      </c>
      <c r="I39" s="78">
        <f t="shared" si="0"/>
        <v>25.28</v>
      </c>
      <c r="J39" s="119" t="s">
        <v>986</v>
      </c>
      <c r="K39" s="130" t="s">
        <v>228</v>
      </c>
      <c r="L39" s="131"/>
      <c r="M39" s="149" t="s">
        <v>236</v>
      </c>
      <c r="N39" s="135" t="s">
        <v>600</v>
      </c>
      <c r="O39" s="151" t="s">
        <v>602</v>
      </c>
    </row>
    <row r="40" spans="1:15" ht="15" customHeight="1">
      <c r="A40" s="70"/>
      <c r="B40" s="97" t="s">
        <v>49</v>
      </c>
      <c r="C40" s="98"/>
      <c r="D40" s="101" t="s">
        <v>56</v>
      </c>
      <c r="E40" s="79"/>
      <c r="F40" s="192">
        <v>4</v>
      </c>
      <c r="G40" s="193"/>
      <c r="H40" s="132">
        <v>0.27</v>
      </c>
      <c r="I40" s="78">
        <f t="shared" si="0"/>
        <v>1.08</v>
      </c>
      <c r="J40" s="119" t="s">
        <v>986</v>
      </c>
      <c r="K40" s="130" t="s">
        <v>226</v>
      </c>
      <c r="L40" s="131"/>
      <c r="M40" s="149" t="s">
        <v>56</v>
      </c>
      <c r="N40" s="135" t="s">
        <v>603</v>
      </c>
      <c r="O40" s="151" t="s">
        <v>604</v>
      </c>
    </row>
    <row r="41" spans="1:15" ht="15" customHeight="1">
      <c r="A41" s="70"/>
      <c r="B41" s="97" t="s">
        <v>49</v>
      </c>
      <c r="C41" s="77"/>
      <c r="D41" s="101" t="s">
        <v>57</v>
      </c>
      <c r="E41" s="79"/>
      <c r="F41" s="192">
        <v>4</v>
      </c>
      <c r="G41" s="193"/>
      <c r="H41" s="132">
        <v>0.53</v>
      </c>
      <c r="I41" s="78">
        <f t="shared" si="0"/>
        <v>2.12</v>
      </c>
      <c r="J41" s="119" t="s">
        <v>986</v>
      </c>
      <c r="K41" s="130" t="s">
        <v>226</v>
      </c>
      <c r="L41" s="131"/>
      <c r="M41" s="149" t="s">
        <v>237</v>
      </c>
      <c r="N41" s="135" t="s">
        <v>605</v>
      </c>
      <c r="O41" s="151" t="s">
        <v>606</v>
      </c>
    </row>
    <row r="42" spans="1:15" ht="15" customHeight="1">
      <c r="A42" s="70"/>
      <c r="B42" s="97" t="s">
        <v>49</v>
      </c>
      <c r="C42" s="98"/>
      <c r="D42" s="101" t="s">
        <v>58</v>
      </c>
      <c r="E42" s="79"/>
      <c r="F42" s="192">
        <v>4</v>
      </c>
      <c r="G42" s="193"/>
      <c r="H42" s="132">
        <v>0.31</v>
      </c>
      <c r="I42" s="78">
        <f t="shared" si="0"/>
        <v>1.24</v>
      </c>
      <c r="J42" s="119" t="s">
        <v>986</v>
      </c>
      <c r="K42" s="130" t="s">
        <v>226</v>
      </c>
      <c r="L42" s="131"/>
      <c r="M42" s="149" t="s">
        <v>238</v>
      </c>
      <c r="N42" s="135" t="s">
        <v>607</v>
      </c>
      <c r="O42" s="151" t="s">
        <v>608</v>
      </c>
    </row>
    <row r="43" spans="1:15" ht="15" customHeight="1">
      <c r="A43" s="70"/>
      <c r="B43" s="97" t="s">
        <v>49</v>
      </c>
      <c r="C43" s="77"/>
      <c r="D43" s="101" t="s">
        <v>59</v>
      </c>
      <c r="E43" s="79"/>
      <c r="F43" s="192">
        <v>2</v>
      </c>
      <c r="G43" s="193"/>
      <c r="H43" s="132">
        <v>31.06</v>
      </c>
      <c r="I43" s="78">
        <f t="shared" si="0"/>
        <v>62.12</v>
      </c>
      <c r="J43" s="119" t="s">
        <v>986</v>
      </c>
      <c r="K43" s="130" t="s">
        <v>226</v>
      </c>
      <c r="L43" s="131"/>
      <c r="M43" s="149" t="s">
        <v>239</v>
      </c>
      <c r="N43" s="135" t="s">
        <v>609</v>
      </c>
      <c r="O43" s="151" t="s">
        <v>610</v>
      </c>
    </row>
    <row r="44" spans="1:15" ht="15" customHeight="1">
      <c r="A44" s="70"/>
      <c r="B44" s="97" t="s">
        <v>49</v>
      </c>
      <c r="C44" s="98"/>
      <c r="D44" s="101" t="s">
        <v>60</v>
      </c>
      <c r="E44" s="79"/>
      <c r="F44" s="192">
        <v>2</v>
      </c>
      <c r="G44" s="193"/>
      <c r="H44" s="132">
        <v>42.76</v>
      </c>
      <c r="I44" s="78">
        <f t="shared" si="0"/>
        <v>85.52</v>
      </c>
      <c r="J44" s="119" t="s">
        <v>986</v>
      </c>
      <c r="K44" s="130" t="s">
        <v>226</v>
      </c>
      <c r="L44" s="131"/>
      <c r="M44" s="149" t="s">
        <v>240</v>
      </c>
      <c r="N44" s="135" t="s">
        <v>609</v>
      </c>
      <c r="O44" s="151" t="s">
        <v>611</v>
      </c>
    </row>
    <row r="45" spans="1:15" ht="15" customHeight="1">
      <c r="A45" s="70"/>
      <c r="B45" s="97" t="s">
        <v>49</v>
      </c>
      <c r="C45" s="77"/>
      <c r="D45" s="101" t="s">
        <v>61</v>
      </c>
      <c r="E45" s="79"/>
      <c r="F45" s="192">
        <v>8</v>
      </c>
      <c r="G45" s="193"/>
      <c r="H45" s="132">
        <v>8.19</v>
      </c>
      <c r="I45" s="78">
        <f t="shared" si="0"/>
        <v>65.52</v>
      </c>
      <c r="J45" s="119" t="s">
        <v>986</v>
      </c>
      <c r="K45" s="130" t="s">
        <v>229</v>
      </c>
      <c r="L45" s="131"/>
      <c r="M45" s="149" t="s">
        <v>241</v>
      </c>
      <c r="N45" s="135" t="s">
        <v>593</v>
      </c>
      <c r="O45" s="151" t="s">
        <v>612</v>
      </c>
    </row>
    <row r="46" spans="1:15" ht="15" customHeight="1">
      <c r="A46" s="70"/>
      <c r="B46" s="97" t="s">
        <v>49</v>
      </c>
      <c r="C46" s="98"/>
      <c r="D46" s="101" t="s">
        <v>62</v>
      </c>
      <c r="E46" s="79"/>
      <c r="F46" s="192">
        <v>8</v>
      </c>
      <c r="G46" s="193"/>
      <c r="H46" s="132">
        <v>8.27</v>
      </c>
      <c r="I46" s="78">
        <f t="shared" si="0"/>
        <v>66.16</v>
      </c>
      <c r="J46" s="119" t="s">
        <v>986</v>
      </c>
      <c r="K46" s="130" t="s">
        <v>229</v>
      </c>
      <c r="L46" s="131"/>
      <c r="M46" s="149" t="s">
        <v>242</v>
      </c>
      <c r="N46" s="135" t="s">
        <v>613</v>
      </c>
      <c r="O46" s="151" t="s">
        <v>614</v>
      </c>
    </row>
    <row r="47" spans="1:15" ht="15" customHeight="1">
      <c r="A47" s="70"/>
      <c r="B47" s="97" t="s">
        <v>49</v>
      </c>
      <c r="C47" s="77"/>
      <c r="D47" s="101" t="s">
        <v>63</v>
      </c>
      <c r="E47" s="79"/>
      <c r="F47" s="192">
        <v>2</v>
      </c>
      <c r="G47" s="193"/>
      <c r="H47" s="132">
        <v>287.14</v>
      </c>
      <c r="I47" s="78">
        <f t="shared" si="0"/>
        <v>574.28</v>
      </c>
      <c r="J47" s="119" t="s">
        <v>986</v>
      </c>
      <c r="K47" s="130" t="s">
        <v>229</v>
      </c>
      <c r="L47" s="131"/>
      <c r="M47" s="149" t="s">
        <v>243</v>
      </c>
      <c r="N47" s="135" t="s">
        <v>615</v>
      </c>
      <c r="O47" s="151" t="s">
        <v>616</v>
      </c>
    </row>
    <row r="48" spans="1:15" ht="15" customHeight="1">
      <c r="A48" s="70"/>
      <c r="B48" s="97" t="s">
        <v>49</v>
      </c>
      <c r="C48" s="98"/>
      <c r="D48" s="101" t="s">
        <v>64</v>
      </c>
      <c r="E48" s="79"/>
      <c r="F48" s="192">
        <v>14</v>
      </c>
      <c r="G48" s="193"/>
      <c r="H48" s="132">
        <v>1.72</v>
      </c>
      <c r="I48" s="78">
        <f t="shared" si="0"/>
        <v>24.08</v>
      </c>
      <c r="J48" s="119" t="s">
        <v>986</v>
      </c>
      <c r="K48" s="130" t="s">
        <v>229</v>
      </c>
      <c r="L48" s="131"/>
      <c r="M48" s="149" t="s">
        <v>244</v>
      </c>
      <c r="N48" s="135" t="s">
        <v>613</v>
      </c>
      <c r="O48" s="151" t="s">
        <v>617</v>
      </c>
    </row>
    <row r="49" spans="1:15" ht="15" customHeight="1">
      <c r="A49" s="70"/>
      <c r="B49" s="97" t="s">
        <v>49</v>
      </c>
      <c r="C49" s="77"/>
      <c r="D49" s="101" t="s">
        <v>65</v>
      </c>
      <c r="E49" s="79"/>
      <c r="F49" s="192">
        <v>2</v>
      </c>
      <c r="G49" s="193"/>
      <c r="H49" s="132">
        <v>10.14</v>
      </c>
      <c r="I49" s="78">
        <f t="shared" si="0"/>
        <v>20.28</v>
      </c>
      <c r="J49" s="119" t="s">
        <v>986</v>
      </c>
      <c r="K49" s="130" t="s">
        <v>230</v>
      </c>
      <c r="L49" s="131"/>
      <c r="M49" s="149" t="s">
        <v>245</v>
      </c>
      <c r="N49" s="135" t="s">
        <v>618</v>
      </c>
      <c r="O49" s="151" t="s">
        <v>619</v>
      </c>
    </row>
    <row r="50" spans="1:15" ht="15" customHeight="1">
      <c r="A50" s="70"/>
      <c r="B50" s="97" t="s">
        <v>49</v>
      </c>
      <c r="C50" s="98"/>
      <c r="D50" s="101" t="s">
        <v>66</v>
      </c>
      <c r="E50" s="79"/>
      <c r="F50" s="192">
        <v>2</v>
      </c>
      <c r="G50" s="193"/>
      <c r="H50" s="132">
        <v>20.29</v>
      </c>
      <c r="I50" s="78">
        <f t="shared" si="0"/>
        <v>40.58</v>
      </c>
      <c r="J50" s="119" t="s">
        <v>986</v>
      </c>
      <c r="K50" s="130" t="s">
        <v>230</v>
      </c>
      <c r="L50" s="131"/>
      <c r="M50" s="149" t="s">
        <v>245</v>
      </c>
      <c r="N50" s="135" t="s">
        <v>618</v>
      </c>
      <c r="O50" s="151" t="s">
        <v>620</v>
      </c>
    </row>
    <row r="51" spans="1:15" ht="15" customHeight="1">
      <c r="A51" s="70"/>
      <c r="B51" s="97" t="s">
        <v>49</v>
      </c>
      <c r="C51" s="77"/>
      <c r="D51" s="101" t="s">
        <v>67</v>
      </c>
      <c r="E51" s="79"/>
      <c r="F51" s="192">
        <v>2</v>
      </c>
      <c r="G51" s="193"/>
      <c r="H51" s="132">
        <v>18.73</v>
      </c>
      <c r="I51" s="78">
        <f t="shared" si="0"/>
        <v>37.46</v>
      </c>
      <c r="J51" s="119" t="s">
        <v>986</v>
      </c>
      <c r="K51" s="130" t="s">
        <v>230</v>
      </c>
      <c r="L51" s="131"/>
      <c r="M51" s="149" t="s">
        <v>246</v>
      </c>
      <c r="N51" s="135" t="s">
        <v>597</v>
      </c>
      <c r="O51" s="151" t="s">
        <v>621</v>
      </c>
    </row>
    <row r="52" spans="1:15" ht="15" customHeight="1">
      <c r="A52" s="70"/>
      <c r="B52" s="97" t="s">
        <v>49</v>
      </c>
      <c r="C52" s="98"/>
      <c r="D52" s="101" t="s">
        <v>68</v>
      </c>
      <c r="E52" s="79"/>
      <c r="F52" s="192">
        <v>2</v>
      </c>
      <c r="G52" s="193"/>
      <c r="H52" s="132">
        <v>18.73</v>
      </c>
      <c r="I52" s="78">
        <f t="shared" si="0"/>
        <v>37.46</v>
      </c>
      <c r="J52" s="119" t="s">
        <v>986</v>
      </c>
      <c r="K52" s="130" t="s">
        <v>230</v>
      </c>
      <c r="L52" s="131"/>
      <c r="M52" s="149" t="s">
        <v>246</v>
      </c>
      <c r="N52" s="135" t="s">
        <v>597</v>
      </c>
      <c r="O52" s="152" t="s">
        <v>622</v>
      </c>
    </row>
    <row r="53" spans="1:15" ht="15" customHeight="1">
      <c r="A53" s="70"/>
      <c r="B53" s="97" t="s">
        <v>49</v>
      </c>
      <c r="C53" s="77"/>
      <c r="D53" s="101" t="s">
        <v>69</v>
      </c>
      <c r="E53" s="79"/>
      <c r="F53" s="192">
        <v>8</v>
      </c>
      <c r="G53" s="193"/>
      <c r="H53" s="132">
        <v>7.02</v>
      </c>
      <c r="I53" s="78">
        <f t="shared" si="0"/>
        <v>56.16</v>
      </c>
      <c r="J53" s="119" t="s">
        <v>986</v>
      </c>
      <c r="K53" s="130" t="s">
        <v>230</v>
      </c>
      <c r="L53" s="131"/>
      <c r="M53" s="149" t="s">
        <v>247</v>
      </c>
      <c r="N53" s="135" t="s">
        <v>623</v>
      </c>
      <c r="O53" s="152" t="s">
        <v>624</v>
      </c>
    </row>
    <row r="54" spans="1:15" ht="15" customHeight="1">
      <c r="A54" s="70"/>
      <c r="B54" s="97" t="s">
        <v>49</v>
      </c>
      <c r="C54" s="98"/>
      <c r="D54" s="101" t="s">
        <v>70</v>
      </c>
      <c r="E54" s="79"/>
      <c r="F54" s="192">
        <v>4</v>
      </c>
      <c r="G54" s="193"/>
      <c r="H54" s="132">
        <v>18.73</v>
      </c>
      <c r="I54" s="78">
        <f t="shared" si="0"/>
        <v>74.92</v>
      </c>
      <c r="J54" s="119" t="s">
        <v>986</v>
      </c>
      <c r="K54" s="130" t="s">
        <v>230</v>
      </c>
      <c r="L54" s="131"/>
      <c r="M54" s="149" t="s">
        <v>246</v>
      </c>
      <c r="N54" s="135" t="s">
        <v>597</v>
      </c>
      <c r="O54" s="152" t="s">
        <v>625</v>
      </c>
    </row>
    <row r="55" spans="1:15" ht="15" customHeight="1">
      <c r="A55" s="70"/>
      <c r="B55" s="97" t="s">
        <v>49</v>
      </c>
      <c r="C55" s="77"/>
      <c r="D55" s="101" t="s">
        <v>71</v>
      </c>
      <c r="E55" s="79"/>
      <c r="F55" s="192">
        <v>2</v>
      </c>
      <c r="G55" s="193"/>
      <c r="H55" s="132">
        <v>23.72</v>
      </c>
      <c r="I55" s="78">
        <f t="shared" si="0"/>
        <v>47.44</v>
      </c>
      <c r="J55" s="119" t="s">
        <v>986</v>
      </c>
      <c r="K55" s="130" t="s">
        <v>226</v>
      </c>
      <c r="L55" s="131"/>
      <c r="M55" s="149" t="s">
        <v>248</v>
      </c>
      <c r="N55" s="135" t="s">
        <v>626</v>
      </c>
      <c r="O55" s="152" t="s">
        <v>627</v>
      </c>
    </row>
    <row r="56" spans="1:15" ht="15" customHeight="1">
      <c r="A56" s="70"/>
      <c r="B56" s="97" t="s">
        <v>49</v>
      </c>
      <c r="C56" s="98"/>
      <c r="D56" s="101" t="s">
        <v>72</v>
      </c>
      <c r="E56" s="79"/>
      <c r="F56" s="192">
        <v>2</v>
      </c>
      <c r="G56" s="193"/>
      <c r="H56" s="132">
        <v>4.72</v>
      </c>
      <c r="I56" s="78">
        <f t="shared" si="0"/>
        <v>9.44</v>
      </c>
      <c r="J56" s="119" t="s">
        <v>986</v>
      </c>
      <c r="K56" s="130" t="s">
        <v>226</v>
      </c>
      <c r="L56" s="131"/>
      <c r="M56" s="149" t="s">
        <v>248</v>
      </c>
      <c r="N56" s="135" t="s">
        <v>626</v>
      </c>
      <c r="O56" s="152" t="s">
        <v>628</v>
      </c>
    </row>
    <row r="57" spans="1:15" ht="15" customHeight="1">
      <c r="A57" s="70"/>
      <c r="B57" s="97" t="s">
        <v>49</v>
      </c>
      <c r="C57" s="77"/>
      <c r="D57" s="101" t="s">
        <v>73</v>
      </c>
      <c r="E57" s="79"/>
      <c r="F57" s="192">
        <v>2</v>
      </c>
      <c r="G57" s="193"/>
      <c r="H57" s="132">
        <v>15.45</v>
      </c>
      <c r="I57" s="78">
        <f t="shared" si="0"/>
        <v>30.9</v>
      </c>
      <c r="J57" s="119" t="s">
        <v>986</v>
      </c>
      <c r="K57" s="130" t="s">
        <v>226</v>
      </c>
      <c r="L57" s="131"/>
      <c r="M57" s="149" t="s">
        <v>248</v>
      </c>
      <c r="N57" s="135" t="s">
        <v>626</v>
      </c>
      <c r="O57" s="152" t="s">
        <v>629</v>
      </c>
    </row>
    <row r="58" spans="1:15" ht="15" customHeight="1">
      <c r="A58" s="70"/>
      <c r="B58" s="97" t="s">
        <v>49</v>
      </c>
      <c r="C58" s="98"/>
      <c r="D58" s="101" t="s">
        <v>74</v>
      </c>
      <c r="E58" s="79"/>
      <c r="F58" s="192">
        <v>4</v>
      </c>
      <c r="G58" s="193"/>
      <c r="H58" s="132">
        <v>3.12</v>
      </c>
      <c r="I58" s="78">
        <f t="shared" si="0"/>
        <v>12.48</v>
      </c>
      <c r="J58" s="119" t="s">
        <v>986</v>
      </c>
      <c r="K58" s="130" t="s">
        <v>226</v>
      </c>
      <c r="L58" s="131"/>
      <c r="M58" s="149" t="s">
        <v>249</v>
      </c>
      <c r="N58" s="135" t="s">
        <v>630</v>
      </c>
      <c r="O58" s="152" t="s">
        <v>631</v>
      </c>
    </row>
    <row r="59" spans="1:15" ht="15" customHeight="1">
      <c r="A59" s="70"/>
      <c r="B59" s="97" t="s">
        <v>49</v>
      </c>
      <c r="C59" s="77"/>
      <c r="D59" s="101" t="s">
        <v>75</v>
      </c>
      <c r="E59" s="79"/>
      <c r="F59" s="192">
        <v>4</v>
      </c>
      <c r="G59" s="193"/>
      <c r="H59" s="132">
        <v>4.5999999999999996</v>
      </c>
      <c r="I59" s="78">
        <f t="shared" si="0"/>
        <v>18.399999999999999</v>
      </c>
      <c r="J59" s="119" t="s">
        <v>986</v>
      </c>
      <c r="K59" s="130" t="s">
        <v>226</v>
      </c>
      <c r="L59" s="131"/>
      <c r="M59" s="149" t="s">
        <v>250</v>
      </c>
      <c r="N59" s="135" t="s">
        <v>632</v>
      </c>
      <c r="O59" s="152" t="s">
        <v>633</v>
      </c>
    </row>
    <row r="60" spans="1:15" ht="15" customHeight="1">
      <c r="A60" s="70"/>
      <c r="B60" s="97" t="s">
        <v>49</v>
      </c>
      <c r="C60" s="98"/>
      <c r="D60" s="101" t="s">
        <v>76</v>
      </c>
      <c r="E60" s="79"/>
      <c r="F60" s="192">
        <v>8</v>
      </c>
      <c r="G60" s="193"/>
      <c r="H60" s="132">
        <v>25.75</v>
      </c>
      <c r="I60" s="78">
        <f t="shared" si="0"/>
        <v>206</v>
      </c>
      <c r="J60" s="119" t="s">
        <v>986</v>
      </c>
      <c r="K60" s="130" t="s">
        <v>229</v>
      </c>
      <c r="L60" s="131"/>
      <c r="M60" s="149" t="s">
        <v>249</v>
      </c>
      <c r="N60" s="135" t="s">
        <v>634</v>
      </c>
      <c r="O60" s="152" t="s">
        <v>635</v>
      </c>
    </row>
    <row r="61" spans="1:15" ht="15" customHeight="1">
      <c r="A61" s="70"/>
      <c r="B61" s="97" t="s">
        <v>49</v>
      </c>
      <c r="C61" s="77"/>
      <c r="D61" s="101" t="s">
        <v>77</v>
      </c>
      <c r="E61" s="79"/>
      <c r="F61" s="192">
        <v>2</v>
      </c>
      <c r="G61" s="193"/>
      <c r="H61" s="132">
        <v>46.82</v>
      </c>
      <c r="I61" s="78">
        <f t="shared" si="0"/>
        <v>93.64</v>
      </c>
      <c r="J61" s="119" t="s">
        <v>986</v>
      </c>
      <c r="K61" s="130" t="s">
        <v>231</v>
      </c>
      <c r="L61" s="131"/>
      <c r="M61" s="149" t="s">
        <v>251</v>
      </c>
      <c r="N61" s="135" t="s">
        <v>636</v>
      </c>
      <c r="O61" s="152" t="s">
        <v>637</v>
      </c>
    </row>
    <row r="62" spans="1:15" ht="15" customHeight="1">
      <c r="A62" s="70"/>
      <c r="B62" s="97" t="s">
        <v>49</v>
      </c>
      <c r="C62" s="98"/>
      <c r="D62" s="101" t="s">
        <v>78</v>
      </c>
      <c r="E62" s="79"/>
      <c r="F62" s="192">
        <v>2</v>
      </c>
      <c r="G62" s="193"/>
      <c r="H62" s="132">
        <v>226.28</v>
      </c>
      <c r="I62" s="78">
        <f t="shared" si="0"/>
        <v>452.56</v>
      </c>
      <c r="J62" s="119" t="s">
        <v>986</v>
      </c>
      <c r="K62" s="130" t="s">
        <v>232</v>
      </c>
      <c r="L62" s="131"/>
      <c r="M62" s="149" t="s">
        <v>252</v>
      </c>
      <c r="N62" s="135" t="s">
        <v>638</v>
      </c>
      <c r="O62" s="152" t="s">
        <v>639</v>
      </c>
    </row>
    <row r="63" spans="1:15" ht="15" customHeight="1">
      <c r="A63" s="70"/>
      <c r="B63" s="97" t="s">
        <v>49</v>
      </c>
      <c r="C63" s="77"/>
      <c r="D63" s="101" t="s">
        <v>79</v>
      </c>
      <c r="E63" s="79"/>
      <c r="F63" s="192">
        <v>2</v>
      </c>
      <c r="G63" s="193"/>
      <c r="H63" s="132">
        <v>7.8</v>
      </c>
      <c r="I63" s="78">
        <f t="shared" si="0"/>
        <v>15.6</v>
      </c>
      <c r="J63" s="119" t="s">
        <v>986</v>
      </c>
      <c r="K63" s="130" t="s">
        <v>232</v>
      </c>
      <c r="L63" s="131"/>
      <c r="M63" s="149" t="s">
        <v>253</v>
      </c>
      <c r="N63" s="135" t="s">
        <v>640</v>
      </c>
      <c r="O63" s="152" t="s">
        <v>641</v>
      </c>
    </row>
    <row r="64" spans="1:15" ht="15" customHeight="1">
      <c r="A64" s="70"/>
      <c r="B64" s="97" t="s">
        <v>49</v>
      </c>
      <c r="C64" s="98"/>
      <c r="D64" s="101" t="s">
        <v>80</v>
      </c>
      <c r="E64" s="79"/>
      <c r="F64" s="192">
        <v>2</v>
      </c>
      <c r="G64" s="193"/>
      <c r="H64" s="132">
        <v>1.56</v>
      </c>
      <c r="I64" s="78">
        <f t="shared" si="0"/>
        <v>3.12</v>
      </c>
      <c r="J64" s="119" t="s">
        <v>986</v>
      </c>
      <c r="K64" s="130" t="s">
        <v>226</v>
      </c>
      <c r="L64" s="131"/>
      <c r="M64" s="149" t="s">
        <v>254</v>
      </c>
      <c r="N64" s="135" t="s">
        <v>632</v>
      </c>
      <c r="O64" s="152" t="s">
        <v>642</v>
      </c>
    </row>
    <row r="65" spans="1:15" ht="15" customHeight="1">
      <c r="A65" s="70"/>
      <c r="B65" s="97" t="s">
        <v>49</v>
      </c>
      <c r="C65" s="77"/>
      <c r="D65" s="101" t="s">
        <v>81</v>
      </c>
      <c r="E65" s="79"/>
      <c r="F65" s="192">
        <v>2</v>
      </c>
      <c r="G65" s="193"/>
      <c r="H65" s="132">
        <v>29.65</v>
      </c>
      <c r="I65" s="78">
        <f t="shared" si="0"/>
        <v>59.3</v>
      </c>
      <c r="J65" s="119" t="s">
        <v>986</v>
      </c>
      <c r="K65" s="130" t="s">
        <v>226</v>
      </c>
      <c r="L65" s="131"/>
      <c r="M65" s="149" t="s">
        <v>255</v>
      </c>
      <c r="N65" s="135" t="s">
        <v>643</v>
      </c>
      <c r="O65" s="152" t="s">
        <v>644</v>
      </c>
    </row>
    <row r="66" spans="1:15" ht="15" customHeight="1">
      <c r="A66" s="70"/>
      <c r="B66" s="97" t="s">
        <v>49</v>
      </c>
      <c r="C66" s="98"/>
      <c r="D66" s="101" t="s">
        <v>82</v>
      </c>
      <c r="E66" s="79"/>
      <c r="F66" s="192">
        <v>32</v>
      </c>
      <c r="G66" s="193"/>
      <c r="H66" s="132">
        <v>0.12</v>
      </c>
      <c r="I66" s="78">
        <f t="shared" si="0"/>
        <v>3.84</v>
      </c>
      <c r="J66" s="119" t="s">
        <v>986</v>
      </c>
      <c r="K66" s="130" t="s">
        <v>226</v>
      </c>
      <c r="L66" s="131"/>
      <c r="M66" s="149" t="s">
        <v>256</v>
      </c>
      <c r="N66" s="135" t="s">
        <v>607</v>
      </c>
      <c r="O66" s="152" t="s">
        <v>645</v>
      </c>
    </row>
    <row r="67" spans="1:15" ht="15" customHeight="1">
      <c r="A67" s="70"/>
      <c r="B67" s="97" t="s">
        <v>49</v>
      </c>
      <c r="C67" s="77"/>
      <c r="D67" s="101" t="s">
        <v>83</v>
      </c>
      <c r="E67" s="79"/>
      <c r="F67" s="192">
        <v>2</v>
      </c>
      <c r="G67" s="193"/>
      <c r="H67" s="132">
        <v>9.36</v>
      </c>
      <c r="I67" s="78">
        <f t="shared" si="0"/>
        <v>18.72</v>
      </c>
      <c r="J67" s="119" t="s">
        <v>986</v>
      </c>
      <c r="K67" s="130" t="s">
        <v>226</v>
      </c>
      <c r="L67" s="131"/>
      <c r="M67" s="149" t="s">
        <v>257</v>
      </c>
      <c r="N67" s="135" t="s">
        <v>646</v>
      </c>
      <c r="O67" s="152" t="s">
        <v>647</v>
      </c>
    </row>
    <row r="68" spans="1:15" ht="15" customHeight="1">
      <c r="A68" s="70"/>
      <c r="B68" s="97" t="s">
        <v>49</v>
      </c>
      <c r="C68" s="98"/>
      <c r="D68" s="101" t="s">
        <v>84</v>
      </c>
      <c r="E68" s="79"/>
      <c r="F68" s="192">
        <v>2</v>
      </c>
      <c r="G68" s="193"/>
      <c r="H68" s="132">
        <v>0.16</v>
      </c>
      <c r="I68" s="78">
        <f t="shared" si="0"/>
        <v>0.32</v>
      </c>
      <c r="J68" s="119" t="s">
        <v>986</v>
      </c>
      <c r="K68" s="130" t="s">
        <v>226</v>
      </c>
      <c r="L68" s="131"/>
      <c r="M68" s="149" t="s">
        <v>258</v>
      </c>
      <c r="N68" s="135" t="s">
        <v>603</v>
      </c>
      <c r="O68" s="152" t="s">
        <v>648</v>
      </c>
    </row>
    <row r="69" spans="1:15" ht="15" customHeight="1">
      <c r="A69" s="70"/>
      <c r="B69" s="97" t="s">
        <v>49</v>
      </c>
      <c r="C69" s="77"/>
      <c r="D69" s="101" t="s">
        <v>85</v>
      </c>
      <c r="E69" s="79"/>
      <c r="F69" s="192">
        <v>2</v>
      </c>
      <c r="G69" s="193"/>
      <c r="H69" s="132">
        <v>5.07</v>
      </c>
      <c r="I69" s="78">
        <f t="shared" si="0"/>
        <v>10.14</v>
      </c>
      <c r="J69" s="119" t="s">
        <v>986</v>
      </c>
      <c r="K69" s="130" t="s">
        <v>226</v>
      </c>
      <c r="L69" s="131"/>
      <c r="M69" s="149" t="s">
        <v>259</v>
      </c>
      <c r="N69" s="135" t="s">
        <v>649</v>
      </c>
      <c r="O69" s="152" t="s">
        <v>650</v>
      </c>
    </row>
    <row r="70" spans="1:15" ht="15" customHeight="1">
      <c r="A70" s="70"/>
      <c r="B70" s="97" t="s">
        <v>49</v>
      </c>
      <c r="C70" s="98"/>
      <c r="D70" s="101" t="s">
        <v>86</v>
      </c>
      <c r="E70" s="79"/>
      <c r="F70" s="192">
        <v>28</v>
      </c>
      <c r="G70" s="193"/>
      <c r="H70" s="132">
        <v>3.93</v>
      </c>
      <c r="I70" s="78">
        <f t="shared" si="0"/>
        <v>110.04</v>
      </c>
      <c r="J70" s="119" t="s">
        <v>986</v>
      </c>
      <c r="K70" s="130" t="s">
        <v>229</v>
      </c>
      <c r="L70" s="131"/>
      <c r="M70" s="149" t="s">
        <v>260</v>
      </c>
      <c r="N70" s="135" t="s">
        <v>651</v>
      </c>
      <c r="O70" s="152" t="s">
        <v>652</v>
      </c>
    </row>
    <row r="71" spans="1:15" ht="15" customHeight="1">
      <c r="A71" s="70"/>
      <c r="B71" s="97" t="s">
        <v>49</v>
      </c>
      <c r="C71" s="77"/>
      <c r="D71" s="101" t="s">
        <v>87</v>
      </c>
      <c r="E71" s="79"/>
      <c r="F71" s="192">
        <v>2</v>
      </c>
      <c r="G71" s="193"/>
      <c r="H71" s="132">
        <v>129.94</v>
      </c>
      <c r="I71" s="78">
        <f t="shared" si="0"/>
        <v>259.88</v>
      </c>
      <c r="J71" s="119" t="s">
        <v>986</v>
      </c>
      <c r="K71" s="130" t="s">
        <v>229</v>
      </c>
      <c r="L71" s="131"/>
      <c r="M71" s="149" t="s">
        <v>261</v>
      </c>
      <c r="N71" s="135" t="s">
        <v>653</v>
      </c>
      <c r="O71" s="152" t="s">
        <v>654</v>
      </c>
    </row>
    <row r="72" spans="1:15" ht="15" customHeight="1">
      <c r="A72" s="70"/>
      <c r="B72" s="97" t="s">
        <v>49</v>
      </c>
      <c r="C72" s="98"/>
      <c r="D72" s="101" t="s">
        <v>88</v>
      </c>
      <c r="E72" s="79"/>
      <c r="F72" s="192">
        <v>2</v>
      </c>
      <c r="G72" s="193"/>
      <c r="H72" s="132">
        <v>118.35</v>
      </c>
      <c r="I72" s="78">
        <f t="shared" si="0"/>
        <v>236.7</v>
      </c>
      <c r="J72" s="119" t="s">
        <v>986</v>
      </c>
      <c r="K72" s="130" t="s">
        <v>229</v>
      </c>
      <c r="L72" s="131"/>
      <c r="M72" s="149" t="s">
        <v>261</v>
      </c>
      <c r="N72" s="135" t="s">
        <v>653</v>
      </c>
      <c r="O72" s="152" t="s">
        <v>655</v>
      </c>
    </row>
    <row r="73" spans="1:15" ht="15" customHeight="1">
      <c r="A73" s="70"/>
      <c r="B73" s="97" t="s">
        <v>49</v>
      </c>
      <c r="C73" s="77"/>
      <c r="D73" s="101" t="s">
        <v>89</v>
      </c>
      <c r="E73" s="79"/>
      <c r="F73" s="192">
        <v>2</v>
      </c>
      <c r="G73" s="193"/>
      <c r="H73" s="132">
        <v>141.32</v>
      </c>
      <c r="I73" s="78">
        <f t="shared" si="0"/>
        <v>282.64</v>
      </c>
      <c r="J73" s="119" t="s">
        <v>986</v>
      </c>
      <c r="K73" s="130" t="s">
        <v>229</v>
      </c>
      <c r="L73" s="131"/>
      <c r="M73" s="149" t="s">
        <v>261</v>
      </c>
      <c r="N73" s="135" t="s">
        <v>653</v>
      </c>
      <c r="O73" s="152" t="s">
        <v>656</v>
      </c>
    </row>
    <row r="74" spans="1:15" ht="15" customHeight="1">
      <c r="A74" s="70"/>
      <c r="B74" s="97" t="s">
        <v>49</v>
      </c>
      <c r="C74" s="98"/>
      <c r="D74" s="101" t="s">
        <v>90</v>
      </c>
      <c r="E74" s="79"/>
      <c r="F74" s="192">
        <v>4</v>
      </c>
      <c r="G74" s="193"/>
      <c r="H74" s="132">
        <v>146.04</v>
      </c>
      <c r="I74" s="78">
        <f t="shared" si="0"/>
        <v>584.16</v>
      </c>
      <c r="J74" s="119" t="s">
        <v>986</v>
      </c>
      <c r="K74" s="130" t="s">
        <v>229</v>
      </c>
      <c r="L74" s="131"/>
      <c r="M74" s="149" t="s">
        <v>261</v>
      </c>
      <c r="N74" s="135" t="s">
        <v>653</v>
      </c>
      <c r="O74" s="152" t="s">
        <v>657</v>
      </c>
    </row>
    <row r="75" spans="1:15" ht="15" customHeight="1">
      <c r="A75" s="70"/>
      <c r="B75" s="97" t="s">
        <v>49</v>
      </c>
      <c r="C75" s="77"/>
      <c r="D75" s="101" t="s">
        <v>91</v>
      </c>
      <c r="E75" s="79"/>
      <c r="F75" s="192">
        <v>16</v>
      </c>
      <c r="G75" s="193"/>
      <c r="H75" s="132">
        <v>6.04</v>
      </c>
      <c r="I75" s="78">
        <f t="shared" si="0"/>
        <v>96.64</v>
      </c>
      <c r="J75" s="119" t="s">
        <v>986</v>
      </c>
      <c r="K75" s="130" t="s">
        <v>229</v>
      </c>
      <c r="L75" s="131"/>
      <c r="M75" s="149" t="s">
        <v>260</v>
      </c>
      <c r="N75" s="135" t="s">
        <v>651</v>
      </c>
      <c r="O75" s="152" t="s">
        <v>658</v>
      </c>
    </row>
    <row r="76" spans="1:15" ht="15" customHeight="1">
      <c r="A76" s="70"/>
      <c r="B76" s="97" t="s">
        <v>49</v>
      </c>
      <c r="C76" s="98"/>
      <c r="D76" s="101" t="s">
        <v>92</v>
      </c>
      <c r="E76" s="79"/>
      <c r="F76" s="192">
        <v>4</v>
      </c>
      <c r="G76" s="193"/>
      <c r="H76" s="132">
        <v>85.64</v>
      </c>
      <c r="I76" s="78">
        <f t="shared" si="0"/>
        <v>342.56</v>
      </c>
      <c r="J76" s="119" t="s">
        <v>986</v>
      </c>
      <c r="K76" s="130" t="s">
        <v>229</v>
      </c>
      <c r="L76" s="131"/>
      <c r="M76" s="149" t="s">
        <v>261</v>
      </c>
      <c r="N76" s="135" t="s">
        <v>653</v>
      </c>
      <c r="O76" s="152" t="s">
        <v>659</v>
      </c>
    </row>
    <row r="77" spans="1:15" ht="15" customHeight="1">
      <c r="A77" s="70"/>
      <c r="B77" s="97" t="s">
        <v>49</v>
      </c>
      <c r="C77" s="77"/>
      <c r="D77" s="101" t="s">
        <v>93</v>
      </c>
      <c r="E77" s="79"/>
      <c r="F77" s="192">
        <v>10</v>
      </c>
      <c r="G77" s="193"/>
      <c r="H77" s="132">
        <v>2.2400000000000002</v>
      </c>
      <c r="I77" s="78">
        <f t="shared" si="0"/>
        <v>22.400000000000002</v>
      </c>
      <c r="J77" s="119" t="s">
        <v>986</v>
      </c>
      <c r="K77" s="130" t="s">
        <v>229</v>
      </c>
      <c r="L77" s="131"/>
      <c r="M77" s="149" t="s">
        <v>262</v>
      </c>
      <c r="N77" s="135" t="s">
        <v>660</v>
      </c>
      <c r="O77" s="152" t="s">
        <v>661</v>
      </c>
    </row>
    <row r="78" spans="1:15" ht="15" customHeight="1">
      <c r="A78" s="70"/>
      <c r="B78" s="97" t="s">
        <v>49</v>
      </c>
      <c r="C78" s="98"/>
      <c r="D78" s="101" t="s">
        <v>94</v>
      </c>
      <c r="E78" s="79"/>
      <c r="F78" s="192">
        <v>8</v>
      </c>
      <c r="G78" s="193"/>
      <c r="H78" s="132">
        <v>1.1200000000000001</v>
      </c>
      <c r="I78" s="78">
        <f t="shared" si="0"/>
        <v>8.9600000000000009</v>
      </c>
      <c r="J78" s="119" t="s">
        <v>986</v>
      </c>
      <c r="K78" s="130" t="s">
        <v>229</v>
      </c>
      <c r="L78" s="131"/>
      <c r="M78" s="149" t="s">
        <v>262</v>
      </c>
      <c r="N78" s="135" t="s">
        <v>660</v>
      </c>
      <c r="O78" s="152" t="s">
        <v>662</v>
      </c>
    </row>
    <row r="79" spans="1:15" ht="15" customHeight="1">
      <c r="A79" s="70"/>
      <c r="B79" s="97" t="s">
        <v>49</v>
      </c>
      <c r="C79" s="77"/>
      <c r="D79" s="101" t="s">
        <v>95</v>
      </c>
      <c r="E79" s="79"/>
      <c r="F79" s="192">
        <v>2</v>
      </c>
      <c r="G79" s="193"/>
      <c r="H79" s="132">
        <v>67.709999999999994</v>
      </c>
      <c r="I79" s="78">
        <f t="shared" si="0"/>
        <v>135.41999999999999</v>
      </c>
      <c r="J79" s="119" t="s">
        <v>986</v>
      </c>
      <c r="K79" s="130" t="s">
        <v>229</v>
      </c>
      <c r="L79" s="131"/>
      <c r="M79" s="149" t="s">
        <v>261</v>
      </c>
      <c r="N79" s="135" t="s">
        <v>653</v>
      </c>
      <c r="O79" s="152" t="s">
        <v>663</v>
      </c>
    </row>
    <row r="80" spans="1:15" ht="15" customHeight="1">
      <c r="A80" s="70"/>
      <c r="B80" s="97" t="s">
        <v>49</v>
      </c>
      <c r="C80" s="98"/>
      <c r="D80" s="101" t="s">
        <v>96</v>
      </c>
      <c r="E80" s="79"/>
      <c r="F80" s="192">
        <v>32</v>
      </c>
      <c r="G80" s="193"/>
      <c r="H80" s="132">
        <v>2.81</v>
      </c>
      <c r="I80" s="78">
        <f t="shared" si="0"/>
        <v>89.92</v>
      </c>
      <c r="J80" s="119" t="s">
        <v>986</v>
      </c>
      <c r="K80" s="130" t="s">
        <v>229</v>
      </c>
      <c r="L80" s="131"/>
      <c r="M80" s="149" t="s">
        <v>263</v>
      </c>
      <c r="N80" s="135" t="s">
        <v>595</v>
      </c>
      <c r="O80" s="152" t="s">
        <v>664</v>
      </c>
    </row>
    <row r="81" spans="1:15" ht="15" customHeight="1">
      <c r="A81" s="70"/>
      <c r="B81" s="97" t="s">
        <v>49</v>
      </c>
      <c r="C81" s="77"/>
      <c r="D81" s="101" t="s">
        <v>97</v>
      </c>
      <c r="E81" s="79"/>
      <c r="F81" s="192">
        <v>8</v>
      </c>
      <c r="G81" s="193"/>
      <c r="H81" s="132">
        <v>3.93</v>
      </c>
      <c r="I81" s="78">
        <f t="shared" si="0"/>
        <v>31.44</v>
      </c>
      <c r="J81" s="119" t="s">
        <v>986</v>
      </c>
      <c r="K81" s="130" t="s">
        <v>229</v>
      </c>
      <c r="L81" s="131"/>
      <c r="M81" s="149" t="s">
        <v>260</v>
      </c>
      <c r="N81" s="135" t="s">
        <v>651</v>
      </c>
      <c r="O81" s="152" t="s">
        <v>665</v>
      </c>
    </row>
    <row r="82" spans="1:15" ht="15" customHeight="1">
      <c r="A82" s="70"/>
      <c r="B82" s="97" t="s">
        <v>49</v>
      </c>
      <c r="C82" s="98"/>
      <c r="D82" s="101" t="s">
        <v>98</v>
      </c>
      <c r="E82" s="79"/>
      <c r="F82" s="192">
        <v>2</v>
      </c>
      <c r="G82" s="193"/>
      <c r="H82" s="132">
        <v>1.69</v>
      </c>
      <c r="I82" s="78">
        <f t="shared" si="0"/>
        <v>3.38</v>
      </c>
      <c r="J82" s="119" t="s">
        <v>986</v>
      </c>
      <c r="K82" s="130" t="s">
        <v>229</v>
      </c>
      <c r="L82" s="131"/>
      <c r="M82" s="149" t="s">
        <v>262</v>
      </c>
      <c r="N82" s="135" t="s">
        <v>660</v>
      </c>
      <c r="O82" s="152" t="s">
        <v>666</v>
      </c>
    </row>
    <row r="83" spans="1:15" ht="15" customHeight="1">
      <c r="A83" s="70"/>
      <c r="B83" s="97" t="s">
        <v>49</v>
      </c>
      <c r="C83" s="77"/>
      <c r="D83" s="101" t="s">
        <v>99</v>
      </c>
      <c r="E83" s="79"/>
      <c r="F83" s="192">
        <v>2</v>
      </c>
      <c r="G83" s="193"/>
      <c r="H83" s="132">
        <v>203.09</v>
      </c>
      <c r="I83" s="78">
        <f t="shared" si="0"/>
        <v>406.18</v>
      </c>
      <c r="J83" s="119" t="s">
        <v>986</v>
      </c>
      <c r="K83" s="130" t="s">
        <v>229</v>
      </c>
      <c r="L83" s="131"/>
      <c r="M83" s="149" t="s">
        <v>261</v>
      </c>
      <c r="N83" s="135" t="s">
        <v>653</v>
      </c>
      <c r="O83" s="152" t="s">
        <v>667</v>
      </c>
    </row>
    <row r="84" spans="1:15" ht="15" customHeight="1">
      <c r="A84" s="70"/>
      <c r="B84" s="97" t="s">
        <v>49</v>
      </c>
      <c r="C84" s="98"/>
      <c r="D84" s="101" t="s">
        <v>100</v>
      </c>
      <c r="E84" s="79"/>
      <c r="F84" s="192">
        <v>2</v>
      </c>
      <c r="G84" s="193"/>
      <c r="H84" s="132">
        <v>157.35</v>
      </c>
      <c r="I84" s="78">
        <f t="shared" si="0"/>
        <v>314.7</v>
      </c>
      <c r="J84" s="119" t="s">
        <v>986</v>
      </c>
      <c r="K84" s="130" t="s">
        <v>229</v>
      </c>
      <c r="L84" s="131"/>
      <c r="M84" s="149" t="s">
        <v>261</v>
      </c>
      <c r="N84" s="135" t="s">
        <v>653</v>
      </c>
      <c r="O84" s="152" t="s">
        <v>668</v>
      </c>
    </row>
    <row r="85" spans="1:15" ht="15" customHeight="1">
      <c r="A85" s="70"/>
      <c r="B85" s="97" t="s">
        <v>49</v>
      </c>
      <c r="C85" s="77"/>
      <c r="D85" s="101" t="s">
        <v>101</v>
      </c>
      <c r="E85" s="79"/>
      <c r="F85" s="192">
        <v>4</v>
      </c>
      <c r="G85" s="193"/>
      <c r="H85" s="132">
        <v>35.42</v>
      </c>
      <c r="I85" s="78">
        <f t="shared" si="0"/>
        <v>141.68</v>
      </c>
      <c r="J85" s="119" t="s">
        <v>986</v>
      </c>
      <c r="K85" s="130" t="s">
        <v>229</v>
      </c>
      <c r="L85" s="131"/>
      <c r="M85" s="149" t="s">
        <v>261</v>
      </c>
      <c r="N85" s="135" t="s">
        <v>653</v>
      </c>
      <c r="O85" s="152" t="s">
        <v>669</v>
      </c>
    </row>
    <row r="86" spans="1:15" ht="15" customHeight="1">
      <c r="A86" s="70"/>
      <c r="B86" s="97" t="s">
        <v>49</v>
      </c>
      <c r="C86" s="98"/>
      <c r="D86" s="101" t="s">
        <v>102</v>
      </c>
      <c r="E86" s="79"/>
      <c r="F86" s="192">
        <v>2</v>
      </c>
      <c r="G86" s="193"/>
      <c r="H86" s="132">
        <v>13.28</v>
      </c>
      <c r="I86" s="78">
        <f t="shared" si="0"/>
        <v>26.56</v>
      </c>
      <c r="J86" s="119" t="s">
        <v>986</v>
      </c>
      <c r="K86" s="130" t="s">
        <v>229</v>
      </c>
      <c r="L86" s="131"/>
      <c r="M86" s="149" t="s">
        <v>264</v>
      </c>
      <c r="N86" s="135" t="s">
        <v>670</v>
      </c>
      <c r="O86" s="152" t="s">
        <v>671</v>
      </c>
    </row>
    <row r="87" spans="1:15" ht="15" customHeight="1">
      <c r="A87" s="70"/>
      <c r="B87" s="97" t="s">
        <v>49</v>
      </c>
      <c r="C87" s="77"/>
      <c r="D87" s="101" t="s">
        <v>103</v>
      </c>
      <c r="E87" s="79"/>
      <c r="F87" s="192">
        <v>4</v>
      </c>
      <c r="G87" s="193"/>
      <c r="H87" s="132">
        <v>25</v>
      </c>
      <c r="I87" s="78">
        <f t="shared" si="0"/>
        <v>100</v>
      </c>
      <c r="J87" s="119" t="s">
        <v>986</v>
      </c>
      <c r="K87" s="130" t="s">
        <v>229</v>
      </c>
      <c r="L87" s="131"/>
      <c r="M87" s="149" t="s">
        <v>265</v>
      </c>
      <c r="N87" s="135" t="s">
        <v>672</v>
      </c>
      <c r="O87" s="152" t="s">
        <v>673</v>
      </c>
    </row>
    <row r="88" spans="1:15" ht="15" customHeight="1">
      <c r="A88" s="70"/>
      <c r="B88" s="97" t="s">
        <v>49</v>
      </c>
      <c r="C88" s="98"/>
      <c r="D88" s="101" t="s">
        <v>104</v>
      </c>
      <c r="E88" s="79"/>
      <c r="F88" s="192">
        <v>2</v>
      </c>
      <c r="G88" s="193"/>
      <c r="H88" s="132">
        <v>5.98</v>
      </c>
      <c r="I88" s="78">
        <f t="shared" si="0"/>
        <v>11.96</v>
      </c>
      <c r="J88" s="119" t="s">
        <v>986</v>
      </c>
      <c r="K88" s="130" t="s">
        <v>229</v>
      </c>
      <c r="L88" s="131"/>
      <c r="M88" s="149" t="s">
        <v>262</v>
      </c>
      <c r="N88" s="135" t="s">
        <v>660</v>
      </c>
      <c r="O88" s="152" t="s">
        <v>674</v>
      </c>
    </row>
    <row r="89" spans="1:15" ht="15" customHeight="1">
      <c r="A89" s="70"/>
      <c r="B89" s="97" t="s">
        <v>49</v>
      </c>
      <c r="C89" s="77"/>
      <c r="D89" s="101" t="s">
        <v>105</v>
      </c>
      <c r="E89" s="79"/>
      <c r="F89" s="192">
        <v>8</v>
      </c>
      <c r="G89" s="193"/>
      <c r="H89" s="132">
        <v>0.41</v>
      </c>
      <c r="I89" s="78">
        <f t="shared" si="0"/>
        <v>3.28</v>
      </c>
      <c r="J89" s="119" t="s">
        <v>986</v>
      </c>
      <c r="K89" s="130" t="s">
        <v>229</v>
      </c>
      <c r="L89" s="131"/>
      <c r="M89" s="149" t="s">
        <v>266</v>
      </c>
      <c r="N89" s="135" t="s">
        <v>675</v>
      </c>
      <c r="O89" s="152" t="s">
        <v>676</v>
      </c>
    </row>
    <row r="90" spans="1:15" ht="15" customHeight="1">
      <c r="A90" s="70"/>
      <c r="B90" s="97" t="s">
        <v>49</v>
      </c>
      <c r="C90" s="98"/>
      <c r="D90" s="101" t="s">
        <v>106</v>
      </c>
      <c r="E90" s="79"/>
      <c r="F90" s="192">
        <v>16</v>
      </c>
      <c r="G90" s="193"/>
      <c r="H90" s="132">
        <v>1.3</v>
      </c>
      <c r="I90" s="78">
        <f t="shared" si="0"/>
        <v>20.8</v>
      </c>
      <c r="J90" s="119" t="s">
        <v>986</v>
      </c>
      <c r="K90" s="130" t="s">
        <v>229</v>
      </c>
      <c r="L90" s="131"/>
      <c r="M90" s="149" t="s">
        <v>263</v>
      </c>
      <c r="N90" s="135" t="s">
        <v>607</v>
      </c>
      <c r="O90" s="152" t="s">
        <v>677</v>
      </c>
    </row>
    <row r="91" spans="1:15" ht="15" customHeight="1">
      <c r="A91" s="70"/>
      <c r="B91" s="97" t="s">
        <v>49</v>
      </c>
      <c r="C91" s="77"/>
      <c r="D91" s="101" t="s">
        <v>107</v>
      </c>
      <c r="E91" s="79"/>
      <c r="F91" s="192">
        <v>16</v>
      </c>
      <c r="G91" s="193"/>
      <c r="H91" s="132">
        <v>0.23</v>
      </c>
      <c r="I91" s="78">
        <f t="shared" si="0"/>
        <v>3.68</v>
      </c>
      <c r="J91" s="119" t="s">
        <v>986</v>
      </c>
      <c r="K91" s="130" t="s">
        <v>229</v>
      </c>
      <c r="L91" s="131"/>
      <c r="M91" s="149" t="s">
        <v>266</v>
      </c>
      <c r="N91" s="135" t="s">
        <v>607</v>
      </c>
      <c r="O91" s="152" t="s">
        <v>678</v>
      </c>
    </row>
    <row r="92" spans="1:15" ht="15" customHeight="1">
      <c r="A92" s="70"/>
      <c r="B92" s="97" t="s">
        <v>49</v>
      </c>
      <c r="C92" s="98"/>
      <c r="D92" s="101" t="s">
        <v>108</v>
      </c>
      <c r="E92" s="79"/>
      <c r="F92" s="192">
        <v>2</v>
      </c>
      <c r="G92" s="193"/>
      <c r="H92" s="132">
        <v>11.65</v>
      </c>
      <c r="I92" s="78">
        <f t="shared" si="0"/>
        <v>23.3</v>
      </c>
      <c r="J92" s="119" t="s">
        <v>986</v>
      </c>
      <c r="K92" s="130" t="s">
        <v>229</v>
      </c>
      <c r="L92" s="131"/>
      <c r="M92" s="149" t="s">
        <v>267</v>
      </c>
      <c r="N92" s="135" t="s">
        <v>638</v>
      </c>
      <c r="O92" s="152" t="s">
        <v>679</v>
      </c>
    </row>
    <row r="93" spans="1:15" ht="15" customHeight="1">
      <c r="A93" s="70"/>
      <c r="B93" s="97" t="s">
        <v>49</v>
      </c>
      <c r="C93" s="77"/>
      <c r="D93" s="101" t="s">
        <v>109</v>
      </c>
      <c r="E93" s="79"/>
      <c r="F93" s="192">
        <v>2</v>
      </c>
      <c r="G93" s="193"/>
      <c r="H93" s="132">
        <v>6.41</v>
      </c>
      <c r="I93" s="78">
        <f t="shared" si="0"/>
        <v>12.82</v>
      </c>
      <c r="J93" s="119" t="s">
        <v>986</v>
      </c>
      <c r="K93" s="130" t="s">
        <v>229</v>
      </c>
      <c r="L93" s="131"/>
      <c r="M93" s="149" t="s">
        <v>267</v>
      </c>
      <c r="N93" s="135" t="s">
        <v>638</v>
      </c>
      <c r="O93" s="152" t="s">
        <v>680</v>
      </c>
    </row>
    <row r="94" spans="1:15" ht="15" customHeight="1">
      <c r="A94" s="70"/>
      <c r="B94" s="97" t="s">
        <v>49</v>
      </c>
      <c r="C94" s="98"/>
      <c r="D94" s="101" t="s">
        <v>110</v>
      </c>
      <c r="E94" s="79"/>
      <c r="F94" s="192">
        <v>4</v>
      </c>
      <c r="G94" s="193"/>
      <c r="H94" s="132">
        <v>2.0499999999999998</v>
      </c>
      <c r="I94" s="78">
        <f t="shared" si="0"/>
        <v>8.1999999999999993</v>
      </c>
      <c r="J94" s="119" t="s">
        <v>986</v>
      </c>
      <c r="K94" s="130" t="s">
        <v>229</v>
      </c>
      <c r="L94" s="131"/>
      <c r="M94" s="149" t="s">
        <v>263</v>
      </c>
      <c r="N94" s="135" t="s">
        <v>595</v>
      </c>
      <c r="O94" s="152" t="s">
        <v>681</v>
      </c>
    </row>
    <row r="95" spans="1:15" ht="15" customHeight="1">
      <c r="A95" s="70"/>
      <c r="B95" s="97" t="s">
        <v>49</v>
      </c>
      <c r="C95" s="77"/>
      <c r="D95" s="101" t="s">
        <v>111</v>
      </c>
      <c r="E95" s="79"/>
      <c r="F95" s="192">
        <v>6</v>
      </c>
      <c r="G95" s="193"/>
      <c r="H95" s="132">
        <v>0.23</v>
      </c>
      <c r="I95" s="78">
        <f t="shared" si="0"/>
        <v>1.3800000000000001</v>
      </c>
      <c r="J95" s="119" t="s">
        <v>986</v>
      </c>
      <c r="K95" s="130" t="s">
        <v>229</v>
      </c>
      <c r="L95" s="131"/>
      <c r="M95" s="149" t="s">
        <v>266</v>
      </c>
      <c r="N95" s="135" t="s">
        <v>607</v>
      </c>
      <c r="O95" s="152" t="s">
        <v>682</v>
      </c>
    </row>
    <row r="96" spans="1:15" ht="15" customHeight="1">
      <c r="A96" s="70"/>
      <c r="B96" s="97" t="s">
        <v>49</v>
      </c>
      <c r="C96" s="98"/>
      <c r="D96" s="101" t="s">
        <v>112</v>
      </c>
      <c r="E96" s="79"/>
      <c r="F96" s="192">
        <v>28</v>
      </c>
      <c r="G96" s="193"/>
      <c r="H96" s="132">
        <v>20.65</v>
      </c>
      <c r="I96" s="78">
        <f t="shared" si="0"/>
        <v>578.19999999999993</v>
      </c>
      <c r="J96" s="119" t="s">
        <v>986</v>
      </c>
      <c r="K96" s="130" t="s">
        <v>229</v>
      </c>
      <c r="L96" s="131"/>
      <c r="M96" s="149" t="s">
        <v>268</v>
      </c>
      <c r="N96" s="135" t="s">
        <v>651</v>
      </c>
      <c r="O96" s="152" t="s">
        <v>683</v>
      </c>
    </row>
    <row r="97" spans="1:15" ht="15" customHeight="1">
      <c r="A97" s="70"/>
      <c r="B97" s="97" t="s">
        <v>49</v>
      </c>
      <c r="C97" s="77"/>
      <c r="D97" s="101" t="s">
        <v>113</v>
      </c>
      <c r="E97" s="79"/>
      <c r="F97" s="192">
        <v>4</v>
      </c>
      <c r="G97" s="193"/>
      <c r="H97" s="132">
        <v>20.65</v>
      </c>
      <c r="I97" s="78">
        <f t="shared" si="0"/>
        <v>82.6</v>
      </c>
      <c r="J97" s="119" t="s">
        <v>986</v>
      </c>
      <c r="K97" s="130" t="s">
        <v>229</v>
      </c>
      <c r="L97" s="131"/>
      <c r="M97" s="149" t="s">
        <v>268</v>
      </c>
      <c r="N97" s="135" t="s">
        <v>651</v>
      </c>
      <c r="O97" s="152" t="s">
        <v>684</v>
      </c>
    </row>
    <row r="98" spans="1:15" ht="15" customHeight="1">
      <c r="A98" s="70"/>
      <c r="B98" s="97" t="s">
        <v>49</v>
      </c>
      <c r="C98" s="98"/>
      <c r="D98" s="101" t="s">
        <v>114</v>
      </c>
      <c r="E98" s="79"/>
      <c r="F98" s="192">
        <v>4</v>
      </c>
      <c r="G98" s="193"/>
      <c r="H98" s="132">
        <v>23.86</v>
      </c>
      <c r="I98" s="78">
        <f t="shared" si="0"/>
        <v>95.44</v>
      </c>
      <c r="J98" s="119" t="s">
        <v>986</v>
      </c>
      <c r="K98" s="130" t="s">
        <v>229</v>
      </c>
      <c r="L98" s="131"/>
      <c r="M98" s="149" t="s">
        <v>268</v>
      </c>
      <c r="N98" s="135" t="s">
        <v>651</v>
      </c>
      <c r="O98" s="152" t="s">
        <v>685</v>
      </c>
    </row>
    <row r="99" spans="1:15" ht="15" customHeight="1">
      <c r="A99" s="70"/>
      <c r="B99" s="97" t="s">
        <v>49</v>
      </c>
      <c r="C99" s="77"/>
      <c r="D99" s="101" t="s">
        <v>115</v>
      </c>
      <c r="E99" s="79"/>
      <c r="F99" s="192">
        <v>2</v>
      </c>
      <c r="G99" s="193"/>
      <c r="H99" s="132">
        <v>9</v>
      </c>
      <c r="I99" s="78">
        <f t="shared" si="0"/>
        <v>18</v>
      </c>
      <c r="J99" s="119" t="s">
        <v>986</v>
      </c>
      <c r="K99" s="130" t="s">
        <v>229</v>
      </c>
      <c r="L99" s="131"/>
      <c r="M99" s="149" t="s">
        <v>267</v>
      </c>
      <c r="N99" s="135" t="s">
        <v>638</v>
      </c>
      <c r="O99" s="152" t="s">
        <v>686</v>
      </c>
    </row>
    <row r="100" spans="1:15" ht="15" customHeight="1">
      <c r="A100" s="70"/>
      <c r="B100" s="97" t="s">
        <v>49</v>
      </c>
      <c r="C100" s="98"/>
      <c r="D100" s="101" t="s">
        <v>116</v>
      </c>
      <c r="E100" s="79"/>
      <c r="F100" s="192">
        <v>4</v>
      </c>
      <c r="G100" s="193"/>
      <c r="H100" s="132">
        <v>7.79</v>
      </c>
      <c r="I100" s="78">
        <f t="shared" si="0"/>
        <v>31.16</v>
      </c>
      <c r="J100" s="119" t="s">
        <v>986</v>
      </c>
      <c r="K100" s="130" t="s">
        <v>229</v>
      </c>
      <c r="L100" s="131"/>
      <c r="M100" s="149" t="s">
        <v>267</v>
      </c>
      <c r="N100" s="135" t="s">
        <v>638</v>
      </c>
      <c r="O100" s="152" t="s">
        <v>687</v>
      </c>
    </row>
    <row r="101" spans="1:15" ht="15" customHeight="1">
      <c r="A101" s="70"/>
      <c r="B101" s="97" t="s">
        <v>49</v>
      </c>
      <c r="C101" s="77"/>
      <c r="D101" s="101" t="s">
        <v>117</v>
      </c>
      <c r="E101" s="79"/>
      <c r="F101" s="192">
        <v>12</v>
      </c>
      <c r="G101" s="193"/>
      <c r="H101" s="132">
        <v>1.81</v>
      </c>
      <c r="I101" s="78">
        <f t="shared" si="0"/>
        <v>21.72</v>
      </c>
      <c r="J101" s="119" t="s">
        <v>986</v>
      </c>
      <c r="K101" s="130" t="s">
        <v>229</v>
      </c>
      <c r="L101" s="131"/>
      <c r="M101" s="149" t="s">
        <v>262</v>
      </c>
      <c r="N101" s="135" t="s">
        <v>675</v>
      </c>
      <c r="O101" s="152" t="s">
        <v>688</v>
      </c>
    </row>
    <row r="102" spans="1:15" ht="15" customHeight="1">
      <c r="A102" s="70"/>
      <c r="B102" s="97" t="s">
        <v>49</v>
      </c>
      <c r="C102" s="98"/>
      <c r="D102" s="101" t="s">
        <v>118</v>
      </c>
      <c r="E102" s="79"/>
      <c r="F102" s="192">
        <v>4</v>
      </c>
      <c r="G102" s="193"/>
      <c r="H102" s="132">
        <v>1</v>
      </c>
      <c r="I102" s="78">
        <f t="shared" si="0"/>
        <v>4</v>
      </c>
      <c r="J102" s="119" t="s">
        <v>986</v>
      </c>
      <c r="K102" s="130" t="s">
        <v>229</v>
      </c>
      <c r="L102" s="131"/>
      <c r="M102" s="149" t="s">
        <v>269</v>
      </c>
      <c r="N102" s="135" t="s">
        <v>638</v>
      </c>
      <c r="O102" s="152" t="s">
        <v>689</v>
      </c>
    </row>
    <row r="103" spans="1:15" ht="15" customHeight="1">
      <c r="A103" s="70"/>
      <c r="B103" s="97" t="s">
        <v>49</v>
      </c>
      <c r="C103" s="77"/>
      <c r="D103" s="101" t="s">
        <v>119</v>
      </c>
      <c r="E103" s="79"/>
      <c r="F103" s="192">
        <v>8</v>
      </c>
      <c r="G103" s="193"/>
      <c r="H103" s="132">
        <v>1.47</v>
      </c>
      <c r="I103" s="78">
        <f t="shared" si="0"/>
        <v>11.76</v>
      </c>
      <c r="J103" s="119" t="s">
        <v>986</v>
      </c>
      <c r="K103" s="130" t="s">
        <v>229</v>
      </c>
      <c r="L103" s="131"/>
      <c r="M103" s="149" t="s">
        <v>262</v>
      </c>
      <c r="N103" s="135" t="s">
        <v>660</v>
      </c>
      <c r="O103" s="152" t="s">
        <v>690</v>
      </c>
    </row>
    <row r="104" spans="1:15" ht="15" customHeight="1">
      <c r="A104" s="70"/>
      <c r="B104" s="97" t="s">
        <v>49</v>
      </c>
      <c r="C104" s="98"/>
      <c r="D104" s="101" t="s">
        <v>120</v>
      </c>
      <c r="E104" s="79"/>
      <c r="F104" s="192">
        <v>2</v>
      </c>
      <c r="G104" s="193"/>
      <c r="H104" s="132">
        <v>2.4500000000000002</v>
      </c>
      <c r="I104" s="78">
        <f t="shared" si="0"/>
        <v>4.9000000000000004</v>
      </c>
      <c r="J104" s="119" t="s">
        <v>986</v>
      </c>
      <c r="K104" s="130" t="s">
        <v>229</v>
      </c>
      <c r="L104" s="131"/>
      <c r="M104" s="149" t="s">
        <v>270</v>
      </c>
      <c r="N104" s="135" t="s">
        <v>607</v>
      </c>
      <c r="O104" s="152" t="s">
        <v>691</v>
      </c>
    </row>
    <row r="105" spans="1:15" ht="15" customHeight="1">
      <c r="A105" s="70"/>
      <c r="B105" s="97" t="s">
        <v>49</v>
      </c>
      <c r="C105" s="77"/>
      <c r="D105" s="101" t="s">
        <v>121</v>
      </c>
      <c r="E105" s="79"/>
      <c r="F105" s="192">
        <v>2</v>
      </c>
      <c r="G105" s="193"/>
      <c r="H105" s="132">
        <v>4.03</v>
      </c>
      <c r="I105" s="78">
        <f t="shared" si="0"/>
        <v>8.06</v>
      </c>
      <c r="J105" s="119" t="s">
        <v>986</v>
      </c>
      <c r="K105" s="130" t="s">
        <v>229</v>
      </c>
      <c r="L105" s="131"/>
      <c r="M105" s="149" t="s">
        <v>263</v>
      </c>
      <c r="N105" s="135" t="s">
        <v>607</v>
      </c>
      <c r="O105" s="152" t="s">
        <v>692</v>
      </c>
    </row>
    <row r="106" spans="1:15" ht="15" customHeight="1">
      <c r="A106" s="70"/>
      <c r="B106" s="97" t="s">
        <v>49</v>
      </c>
      <c r="C106" s="98"/>
      <c r="D106" s="101" t="s">
        <v>122</v>
      </c>
      <c r="E106" s="79"/>
      <c r="F106" s="192">
        <v>8</v>
      </c>
      <c r="G106" s="193"/>
      <c r="H106" s="132">
        <v>1.23</v>
      </c>
      <c r="I106" s="78">
        <f t="shared" si="0"/>
        <v>9.84</v>
      </c>
      <c r="J106" s="119" t="s">
        <v>986</v>
      </c>
      <c r="K106" s="130" t="s">
        <v>229</v>
      </c>
      <c r="L106" s="131"/>
      <c r="M106" s="149" t="s">
        <v>262</v>
      </c>
      <c r="N106" s="135" t="s">
        <v>660</v>
      </c>
      <c r="O106" s="152" t="s">
        <v>693</v>
      </c>
    </row>
    <row r="107" spans="1:15" ht="15" customHeight="1">
      <c r="A107" s="70"/>
      <c r="B107" s="97" t="s">
        <v>49</v>
      </c>
      <c r="C107" s="77"/>
      <c r="D107" s="101" t="s">
        <v>123</v>
      </c>
      <c r="E107" s="79"/>
      <c r="F107" s="192">
        <v>8</v>
      </c>
      <c r="G107" s="193"/>
      <c r="H107" s="132">
        <v>0.38</v>
      </c>
      <c r="I107" s="78">
        <f t="shared" si="0"/>
        <v>3.04</v>
      </c>
      <c r="J107" s="119" t="s">
        <v>986</v>
      </c>
      <c r="K107" s="130" t="s">
        <v>229</v>
      </c>
      <c r="L107" s="131"/>
      <c r="M107" s="149" t="s">
        <v>266</v>
      </c>
      <c r="N107" s="135" t="s">
        <v>675</v>
      </c>
      <c r="O107" s="152" t="s">
        <v>694</v>
      </c>
    </row>
    <row r="108" spans="1:15" ht="15" customHeight="1">
      <c r="A108" s="70"/>
      <c r="B108" s="97" t="s">
        <v>49</v>
      </c>
      <c r="C108" s="98"/>
      <c r="D108" s="101" t="s">
        <v>124</v>
      </c>
      <c r="E108" s="79"/>
      <c r="F108" s="192">
        <v>4</v>
      </c>
      <c r="G108" s="193"/>
      <c r="H108" s="132">
        <v>28</v>
      </c>
      <c r="I108" s="78">
        <f t="shared" si="0"/>
        <v>112</v>
      </c>
      <c r="J108" s="119" t="s">
        <v>986</v>
      </c>
      <c r="K108" s="130" t="s">
        <v>229</v>
      </c>
      <c r="L108" s="131"/>
      <c r="M108" s="149" t="s">
        <v>268</v>
      </c>
      <c r="N108" s="135" t="s">
        <v>651</v>
      </c>
      <c r="O108" s="152" t="s">
        <v>695</v>
      </c>
    </row>
    <row r="109" spans="1:15" ht="15" customHeight="1">
      <c r="A109" s="70"/>
      <c r="B109" s="97" t="s">
        <v>49</v>
      </c>
      <c r="C109" s="77"/>
      <c r="D109" s="101" t="s">
        <v>125</v>
      </c>
      <c r="E109" s="79"/>
      <c r="F109" s="192">
        <v>2</v>
      </c>
      <c r="G109" s="193"/>
      <c r="H109" s="132">
        <v>148.21</v>
      </c>
      <c r="I109" s="78">
        <f t="shared" si="0"/>
        <v>296.42</v>
      </c>
      <c r="J109" s="119" t="s">
        <v>986</v>
      </c>
      <c r="K109" s="130" t="s">
        <v>229</v>
      </c>
      <c r="L109" s="131"/>
      <c r="M109" s="149" t="s">
        <v>261</v>
      </c>
      <c r="N109" s="135" t="s">
        <v>653</v>
      </c>
      <c r="O109" s="152" t="s">
        <v>696</v>
      </c>
    </row>
    <row r="110" spans="1:15" ht="15" customHeight="1">
      <c r="A110" s="70"/>
      <c r="B110" s="97" t="s">
        <v>49</v>
      </c>
      <c r="C110" s="98"/>
      <c r="D110" s="101" t="s">
        <v>126</v>
      </c>
      <c r="E110" s="79"/>
      <c r="F110" s="192">
        <v>4</v>
      </c>
      <c r="G110" s="193"/>
      <c r="H110" s="132">
        <v>4</v>
      </c>
      <c r="I110" s="78">
        <f t="shared" si="0"/>
        <v>16</v>
      </c>
      <c r="J110" s="119" t="s">
        <v>986</v>
      </c>
      <c r="K110" s="130" t="s">
        <v>229</v>
      </c>
      <c r="L110" s="131"/>
      <c r="M110" s="149" t="s">
        <v>263</v>
      </c>
      <c r="N110" s="135" t="s">
        <v>607</v>
      </c>
      <c r="O110" s="152" t="s">
        <v>697</v>
      </c>
    </row>
    <row r="111" spans="1:15" ht="15" customHeight="1">
      <c r="A111" s="70"/>
      <c r="B111" s="97" t="s">
        <v>49</v>
      </c>
      <c r="C111" s="77"/>
      <c r="D111" s="101" t="s">
        <v>127</v>
      </c>
      <c r="E111" s="79"/>
      <c r="F111" s="192">
        <v>8</v>
      </c>
      <c r="G111" s="193"/>
      <c r="H111" s="132">
        <v>6.09</v>
      </c>
      <c r="I111" s="78">
        <f t="shared" si="0"/>
        <v>48.72</v>
      </c>
      <c r="J111" s="119" t="s">
        <v>986</v>
      </c>
      <c r="K111" s="130" t="s">
        <v>229</v>
      </c>
      <c r="L111" s="131"/>
      <c r="M111" s="149" t="s">
        <v>271</v>
      </c>
      <c r="N111" s="135" t="s">
        <v>675</v>
      </c>
      <c r="O111" s="152" t="s">
        <v>698</v>
      </c>
    </row>
    <row r="112" spans="1:15" ht="15" customHeight="1">
      <c r="A112" s="70"/>
      <c r="B112" s="97" t="s">
        <v>49</v>
      </c>
      <c r="C112" s="98"/>
      <c r="D112" s="101" t="s">
        <v>128</v>
      </c>
      <c r="E112" s="79"/>
      <c r="F112" s="192">
        <v>8</v>
      </c>
      <c r="G112" s="193"/>
      <c r="H112" s="132">
        <v>0.23</v>
      </c>
      <c r="I112" s="78">
        <f t="shared" si="0"/>
        <v>1.84</v>
      </c>
      <c r="J112" s="119" t="s">
        <v>986</v>
      </c>
      <c r="K112" s="130" t="s">
        <v>226</v>
      </c>
      <c r="L112" s="131"/>
      <c r="M112" s="149" t="s">
        <v>272</v>
      </c>
      <c r="N112" s="135" t="s">
        <v>607</v>
      </c>
      <c r="O112" s="152" t="s">
        <v>699</v>
      </c>
    </row>
    <row r="113" spans="1:15" ht="15" customHeight="1">
      <c r="A113" s="70"/>
      <c r="B113" s="97" t="s">
        <v>49</v>
      </c>
      <c r="C113" s="77"/>
      <c r="D113" s="101" t="s">
        <v>129</v>
      </c>
      <c r="E113" s="79"/>
      <c r="F113" s="192">
        <v>12</v>
      </c>
      <c r="G113" s="193"/>
      <c r="H113" s="132">
        <v>0.23</v>
      </c>
      <c r="I113" s="78">
        <f t="shared" si="0"/>
        <v>2.7600000000000002</v>
      </c>
      <c r="J113" s="119" t="s">
        <v>986</v>
      </c>
      <c r="K113" s="130" t="s">
        <v>226</v>
      </c>
      <c r="L113" s="131"/>
      <c r="M113" s="149" t="s">
        <v>272</v>
      </c>
      <c r="N113" s="135" t="s">
        <v>607</v>
      </c>
      <c r="O113" s="152" t="s">
        <v>700</v>
      </c>
    </row>
    <row r="114" spans="1:15" ht="15" customHeight="1">
      <c r="A114" s="70"/>
      <c r="B114" s="97" t="s">
        <v>49</v>
      </c>
      <c r="C114" s="98"/>
      <c r="D114" s="101" t="s">
        <v>130</v>
      </c>
      <c r="E114" s="79"/>
      <c r="F114" s="192">
        <v>12</v>
      </c>
      <c r="G114" s="193"/>
      <c r="H114" s="132">
        <v>2.1800000000000002</v>
      </c>
      <c r="I114" s="78">
        <f t="shared" si="0"/>
        <v>26.160000000000004</v>
      </c>
      <c r="J114" s="119" t="s">
        <v>986</v>
      </c>
      <c r="K114" s="130" t="s">
        <v>226</v>
      </c>
      <c r="L114" s="131"/>
      <c r="M114" s="149" t="s">
        <v>273</v>
      </c>
      <c r="N114" s="135" t="s">
        <v>701</v>
      </c>
      <c r="O114" s="152" t="s">
        <v>702</v>
      </c>
    </row>
    <row r="115" spans="1:15" ht="15" customHeight="1">
      <c r="A115" s="70"/>
      <c r="B115" s="97" t="s">
        <v>49</v>
      </c>
      <c r="C115" s="77"/>
      <c r="D115" s="101" t="s">
        <v>131</v>
      </c>
      <c r="E115" s="79"/>
      <c r="F115" s="192">
        <v>30</v>
      </c>
      <c r="G115" s="193"/>
      <c r="H115" s="132">
        <v>2.1800000000000002</v>
      </c>
      <c r="I115" s="78">
        <f t="shared" si="0"/>
        <v>65.400000000000006</v>
      </c>
      <c r="J115" s="119" t="s">
        <v>986</v>
      </c>
      <c r="K115" s="130" t="s">
        <v>226</v>
      </c>
      <c r="L115" s="131"/>
      <c r="M115" s="149" t="s">
        <v>274</v>
      </c>
      <c r="N115" s="135" t="s">
        <v>703</v>
      </c>
      <c r="O115" s="152" t="s">
        <v>704</v>
      </c>
    </row>
    <row r="116" spans="1:15" ht="15" customHeight="1">
      <c r="A116" s="70"/>
      <c r="B116" s="97" t="s">
        <v>49</v>
      </c>
      <c r="C116" s="98"/>
      <c r="D116" s="101" t="s">
        <v>132</v>
      </c>
      <c r="E116" s="79"/>
      <c r="F116" s="192">
        <v>24</v>
      </c>
      <c r="G116" s="193"/>
      <c r="H116" s="132">
        <v>2.57</v>
      </c>
      <c r="I116" s="78">
        <f t="shared" si="0"/>
        <v>61.679999999999993</v>
      </c>
      <c r="J116" s="119" t="s">
        <v>986</v>
      </c>
      <c r="K116" s="130" t="s">
        <v>226</v>
      </c>
      <c r="L116" s="131"/>
      <c r="M116" s="149" t="s">
        <v>275</v>
      </c>
      <c r="N116" s="135" t="s">
        <v>705</v>
      </c>
      <c r="O116" s="152" t="s">
        <v>706</v>
      </c>
    </row>
    <row r="117" spans="1:15" ht="15" customHeight="1">
      <c r="A117" s="70"/>
      <c r="B117" s="97" t="s">
        <v>49</v>
      </c>
      <c r="C117" s="77"/>
      <c r="D117" s="101" t="s">
        <v>133</v>
      </c>
      <c r="E117" s="79"/>
      <c r="F117" s="192">
        <v>2</v>
      </c>
      <c r="G117" s="193"/>
      <c r="H117" s="132">
        <v>0.16</v>
      </c>
      <c r="I117" s="78">
        <f t="shared" si="0"/>
        <v>0.32</v>
      </c>
      <c r="J117" s="119" t="s">
        <v>986</v>
      </c>
      <c r="K117" s="130" t="s">
        <v>226</v>
      </c>
      <c r="L117" s="131"/>
      <c r="M117" s="149" t="s">
        <v>276</v>
      </c>
      <c r="N117" s="135" t="s">
        <v>603</v>
      </c>
      <c r="O117" s="152" t="s">
        <v>648</v>
      </c>
    </row>
    <row r="118" spans="1:15" ht="15" customHeight="1">
      <c r="A118" s="70"/>
      <c r="B118" s="97" t="s">
        <v>49</v>
      </c>
      <c r="C118" s="98"/>
      <c r="D118" s="101" t="s">
        <v>134</v>
      </c>
      <c r="E118" s="79"/>
      <c r="F118" s="192">
        <v>4</v>
      </c>
      <c r="G118" s="193"/>
      <c r="H118" s="132">
        <v>5.46</v>
      </c>
      <c r="I118" s="78">
        <f t="shared" si="0"/>
        <v>21.84</v>
      </c>
      <c r="J118" s="119" t="s">
        <v>986</v>
      </c>
      <c r="K118" s="130" t="s">
        <v>226</v>
      </c>
      <c r="L118" s="131"/>
      <c r="M118" s="149" t="s">
        <v>277</v>
      </c>
      <c r="N118" s="135" t="s">
        <v>707</v>
      </c>
      <c r="O118" s="152" t="s">
        <v>708</v>
      </c>
    </row>
    <row r="119" spans="1:15" ht="15" customHeight="1">
      <c r="A119" s="70"/>
      <c r="B119" s="97" t="s">
        <v>49</v>
      </c>
      <c r="C119" s="77"/>
      <c r="D119" s="101" t="s">
        <v>135</v>
      </c>
      <c r="E119" s="79"/>
      <c r="F119" s="192">
        <v>2</v>
      </c>
      <c r="G119" s="193"/>
      <c r="H119" s="132">
        <v>16.78</v>
      </c>
      <c r="I119" s="78">
        <f t="shared" si="0"/>
        <v>33.56</v>
      </c>
      <c r="J119" s="119" t="s">
        <v>986</v>
      </c>
      <c r="K119" s="130" t="s">
        <v>226</v>
      </c>
      <c r="L119" s="131"/>
      <c r="M119" s="149" t="s">
        <v>278</v>
      </c>
      <c r="N119" s="135" t="s">
        <v>709</v>
      </c>
      <c r="O119" s="152" t="s">
        <v>710</v>
      </c>
    </row>
    <row r="120" spans="1:15" ht="15" customHeight="1">
      <c r="A120" s="70"/>
      <c r="B120" s="97" t="s">
        <v>49</v>
      </c>
      <c r="C120" s="98"/>
      <c r="D120" s="101" t="s">
        <v>136</v>
      </c>
      <c r="E120" s="79"/>
      <c r="F120" s="192">
        <v>2</v>
      </c>
      <c r="G120" s="193"/>
      <c r="H120" s="132">
        <v>23.25</v>
      </c>
      <c r="I120" s="78">
        <f t="shared" si="0"/>
        <v>46.5</v>
      </c>
      <c r="J120" s="119" t="s">
        <v>986</v>
      </c>
      <c r="K120" s="130" t="s">
        <v>226</v>
      </c>
      <c r="L120" s="131"/>
      <c r="M120" s="149" t="s">
        <v>279</v>
      </c>
      <c r="N120" s="135" t="s">
        <v>711</v>
      </c>
      <c r="O120" s="152" t="s">
        <v>712</v>
      </c>
    </row>
    <row r="121" spans="1:15" ht="15" customHeight="1">
      <c r="A121" s="70"/>
      <c r="B121" s="97" t="s">
        <v>49</v>
      </c>
      <c r="C121" s="77"/>
      <c r="D121" s="101" t="s">
        <v>137</v>
      </c>
      <c r="E121" s="79"/>
      <c r="F121" s="192">
        <v>2</v>
      </c>
      <c r="G121" s="193"/>
      <c r="H121" s="132">
        <v>4.37</v>
      </c>
      <c r="I121" s="78">
        <f t="shared" si="0"/>
        <v>8.74</v>
      </c>
      <c r="J121" s="119" t="s">
        <v>986</v>
      </c>
      <c r="K121" s="130" t="s">
        <v>226</v>
      </c>
      <c r="L121" s="131"/>
      <c r="M121" s="149" t="s">
        <v>280</v>
      </c>
      <c r="N121" s="135" t="s">
        <v>713</v>
      </c>
      <c r="O121" s="152" t="s">
        <v>714</v>
      </c>
    </row>
    <row r="122" spans="1:15" ht="15" customHeight="1">
      <c r="A122" s="70"/>
      <c r="B122" s="97" t="s">
        <v>49</v>
      </c>
      <c r="C122" s="98"/>
      <c r="D122" s="101" t="s">
        <v>138</v>
      </c>
      <c r="E122" s="79"/>
      <c r="F122" s="192">
        <v>2</v>
      </c>
      <c r="G122" s="193"/>
      <c r="H122" s="132">
        <v>5.23</v>
      </c>
      <c r="I122" s="78">
        <f t="shared" si="0"/>
        <v>10.46</v>
      </c>
      <c r="J122" s="119" t="s">
        <v>986</v>
      </c>
      <c r="K122" s="130" t="s">
        <v>226</v>
      </c>
      <c r="L122" s="131"/>
      <c r="M122" s="149" t="s">
        <v>281</v>
      </c>
      <c r="N122" s="135" t="s">
        <v>634</v>
      </c>
      <c r="O122" s="152" t="s">
        <v>715</v>
      </c>
    </row>
    <row r="123" spans="1:15" ht="15" customHeight="1">
      <c r="A123" s="70"/>
      <c r="B123" s="97" t="s">
        <v>49</v>
      </c>
      <c r="C123" s="77"/>
      <c r="D123" s="101" t="s">
        <v>139</v>
      </c>
      <c r="E123" s="79"/>
      <c r="F123" s="192">
        <v>2</v>
      </c>
      <c r="G123" s="193"/>
      <c r="H123" s="132">
        <v>5.23</v>
      </c>
      <c r="I123" s="78">
        <f t="shared" si="0"/>
        <v>10.46</v>
      </c>
      <c r="J123" s="119" t="s">
        <v>986</v>
      </c>
      <c r="K123" s="130" t="s">
        <v>226</v>
      </c>
      <c r="L123" s="131"/>
      <c r="M123" s="149" t="s">
        <v>282</v>
      </c>
      <c r="N123" s="135" t="s">
        <v>634</v>
      </c>
      <c r="O123" s="152" t="s">
        <v>716</v>
      </c>
    </row>
    <row r="124" spans="1:15" ht="15" customHeight="1">
      <c r="A124" s="70"/>
      <c r="B124" s="97" t="s">
        <v>49</v>
      </c>
      <c r="C124" s="98"/>
      <c r="D124" s="101" t="s">
        <v>140</v>
      </c>
      <c r="E124" s="79"/>
      <c r="F124" s="192">
        <v>6</v>
      </c>
      <c r="G124" s="193"/>
      <c r="H124" s="132">
        <v>5.23</v>
      </c>
      <c r="I124" s="78">
        <f t="shared" si="0"/>
        <v>31.380000000000003</v>
      </c>
      <c r="J124" s="119" t="s">
        <v>986</v>
      </c>
      <c r="K124" s="130" t="s">
        <v>226</v>
      </c>
      <c r="L124" s="131"/>
      <c r="M124" s="149" t="s">
        <v>283</v>
      </c>
      <c r="N124" s="135" t="s">
        <v>634</v>
      </c>
      <c r="O124" s="152" t="s">
        <v>717</v>
      </c>
    </row>
    <row r="125" spans="1:15" ht="15" customHeight="1">
      <c r="A125" s="70"/>
      <c r="B125" s="97" t="s">
        <v>49</v>
      </c>
      <c r="C125" s="98"/>
      <c r="D125" s="101" t="s">
        <v>142</v>
      </c>
      <c r="E125" s="79"/>
      <c r="F125" s="192">
        <v>8</v>
      </c>
      <c r="G125" s="193"/>
      <c r="H125" s="132">
        <v>10.53</v>
      </c>
      <c r="I125" s="78">
        <f t="shared" si="0"/>
        <v>84.24</v>
      </c>
      <c r="J125" s="119" t="s">
        <v>986</v>
      </c>
      <c r="K125" s="130" t="s">
        <v>226</v>
      </c>
      <c r="L125" s="131"/>
      <c r="M125" s="149" t="s">
        <v>285</v>
      </c>
      <c r="N125" s="135" t="s">
        <v>719</v>
      </c>
      <c r="O125" s="152" t="s">
        <v>720</v>
      </c>
    </row>
    <row r="126" spans="1:15" ht="15" customHeight="1">
      <c r="A126" s="70"/>
      <c r="B126" s="97" t="s">
        <v>49</v>
      </c>
      <c r="C126" s="98"/>
      <c r="D126" s="101" t="s">
        <v>144</v>
      </c>
      <c r="E126" s="79"/>
      <c r="F126" s="192">
        <v>2</v>
      </c>
      <c r="G126" s="193"/>
      <c r="H126" s="132">
        <v>117.21</v>
      </c>
      <c r="I126" s="78">
        <f t="shared" si="0"/>
        <v>234.42</v>
      </c>
      <c r="J126" s="119" t="s">
        <v>986</v>
      </c>
      <c r="K126" s="130" t="s">
        <v>229</v>
      </c>
      <c r="L126" s="131"/>
      <c r="M126" s="149" t="s">
        <v>261</v>
      </c>
      <c r="N126" s="135" t="s">
        <v>653</v>
      </c>
      <c r="O126" s="152" t="s">
        <v>722</v>
      </c>
    </row>
    <row r="127" spans="1:15" ht="15" customHeight="1">
      <c r="A127" s="70"/>
      <c r="B127" s="97" t="s">
        <v>49</v>
      </c>
      <c r="C127" s="77"/>
      <c r="D127" s="101" t="s">
        <v>145</v>
      </c>
      <c r="E127" s="79"/>
      <c r="F127" s="192">
        <v>2</v>
      </c>
      <c r="G127" s="193"/>
      <c r="H127" s="132">
        <v>146.22</v>
      </c>
      <c r="I127" s="78">
        <f t="shared" si="0"/>
        <v>292.44</v>
      </c>
      <c r="J127" s="119" t="s">
        <v>986</v>
      </c>
      <c r="K127" s="130" t="s">
        <v>229</v>
      </c>
      <c r="L127" s="131"/>
      <c r="M127" s="149" t="s">
        <v>261</v>
      </c>
      <c r="N127" s="135" t="s">
        <v>653</v>
      </c>
      <c r="O127" s="152" t="s">
        <v>723</v>
      </c>
    </row>
    <row r="128" spans="1:15" ht="15" customHeight="1">
      <c r="A128" s="70"/>
      <c r="B128" s="97" t="s">
        <v>49</v>
      </c>
      <c r="C128" s="98"/>
      <c r="D128" s="101" t="s">
        <v>146</v>
      </c>
      <c r="E128" s="79"/>
      <c r="F128" s="192">
        <v>2</v>
      </c>
      <c r="G128" s="193"/>
      <c r="H128" s="132">
        <v>144.78</v>
      </c>
      <c r="I128" s="78">
        <f t="shared" si="0"/>
        <v>289.56</v>
      </c>
      <c r="J128" s="119" t="s">
        <v>986</v>
      </c>
      <c r="K128" s="130" t="s">
        <v>229</v>
      </c>
      <c r="L128" s="131"/>
      <c r="M128" s="149" t="s">
        <v>261</v>
      </c>
      <c r="N128" s="135" t="s">
        <v>653</v>
      </c>
      <c r="O128" s="152" t="s">
        <v>724</v>
      </c>
    </row>
    <row r="129" spans="1:15" ht="15" customHeight="1">
      <c r="A129" s="70"/>
      <c r="B129" s="97" t="s">
        <v>49</v>
      </c>
      <c r="C129" s="77"/>
      <c r="D129" s="101" t="s">
        <v>147</v>
      </c>
      <c r="E129" s="79"/>
      <c r="F129" s="192">
        <v>14</v>
      </c>
      <c r="G129" s="193"/>
      <c r="H129" s="132">
        <v>0.23</v>
      </c>
      <c r="I129" s="78">
        <f t="shared" si="0"/>
        <v>3.22</v>
      </c>
      <c r="J129" s="119" t="s">
        <v>986</v>
      </c>
      <c r="K129" s="130" t="s">
        <v>226</v>
      </c>
      <c r="L129" s="131"/>
      <c r="M129" s="149" t="s">
        <v>272</v>
      </c>
      <c r="N129" s="135" t="s">
        <v>607</v>
      </c>
      <c r="O129" s="152" t="s">
        <v>725</v>
      </c>
    </row>
    <row r="130" spans="1:15" ht="15" customHeight="1">
      <c r="A130" s="70"/>
      <c r="B130" s="97" t="s">
        <v>49</v>
      </c>
      <c r="C130" s="98"/>
      <c r="D130" s="101" t="s">
        <v>148</v>
      </c>
      <c r="E130" s="79"/>
      <c r="F130" s="192">
        <v>4</v>
      </c>
      <c r="G130" s="193"/>
      <c r="H130" s="132">
        <v>5.7</v>
      </c>
      <c r="I130" s="78">
        <f t="shared" si="0"/>
        <v>22.8</v>
      </c>
      <c r="J130" s="119" t="s">
        <v>986</v>
      </c>
      <c r="K130" s="130" t="s">
        <v>226</v>
      </c>
      <c r="L130" s="131"/>
      <c r="M130" s="149" t="s">
        <v>286</v>
      </c>
      <c r="N130" s="135" t="s">
        <v>634</v>
      </c>
      <c r="O130" s="152" t="s">
        <v>726</v>
      </c>
    </row>
    <row r="131" spans="1:15" ht="15" customHeight="1">
      <c r="A131" s="70"/>
      <c r="B131" s="97" t="s">
        <v>49</v>
      </c>
      <c r="C131" s="77"/>
      <c r="D131" s="101" t="s">
        <v>149</v>
      </c>
      <c r="E131" s="79"/>
      <c r="F131" s="192">
        <v>12</v>
      </c>
      <c r="G131" s="193"/>
      <c r="H131" s="132">
        <v>0.31</v>
      </c>
      <c r="I131" s="78">
        <f t="shared" si="0"/>
        <v>3.7199999999999998</v>
      </c>
      <c r="J131" s="119" t="s">
        <v>986</v>
      </c>
      <c r="K131" s="130" t="s">
        <v>226</v>
      </c>
      <c r="L131" s="131"/>
      <c r="M131" s="149" t="s">
        <v>272</v>
      </c>
      <c r="N131" s="135" t="s">
        <v>607</v>
      </c>
      <c r="O131" s="152" t="s">
        <v>727</v>
      </c>
    </row>
    <row r="132" spans="1:15" ht="15" customHeight="1">
      <c r="A132" s="70"/>
      <c r="B132" s="97" t="s">
        <v>49</v>
      </c>
      <c r="C132" s="98"/>
      <c r="D132" s="101" t="s">
        <v>150</v>
      </c>
      <c r="E132" s="79"/>
      <c r="F132" s="192">
        <v>14</v>
      </c>
      <c r="G132" s="193"/>
      <c r="H132" s="132">
        <v>41.36</v>
      </c>
      <c r="I132" s="78">
        <f t="shared" si="0"/>
        <v>579.04</v>
      </c>
      <c r="J132" s="119" t="s">
        <v>986</v>
      </c>
      <c r="K132" s="130" t="s">
        <v>226</v>
      </c>
      <c r="L132" s="131"/>
      <c r="M132" s="149" t="s">
        <v>287</v>
      </c>
      <c r="N132" s="135" t="s">
        <v>728</v>
      </c>
      <c r="O132" s="152" t="s">
        <v>729</v>
      </c>
    </row>
    <row r="133" spans="1:15" ht="15" customHeight="1">
      <c r="A133" s="70"/>
      <c r="B133" s="97" t="s">
        <v>49</v>
      </c>
      <c r="C133" s="77"/>
      <c r="D133" s="101" t="s">
        <v>151</v>
      </c>
      <c r="E133" s="79"/>
      <c r="F133" s="192">
        <v>14</v>
      </c>
      <c r="G133" s="193"/>
      <c r="H133" s="132">
        <v>46.04</v>
      </c>
      <c r="I133" s="78">
        <f t="shared" si="0"/>
        <v>644.55999999999995</v>
      </c>
      <c r="J133" s="119" t="s">
        <v>986</v>
      </c>
      <c r="K133" s="130" t="s">
        <v>226</v>
      </c>
      <c r="L133" s="131"/>
      <c r="M133" s="149" t="s">
        <v>288</v>
      </c>
      <c r="N133" s="135" t="s">
        <v>728</v>
      </c>
      <c r="O133" s="152" t="s">
        <v>730</v>
      </c>
    </row>
    <row r="134" spans="1:15" ht="15" customHeight="1">
      <c r="A134" s="70"/>
      <c r="B134" s="97" t="s">
        <v>49</v>
      </c>
      <c r="C134" s="98"/>
      <c r="D134" s="101" t="s">
        <v>152</v>
      </c>
      <c r="E134" s="79"/>
      <c r="F134" s="192">
        <v>2</v>
      </c>
      <c r="G134" s="193"/>
      <c r="H134" s="132">
        <v>60.86</v>
      </c>
      <c r="I134" s="78">
        <f t="shared" si="0"/>
        <v>121.72</v>
      </c>
      <c r="J134" s="119" t="s">
        <v>986</v>
      </c>
      <c r="K134" s="130" t="s">
        <v>226</v>
      </c>
      <c r="L134" s="131"/>
      <c r="M134" s="149" t="s">
        <v>289</v>
      </c>
      <c r="N134" s="135" t="s">
        <v>728</v>
      </c>
      <c r="O134" s="152" t="s">
        <v>731</v>
      </c>
    </row>
    <row r="135" spans="1:15" ht="15" customHeight="1">
      <c r="A135" s="70"/>
      <c r="B135" s="97" t="s">
        <v>49</v>
      </c>
      <c r="C135" s="77"/>
      <c r="D135" s="101" t="s">
        <v>153</v>
      </c>
      <c r="E135" s="79"/>
      <c r="F135" s="192">
        <v>10</v>
      </c>
      <c r="G135" s="193"/>
      <c r="H135" s="132">
        <v>6.79</v>
      </c>
      <c r="I135" s="78">
        <f t="shared" si="0"/>
        <v>67.900000000000006</v>
      </c>
      <c r="J135" s="119" t="s">
        <v>986</v>
      </c>
      <c r="K135" s="130" t="s">
        <v>226</v>
      </c>
      <c r="L135" s="131"/>
      <c r="M135" s="149" t="s">
        <v>290</v>
      </c>
      <c r="N135" s="135" t="s">
        <v>732</v>
      </c>
      <c r="O135" s="152" t="s">
        <v>733</v>
      </c>
    </row>
    <row r="136" spans="1:15" ht="15" customHeight="1">
      <c r="A136" s="70"/>
      <c r="B136" s="97" t="s">
        <v>49</v>
      </c>
      <c r="C136" s="98"/>
      <c r="D136" s="101" t="s">
        <v>154</v>
      </c>
      <c r="E136" s="79"/>
      <c r="F136" s="192">
        <v>8</v>
      </c>
      <c r="G136" s="193"/>
      <c r="H136" s="132">
        <v>27.23</v>
      </c>
      <c r="I136" s="78">
        <f t="shared" si="0"/>
        <v>217.84</v>
      </c>
      <c r="J136" s="119" t="s">
        <v>986</v>
      </c>
      <c r="K136" s="130" t="s">
        <v>226</v>
      </c>
      <c r="L136" s="131"/>
      <c r="M136" s="149" t="s">
        <v>291</v>
      </c>
      <c r="N136" s="135" t="s">
        <v>593</v>
      </c>
      <c r="O136" s="152" t="s">
        <v>734</v>
      </c>
    </row>
    <row r="137" spans="1:15" ht="15" customHeight="1">
      <c r="A137" s="70"/>
      <c r="B137" s="97" t="s">
        <v>49</v>
      </c>
      <c r="C137" s="77"/>
      <c r="D137" s="101" t="s">
        <v>155</v>
      </c>
      <c r="E137" s="79"/>
      <c r="F137" s="192">
        <v>10</v>
      </c>
      <c r="G137" s="193"/>
      <c r="H137" s="132">
        <v>16.07</v>
      </c>
      <c r="I137" s="78">
        <f t="shared" si="0"/>
        <v>160.69999999999999</v>
      </c>
      <c r="J137" s="119" t="s">
        <v>986</v>
      </c>
      <c r="K137" s="130" t="s">
        <v>226</v>
      </c>
      <c r="L137" s="131"/>
      <c r="M137" s="149" t="s">
        <v>292</v>
      </c>
      <c r="N137" s="135" t="s">
        <v>603</v>
      </c>
      <c r="O137" s="152" t="s">
        <v>735</v>
      </c>
    </row>
    <row r="138" spans="1:15" ht="15" customHeight="1">
      <c r="A138" s="70"/>
      <c r="B138" s="97" t="s">
        <v>49</v>
      </c>
      <c r="C138" s="98"/>
      <c r="D138" s="101" t="s">
        <v>156</v>
      </c>
      <c r="E138" s="79"/>
      <c r="F138" s="192">
        <v>16</v>
      </c>
      <c r="G138" s="193"/>
      <c r="H138" s="132">
        <v>26.53</v>
      </c>
      <c r="I138" s="78">
        <f t="shared" si="0"/>
        <v>424.48</v>
      </c>
      <c r="J138" s="119" t="s">
        <v>986</v>
      </c>
      <c r="K138" s="130" t="s">
        <v>229</v>
      </c>
      <c r="L138" s="131"/>
      <c r="M138" s="149" t="s">
        <v>249</v>
      </c>
      <c r="N138" s="135" t="s">
        <v>630</v>
      </c>
      <c r="O138" s="152" t="s">
        <v>736</v>
      </c>
    </row>
    <row r="139" spans="1:15" ht="15" customHeight="1">
      <c r="A139" s="70"/>
      <c r="B139" s="97" t="s">
        <v>49</v>
      </c>
      <c r="C139" s="77"/>
      <c r="D139" s="101" t="s">
        <v>157</v>
      </c>
      <c r="E139" s="79"/>
      <c r="F139" s="192">
        <v>4</v>
      </c>
      <c r="G139" s="193"/>
      <c r="H139" s="132">
        <v>18.100000000000001</v>
      </c>
      <c r="I139" s="78">
        <f t="shared" si="0"/>
        <v>72.400000000000006</v>
      </c>
      <c r="J139" s="119" t="s">
        <v>986</v>
      </c>
      <c r="K139" s="130" t="s">
        <v>226</v>
      </c>
      <c r="L139" s="131"/>
      <c r="M139" s="149" t="s">
        <v>293</v>
      </c>
      <c r="N139" s="135" t="s">
        <v>632</v>
      </c>
      <c r="O139" s="152" t="s">
        <v>737</v>
      </c>
    </row>
    <row r="140" spans="1:15" ht="15" customHeight="1">
      <c r="A140" s="70"/>
      <c r="B140" s="97" t="s">
        <v>49</v>
      </c>
      <c r="C140" s="98"/>
      <c r="D140" s="101" t="s">
        <v>158</v>
      </c>
      <c r="E140" s="79"/>
      <c r="F140" s="192">
        <v>4</v>
      </c>
      <c r="G140" s="193"/>
      <c r="H140" s="132">
        <v>16.7</v>
      </c>
      <c r="I140" s="78">
        <f t="shared" si="0"/>
        <v>66.8</v>
      </c>
      <c r="J140" s="119" t="s">
        <v>986</v>
      </c>
      <c r="K140" s="130" t="s">
        <v>226</v>
      </c>
      <c r="L140" s="131"/>
      <c r="M140" s="149" t="s">
        <v>294</v>
      </c>
      <c r="N140" s="135" t="s">
        <v>632</v>
      </c>
      <c r="O140" s="152" t="s">
        <v>738</v>
      </c>
    </row>
    <row r="141" spans="1:15" ht="15" customHeight="1">
      <c r="A141" s="70"/>
      <c r="B141" s="97" t="s">
        <v>49</v>
      </c>
      <c r="C141" s="77"/>
      <c r="D141" s="101" t="s">
        <v>159</v>
      </c>
      <c r="E141" s="79"/>
      <c r="F141" s="192">
        <v>4</v>
      </c>
      <c r="G141" s="193"/>
      <c r="H141" s="132">
        <v>11</v>
      </c>
      <c r="I141" s="78">
        <f t="shared" si="0"/>
        <v>44</v>
      </c>
      <c r="J141" s="119" t="s">
        <v>986</v>
      </c>
      <c r="K141" s="130" t="s">
        <v>226</v>
      </c>
      <c r="L141" s="131"/>
      <c r="M141" s="149" t="s">
        <v>295</v>
      </c>
      <c r="N141" s="135" t="s">
        <v>632</v>
      </c>
      <c r="O141" s="152" t="s">
        <v>739</v>
      </c>
    </row>
    <row r="142" spans="1:15" ht="15" customHeight="1">
      <c r="A142" s="70"/>
      <c r="B142" s="97" t="s">
        <v>49</v>
      </c>
      <c r="C142" s="98"/>
      <c r="D142" s="101" t="s">
        <v>160</v>
      </c>
      <c r="E142" s="79"/>
      <c r="F142" s="192">
        <v>2</v>
      </c>
      <c r="G142" s="193"/>
      <c r="H142" s="132">
        <v>20.76</v>
      </c>
      <c r="I142" s="78">
        <f t="shared" si="0"/>
        <v>41.52</v>
      </c>
      <c r="J142" s="119" t="s">
        <v>986</v>
      </c>
      <c r="K142" s="130" t="s">
        <v>226</v>
      </c>
      <c r="L142" s="131"/>
      <c r="M142" s="149" t="s">
        <v>293</v>
      </c>
      <c r="N142" s="135" t="s">
        <v>632</v>
      </c>
      <c r="O142" s="152" t="s">
        <v>740</v>
      </c>
    </row>
    <row r="143" spans="1:15" ht="15" customHeight="1">
      <c r="A143" s="70"/>
      <c r="B143" s="97" t="s">
        <v>49</v>
      </c>
      <c r="C143" s="77"/>
      <c r="D143" s="101" t="s">
        <v>161</v>
      </c>
      <c r="E143" s="79"/>
      <c r="F143" s="192">
        <v>2</v>
      </c>
      <c r="G143" s="193"/>
      <c r="H143" s="132">
        <v>17.79</v>
      </c>
      <c r="I143" s="78">
        <f t="shared" si="0"/>
        <v>35.58</v>
      </c>
      <c r="J143" s="119" t="s">
        <v>986</v>
      </c>
      <c r="K143" s="130" t="s">
        <v>226</v>
      </c>
      <c r="L143" s="131"/>
      <c r="M143" s="149" t="s">
        <v>294</v>
      </c>
      <c r="N143" s="135" t="s">
        <v>632</v>
      </c>
      <c r="O143" s="152" t="s">
        <v>741</v>
      </c>
    </row>
    <row r="144" spans="1:15" ht="15" customHeight="1">
      <c r="A144" s="70"/>
      <c r="B144" s="97" t="s">
        <v>49</v>
      </c>
      <c r="C144" s="98"/>
      <c r="D144" s="101" t="s">
        <v>162</v>
      </c>
      <c r="E144" s="79"/>
      <c r="F144" s="192">
        <v>10</v>
      </c>
      <c r="G144" s="193"/>
      <c r="H144" s="132">
        <v>3.67</v>
      </c>
      <c r="I144" s="78">
        <f t="shared" si="0"/>
        <v>36.700000000000003</v>
      </c>
      <c r="J144" s="119" t="s">
        <v>986</v>
      </c>
      <c r="K144" s="130" t="s">
        <v>226</v>
      </c>
      <c r="L144" s="131"/>
      <c r="M144" s="149" t="s">
        <v>250</v>
      </c>
      <c r="N144" s="135" t="s">
        <v>632</v>
      </c>
      <c r="O144" s="152" t="s">
        <v>742</v>
      </c>
    </row>
    <row r="145" spans="1:15" ht="15" customHeight="1">
      <c r="A145" s="70"/>
      <c r="B145" s="97" t="s">
        <v>49</v>
      </c>
      <c r="C145" s="77"/>
      <c r="D145" s="101" t="s">
        <v>163</v>
      </c>
      <c r="E145" s="79"/>
      <c r="F145" s="192">
        <v>10</v>
      </c>
      <c r="G145" s="193"/>
      <c r="H145" s="132">
        <v>11.24</v>
      </c>
      <c r="I145" s="78">
        <f t="shared" si="0"/>
        <v>112.4</v>
      </c>
      <c r="J145" s="119" t="s">
        <v>986</v>
      </c>
      <c r="K145" s="130" t="s">
        <v>226</v>
      </c>
      <c r="L145" s="131"/>
      <c r="M145" s="149" t="s">
        <v>296</v>
      </c>
      <c r="N145" s="135" t="s">
        <v>632</v>
      </c>
      <c r="O145" s="152" t="s">
        <v>743</v>
      </c>
    </row>
    <row r="146" spans="1:15" ht="15" customHeight="1">
      <c r="A146" s="70"/>
      <c r="B146" s="97" t="s">
        <v>49</v>
      </c>
      <c r="C146" s="98"/>
      <c r="D146" s="101" t="s">
        <v>164</v>
      </c>
      <c r="E146" s="79"/>
      <c r="F146" s="192">
        <v>2</v>
      </c>
      <c r="G146" s="193"/>
      <c r="H146" s="132">
        <v>20.91</v>
      </c>
      <c r="I146" s="78">
        <f t="shared" si="0"/>
        <v>41.82</v>
      </c>
      <c r="J146" s="119" t="s">
        <v>986</v>
      </c>
      <c r="K146" s="130" t="s">
        <v>226</v>
      </c>
      <c r="L146" s="131"/>
      <c r="M146" s="149" t="s">
        <v>296</v>
      </c>
      <c r="N146" s="135" t="s">
        <v>632</v>
      </c>
      <c r="O146" s="152" t="s">
        <v>744</v>
      </c>
    </row>
    <row r="147" spans="1:15" ht="15" customHeight="1">
      <c r="A147" s="70"/>
      <c r="B147" s="97" t="s">
        <v>49</v>
      </c>
      <c r="C147" s="77"/>
      <c r="D147" s="101" t="s">
        <v>165</v>
      </c>
      <c r="E147" s="79"/>
      <c r="F147" s="192">
        <v>2</v>
      </c>
      <c r="G147" s="193"/>
      <c r="H147" s="132">
        <v>17.79</v>
      </c>
      <c r="I147" s="78">
        <f t="shared" si="0"/>
        <v>35.58</v>
      </c>
      <c r="J147" s="119" t="s">
        <v>986</v>
      </c>
      <c r="K147" s="130" t="s">
        <v>226</v>
      </c>
      <c r="L147" s="131"/>
      <c r="M147" s="149" t="s">
        <v>296</v>
      </c>
      <c r="N147" s="135" t="s">
        <v>632</v>
      </c>
      <c r="O147" s="152" t="s">
        <v>745</v>
      </c>
    </row>
    <row r="148" spans="1:15" ht="15" customHeight="1">
      <c r="A148" s="70"/>
      <c r="B148" s="97" t="s">
        <v>49</v>
      </c>
      <c r="C148" s="98"/>
      <c r="D148" s="101" t="s">
        <v>166</v>
      </c>
      <c r="E148" s="79"/>
      <c r="F148" s="192">
        <v>2</v>
      </c>
      <c r="G148" s="193"/>
      <c r="H148" s="132">
        <v>10.61</v>
      </c>
      <c r="I148" s="78">
        <f t="shared" si="0"/>
        <v>21.22</v>
      </c>
      <c r="J148" s="119" t="s">
        <v>986</v>
      </c>
      <c r="K148" s="130" t="s">
        <v>226</v>
      </c>
      <c r="L148" s="131"/>
      <c r="M148" s="149" t="s">
        <v>296</v>
      </c>
      <c r="N148" s="135" t="s">
        <v>632</v>
      </c>
      <c r="O148" s="152" t="s">
        <v>746</v>
      </c>
    </row>
    <row r="149" spans="1:15" ht="15" customHeight="1">
      <c r="A149" s="70"/>
      <c r="B149" s="97" t="s">
        <v>49</v>
      </c>
      <c r="C149" s="77"/>
      <c r="D149" s="101" t="s">
        <v>167</v>
      </c>
      <c r="E149" s="79"/>
      <c r="F149" s="192">
        <v>4</v>
      </c>
      <c r="G149" s="193"/>
      <c r="H149" s="132">
        <v>11.31</v>
      </c>
      <c r="I149" s="78">
        <f t="shared" si="0"/>
        <v>45.24</v>
      </c>
      <c r="J149" s="119" t="s">
        <v>986</v>
      </c>
      <c r="K149" s="130" t="s">
        <v>226</v>
      </c>
      <c r="L149" s="131"/>
      <c r="M149" s="149" t="s">
        <v>297</v>
      </c>
      <c r="N149" s="135" t="s">
        <v>747</v>
      </c>
      <c r="O149" s="152" t="s">
        <v>748</v>
      </c>
    </row>
    <row r="150" spans="1:15" ht="15" customHeight="1">
      <c r="A150" s="70"/>
      <c r="B150" s="97" t="s">
        <v>49</v>
      </c>
      <c r="C150" s="98"/>
      <c r="D150" s="101" t="s">
        <v>168</v>
      </c>
      <c r="E150" s="79"/>
      <c r="F150" s="192">
        <v>2</v>
      </c>
      <c r="G150" s="193"/>
      <c r="H150" s="132">
        <v>8.19</v>
      </c>
      <c r="I150" s="78">
        <f t="shared" si="0"/>
        <v>16.38</v>
      </c>
      <c r="J150" s="119" t="s">
        <v>986</v>
      </c>
      <c r="K150" s="130" t="s">
        <v>226</v>
      </c>
      <c r="L150" s="131"/>
      <c r="M150" s="149" t="s">
        <v>297</v>
      </c>
      <c r="N150" s="135" t="s">
        <v>747</v>
      </c>
      <c r="O150" s="152" t="s">
        <v>749</v>
      </c>
    </row>
    <row r="151" spans="1:15" ht="15" customHeight="1">
      <c r="A151" s="70"/>
      <c r="B151" s="97" t="s">
        <v>49</v>
      </c>
      <c r="C151" s="77"/>
      <c r="D151" s="101" t="s">
        <v>169</v>
      </c>
      <c r="E151" s="79"/>
      <c r="F151" s="192">
        <v>2</v>
      </c>
      <c r="G151" s="193"/>
      <c r="H151" s="132">
        <v>32.15</v>
      </c>
      <c r="I151" s="78">
        <f t="shared" si="0"/>
        <v>64.3</v>
      </c>
      <c r="J151" s="119" t="s">
        <v>986</v>
      </c>
      <c r="K151" s="130" t="s">
        <v>226</v>
      </c>
      <c r="L151" s="131"/>
      <c r="M151" s="149" t="s">
        <v>297</v>
      </c>
      <c r="N151" s="135" t="s">
        <v>747</v>
      </c>
      <c r="O151" s="152" t="s">
        <v>750</v>
      </c>
    </row>
    <row r="152" spans="1:15" ht="15" customHeight="1">
      <c r="A152" s="70"/>
      <c r="B152" s="97" t="s">
        <v>49</v>
      </c>
      <c r="C152" s="98"/>
      <c r="D152" s="101" t="s">
        <v>170</v>
      </c>
      <c r="E152" s="79"/>
      <c r="F152" s="192">
        <v>2</v>
      </c>
      <c r="G152" s="193"/>
      <c r="H152" s="132">
        <v>20.29</v>
      </c>
      <c r="I152" s="78">
        <f t="shared" si="0"/>
        <v>40.58</v>
      </c>
      <c r="J152" s="119" t="s">
        <v>986</v>
      </c>
      <c r="K152" s="130" t="s">
        <v>226</v>
      </c>
      <c r="L152" s="131"/>
      <c r="M152" s="149" t="s">
        <v>297</v>
      </c>
      <c r="N152" s="135" t="s">
        <v>747</v>
      </c>
      <c r="O152" s="152" t="s">
        <v>751</v>
      </c>
    </row>
    <row r="153" spans="1:15" ht="15" customHeight="1">
      <c r="A153" s="70"/>
      <c r="B153" s="97" t="s">
        <v>49</v>
      </c>
      <c r="C153" s="77"/>
      <c r="D153" s="101" t="s">
        <v>171</v>
      </c>
      <c r="E153" s="79"/>
      <c r="F153" s="192">
        <v>2</v>
      </c>
      <c r="G153" s="193"/>
      <c r="H153" s="132">
        <v>8.19</v>
      </c>
      <c r="I153" s="78">
        <f t="shared" si="0"/>
        <v>16.38</v>
      </c>
      <c r="J153" s="119" t="s">
        <v>986</v>
      </c>
      <c r="K153" s="130" t="s">
        <v>226</v>
      </c>
      <c r="L153" s="131"/>
      <c r="M153" s="149" t="s">
        <v>297</v>
      </c>
      <c r="N153" s="135" t="s">
        <v>747</v>
      </c>
      <c r="O153" s="152" t="s">
        <v>752</v>
      </c>
    </row>
    <row r="154" spans="1:15" ht="15" customHeight="1">
      <c r="A154" s="70"/>
      <c r="B154" s="97" t="s">
        <v>49</v>
      </c>
      <c r="C154" s="98"/>
      <c r="D154" s="101" t="s">
        <v>172</v>
      </c>
      <c r="E154" s="79"/>
      <c r="F154" s="192">
        <v>4</v>
      </c>
      <c r="G154" s="193"/>
      <c r="H154" s="132">
        <v>121.72</v>
      </c>
      <c r="I154" s="78">
        <f t="shared" si="0"/>
        <v>486.88</v>
      </c>
      <c r="J154" s="119" t="s">
        <v>986</v>
      </c>
      <c r="K154" s="130" t="s">
        <v>226</v>
      </c>
      <c r="L154" s="131"/>
      <c r="M154" s="149" t="s">
        <v>298</v>
      </c>
      <c r="N154" s="135" t="s">
        <v>753</v>
      </c>
      <c r="O154" s="152" t="s">
        <v>754</v>
      </c>
    </row>
    <row r="155" spans="1:15" ht="15" customHeight="1">
      <c r="A155" s="70"/>
      <c r="B155" s="97" t="s">
        <v>49</v>
      </c>
      <c r="C155" s="77"/>
      <c r="D155" s="101" t="s">
        <v>173</v>
      </c>
      <c r="E155" s="79"/>
      <c r="F155" s="192">
        <v>2</v>
      </c>
      <c r="G155" s="193"/>
      <c r="H155" s="132">
        <v>107.68</v>
      </c>
      <c r="I155" s="78">
        <f t="shared" si="0"/>
        <v>215.36</v>
      </c>
      <c r="J155" s="119" t="s">
        <v>986</v>
      </c>
      <c r="K155" s="130" t="s">
        <v>226</v>
      </c>
      <c r="L155" s="131"/>
      <c r="M155" s="149" t="s">
        <v>299</v>
      </c>
      <c r="N155" s="135" t="s">
        <v>753</v>
      </c>
      <c r="O155" s="152" t="s">
        <v>755</v>
      </c>
    </row>
    <row r="156" spans="1:15" ht="15" customHeight="1">
      <c r="A156" s="70"/>
      <c r="B156" s="97" t="s">
        <v>49</v>
      </c>
      <c r="C156" s="98"/>
      <c r="D156" s="101" t="s">
        <v>174</v>
      </c>
      <c r="E156" s="79"/>
      <c r="F156" s="192">
        <v>2</v>
      </c>
      <c r="G156" s="193"/>
      <c r="H156" s="132">
        <v>1779.05</v>
      </c>
      <c r="I156" s="78">
        <f t="shared" si="0"/>
        <v>3558.1</v>
      </c>
      <c r="J156" s="119" t="s">
        <v>986</v>
      </c>
      <c r="K156" s="130" t="s">
        <v>226</v>
      </c>
      <c r="L156" s="131"/>
      <c r="M156" s="149" t="s">
        <v>300</v>
      </c>
      <c r="N156" s="135" t="s">
        <v>756</v>
      </c>
      <c r="O156" s="152" t="s">
        <v>757</v>
      </c>
    </row>
    <row r="157" spans="1:15" ht="15" customHeight="1">
      <c r="A157" s="70"/>
      <c r="B157" s="97" t="s">
        <v>49</v>
      </c>
      <c r="C157" s="77"/>
      <c r="D157" s="101" t="s">
        <v>175</v>
      </c>
      <c r="E157" s="79"/>
      <c r="F157" s="192">
        <v>10</v>
      </c>
      <c r="G157" s="193"/>
      <c r="H157" s="132">
        <v>75.69</v>
      </c>
      <c r="I157" s="78">
        <f>F157*H157</f>
        <v>756.9</v>
      </c>
      <c r="J157" s="119" t="s">
        <v>986</v>
      </c>
      <c r="K157" s="130" t="s">
        <v>226</v>
      </c>
      <c r="L157" s="131"/>
      <c r="M157" s="149" t="s">
        <v>301</v>
      </c>
      <c r="N157" s="135" t="s">
        <v>660</v>
      </c>
      <c r="O157" s="152" t="s">
        <v>758</v>
      </c>
    </row>
    <row r="158" spans="1:15" ht="15" customHeight="1">
      <c r="A158" s="70"/>
      <c r="B158" s="97" t="s">
        <v>49</v>
      </c>
      <c r="C158" s="98"/>
      <c r="D158" s="101" t="s">
        <v>176</v>
      </c>
      <c r="E158" s="79"/>
      <c r="F158" s="192">
        <v>2</v>
      </c>
      <c r="G158" s="193"/>
      <c r="H158" s="132">
        <v>36.520000000000003</v>
      </c>
      <c r="I158" s="78">
        <f>F158*H158</f>
        <v>73.040000000000006</v>
      </c>
      <c r="J158" s="119" t="s">
        <v>986</v>
      </c>
      <c r="K158" s="130" t="s">
        <v>229</v>
      </c>
      <c r="L158" s="131"/>
      <c r="M158" s="149" t="s">
        <v>302</v>
      </c>
      <c r="N158" s="135" t="s">
        <v>759</v>
      </c>
      <c r="O158" s="152" t="s">
        <v>760</v>
      </c>
    </row>
    <row r="159" spans="1:15" ht="15" customHeight="1">
      <c r="A159" s="70"/>
      <c r="B159" s="97" t="s">
        <v>49</v>
      </c>
      <c r="C159" s="77"/>
      <c r="D159" s="101" t="s">
        <v>177</v>
      </c>
      <c r="E159" s="79"/>
      <c r="F159" s="192">
        <v>2</v>
      </c>
      <c r="G159" s="193"/>
      <c r="H159" s="132">
        <v>2.4300000000000002</v>
      </c>
      <c r="I159" s="78">
        <f>F159*H159</f>
        <v>4.8600000000000003</v>
      </c>
      <c r="J159" s="119" t="s">
        <v>986</v>
      </c>
      <c r="K159" s="130" t="s">
        <v>229</v>
      </c>
      <c r="L159" s="131"/>
      <c r="M159" s="149" t="s">
        <v>303</v>
      </c>
      <c r="N159" s="135" t="s">
        <v>595</v>
      </c>
      <c r="O159" s="152" t="s">
        <v>761</v>
      </c>
    </row>
    <row r="160" spans="1:15" ht="15" customHeight="1">
      <c r="A160" s="70"/>
      <c r="B160" s="97" t="s">
        <v>49</v>
      </c>
      <c r="C160" s="98"/>
      <c r="D160" s="101" t="s">
        <v>184</v>
      </c>
      <c r="E160" s="79"/>
      <c r="F160" s="192">
        <v>10</v>
      </c>
      <c r="G160" s="193"/>
      <c r="H160" s="132">
        <v>18.73</v>
      </c>
      <c r="I160" s="78">
        <f t="shared" si="0"/>
        <v>187.3</v>
      </c>
      <c r="J160" s="119" t="s">
        <v>986</v>
      </c>
      <c r="K160" s="130" t="s">
        <v>229</v>
      </c>
      <c r="L160" s="131"/>
      <c r="M160" s="149" t="s">
        <v>308</v>
      </c>
      <c r="N160" s="135" t="s">
        <v>772</v>
      </c>
      <c r="O160" s="152" t="s">
        <v>773</v>
      </c>
    </row>
    <row r="161" spans="1:15" ht="15" customHeight="1">
      <c r="A161" s="70"/>
      <c r="B161" s="97" t="s">
        <v>49</v>
      </c>
      <c r="C161" s="77"/>
      <c r="D161" s="101" t="s">
        <v>185</v>
      </c>
      <c r="E161" s="79"/>
      <c r="F161" s="192">
        <v>2</v>
      </c>
      <c r="G161" s="193"/>
      <c r="H161" s="132">
        <v>38.229999999999997</v>
      </c>
      <c r="I161" s="78">
        <f t="shared" si="0"/>
        <v>76.459999999999994</v>
      </c>
      <c r="J161" s="119" t="s">
        <v>986</v>
      </c>
      <c r="K161" s="130" t="s">
        <v>229</v>
      </c>
      <c r="L161" s="131"/>
      <c r="M161" s="149" t="s">
        <v>301</v>
      </c>
      <c r="N161" s="135" t="s">
        <v>772</v>
      </c>
      <c r="O161" s="152" t="s">
        <v>774</v>
      </c>
    </row>
    <row r="162" spans="1:15" ht="15" customHeight="1">
      <c r="A162" s="70"/>
      <c r="B162" s="97" t="s">
        <v>49</v>
      </c>
      <c r="C162" s="98"/>
      <c r="D162" s="101" t="s">
        <v>186</v>
      </c>
      <c r="E162" s="79"/>
      <c r="F162" s="192">
        <v>2</v>
      </c>
      <c r="G162" s="193"/>
      <c r="H162" s="132">
        <v>66.319999999999993</v>
      </c>
      <c r="I162" s="78">
        <f t="shared" si="0"/>
        <v>132.63999999999999</v>
      </c>
      <c r="J162" s="119" t="s">
        <v>986</v>
      </c>
      <c r="K162" s="130" t="s">
        <v>229</v>
      </c>
      <c r="L162" s="131"/>
      <c r="M162" s="149" t="s">
        <v>301</v>
      </c>
      <c r="N162" s="135" t="s">
        <v>772</v>
      </c>
      <c r="O162" s="152" t="s">
        <v>775</v>
      </c>
    </row>
    <row r="163" spans="1:15" ht="15" customHeight="1">
      <c r="A163" s="70"/>
      <c r="B163" s="97" t="s">
        <v>49</v>
      </c>
      <c r="C163" s="77"/>
      <c r="D163" s="101" t="s">
        <v>187</v>
      </c>
      <c r="E163" s="79"/>
      <c r="F163" s="192">
        <v>2</v>
      </c>
      <c r="G163" s="193"/>
      <c r="H163" s="132">
        <v>37.450000000000003</v>
      </c>
      <c r="I163" s="78">
        <f t="shared" si="0"/>
        <v>74.900000000000006</v>
      </c>
      <c r="J163" s="119" t="s">
        <v>986</v>
      </c>
      <c r="K163" s="130" t="s">
        <v>228</v>
      </c>
      <c r="L163" s="131"/>
      <c r="M163" s="149" t="s">
        <v>309</v>
      </c>
      <c r="N163" s="135" t="s">
        <v>649</v>
      </c>
      <c r="O163" s="152" t="s">
        <v>776</v>
      </c>
    </row>
    <row r="164" spans="1:15" ht="15" customHeight="1">
      <c r="A164" s="70"/>
      <c r="B164" s="97" t="s">
        <v>49</v>
      </c>
      <c r="C164" s="98"/>
      <c r="D164" s="101" t="s">
        <v>188</v>
      </c>
      <c r="E164" s="79"/>
      <c r="F164" s="192">
        <v>4</v>
      </c>
      <c r="G164" s="193"/>
      <c r="H164" s="132">
        <v>16.39</v>
      </c>
      <c r="I164" s="78">
        <f t="shared" si="0"/>
        <v>65.56</v>
      </c>
      <c r="J164" s="119" t="s">
        <v>986</v>
      </c>
      <c r="K164" s="130" t="s">
        <v>228</v>
      </c>
      <c r="L164" s="131"/>
      <c r="M164" s="149" t="s">
        <v>309</v>
      </c>
      <c r="N164" s="135" t="s">
        <v>649</v>
      </c>
      <c r="O164" s="152" t="s">
        <v>777</v>
      </c>
    </row>
    <row r="165" spans="1:15" ht="15" customHeight="1">
      <c r="A165" s="70"/>
      <c r="B165" s="97" t="s">
        <v>49</v>
      </c>
      <c r="C165" s="77"/>
      <c r="D165" s="101" t="s">
        <v>189</v>
      </c>
      <c r="E165" s="79"/>
      <c r="F165" s="192">
        <v>4</v>
      </c>
      <c r="G165" s="193"/>
      <c r="H165" s="132">
        <v>12.25</v>
      </c>
      <c r="I165" s="78">
        <f t="shared" si="0"/>
        <v>49</v>
      </c>
      <c r="J165" s="119" t="s">
        <v>986</v>
      </c>
      <c r="K165" s="130" t="s">
        <v>229</v>
      </c>
      <c r="L165" s="131"/>
      <c r="M165" s="149" t="s">
        <v>310</v>
      </c>
      <c r="N165" s="135" t="s">
        <v>672</v>
      </c>
      <c r="O165" s="152" t="s">
        <v>778</v>
      </c>
    </row>
    <row r="166" spans="1:15" ht="15" customHeight="1">
      <c r="A166" s="70"/>
      <c r="B166" s="97" t="s">
        <v>49</v>
      </c>
      <c r="C166" s="98"/>
      <c r="D166" s="101" t="s">
        <v>190</v>
      </c>
      <c r="E166" s="79"/>
      <c r="F166" s="192">
        <v>48</v>
      </c>
      <c r="G166" s="193"/>
      <c r="H166" s="132">
        <v>0.66</v>
      </c>
      <c r="I166" s="78">
        <f t="shared" si="0"/>
        <v>31.68</v>
      </c>
      <c r="J166" s="119" t="s">
        <v>986</v>
      </c>
      <c r="K166" s="130" t="s">
        <v>226</v>
      </c>
      <c r="L166" s="131"/>
      <c r="M166" s="149" t="s">
        <v>311</v>
      </c>
      <c r="N166" s="135" t="s">
        <v>779</v>
      </c>
      <c r="O166" s="152" t="s">
        <v>780</v>
      </c>
    </row>
    <row r="167" spans="1:15" ht="15" customHeight="1">
      <c r="A167" s="70"/>
      <c r="B167" s="97" t="s">
        <v>49</v>
      </c>
      <c r="C167" s="77"/>
      <c r="D167" s="101" t="s">
        <v>191</v>
      </c>
      <c r="E167" s="79"/>
      <c r="F167" s="192">
        <v>8</v>
      </c>
      <c r="G167" s="193"/>
      <c r="H167" s="132">
        <v>37.450000000000003</v>
      </c>
      <c r="I167" s="78">
        <f t="shared" si="0"/>
        <v>299.60000000000002</v>
      </c>
      <c r="J167" s="119" t="s">
        <v>986</v>
      </c>
      <c r="K167" s="130" t="s">
        <v>226</v>
      </c>
      <c r="L167" s="131"/>
      <c r="M167" s="149" t="s">
        <v>312</v>
      </c>
      <c r="N167" s="135">
        <v>73269099</v>
      </c>
      <c r="O167" s="152" t="s">
        <v>781</v>
      </c>
    </row>
    <row r="168" spans="1:15" ht="15" customHeight="1">
      <c r="A168" s="70"/>
      <c r="B168" s="97" t="s">
        <v>49</v>
      </c>
      <c r="C168" s="98"/>
      <c r="D168" s="101" t="s">
        <v>192</v>
      </c>
      <c r="E168" s="79"/>
      <c r="F168" s="192">
        <v>16</v>
      </c>
      <c r="G168" s="193"/>
      <c r="H168" s="132">
        <v>0.39</v>
      </c>
      <c r="I168" s="78">
        <f t="shared" si="0"/>
        <v>6.24</v>
      </c>
      <c r="J168" s="119" t="s">
        <v>986</v>
      </c>
      <c r="K168" s="130" t="s">
        <v>226</v>
      </c>
      <c r="L168" s="131"/>
      <c r="M168" s="149" t="s">
        <v>311</v>
      </c>
      <c r="N168" s="135" t="s">
        <v>779</v>
      </c>
      <c r="O168" s="152" t="s">
        <v>782</v>
      </c>
    </row>
    <row r="169" spans="1:15" ht="15" customHeight="1">
      <c r="A169" s="70"/>
      <c r="B169" s="97" t="s">
        <v>49</v>
      </c>
      <c r="C169" s="77"/>
      <c r="D169" s="101" t="s">
        <v>193</v>
      </c>
      <c r="E169" s="79"/>
      <c r="F169" s="192">
        <v>2</v>
      </c>
      <c r="G169" s="193"/>
      <c r="H169" s="132">
        <v>22.63</v>
      </c>
      <c r="I169" s="78">
        <f t="shared" si="0"/>
        <v>45.26</v>
      </c>
      <c r="J169" s="119" t="s">
        <v>986</v>
      </c>
      <c r="K169" s="130" t="s">
        <v>226</v>
      </c>
      <c r="L169" s="131"/>
      <c r="M169" s="149" t="s">
        <v>312</v>
      </c>
      <c r="N169" s="135" t="s">
        <v>607</v>
      </c>
      <c r="O169" s="152" t="s">
        <v>781</v>
      </c>
    </row>
    <row r="170" spans="1:15" ht="15" customHeight="1">
      <c r="A170" s="70"/>
      <c r="B170" s="97" t="s">
        <v>49</v>
      </c>
      <c r="C170" s="98"/>
      <c r="D170" s="101" t="s">
        <v>194</v>
      </c>
      <c r="E170" s="79"/>
      <c r="F170" s="192">
        <v>2</v>
      </c>
      <c r="G170" s="193"/>
      <c r="H170" s="132">
        <v>48.38</v>
      </c>
      <c r="I170" s="78">
        <f t="shared" si="0"/>
        <v>96.76</v>
      </c>
      <c r="J170" s="119" t="s">
        <v>986</v>
      </c>
      <c r="K170" s="130" t="s">
        <v>226</v>
      </c>
      <c r="L170" s="131"/>
      <c r="M170" s="149" t="s">
        <v>312</v>
      </c>
      <c r="N170" s="135" t="s">
        <v>607</v>
      </c>
      <c r="O170" s="152" t="s">
        <v>781</v>
      </c>
    </row>
    <row r="171" spans="1:15" ht="15" customHeight="1">
      <c r="A171" s="70"/>
      <c r="B171" s="97" t="s">
        <v>49</v>
      </c>
      <c r="C171" s="77"/>
      <c r="D171" s="101" t="s">
        <v>195</v>
      </c>
      <c r="E171" s="79"/>
      <c r="F171" s="192">
        <v>2</v>
      </c>
      <c r="G171" s="193"/>
      <c r="H171" s="132">
        <v>27.93</v>
      </c>
      <c r="I171" s="78">
        <f t="shared" si="0"/>
        <v>55.86</v>
      </c>
      <c r="J171" s="119" t="s">
        <v>986</v>
      </c>
      <c r="K171" s="130" t="s">
        <v>226</v>
      </c>
      <c r="L171" s="131"/>
      <c r="M171" s="149" t="s">
        <v>312</v>
      </c>
      <c r="N171" s="135" t="s">
        <v>607</v>
      </c>
      <c r="O171" s="152" t="s">
        <v>781</v>
      </c>
    </row>
    <row r="172" spans="1:15" ht="15" customHeight="1">
      <c r="A172" s="70"/>
      <c r="B172" s="97" t="s">
        <v>49</v>
      </c>
      <c r="C172" s="98"/>
      <c r="D172" s="101" t="s">
        <v>196</v>
      </c>
      <c r="E172" s="79"/>
      <c r="F172" s="192">
        <v>8</v>
      </c>
      <c r="G172" s="193"/>
      <c r="H172" s="132">
        <v>0.62</v>
      </c>
      <c r="I172" s="78">
        <f t="shared" si="0"/>
        <v>4.96</v>
      </c>
      <c r="J172" s="119" t="s">
        <v>986</v>
      </c>
      <c r="K172" s="130" t="s">
        <v>226</v>
      </c>
      <c r="L172" s="131"/>
      <c r="M172" s="149" t="s">
        <v>311</v>
      </c>
      <c r="N172" s="135" t="s">
        <v>779</v>
      </c>
      <c r="O172" s="152" t="s">
        <v>783</v>
      </c>
    </row>
    <row r="173" spans="1:15" ht="15" customHeight="1">
      <c r="A173" s="70"/>
      <c r="B173" s="97" t="s">
        <v>49</v>
      </c>
      <c r="C173" s="77"/>
      <c r="D173" s="101" t="s">
        <v>197</v>
      </c>
      <c r="E173" s="79"/>
      <c r="F173" s="192">
        <v>16</v>
      </c>
      <c r="G173" s="193"/>
      <c r="H173" s="132">
        <v>0.59</v>
      </c>
      <c r="I173" s="78">
        <f t="shared" si="0"/>
        <v>9.44</v>
      </c>
      <c r="J173" s="119" t="s">
        <v>986</v>
      </c>
      <c r="K173" s="130" t="s">
        <v>226</v>
      </c>
      <c r="L173" s="131"/>
      <c r="M173" s="149" t="s">
        <v>311</v>
      </c>
      <c r="N173" s="135" t="s">
        <v>779</v>
      </c>
      <c r="O173" s="152" t="s">
        <v>784</v>
      </c>
    </row>
    <row r="174" spans="1:15" ht="15" customHeight="1">
      <c r="A174" s="70"/>
      <c r="B174" s="97" t="s">
        <v>49</v>
      </c>
      <c r="C174" s="98"/>
      <c r="D174" s="101" t="s">
        <v>198</v>
      </c>
      <c r="E174" s="79"/>
      <c r="F174" s="192">
        <v>4</v>
      </c>
      <c r="G174" s="193"/>
      <c r="H174" s="132">
        <v>10.14</v>
      </c>
      <c r="I174" s="78">
        <f t="shared" si="0"/>
        <v>40.56</v>
      </c>
      <c r="J174" s="119" t="s">
        <v>986</v>
      </c>
      <c r="K174" s="130" t="s">
        <v>226</v>
      </c>
      <c r="L174" s="131"/>
      <c r="M174" s="149" t="s">
        <v>312</v>
      </c>
      <c r="N174" s="135" t="s">
        <v>607</v>
      </c>
      <c r="O174" s="152" t="s">
        <v>781</v>
      </c>
    </row>
    <row r="175" spans="1:15" ht="15" customHeight="1">
      <c r="A175" s="70"/>
      <c r="B175" s="97" t="s">
        <v>49</v>
      </c>
      <c r="C175" s="77"/>
      <c r="D175" s="101" t="s">
        <v>199</v>
      </c>
      <c r="E175" s="79"/>
      <c r="F175" s="192">
        <v>8</v>
      </c>
      <c r="G175" s="193"/>
      <c r="H175" s="132">
        <v>1.29</v>
      </c>
      <c r="I175" s="78">
        <f t="shared" si="0"/>
        <v>10.32</v>
      </c>
      <c r="J175" s="119" t="s">
        <v>986</v>
      </c>
      <c r="K175" s="130" t="s">
        <v>226</v>
      </c>
      <c r="L175" s="131"/>
      <c r="M175" s="149" t="s">
        <v>311</v>
      </c>
      <c r="N175" s="135" t="s">
        <v>779</v>
      </c>
      <c r="O175" s="152" t="s">
        <v>783</v>
      </c>
    </row>
    <row r="176" spans="1:15" ht="15" customHeight="1">
      <c r="A176" s="70"/>
      <c r="B176" s="97" t="s">
        <v>49</v>
      </c>
      <c r="C176" s="98"/>
      <c r="D176" s="101" t="s">
        <v>200</v>
      </c>
      <c r="E176" s="79"/>
      <c r="F176" s="192">
        <v>4</v>
      </c>
      <c r="G176" s="193"/>
      <c r="H176" s="132">
        <v>201.31</v>
      </c>
      <c r="I176" s="78">
        <f t="shared" ref="I176:I221" si="1">F176*H176</f>
        <v>805.24</v>
      </c>
      <c r="J176" s="119" t="s">
        <v>986</v>
      </c>
      <c r="K176" s="130" t="s">
        <v>229</v>
      </c>
      <c r="L176" s="131"/>
      <c r="M176" s="149" t="s">
        <v>313</v>
      </c>
      <c r="N176" s="135" t="s">
        <v>785</v>
      </c>
      <c r="O176" s="152" t="s">
        <v>786</v>
      </c>
    </row>
    <row r="177" spans="1:15" ht="15" customHeight="1">
      <c r="A177" s="70"/>
      <c r="B177" s="97" t="s">
        <v>49</v>
      </c>
      <c r="C177" s="77"/>
      <c r="D177" s="101" t="s">
        <v>201</v>
      </c>
      <c r="E177" s="79"/>
      <c r="F177" s="192">
        <v>4</v>
      </c>
      <c r="G177" s="193"/>
      <c r="H177" s="132">
        <v>202.87</v>
      </c>
      <c r="I177" s="78">
        <f t="shared" si="1"/>
        <v>811.48</v>
      </c>
      <c r="J177" s="119" t="s">
        <v>986</v>
      </c>
      <c r="K177" s="130" t="s">
        <v>229</v>
      </c>
      <c r="L177" s="131"/>
      <c r="M177" s="149" t="s">
        <v>314</v>
      </c>
      <c r="N177" s="135" t="s">
        <v>615</v>
      </c>
      <c r="O177" s="152" t="s">
        <v>787</v>
      </c>
    </row>
    <row r="178" spans="1:15" ht="15" customHeight="1">
      <c r="A178" s="70"/>
      <c r="B178" s="97" t="s">
        <v>49</v>
      </c>
      <c r="C178" s="98"/>
      <c r="D178" s="101" t="s">
        <v>202</v>
      </c>
      <c r="E178" s="79"/>
      <c r="F178" s="192">
        <v>2</v>
      </c>
      <c r="G178" s="193"/>
      <c r="H178" s="132">
        <v>113.92</v>
      </c>
      <c r="I178" s="78">
        <f t="shared" si="1"/>
        <v>227.84</v>
      </c>
      <c r="J178" s="119" t="s">
        <v>986</v>
      </c>
      <c r="K178" s="130" t="s">
        <v>229</v>
      </c>
      <c r="L178" s="131"/>
      <c r="M178" s="149" t="s">
        <v>313</v>
      </c>
      <c r="N178" s="135" t="s">
        <v>785</v>
      </c>
      <c r="O178" s="152" t="s">
        <v>788</v>
      </c>
    </row>
    <row r="179" spans="1:15" ht="15" customHeight="1">
      <c r="A179" s="70"/>
      <c r="B179" s="97" t="s">
        <v>49</v>
      </c>
      <c r="C179" s="77"/>
      <c r="D179" s="101" t="s">
        <v>203</v>
      </c>
      <c r="E179" s="79"/>
      <c r="F179" s="192">
        <v>2</v>
      </c>
      <c r="G179" s="193"/>
      <c r="H179" s="132">
        <v>197.41</v>
      </c>
      <c r="I179" s="78">
        <f t="shared" si="1"/>
        <v>394.82</v>
      </c>
      <c r="J179" s="119" t="s">
        <v>986</v>
      </c>
      <c r="K179" s="130" t="s">
        <v>229</v>
      </c>
      <c r="L179" s="131"/>
      <c r="M179" s="149" t="s">
        <v>314</v>
      </c>
      <c r="N179" s="135" t="s">
        <v>615</v>
      </c>
      <c r="O179" s="152" t="s">
        <v>789</v>
      </c>
    </row>
    <row r="180" spans="1:15" ht="15" customHeight="1">
      <c r="A180" s="70"/>
      <c r="B180" s="97" t="s">
        <v>49</v>
      </c>
      <c r="C180" s="98"/>
      <c r="D180" s="101" t="s">
        <v>204</v>
      </c>
      <c r="E180" s="79"/>
      <c r="F180" s="192">
        <v>6</v>
      </c>
      <c r="G180" s="193"/>
      <c r="H180" s="132">
        <v>2.73</v>
      </c>
      <c r="I180" s="78">
        <f t="shared" si="1"/>
        <v>16.38</v>
      </c>
      <c r="J180" s="119" t="s">
        <v>986</v>
      </c>
      <c r="K180" s="130" t="s">
        <v>229</v>
      </c>
      <c r="L180" s="131"/>
      <c r="M180" s="149" t="s">
        <v>249</v>
      </c>
      <c r="N180" s="135" t="s">
        <v>630</v>
      </c>
      <c r="O180" s="152" t="s">
        <v>790</v>
      </c>
    </row>
    <row r="181" spans="1:15" ht="15" customHeight="1">
      <c r="A181" s="70"/>
      <c r="B181" s="97" t="s">
        <v>49</v>
      </c>
      <c r="C181" s="77"/>
      <c r="D181" s="101" t="s">
        <v>205</v>
      </c>
      <c r="E181" s="79"/>
      <c r="F181" s="192">
        <v>4</v>
      </c>
      <c r="G181" s="193"/>
      <c r="H181" s="132">
        <v>3.51</v>
      </c>
      <c r="I181" s="78">
        <f t="shared" si="1"/>
        <v>14.04</v>
      </c>
      <c r="J181" s="119" t="s">
        <v>986</v>
      </c>
      <c r="K181" s="130" t="s">
        <v>229</v>
      </c>
      <c r="L181" s="131"/>
      <c r="M181" s="149" t="s">
        <v>249</v>
      </c>
      <c r="N181" s="135" t="s">
        <v>630</v>
      </c>
      <c r="O181" s="152" t="s">
        <v>791</v>
      </c>
    </row>
    <row r="182" spans="1:15" ht="15" customHeight="1">
      <c r="A182" s="70"/>
      <c r="B182" s="97" t="s">
        <v>49</v>
      </c>
      <c r="C182" s="98"/>
      <c r="D182" s="101" t="s">
        <v>206</v>
      </c>
      <c r="E182" s="79"/>
      <c r="F182" s="192">
        <v>14</v>
      </c>
      <c r="G182" s="193"/>
      <c r="H182" s="132">
        <v>25.13</v>
      </c>
      <c r="I182" s="78">
        <f t="shared" si="1"/>
        <v>351.82</v>
      </c>
      <c r="J182" s="119" t="s">
        <v>986</v>
      </c>
      <c r="K182" s="130" t="s">
        <v>226</v>
      </c>
      <c r="L182" s="131"/>
      <c r="M182" s="149" t="s">
        <v>315</v>
      </c>
      <c r="N182" s="135" t="s">
        <v>792</v>
      </c>
      <c r="O182" s="152" t="s">
        <v>793</v>
      </c>
    </row>
    <row r="183" spans="1:15" ht="15" customHeight="1">
      <c r="A183" s="70"/>
      <c r="B183" s="97" t="s">
        <v>49</v>
      </c>
      <c r="C183" s="98"/>
      <c r="D183" s="101" t="s">
        <v>208</v>
      </c>
      <c r="E183" s="79"/>
      <c r="F183" s="192">
        <v>8</v>
      </c>
      <c r="G183" s="193"/>
      <c r="H183" s="132">
        <v>25.44</v>
      </c>
      <c r="I183" s="78">
        <f>F183*H183</f>
        <v>203.52</v>
      </c>
      <c r="J183" s="119" t="s">
        <v>986</v>
      </c>
      <c r="K183" s="130" t="s">
        <v>226</v>
      </c>
      <c r="L183" s="131"/>
      <c r="M183" s="149" t="s">
        <v>315</v>
      </c>
      <c r="N183" s="135" t="s">
        <v>795</v>
      </c>
      <c r="O183" s="152" t="s">
        <v>796</v>
      </c>
    </row>
    <row r="184" spans="1:15" ht="15" customHeight="1">
      <c r="A184" s="70"/>
      <c r="B184" s="97" t="s">
        <v>49</v>
      </c>
      <c r="C184" s="77"/>
      <c r="D184" s="101" t="s">
        <v>209</v>
      </c>
      <c r="E184" s="79"/>
      <c r="F184" s="192">
        <v>8</v>
      </c>
      <c r="G184" s="193"/>
      <c r="H184" s="132">
        <v>21.69</v>
      </c>
      <c r="I184" s="78">
        <f>F184*H184</f>
        <v>173.52</v>
      </c>
      <c r="J184" s="184" t="s">
        <v>986</v>
      </c>
      <c r="K184" s="130" t="s">
        <v>226</v>
      </c>
      <c r="L184" s="131"/>
      <c r="M184" s="149" t="s">
        <v>316</v>
      </c>
      <c r="N184" s="135" t="s">
        <v>753</v>
      </c>
      <c r="O184" s="152" t="s">
        <v>797</v>
      </c>
    </row>
    <row r="185" spans="1:15" s="180" customFormat="1" ht="15" customHeight="1" thickBot="1">
      <c r="A185" s="168"/>
      <c r="B185" s="82" t="s">
        <v>49</v>
      </c>
      <c r="C185" s="169"/>
      <c r="D185" s="170" t="s">
        <v>210</v>
      </c>
      <c r="E185" s="171"/>
      <c r="F185" s="239">
        <v>2</v>
      </c>
      <c r="G185" s="240"/>
      <c r="H185" s="172">
        <v>702.25</v>
      </c>
      <c r="I185" s="173">
        <f>F185*H185</f>
        <v>1404.5</v>
      </c>
      <c r="J185" s="185" t="s">
        <v>986</v>
      </c>
      <c r="K185" s="175" t="s">
        <v>226</v>
      </c>
      <c r="L185" s="176"/>
      <c r="M185" s="177" t="s">
        <v>317</v>
      </c>
      <c r="N185" s="178" t="s">
        <v>615</v>
      </c>
      <c r="O185" s="179" t="s">
        <v>798</v>
      </c>
    </row>
    <row r="186" spans="1:15" ht="15" customHeight="1" thickTop="1">
      <c r="A186" s="128"/>
      <c r="B186" s="97" t="s">
        <v>327</v>
      </c>
      <c r="C186" s="98"/>
      <c r="D186" s="99" t="s">
        <v>74</v>
      </c>
      <c r="E186" s="100"/>
      <c r="F186" s="241">
        <v>2</v>
      </c>
      <c r="G186" s="242"/>
      <c r="H186" s="129">
        <v>3.12</v>
      </c>
      <c r="I186" s="80">
        <f t="shared" si="1"/>
        <v>6.24</v>
      </c>
      <c r="J186" s="119" t="s">
        <v>990</v>
      </c>
      <c r="K186" s="145" t="s">
        <v>226</v>
      </c>
      <c r="L186" s="146"/>
      <c r="M186" s="148" t="s">
        <v>249</v>
      </c>
      <c r="N186" s="136" t="s">
        <v>630</v>
      </c>
      <c r="O186" s="153" t="s">
        <v>631</v>
      </c>
    </row>
    <row r="187" spans="1:15" ht="15" customHeight="1">
      <c r="A187" s="70"/>
      <c r="B187" s="97" t="s">
        <v>327</v>
      </c>
      <c r="C187" s="77"/>
      <c r="D187" s="101" t="s">
        <v>75</v>
      </c>
      <c r="E187" s="79"/>
      <c r="F187" s="192">
        <v>2</v>
      </c>
      <c r="G187" s="193"/>
      <c r="H187" s="132">
        <v>4.5999999999999996</v>
      </c>
      <c r="I187" s="78">
        <f t="shared" si="1"/>
        <v>9.1999999999999993</v>
      </c>
      <c r="J187" s="119" t="s">
        <v>989</v>
      </c>
      <c r="K187" s="130" t="s">
        <v>226</v>
      </c>
      <c r="L187" s="131"/>
      <c r="M187" s="149" t="s">
        <v>250</v>
      </c>
      <c r="N187" s="135" t="s">
        <v>632</v>
      </c>
      <c r="O187" s="152" t="s">
        <v>633</v>
      </c>
    </row>
    <row r="188" spans="1:15" ht="15" customHeight="1">
      <c r="A188" s="70"/>
      <c r="B188" s="97" t="s">
        <v>327</v>
      </c>
      <c r="C188" s="77"/>
      <c r="D188" s="101" t="s">
        <v>76</v>
      </c>
      <c r="E188" s="79"/>
      <c r="F188" s="192">
        <v>4</v>
      </c>
      <c r="G188" s="193"/>
      <c r="H188" s="132">
        <v>25.75</v>
      </c>
      <c r="I188" s="78">
        <f t="shared" si="1"/>
        <v>103</v>
      </c>
      <c r="J188" s="119" t="s">
        <v>989</v>
      </c>
      <c r="K188" s="130" t="s">
        <v>229</v>
      </c>
      <c r="L188" s="131"/>
      <c r="M188" s="149" t="s">
        <v>249</v>
      </c>
      <c r="N188" s="135" t="s">
        <v>634</v>
      </c>
      <c r="O188" s="152" t="s">
        <v>635</v>
      </c>
    </row>
    <row r="189" spans="1:15" ht="15" customHeight="1">
      <c r="A189" s="70"/>
      <c r="B189" s="97" t="s">
        <v>327</v>
      </c>
      <c r="C189" s="98"/>
      <c r="D189" s="101" t="s">
        <v>50</v>
      </c>
      <c r="E189" s="79"/>
      <c r="F189" s="192">
        <v>7</v>
      </c>
      <c r="G189" s="193"/>
      <c r="H189" s="132">
        <v>9.83</v>
      </c>
      <c r="I189" s="78">
        <f t="shared" si="1"/>
        <v>68.81</v>
      </c>
      <c r="J189" s="119" t="s">
        <v>989</v>
      </c>
      <c r="K189" s="130" t="s">
        <v>226</v>
      </c>
      <c r="L189" s="131"/>
      <c r="M189" s="149" t="s">
        <v>233</v>
      </c>
      <c r="N189" s="135" t="s">
        <v>593</v>
      </c>
      <c r="O189" s="152" t="s">
        <v>594</v>
      </c>
    </row>
    <row r="190" spans="1:15" ht="15" customHeight="1">
      <c r="A190" s="70"/>
      <c r="B190" s="97" t="s">
        <v>327</v>
      </c>
      <c r="C190" s="77"/>
      <c r="D190" s="101" t="s">
        <v>51</v>
      </c>
      <c r="E190" s="79"/>
      <c r="F190" s="192">
        <v>2</v>
      </c>
      <c r="G190" s="193"/>
      <c r="H190" s="132">
        <v>0.23</v>
      </c>
      <c r="I190" s="78">
        <f t="shared" si="1"/>
        <v>0.46</v>
      </c>
      <c r="J190" s="119" t="s">
        <v>989</v>
      </c>
      <c r="K190" s="130" t="s">
        <v>227</v>
      </c>
      <c r="L190" s="131"/>
      <c r="M190" s="149" t="s">
        <v>234</v>
      </c>
      <c r="N190" s="135" t="s">
        <v>595</v>
      </c>
      <c r="O190" s="152" t="s">
        <v>596</v>
      </c>
    </row>
    <row r="191" spans="1:15" ht="15" customHeight="1">
      <c r="A191" s="70"/>
      <c r="B191" s="97" t="s">
        <v>327</v>
      </c>
      <c r="C191" s="77"/>
      <c r="D191" s="101" t="s">
        <v>52</v>
      </c>
      <c r="E191" s="79"/>
      <c r="F191" s="192">
        <v>7</v>
      </c>
      <c r="G191" s="193"/>
      <c r="H191" s="132">
        <v>13.81</v>
      </c>
      <c r="I191" s="78">
        <f t="shared" si="1"/>
        <v>96.67</v>
      </c>
      <c r="J191" s="119" t="s">
        <v>989</v>
      </c>
      <c r="K191" s="130" t="s">
        <v>226</v>
      </c>
      <c r="L191" s="131"/>
      <c r="M191" s="149" t="s">
        <v>235</v>
      </c>
      <c r="N191" s="135" t="s">
        <v>597</v>
      </c>
      <c r="O191" s="152" t="s">
        <v>598</v>
      </c>
    </row>
    <row r="192" spans="1:15" ht="15" customHeight="1">
      <c r="A192" s="70"/>
      <c r="B192" s="97" t="s">
        <v>327</v>
      </c>
      <c r="C192" s="98"/>
      <c r="D192" s="101" t="s">
        <v>53</v>
      </c>
      <c r="E192" s="79"/>
      <c r="F192" s="192">
        <v>1</v>
      </c>
      <c r="G192" s="193"/>
      <c r="H192" s="132">
        <v>13.81</v>
      </c>
      <c r="I192" s="78">
        <f t="shared" si="1"/>
        <v>13.81</v>
      </c>
      <c r="J192" s="119" t="s">
        <v>989</v>
      </c>
      <c r="K192" s="130" t="s">
        <v>226</v>
      </c>
      <c r="L192" s="131"/>
      <c r="M192" s="149" t="s">
        <v>235</v>
      </c>
      <c r="N192" s="135" t="s">
        <v>597</v>
      </c>
      <c r="O192" s="152" t="s">
        <v>599</v>
      </c>
    </row>
    <row r="193" spans="1:15" ht="15" customHeight="1">
      <c r="A193" s="70"/>
      <c r="B193" s="97" t="s">
        <v>327</v>
      </c>
      <c r="C193" s="77"/>
      <c r="D193" s="101" t="s">
        <v>55</v>
      </c>
      <c r="E193" s="79"/>
      <c r="F193" s="192">
        <v>1</v>
      </c>
      <c r="G193" s="193"/>
      <c r="H193" s="132">
        <v>12.64</v>
      </c>
      <c r="I193" s="78">
        <f t="shared" si="1"/>
        <v>12.64</v>
      </c>
      <c r="J193" s="119" t="s">
        <v>989</v>
      </c>
      <c r="K193" s="130" t="s">
        <v>228</v>
      </c>
      <c r="L193" s="131"/>
      <c r="M193" s="149" t="s">
        <v>236</v>
      </c>
      <c r="N193" s="135" t="s">
        <v>600</v>
      </c>
      <c r="O193" s="152" t="s">
        <v>602</v>
      </c>
    </row>
    <row r="194" spans="1:15" ht="15" customHeight="1">
      <c r="A194" s="70"/>
      <c r="B194" s="97" t="s">
        <v>327</v>
      </c>
      <c r="C194" s="77"/>
      <c r="D194" s="101" t="s">
        <v>56</v>
      </c>
      <c r="E194" s="79"/>
      <c r="F194" s="192">
        <v>2</v>
      </c>
      <c r="G194" s="193"/>
      <c r="H194" s="132">
        <v>0.27</v>
      </c>
      <c r="I194" s="78">
        <f t="shared" si="1"/>
        <v>0.54</v>
      </c>
      <c r="J194" s="119" t="s">
        <v>989</v>
      </c>
      <c r="K194" s="130" t="s">
        <v>226</v>
      </c>
      <c r="L194" s="131"/>
      <c r="M194" s="149" t="s">
        <v>56</v>
      </c>
      <c r="N194" s="135" t="s">
        <v>603</v>
      </c>
      <c r="O194" s="152" t="s">
        <v>604</v>
      </c>
    </row>
    <row r="195" spans="1:15" ht="15" customHeight="1">
      <c r="A195" s="70"/>
      <c r="B195" s="97" t="s">
        <v>327</v>
      </c>
      <c r="C195" s="98"/>
      <c r="D195" s="101" t="s">
        <v>57</v>
      </c>
      <c r="E195" s="79"/>
      <c r="F195" s="192">
        <v>2</v>
      </c>
      <c r="G195" s="193"/>
      <c r="H195" s="132">
        <v>0.53</v>
      </c>
      <c r="I195" s="78">
        <f t="shared" si="1"/>
        <v>1.06</v>
      </c>
      <c r="J195" s="119" t="s">
        <v>989</v>
      </c>
      <c r="K195" s="130" t="s">
        <v>226</v>
      </c>
      <c r="L195" s="131"/>
      <c r="M195" s="149" t="s">
        <v>237</v>
      </c>
      <c r="N195" s="135" t="s">
        <v>605</v>
      </c>
      <c r="O195" s="152" t="s">
        <v>606</v>
      </c>
    </row>
    <row r="196" spans="1:15" ht="15" customHeight="1">
      <c r="A196" s="70"/>
      <c r="B196" s="97" t="s">
        <v>327</v>
      </c>
      <c r="C196" s="77"/>
      <c r="D196" s="101" t="s">
        <v>58</v>
      </c>
      <c r="E196" s="79"/>
      <c r="F196" s="192">
        <v>2</v>
      </c>
      <c r="G196" s="193"/>
      <c r="H196" s="132">
        <v>0.31</v>
      </c>
      <c r="I196" s="78">
        <f t="shared" si="1"/>
        <v>0.62</v>
      </c>
      <c r="J196" s="119" t="s">
        <v>989</v>
      </c>
      <c r="K196" s="130" t="s">
        <v>226</v>
      </c>
      <c r="L196" s="131"/>
      <c r="M196" s="149" t="s">
        <v>238</v>
      </c>
      <c r="N196" s="135" t="s">
        <v>607</v>
      </c>
      <c r="O196" s="152" t="s">
        <v>608</v>
      </c>
    </row>
    <row r="197" spans="1:15" ht="15" customHeight="1">
      <c r="A197" s="70"/>
      <c r="B197" s="97" t="s">
        <v>327</v>
      </c>
      <c r="C197" s="77"/>
      <c r="D197" s="101" t="s">
        <v>59</v>
      </c>
      <c r="E197" s="79"/>
      <c r="F197" s="192">
        <v>1</v>
      </c>
      <c r="G197" s="193"/>
      <c r="H197" s="132">
        <v>31.06</v>
      </c>
      <c r="I197" s="78">
        <f t="shared" si="1"/>
        <v>31.06</v>
      </c>
      <c r="J197" s="119" t="s">
        <v>989</v>
      </c>
      <c r="K197" s="130" t="s">
        <v>226</v>
      </c>
      <c r="L197" s="131"/>
      <c r="M197" s="149" t="s">
        <v>239</v>
      </c>
      <c r="N197" s="135" t="s">
        <v>609</v>
      </c>
      <c r="O197" s="152" t="s">
        <v>610</v>
      </c>
    </row>
    <row r="198" spans="1:15" ht="15" customHeight="1">
      <c r="A198" s="70"/>
      <c r="B198" s="97" t="s">
        <v>327</v>
      </c>
      <c r="C198" s="98"/>
      <c r="D198" s="101" t="s">
        <v>60</v>
      </c>
      <c r="E198" s="79"/>
      <c r="F198" s="192">
        <v>1</v>
      </c>
      <c r="G198" s="193"/>
      <c r="H198" s="132">
        <v>42.76</v>
      </c>
      <c r="I198" s="78">
        <f t="shared" si="1"/>
        <v>42.76</v>
      </c>
      <c r="J198" s="119" t="s">
        <v>989</v>
      </c>
      <c r="K198" s="130" t="s">
        <v>226</v>
      </c>
      <c r="L198" s="131"/>
      <c r="M198" s="149" t="s">
        <v>240</v>
      </c>
      <c r="N198" s="135" t="s">
        <v>609</v>
      </c>
      <c r="O198" s="152" t="s">
        <v>611</v>
      </c>
    </row>
    <row r="199" spans="1:15" ht="15" customHeight="1">
      <c r="A199" s="70"/>
      <c r="B199" s="97" t="s">
        <v>327</v>
      </c>
      <c r="C199" s="77"/>
      <c r="D199" s="101" t="s">
        <v>61</v>
      </c>
      <c r="E199" s="79"/>
      <c r="F199" s="192">
        <v>4</v>
      </c>
      <c r="G199" s="193"/>
      <c r="H199" s="132">
        <v>8.19</v>
      </c>
      <c r="I199" s="78">
        <f t="shared" si="1"/>
        <v>32.76</v>
      </c>
      <c r="J199" s="119" t="s">
        <v>989</v>
      </c>
      <c r="K199" s="130" t="s">
        <v>229</v>
      </c>
      <c r="L199" s="131"/>
      <c r="M199" s="149" t="s">
        <v>241</v>
      </c>
      <c r="N199" s="135" t="s">
        <v>593</v>
      </c>
      <c r="O199" s="152" t="s">
        <v>612</v>
      </c>
    </row>
    <row r="200" spans="1:15" ht="15" customHeight="1">
      <c r="A200" s="70"/>
      <c r="B200" s="97" t="s">
        <v>327</v>
      </c>
      <c r="C200" s="77"/>
      <c r="D200" s="101" t="s">
        <v>62</v>
      </c>
      <c r="E200" s="79"/>
      <c r="F200" s="192">
        <v>4</v>
      </c>
      <c r="G200" s="193"/>
      <c r="H200" s="132">
        <v>8.27</v>
      </c>
      <c r="I200" s="78">
        <f t="shared" si="1"/>
        <v>33.08</v>
      </c>
      <c r="J200" s="119" t="s">
        <v>989</v>
      </c>
      <c r="K200" s="130" t="s">
        <v>229</v>
      </c>
      <c r="L200" s="131"/>
      <c r="M200" s="149" t="s">
        <v>242</v>
      </c>
      <c r="N200" s="135" t="s">
        <v>613</v>
      </c>
      <c r="O200" s="152" t="s">
        <v>614</v>
      </c>
    </row>
    <row r="201" spans="1:15" ht="15" customHeight="1">
      <c r="A201" s="70"/>
      <c r="B201" s="97" t="s">
        <v>327</v>
      </c>
      <c r="C201" s="98"/>
      <c r="D201" s="101" t="s">
        <v>63</v>
      </c>
      <c r="E201" s="79"/>
      <c r="F201" s="192">
        <v>1</v>
      </c>
      <c r="G201" s="193"/>
      <c r="H201" s="132">
        <v>287.14</v>
      </c>
      <c r="I201" s="78">
        <f t="shared" si="1"/>
        <v>287.14</v>
      </c>
      <c r="J201" s="119" t="s">
        <v>989</v>
      </c>
      <c r="K201" s="130" t="s">
        <v>229</v>
      </c>
      <c r="L201" s="131"/>
      <c r="M201" s="149" t="s">
        <v>243</v>
      </c>
      <c r="N201" s="135" t="s">
        <v>615</v>
      </c>
      <c r="O201" s="152" t="s">
        <v>616</v>
      </c>
    </row>
    <row r="202" spans="1:15" ht="15" customHeight="1">
      <c r="A202" s="70"/>
      <c r="B202" s="97" t="s">
        <v>327</v>
      </c>
      <c r="C202" s="77"/>
      <c r="D202" s="101" t="s">
        <v>64</v>
      </c>
      <c r="E202" s="79"/>
      <c r="F202" s="192">
        <v>7</v>
      </c>
      <c r="G202" s="193"/>
      <c r="H202" s="132">
        <v>1.72</v>
      </c>
      <c r="I202" s="78">
        <f t="shared" si="1"/>
        <v>12.04</v>
      </c>
      <c r="J202" s="119" t="s">
        <v>989</v>
      </c>
      <c r="K202" s="130" t="s">
        <v>229</v>
      </c>
      <c r="L202" s="131"/>
      <c r="M202" s="149" t="s">
        <v>244</v>
      </c>
      <c r="N202" s="135" t="s">
        <v>613</v>
      </c>
      <c r="O202" s="152" t="s">
        <v>617</v>
      </c>
    </row>
    <row r="203" spans="1:15" ht="15" customHeight="1">
      <c r="A203" s="70"/>
      <c r="B203" s="97" t="s">
        <v>327</v>
      </c>
      <c r="C203" s="77"/>
      <c r="D203" s="101" t="s">
        <v>65</v>
      </c>
      <c r="E203" s="79"/>
      <c r="F203" s="192">
        <v>1</v>
      </c>
      <c r="G203" s="193"/>
      <c r="H203" s="132">
        <v>10.14</v>
      </c>
      <c r="I203" s="78">
        <f t="shared" si="1"/>
        <v>10.14</v>
      </c>
      <c r="J203" s="119" t="s">
        <v>989</v>
      </c>
      <c r="K203" s="130" t="s">
        <v>230</v>
      </c>
      <c r="L203" s="131"/>
      <c r="M203" s="149" t="s">
        <v>245</v>
      </c>
      <c r="N203" s="135" t="s">
        <v>618</v>
      </c>
      <c r="O203" s="152" t="s">
        <v>619</v>
      </c>
    </row>
    <row r="204" spans="1:15" ht="15" customHeight="1">
      <c r="A204" s="70"/>
      <c r="B204" s="97" t="s">
        <v>327</v>
      </c>
      <c r="C204" s="98"/>
      <c r="D204" s="101" t="s">
        <v>66</v>
      </c>
      <c r="E204" s="79"/>
      <c r="F204" s="192">
        <v>1</v>
      </c>
      <c r="G204" s="193"/>
      <c r="H204" s="132">
        <v>20.29</v>
      </c>
      <c r="I204" s="78">
        <f t="shared" si="1"/>
        <v>20.29</v>
      </c>
      <c r="J204" s="119" t="s">
        <v>989</v>
      </c>
      <c r="K204" s="130" t="s">
        <v>230</v>
      </c>
      <c r="L204" s="131"/>
      <c r="M204" s="149" t="s">
        <v>245</v>
      </c>
      <c r="N204" s="135" t="s">
        <v>618</v>
      </c>
      <c r="O204" s="152" t="s">
        <v>620</v>
      </c>
    </row>
    <row r="205" spans="1:15" ht="15" customHeight="1">
      <c r="A205" s="70"/>
      <c r="B205" s="97" t="s">
        <v>327</v>
      </c>
      <c r="C205" s="77"/>
      <c r="D205" s="101" t="s">
        <v>67</v>
      </c>
      <c r="E205" s="79"/>
      <c r="F205" s="192">
        <v>1</v>
      </c>
      <c r="G205" s="193"/>
      <c r="H205" s="132">
        <v>18.73</v>
      </c>
      <c r="I205" s="78">
        <f t="shared" si="1"/>
        <v>18.73</v>
      </c>
      <c r="J205" s="119" t="s">
        <v>989</v>
      </c>
      <c r="K205" s="130" t="s">
        <v>230</v>
      </c>
      <c r="L205" s="131"/>
      <c r="M205" s="149" t="s">
        <v>246</v>
      </c>
      <c r="N205" s="135" t="s">
        <v>597</v>
      </c>
      <c r="O205" s="152" t="s">
        <v>621</v>
      </c>
    </row>
    <row r="206" spans="1:15" ht="15" customHeight="1">
      <c r="A206" s="70"/>
      <c r="B206" s="97" t="s">
        <v>327</v>
      </c>
      <c r="C206" s="77"/>
      <c r="D206" s="101" t="s">
        <v>68</v>
      </c>
      <c r="E206" s="79"/>
      <c r="F206" s="192">
        <v>1</v>
      </c>
      <c r="G206" s="193"/>
      <c r="H206" s="132">
        <v>18.73</v>
      </c>
      <c r="I206" s="78">
        <f t="shared" si="1"/>
        <v>18.73</v>
      </c>
      <c r="J206" s="119" t="s">
        <v>989</v>
      </c>
      <c r="K206" s="130" t="s">
        <v>230</v>
      </c>
      <c r="L206" s="131"/>
      <c r="M206" s="149" t="s">
        <v>246</v>
      </c>
      <c r="N206" s="135" t="s">
        <v>597</v>
      </c>
      <c r="O206" s="152" t="s">
        <v>622</v>
      </c>
    </row>
    <row r="207" spans="1:15" ht="15" customHeight="1">
      <c r="A207" s="70"/>
      <c r="B207" s="97" t="s">
        <v>327</v>
      </c>
      <c r="C207" s="98"/>
      <c r="D207" s="101" t="s">
        <v>69</v>
      </c>
      <c r="E207" s="79"/>
      <c r="F207" s="192">
        <v>4</v>
      </c>
      <c r="G207" s="193"/>
      <c r="H207" s="132">
        <v>7.02</v>
      </c>
      <c r="I207" s="78">
        <f t="shared" si="1"/>
        <v>28.08</v>
      </c>
      <c r="J207" s="119" t="s">
        <v>989</v>
      </c>
      <c r="K207" s="130" t="s">
        <v>230</v>
      </c>
      <c r="L207" s="131"/>
      <c r="M207" s="149" t="s">
        <v>247</v>
      </c>
      <c r="N207" s="135" t="s">
        <v>623</v>
      </c>
      <c r="O207" s="152" t="s">
        <v>624</v>
      </c>
    </row>
    <row r="208" spans="1:15" ht="15" customHeight="1">
      <c r="A208" s="70"/>
      <c r="B208" s="97" t="s">
        <v>327</v>
      </c>
      <c r="C208" s="77"/>
      <c r="D208" s="101" t="s">
        <v>70</v>
      </c>
      <c r="E208" s="79"/>
      <c r="F208" s="192">
        <v>2</v>
      </c>
      <c r="G208" s="193"/>
      <c r="H208" s="132">
        <v>18.73</v>
      </c>
      <c r="I208" s="78">
        <f t="shared" si="1"/>
        <v>37.46</v>
      </c>
      <c r="J208" s="119" t="s">
        <v>989</v>
      </c>
      <c r="K208" s="130" t="s">
        <v>230</v>
      </c>
      <c r="L208" s="131"/>
      <c r="M208" s="149" t="s">
        <v>246</v>
      </c>
      <c r="N208" s="135" t="s">
        <v>597</v>
      </c>
      <c r="O208" s="152" t="s">
        <v>625</v>
      </c>
    </row>
    <row r="209" spans="1:15" ht="15" customHeight="1">
      <c r="A209" s="70"/>
      <c r="B209" s="97" t="s">
        <v>327</v>
      </c>
      <c r="C209" s="77"/>
      <c r="D209" s="101" t="s">
        <v>71</v>
      </c>
      <c r="E209" s="79"/>
      <c r="F209" s="192">
        <v>1</v>
      </c>
      <c r="G209" s="193"/>
      <c r="H209" s="132">
        <v>23.72</v>
      </c>
      <c r="I209" s="78">
        <f t="shared" si="1"/>
        <v>23.72</v>
      </c>
      <c r="J209" s="119" t="s">
        <v>989</v>
      </c>
      <c r="K209" s="130" t="s">
        <v>226</v>
      </c>
      <c r="L209" s="131"/>
      <c r="M209" s="149" t="s">
        <v>248</v>
      </c>
      <c r="N209" s="135" t="s">
        <v>626</v>
      </c>
      <c r="O209" s="152" t="s">
        <v>627</v>
      </c>
    </row>
    <row r="210" spans="1:15" ht="15" customHeight="1">
      <c r="A210" s="70"/>
      <c r="B210" s="97" t="s">
        <v>327</v>
      </c>
      <c r="C210" s="98"/>
      <c r="D210" s="101" t="s">
        <v>72</v>
      </c>
      <c r="E210" s="79"/>
      <c r="F210" s="192">
        <v>1</v>
      </c>
      <c r="G210" s="193"/>
      <c r="H210" s="132">
        <v>4.72</v>
      </c>
      <c r="I210" s="78">
        <f t="shared" si="1"/>
        <v>4.72</v>
      </c>
      <c r="J210" s="119" t="s">
        <v>989</v>
      </c>
      <c r="K210" s="130" t="s">
        <v>226</v>
      </c>
      <c r="L210" s="131"/>
      <c r="M210" s="149" t="s">
        <v>248</v>
      </c>
      <c r="N210" s="135" t="s">
        <v>626</v>
      </c>
      <c r="O210" s="152" t="s">
        <v>628</v>
      </c>
    </row>
    <row r="211" spans="1:15" ht="15" customHeight="1">
      <c r="A211" s="70"/>
      <c r="B211" s="97" t="s">
        <v>327</v>
      </c>
      <c r="C211" s="77"/>
      <c r="D211" s="101" t="s">
        <v>73</v>
      </c>
      <c r="E211" s="79"/>
      <c r="F211" s="192">
        <v>1</v>
      </c>
      <c r="G211" s="193"/>
      <c r="H211" s="132">
        <v>15.45</v>
      </c>
      <c r="I211" s="78">
        <f t="shared" si="1"/>
        <v>15.45</v>
      </c>
      <c r="J211" s="119" t="s">
        <v>989</v>
      </c>
      <c r="K211" s="130" t="s">
        <v>226</v>
      </c>
      <c r="L211" s="131"/>
      <c r="M211" s="149" t="s">
        <v>248</v>
      </c>
      <c r="N211" s="135" t="s">
        <v>626</v>
      </c>
      <c r="O211" s="152" t="s">
        <v>629</v>
      </c>
    </row>
    <row r="212" spans="1:15" ht="15" customHeight="1">
      <c r="A212" s="70"/>
      <c r="B212" s="97" t="s">
        <v>327</v>
      </c>
      <c r="C212" s="77"/>
      <c r="D212" s="101" t="s">
        <v>54</v>
      </c>
      <c r="E212" s="79"/>
      <c r="F212" s="192">
        <v>1</v>
      </c>
      <c r="G212" s="193"/>
      <c r="H212" s="132">
        <v>9.36</v>
      </c>
      <c r="I212" s="78">
        <f t="shared" si="1"/>
        <v>9.36</v>
      </c>
      <c r="J212" s="119" t="s">
        <v>989</v>
      </c>
      <c r="K212" s="130" t="s">
        <v>228</v>
      </c>
      <c r="L212" s="131"/>
      <c r="M212" s="149" t="s">
        <v>236</v>
      </c>
      <c r="N212" s="135" t="s">
        <v>600</v>
      </c>
      <c r="O212" s="152" t="s">
        <v>601</v>
      </c>
    </row>
    <row r="213" spans="1:15" ht="15" customHeight="1">
      <c r="A213" s="70"/>
      <c r="B213" s="97" t="s">
        <v>327</v>
      </c>
      <c r="C213" s="98"/>
      <c r="D213" s="101" t="s">
        <v>77</v>
      </c>
      <c r="E213" s="79"/>
      <c r="F213" s="192">
        <v>1</v>
      </c>
      <c r="G213" s="193"/>
      <c r="H213" s="132">
        <v>46.82</v>
      </c>
      <c r="I213" s="78">
        <f t="shared" si="1"/>
        <v>46.82</v>
      </c>
      <c r="J213" s="119" t="s">
        <v>989</v>
      </c>
      <c r="K213" s="130" t="s">
        <v>231</v>
      </c>
      <c r="L213" s="131"/>
      <c r="M213" s="149" t="s">
        <v>251</v>
      </c>
      <c r="N213" s="135" t="s">
        <v>636</v>
      </c>
      <c r="O213" s="152" t="s">
        <v>637</v>
      </c>
    </row>
    <row r="214" spans="1:15" ht="15" customHeight="1">
      <c r="A214" s="70"/>
      <c r="B214" s="97" t="s">
        <v>327</v>
      </c>
      <c r="C214" s="77"/>
      <c r="D214" s="101" t="s">
        <v>78</v>
      </c>
      <c r="E214" s="79"/>
      <c r="F214" s="192">
        <v>1</v>
      </c>
      <c r="G214" s="193"/>
      <c r="H214" s="132">
        <v>226.28</v>
      </c>
      <c r="I214" s="78">
        <f t="shared" si="1"/>
        <v>226.28</v>
      </c>
      <c r="J214" s="119" t="s">
        <v>989</v>
      </c>
      <c r="K214" s="130" t="s">
        <v>232</v>
      </c>
      <c r="L214" s="131"/>
      <c r="M214" s="149" t="s">
        <v>252</v>
      </c>
      <c r="N214" s="135" t="s">
        <v>638</v>
      </c>
      <c r="O214" s="152" t="s">
        <v>639</v>
      </c>
    </row>
    <row r="215" spans="1:15" ht="15" customHeight="1">
      <c r="A215" s="70"/>
      <c r="B215" s="97" t="s">
        <v>327</v>
      </c>
      <c r="C215" s="77"/>
      <c r="D215" s="101" t="s">
        <v>133</v>
      </c>
      <c r="E215" s="79"/>
      <c r="F215" s="192">
        <v>1</v>
      </c>
      <c r="G215" s="193"/>
      <c r="H215" s="132">
        <v>0.16</v>
      </c>
      <c r="I215" s="78">
        <f t="shared" si="1"/>
        <v>0.16</v>
      </c>
      <c r="J215" s="119" t="s">
        <v>989</v>
      </c>
      <c r="K215" s="130" t="s">
        <v>226</v>
      </c>
      <c r="L215" s="131"/>
      <c r="M215" s="149" t="s">
        <v>276</v>
      </c>
      <c r="N215" s="135" t="s">
        <v>603</v>
      </c>
      <c r="O215" s="152" t="s">
        <v>648</v>
      </c>
    </row>
    <row r="216" spans="1:15" ht="15" customHeight="1">
      <c r="A216" s="70"/>
      <c r="B216" s="97" t="s">
        <v>327</v>
      </c>
      <c r="C216" s="98"/>
      <c r="D216" s="101" t="s">
        <v>83</v>
      </c>
      <c r="E216" s="79"/>
      <c r="F216" s="192">
        <v>1</v>
      </c>
      <c r="G216" s="193"/>
      <c r="H216" s="132">
        <v>9.36</v>
      </c>
      <c r="I216" s="78">
        <f t="shared" si="1"/>
        <v>9.36</v>
      </c>
      <c r="J216" s="119" t="s">
        <v>989</v>
      </c>
      <c r="K216" s="130" t="s">
        <v>226</v>
      </c>
      <c r="L216" s="131"/>
      <c r="M216" s="149" t="s">
        <v>257</v>
      </c>
      <c r="N216" s="135" t="s">
        <v>646</v>
      </c>
      <c r="O216" s="152" t="s">
        <v>647</v>
      </c>
    </row>
    <row r="217" spans="1:15" ht="15" customHeight="1">
      <c r="A217" s="70"/>
      <c r="B217" s="97" t="s">
        <v>327</v>
      </c>
      <c r="C217" s="77"/>
      <c r="D217" s="101" t="s">
        <v>84</v>
      </c>
      <c r="E217" s="79"/>
      <c r="F217" s="192">
        <v>1</v>
      </c>
      <c r="G217" s="193"/>
      <c r="H217" s="132">
        <v>0.16</v>
      </c>
      <c r="I217" s="78">
        <f t="shared" si="1"/>
        <v>0.16</v>
      </c>
      <c r="J217" s="119" t="s">
        <v>989</v>
      </c>
      <c r="K217" s="130" t="s">
        <v>226</v>
      </c>
      <c r="L217" s="131"/>
      <c r="M217" s="149" t="s">
        <v>258</v>
      </c>
      <c r="N217" s="135" t="s">
        <v>603</v>
      </c>
      <c r="O217" s="152" t="s">
        <v>648</v>
      </c>
    </row>
    <row r="218" spans="1:15" ht="15" customHeight="1">
      <c r="A218" s="70"/>
      <c r="B218" s="97" t="s">
        <v>327</v>
      </c>
      <c r="C218" s="77"/>
      <c r="D218" s="101" t="s">
        <v>85</v>
      </c>
      <c r="E218" s="79"/>
      <c r="F218" s="192">
        <v>1</v>
      </c>
      <c r="G218" s="193"/>
      <c r="H218" s="132">
        <v>5.07</v>
      </c>
      <c r="I218" s="78">
        <f t="shared" si="1"/>
        <v>5.07</v>
      </c>
      <c r="J218" s="119" t="s">
        <v>989</v>
      </c>
      <c r="K218" s="130" t="s">
        <v>226</v>
      </c>
      <c r="L218" s="131"/>
      <c r="M218" s="149" t="s">
        <v>259</v>
      </c>
      <c r="N218" s="135" t="s">
        <v>649</v>
      </c>
      <c r="O218" s="152" t="s">
        <v>650</v>
      </c>
    </row>
    <row r="219" spans="1:15" ht="15" customHeight="1">
      <c r="A219" s="70"/>
      <c r="B219" s="97" t="s">
        <v>327</v>
      </c>
      <c r="C219" s="98"/>
      <c r="D219" s="101" t="s">
        <v>137</v>
      </c>
      <c r="E219" s="79"/>
      <c r="F219" s="192">
        <v>1</v>
      </c>
      <c r="G219" s="193"/>
      <c r="H219" s="132">
        <v>4.37</v>
      </c>
      <c r="I219" s="78">
        <f t="shared" si="1"/>
        <v>4.37</v>
      </c>
      <c r="J219" s="119" t="s">
        <v>989</v>
      </c>
      <c r="K219" s="130" t="s">
        <v>226</v>
      </c>
      <c r="L219" s="131"/>
      <c r="M219" s="149" t="s">
        <v>280</v>
      </c>
      <c r="N219" s="135" t="s">
        <v>713</v>
      </c>
      <c r="O219" s="152" t="s">
        <v>815</v>
      </c>
    </row>
    <row r="220" spans="1:15" ht="15" customHeight="1">
      <c r="A220" s="70"/>
      <c r="B220" s="97" t="s">
        <v>327</v>
      </c>
      <c r="C220" s="77"/>
      <c r="D220" s="101" t="s">
        <v>135</v>
      </c>
      <c r="E220" s="79"/>
      <c r="F220" s="192">
        <v>1</v>
      </c>
      <c r="G220" s="193"/>
      <c r="H220" s="132">
        <v>16.78</v>
      </c>
      <c r="I220" s="78">
        <f t="shared" si="1"/>
        <v>16.78</v>
      </c>
      <c r="J220" s="119" t="s">
        <v>989</v>
      </c>
      <c r="K220" s="130" t="s">
        <v>226</v>
      </c>
      <c r="L220" s="131"/>
      <c r="M220" s="149" t="s">
        <v>278</v>
      </c>
      <c r="N220" s="135" t="s">
        <v>709</v>
      </c>
      <c r="O220" s="152" t="s">
        <v>710</v>
      </c>
    </row>
    <row r="221" spans="1:15" ht="15" customHeight="1">
      <c r="A221" s="70"/>
      <c r="B221" s="97" t="s">
        <v>327</v>
      </c>
      <c r="C221" s="77"/>
      <c r="D221" s="101" t="s">
        <v>138</v>
      </c>
      <c r="E221" s="79"/>
      <c r="F221" s="192">
        <v>1</v>
      </c>
      <c r="G221" s="193"/>
      <c r="H221" s="132">
        <v>5.23</v>
      </c>
      <c r="I221" s="78">
        <f t="shared" si="1"/>
        <v>5.23</v>
      </c>
      <c r="J221" s="119" t="s">
        <v>989</v>
      </c>
      <c r="K221" s="130" t="s">
        <v>226</v>
      </c>
      <c r="L221" s="131"/>
      <c r="M221" s="149" t="s">
        <v>281</v>
      </c>
      <c r="N221" s="135" t="s">
        <v>634</v>
      </c>
      <c r="O221" s="152" t="s">
        <v>715</v>
      </c>
    </row>
    <row r="222" spans="1:15" ht="15" customHeight="1">
      <c r="A222" s="70"/>
      <c r="B222" s="97" t="s">
        <v>327</v>
      </c>
      <c r="C222" s="98"/>
      <c r="D222" s="101" t="s">
        <v>139</v>
      </c>
      <c r="E222" s="79"/>
      <c r="F222" s="192">
        <v>1</v>
      </c>
      <c r="G222" s="193"/>
      <c r="H222" s="132">
        <v>5.23</v>
      </c>
      <c r="I222" s="78">
        <f t="shared" ref="I222:I285" si="2">F222*H222</f>
        <v>5.23</v>
      </c>
      <c r="J222" s="119" t="s">
        <v>989</v>
      </c>
      <c r="K222" s="130" t="s">
        <v>226</v>
      </c>
      <c r="L222" s="131"/>
      <c r="M222" s="149" t="s">
        <v>282</v>
      </c>
      <c r="N222" s="135" t="s">
        <v>634</v>
      </c>
      <c r="O222" s="152" t="s">
        <v>716</v>
      </c>
    </row>
    <row r="223" spans="1:15" ht="15" customHeight="1">
      <c r="A223" s="70"/>
      <c r="B223" s="97" t="s">
        <v>327</v>
      </c>
      <c r="C223" s="77"/>
      <c r="D223" s="101" t="s">
        <v>140</v>
      </c>
      <c r="E223" s="79"/>
      <c r="F223" s="192">
        <v>3</v>
      </c>
      <c r="G223" s="193"/>
      <c r="H223" s="132">
        <v>5.23</v>
      </c>
      <c r="I223" s="78">
        <f t="shared" si="2"/>
        <v>15.690000000000001</v>
      </c>
      <c r="J223" s="119" t="s">
        <v>989</v>
      </c>
      <c r="K223" s="130" t="s">
        <v>226</v>
      </c>
      <c r="L223" s="131"/>
      <c r="M223" s="149" t="s">
        <v>283</v>
      </c>
      <c r="N223" s="135" t="s">
        <v>634</v>
      </c>
      <c r="O223" s="152" t="s">
        <v>717</v>
      </c>
    </row>
    <row r="224" spans="1:15" ht="15" customHeight="1">
      <c r="A224" s="70"/>
      <c r="B224" s="97" t="s">
        <v>327</v>
      </c>
      <c r="C224" s="77"/>
      <c r="D224" s="101" t="s">
        <v>141</v>
      </c>
      <c r="E224" s="79"/>
      <c r="F224" s="192">
        <v>1</v>
      </c>
      <c r="G224" s="193"/>
      <c r="H224" s="132">
        <v>5.23</v>
      </c>
      <c r="I224" s="78">
        <f t="shared" si="2"/>
        <v>5.23</v>
      </c>
      <c r="J224" s="119" t="s">
        <v>989</v>
      </c>
      <c r="K224" s="130" t="s">
        <v>226</v>
      </c>
      <c r="L224" s="131"/>
      <c r="M224" s="149" t="s">
        <v>284</v>
      </c>
      <c r="N224" s="135" t="s">
        <v>634</v>
      </c>
      <c r="O224" s="152" t="s">
        <v>718</v>
      </c>
    </row>
    <row r="225" spans="1:15" ht="15" customHeight="1">
      <c r="A225" s="70"/>
      <c r="B225" s="97" t="s">
        <v>327</v>
      </c>
      <c r="C225" s="98"/>
      <c r="D225" s="101" t="s">
        <v>147</v>
      </c>
      <c r="E225" s="79"/>
      <c r="F225" s="192">
        <v>7</v>
      </c>
      <c r="G225" s="193"/>
      <c r="H225" s="132">
        <v>0.23</v>
      </c>
      <c r="I225" s="78">
        <f t="shared" si="2"/>
        <v>1.61</v>
      </c>
      <c r="J225" s="119" t="s">
        <v>989</v>
      </c>
      <c r="K225" s="130" t="s">
        <v>226</v>
      </c>
      <c r="L225" s="131"/>
      <c r="M225" s="149" t="s">
        <v>272</v>
      </c>
      <c r="N225" s="135" t="s">
        <v>607</v>
      </c>
      <c r="O225" s="152" t="s">
        <v>725</v>
      </c>
    </row>
    <row r="226" spans="1:15" ht="15" customHeight="1">
      <c r="A226" s="70"/>
      <c r="B226" s="97" t="s">
        <v>327</v>
      </c>
      <c r="C226" s="77"/>
      <c r="D226" s="101" t="s">
        <v>128</v>
      </c>
      <c r="E226" s="79"/>
      <c r="F226" s="192">
        <v>4</v>
      </c>
      <c r="G226" s="193"/>
      <c r="H226" s="132">
        <v>0.23</v>
      </c>
      <c r="I226" s="78">
        <f t="shared" si="2"/>
        <v>0.92</v>
      </c>
      <c r="J226" s="119" t="s">
        <v>989</v>
      </c>
      <c r="K226" s="130" t="s">
        <v>226</v>
      </c>
      <c r="L226" s="131"/>
      <c r="M226" s="149" t="s">
        <v>272</v>
      </c>
      <c r="N226" s="135" t="s">
        <v>607</v>
      </c>
      <c r="O226" s="152" t="s">
        <v>699</v>
      </c>
    </row>
    <row r="227" spans="1:15" ht="15" customHeight="1">
      <c r="A227" s="70"/>
      <c r="B227" s="97" t="s">
        <v>327</v>
      </c>
      <c r="C227" s="77"/>
      <c r="D227" s="101" t="s">
        <v>129</v>
      </c>
      <c r="E227" s="79"/>
      <c r="F227" s="192">
        <v>6</v>
      </c>
      <c r="G227" s="193"/>
      <c r="H227" s="132">
        <v>0.23</v>
      </c>
      <c r="I227" s="78">
        <f t="shared" si="2"/>
        <v>1.3800000000000001</v>
      </c>
      <c r="J227" s="119" t="s">
        <v>989</v>
      </c>
      <c r="K227" s="130" t="s">
        <v>226</v>
      </c>
      <c r="L227" s="131"/>
      <c r="M227" s="149" t="s">
        <v>272</v>
      </c>
      <c r="N227" s="135" t="s">
        <v>607</v>
      </c>
      <c r="O227" s="152" t="s">
        <v>700</v>
      </c>
    </row>
    <row r="228" spans="1:15" ht="15" customHeight="1">
      <c r="A228" s="70"/>
      <c r="B228" s="97" t="s">
        <v>327</v>
      </c>
      <c r="C228" s="98"/>
      <c r="D228" s="101" t="s">
        <v>149</v>
      </c>
      <c r="E228" s="79"/>
      <c r="F228" s="192">
        <v>6</v>
      </c>
      <c r="G228" s="193"/>
      <c r="H228" s="132">
        <v>0.31</v>
      </c>
      <c r="I228" s="78">
        <f t="shared" si="2"/>
        <v>1.8599999999999999</v>
      </c>
      <c r="J228" s="119" t="s">
        <v>989</v>
      </c>
      <c r="K228" s="130" t="s">
        <v>226</v>
      </c>
      <c r="L228" s="131"/>
      <c r="M228" s="149" t="s">
        <v>272</v>
      </c>
      <c r="N228" s="135" t="s">
        <v>607</v>
      </c>
      <c r="O228" s="152" t="s">
        <v>727</v>
      </c>
    </row>
    <row r="229" spans="1:15" ht="15" customHeight="1">
      <c r="A229" s="70"/>
      <c r="B229" s="97" t="s">
        <v>327</v>
      </c>
      <c r="C229" s="77"/>
      <c r="D229" s="101" t="s">
        <v>80</v>
      </c>
      <c r="E229" s="79"/>
      <c r="F229" s="192">
        <v>1</v>
      </c>
      <c r="G229" s="193"/>
      <c r="H229" s="132">
        <v>1.56</v>
      </c>
      <c r="I229" s="78">
        <f t="shared" si="2"/>
        <v>1.56</v>
      </c>
      <c r="J229" s="119" t="s">
        <v>989</v>
      </c>
      <c r="K229" s="130" t="s">
        <v>226</v>
      </c>
      <c r="L229" s="131"/>
      <c r="M229" s="149" t="s">
        <v>254</v>
      </c>
      <c r="N229" s="135" t="s">
        <v>632</v>
      </c>
      <c r="O229" s="152" t="s">
        <v>642</v>
      </c>
    </row>
    <row r="230" spans="1:15" ht="15" customHeight="1">
      <c r="A230" s="70"/>
      <c r="B230" s="97" t="s">
        <v>327</v>
      </c>
      <c r="C230" s="77"/>
      <c r="D230" s="101" t="s">
        <v>142</v>
      </c>
      <c r="E230" s="79"/>
      <c r="F230" s="192">
        <v>4</v>
      </c>
      <c r="G230" s="193"/>
      <c r="H230" s="132">
        <v>10.53</v>
      </c>
      <c r="I230" s="78">
        <f t="shared" si="2"/>
        <v>42.12</v>
      </c>
      <c r="J230" s="119" t="s">
        <v>989</v>
      </c>
      <c r="K230" s="130" t="s">
        <v>226</v>
      </c>
      <c r="L230" s="131"/>
      <c r="M230" s="149" t="s">
        <v>285</v>
      </c>
      <c r="N230" s="135" t="s">
        <v>719</v>
      </c>
      <c r="O230" s="152" t="s">
        <v>720</v>
      </c>
    </row>
    <row r="231" spans="1:15" ht="15" customHeight="1">
      <c r="A231" s="70"/>
      <c r="B231" s="97" t="s">
        <v>327</v>
      </c>
      <c r="C231" s="98"/>
      <c r="D231" s="101" t="s">
        <v>79</v>
      </c>
      <c r="E231" s="79"/>
      <c r="F231" s="192">
        <v>1</v>
      </c>
      <c r="G231" s="193"/>
      <c r="H231" s="132">
        <v>7.8</v>
      </c>
      <c r="I231" s="78">
        <f t="shared" si="2"/>
        <v>7.8</v>
      </c>
      <c r="J231" s="119" t="s">
        <v>989</v>
      </c>
      <c r="K231" s="130" t="s">
        <v>232</v>
      </c>
      <c r="L231" s="131"/>
      <c r="M231" s="149" t="s">
        <v>253</v>
      </c>
      <c r="N231" s="135" t="s">
        <v>640</v>
      </c>
      <c r="O231" s="152" t="s">
        <v>641</v>
      </c>
    </row>
    <row r="232" spans="1:15" ht="15" customHeight="1">
      <c r="A232" s="70"/>
      <c r="B232" s="97" t="s">
        <v>327</v>
      </c>
      <c r="C232" s="77"/>
      <c r="D232" s="101" t="s">
        <v>81</v>
      </c>
      <c r="E232" s="79"/>
      <c r="F232" s="192">
        <v>1</v>
      </c>
      <c r="G232" s="193"/>
      <c r="H232" s="132">
        <v>29.65</v>
      </c>
      <c r="I232" s="78">
        <f t="shared" si="2"/>
        <v>29.65</v>
      </c>
      <c r="J232" s="119" t="s">
        <v>989</v>
      </c>
      <c r="K232" s="130" t="s">
        <v>226</v>
      </c>
      <c r="L232" s="131"/>
      <c r="M232" s="149" t="s">
        <v>255</v>
      </c>
      <c r="N232" s="135" t="s">
        <v>643</v>
      </c>
      <c r="O232" s="152" t="s">
        <v>644</v>
      </c>
    </row>
    <row r="233" spans="1:15" ht="15" customHeight="1">
      <c r="A233" s="70"/>
      <c r="B233" s="97" t="s">
        <v>327</v>
      </c>
      <c r="C233" s="77"/>
      <c r="D233" s="101" t="s">
        <v>130</v>
      </c>
      <c r="E233" s="79"/>
      <c r="F233" s="192">
        <v>6</v>
      </c>
      <c r="G233" s="193"/>
      <c r="H233" s="132">
        <v>2.1800000000000002</v>
      </c>
      <c r="I233" s="78">
        <f t="shared" si="2"/>
        <v>13.080000000000002</v>
      </c>
      <c r="J233" s="119" t="s">
        <v>989</v>
      </c>
      <c r="K233" s="130" t="s">
        <v>226</v>
      </c>
      <c r="L233" s="131"/>
      <c r="M233" s="149" t="s">
        <v>273</v>
      </c>
      <c r="N233" s="135" t="s">
        <v>701</v>
      </c>
      <c r="O233" s="152" t="s">
        <v>702</v>
      </c>
    </row>
    <row r="234" spans="1:15" ht="15" customHeight="1">
      <c r="A234" s="70"/>
      <c r="B234" s="97" t="s">
        <v>327</v>
      </c>
      <c r="C234" s="98"/>
      <c r="D234" s="101" t="s">
        <v>131</v>
      </c>
      <c r="E234" s="79"/>
      <c r="F234" s="192">
        <v>12</v>
      </c>
      <c r="G234" s="193"/>
      <c r="H234" s="132">
        <v>2.1800000000000002</v>
      </c>
      <c r="I234" s="78">
        <f t="shared" si="2"/>
        <v>26.160000000000004</v>
      </c>
      <c r="J234" s="119" t="s">
        <v>989</v>
      </c>
      <c r="K234" s="130" t="s">
        <v>226</v>
      </c>
      <c r="L234" s="131"/>
      <c r="M234" s="149" t="s">
        <v>274</v>
      </c>
      <c r="N234" s="135" t="s">
        <v>703</v>
      </c>
      <c r="O234" s="152" t="s">
        <v>704</v>
      </c>
    </row>
    <row r="235" spans="1:15" ht="15" customHeight="1">
      <c r="A235" s="70"/>
      <c r="B235" s="97" t="s">
        <v>327</v>
      </c>
      <c r="C235" s="77"/>
      <c r="D235" s="101" t="s">
        <v>132</v>
      </c>
      <c r="E235" s="79"/>
      <c r="F235" s="192">
        <v>12</v>
      </c>
      <c r="G235" s="193"/>
      <c r="H235" s="132">
        <v>2.57</v>
      </c>
      <c r="I235" s="78">
        <f t="shared" si="2"/>
        <v>30.839999999999996</v>
      </c>
      <c r="J235" s="119" t="s">
        <v>989</v>
      </c>
      <c r="K235" s="130" t="s">
        <v>226</v>
      </c>
      <c r="L235" s="131"/>
      <c r="M235" s="149" t="s">
        <v>275</v>
      </c>
      <c r="N235" s="135" t="s">
        <v>705</v>
      </c>
      <c r="O235" s="152" t="s">
        <v>706</v>
      </c>
    </row>
    <row r="236" spans="1:15" ht="15" customHeight="1">
      <c r="A236" s="70"/>
      <c r="B236" s="97" t="s">
        <v>327</v>
      </c>
      <c r="C236" s="77"/>
      <c r="D236" s="101" t="s">
        <v>134</v>
      </c>
      <c r="E236" s="79"/>
      <c r="F236" s="192">
        <v>2</v>
      </c>
      <c r="G236" s="193"/>
      <c r="H236" s="132">
        <v>5.46</v>
      </c>
      <c r="I236" s="78">
        <f t="shared" si="2"/>
        <v>10.92</v>
      </c>
      <c r="J236" s="119" t="s">
        <v>989</v>
      </c>
      <c r="K236" s="130" t="s">
        <v>226</v>
      </c>
      <c r="L236" s="131"/>
      <c r="M236" s="149" t="s">
        <v>277</v>
      </c>
      <c r="N236" s="135" t="s">
        <v>707</v>
      </c>
      <c r="O236" s="152" t="s">
        <v>708</v>
      </c>
    </row>
    <row r="237" spans="1:15" ht="15" customHeight="1">
      <c r="A237" s="70"/>
      <c r="B237" s="97" t="s">
        <v>327</v>
      </c>
      <c r="C237" s="98"/>
      <c r="D237" s="101" t="s">
        <v>143</v>
      </c>
      <c r="E237" s="79"/>
      <c r="F237" s="192">
        <v>4</v>
      </c>
      <c r="G237" s="193"/>
      <c r="H237" s="132">
        <v>1.29</v>
      </c>
      <c r="I237" s="78">
        <f t="shared" si="2"/>
        <v>5.16</v>
      </c>
      <c r="J237" s="119" t="s">
        <v>989</v>
      </c>
      <c r="K237" s="130" t="s">
        <v>226</v>
      </c>
      <c r="L237" s="131"/>
      <c r="M237" s="149" t="s">
        <v>273</v>
      </c>
      <c r="N237" s="135" t="s">
        <v>701</v>
      </c>
      <c r="O237" s="152" t="s">
        <v>721</v>
      </c>
    </row>
    <row r="238" spans="1:15" ht="15" customHeight="1">
      <c r="A238" s="70"/>
      <c r="B238" s="97" t="s">
        <v>327</v>
      </c>
      <c r="C238" s="77"/>
      <c r="D238" s="101" t="s">
        <v>82</v>
      </c>
      <c r="E238" s="79"/>
      <c r="F238" s="192">
        <v>16</v>
      </c>
      <c r="G238" s="193"/>
      <c r="H238" s="132">
        <v>0.12</v>
      </c>
      <c r="I238" s="78">
        <f t="shared" si="2"/>
        <v>1.92</v>
      </c>
      <c r="J238" s="119" t="s">
        <v>989</v>
      </c>
      <c r="K238" s="130" t="s">
        <v>226</v>
      </c>
      <c r="L238" s="131"/>
      <c r="M238" s="149" t="s">
        <v>256</v>
      </c>
      <c r="N238" s="135" t="s">
        <v>607</v>
      </c>
      <c r="O238" s="152" t="s">
        <v>645</v>
      </c>
    </row>
    <row r="239" spans="1:15" ht="15" customHeight="1">
      <c r="A239" s="70"/>
      <c r="B239" s="97" t="s">
        <v>327</v>
      </c>
      <c r="C239" s="77"/>
      <c r="D239" s="101" t="s">
        <v>136</v>
      </c>
      <c r="E239" s="79"/>
      <c r="F239" s="192">
        <v>1</v>
      </c>
      <c r="G239" s="193"/>
      <c r="H239" s="132">
        <v>23.25</v>
      </c>
      <c r="I239" s="78">
        <f t="shared" si="2"/>
        <v>23.25</v>
      </c>
      <c r="J239" s="119" t="s">
        <v>989</v>
      </c>
      <c r="K239" s="130" t="s">
        <v>226</v>
      </c>
      <c r="L239" s="131"/>
      <c r="M239" s="149" t="s">
        <v>279</v>
      </c>
      <c r="N239" s="135" t="s">
        <v>711</v>
      </c>
      <c r="O239" s="152" t="s">
        <v>712</v>
      </c>
    </row>
    <row r="240" spans="1:15" ht="15" customHeight="1">
      <c r="A240" s="70"/>
      <c r="B240" s="97" t="s">
        <v>327</v>
      </c>
      <c r="C240" s="98"/>
      <c r="D240" s="101" t="s">
        <v>86</v>
      </c>
      <c r="E240" s="79"/>
      <c r="F240" s="192">
        <v>14</v>
      </c>
      <c r="G240" s="193"/>
      <c r="H240" s="132">
        <v>3.93</v>
      </c>
      <c r="I240" s="78">
        <f t="shared" si="2"/>
        <v>55.02</v>
      </c>
      <c r="J240" s="119" t="s">
        <v>989</v>
      </c>
      <c r="K240" s="130" t="s">
        <v>229</v>
      </c>
      <c r="L240" s="131"/>
      <c r="M240" s="149" t="s">
        <v>260</v>
      </c>
      <c r="N240" s="135" t="s">
        <v>651</v>
      </c>
      <c r="O240" s="152" t="s">
        <v>652</v>
      </c>
    </row>
    <row r="241" spans="1:15" ht="15" customHeight="1">
      <c r="A241" s="70"/>
      <c r="B241" s="97" t="s">
        <v>327</v>
      </c>
      <c r="C241" s="77"/>
      <c r="D241" s="101" t="s">
        <v>87</v>
      </c>
      <c r="E241" s="79"/>
      <c r="F241" s="192">
        <v>1</v>
      </c>
      <c r="G241" s="193"/>
      <c r="H241" s="132">
        <v>129.94</v>
      </c>
      <c r="I241" s="78">
        <f t="shared" si="2"/>
        <v>129.94</v>
      </c>
      <c r="J241" s="119" t="s">
        <v>989</v>
      </c>
      <c r="K241" s="130" t="s">
        <v>229</v>
      </c>
      <c r="L241" s="131"/>
      <c r="M241" s="149" t="s">
        <v>261</v>
      </c>
      <c r="N241" s="135" t="s">
        <v>653</v>
      </c>
      <c r="O241" s="152" t="s">
        <v>654</v>
      </c>
    </row>
    <row r="242" spans="1:15" ht="15" customHeight="1">
      <c r="A242" s="70"/>
      <c r="B242" s="97" t="s">
        <v>327</v>
      </c>
      <c r="C242" s="77"/>
      <c r="D242" s="101" t="s">
        <v>144</v>
      </c>
      <c r="E242" s="79"/>
      <c r="F242" s="192">
        <v>1</v>
      </c>
      <c r="G242" s="193"/>
      <c r="H242" s="132">
        <v>117.21</v>
      </c>
      <c r="I242" s="78">
        <f t="shared" si="2"/>
        <v>117.21</v>
      </c>
      <c r="J242" s="119" t="s">
        <v>989</v>
      </c>
      <c r="K242" s="130" t="s">
        <v>229</v>
      </c>
      <c r="L242" s="131"/>
      <c r="M242" s="149" t="s">
        <v>261</v>
      </c>
      <c r="N242" s="135" t="s">
        <v>653</v>
      </c>
      <c r="O242" s="152" t="s">
        <v>722</v>
      </c>
    </row>
    <row r="243" spans="1:15" ht="15" customHeight="1">
      <c r="A243" s="70"/>
      <c r="B243" s="97" t="s">
        <v>327</v>
      </c>
      <c r="C243" s="98"/>
      <c r="D243" s="101" t="s">
        <v>88</v>
      </c>
      <c r="E243" s="79"/>
      <c r="F243" s="192">
        <v>1</v>
      </c>
      <c r="G243" s="193"/>
      <c r="H243" s="132">
        <v>118.35</v>
      </c>
      <c r="I243" s="78">
        <f t="shared" si="2"/>
        <v>118.35</v>
      </c>
      <c r="J243" s="119" t="s">
        <v>989</v>
      </c>
      <c r="K243" s="130" t="s">
        <v>229</v>
      </c>
      <c r="L243" s="131"/>
      <c r="M243" s="149" t="s">
        <v>261</v>
      </c>
      <c r="N243" s="135" t="s">
        <v>653</v>
      </c>
      <c r="O243" s="152" t="s">
        <v>655</v>
      </c>
    </row>
    <row r="244" spans="1:15" ht="15" customHeight="1">
      <c r="A244" s="70"/>
      <c r="B244" s="97" t="s">
        <v>327</v>
      </c>
      <c r="C244" s="77"/>
      <c r="D244" s="101" t="s">
        <v>89</v>
      </c>
      <c r="E244" s="79"/>
      <c r="F244" s="192">
        <v>1</v>
      </c>
      <c r="G244" s="193"/>
      <c r="H244" s="132">
        <v>141.32</v>
      </c>
      <c r="I244" s="78">
        <f t="shared" si="2"/>
        <v>141.32</v>
      </c>
      <c r="J244" s="119" t="s">
        <v>989</v>
      </c>
      <c r="K244" s="130" t="s">
        <v>229</v>
      </c>
      <c r="L244" s="131"/>
      <c r="M244" s="149" t="s">
        <v>261</v>
      </c>
      <c r="N244" s="135" t="s">
        <v>653</v>
      </c>
      <c r="O244" s="152" t="s">
        <v>656</v>
      </c>
    </row>
    <row r="245" spans="1:15" ht="15" customHeight="1">
      <c r="A245" s="70"/>
      <c r="B245" s="97" t="s">
        <v>327</v>
      </c>
      <c r="C245" s="77"/>
      <c r="D245" s="101" t="s">
        <v>90</v>
      </c>
      <c r="E245" s="79"/>
      <c r="F245" s="192">
        <v>2</v>
      </c>
      <c r="G245" s="193"/>
      <c r="H245" s="132">
        <v>146.04</v>
      </c>
      <c r="I245" s="78">
        <f t="shared" si="2"/>
        <v>292.08</v>
      </c>
      <c r="J245" s="119" t="s">
        <v>989</v>
      </c>
      <c r="K245" s="130" t="s">
        <v>229</v>
      </c>
      <c r="L245" s="131"/>
      <c r="M245" s="149" t="s">
        <v>261</v>
      </c>
      <c r="N245" s="135" t="s">
        <v>653</v>
      </c>
      <c r="O245" s="152" t="s">
        <v>657</v>
      </c>
    </row>
    <row r="246" spans="1:15" ht="15" customHeight="1">
      <c r="A246" s="70"/>
      <c r="B246" s="97" t="s">
        <v>327</v>
      </c>
      <c r="C246" s="98"/>
      <c r="D246" s="101" t="s">
        <v>91</v>
      </c>
      <c r="E246" s="79"/>
      <c r="F246" s="192">
        <v>8</v>
      </c>
      <c r="G246" s="193"/>
      <c r="H246" s="132">
        <v>6.04</v>
      </c>
      <c r="I246" s="78">
        <f t="shared" si="2"/>
        <v>48.32</v>
      </c>
      <c r="J246" s="119" t="s">
        <v>989</v>
      </c>
      <c r="K246" s="130" t="s">
        <v>229</v>
      </c>
      <c r="L246" s="131"/>
      <c r="M246" s="149" t="s">
        <v>260</v>
      </c>
      <c r="N246" s="135" t="s">
        <v>651</v>
      </c>
      <c r="O246" s="152" t="s">
        <v>658</v>
      </c>
    </row>
    <row r="247" spans="1:15" ht="15" customHeight="1">
      <c r="A247" s="70"/>
      <c r="B247" s="97" t="s">
        <v>327</v>
      </c>
      <c r="C247" s="77"/>
      <c r="D247" s="101" t="s">
        <v>92</v>
      </c>
      <c r="E247" s="79"/>
      <c r="F247" s="192">
        <v>2</v>
      </c>
      <c r="G247" s="193"/>
      <c r="H247" s="132">
        <v>85.64</v>
      </c>
      <c r="I247" s="78">
        <f t="shared" si="2"/>
        <v>171.28</v>
      </c>
      <c r="J247" s="119" t="s">
        <v>989</v>
      </c>
      <c r="K247" s="130" t="s">
        <v>229</v>
      </c>
      <c r="L247" s="131"/>
      <c r="M247" s="149" t="s">
        <v>261</v>
      </c>
      <c r="N247" s="135" t="s">
        <v>653</v>
      </c>
      <c r="O247" s="152" t="s">
        <v>659</v>
      </c>
    </row>
    <row r="248" spans="1:15" ht="15" customHeight="1">
      <c r="A248" s="70"/>
      <c r="B248" s="97" t="s">
        <v>327</v>
      </c>
      <c r="C248" s="77"/>
      <c r="D248" s="101" t="s">
        <v>93</v>
      </c>
      <c r="E248" s="79"/>
      <c r="F248" s="192">
        <v>5</v>
      </c>
      <c r="G248" s="193"/>
      <c r="H248" s="132">
        <v>2.2400000000000002</v>
      </c>
      <c r="I248" s="78">
        <f t="shared" si="2"/>
        <v>11.200000000000001</v>
      </c>
      <c r="J248" s="119" t="s">
        <v>989</v>
      </c>
      <c r="K248" s="130" t="s">
        <v>229</v>
      </c>
      <c r="L248" s="131"/>
      <c r="M248" s="149" t="s">
        <v>262</v>
      </c>
      <c r="N248" s="135" t="s">
        <v>660</v>
      </c>
      <c r="O248" s="152" t="s">
        <v>661</v>
      </c>
    </row>
    <row r="249" spans="1:15" ht="15" customHeight="1">
      <c r="A249" s="70"/>
      <c r="B249" s="97" t="s">
        <v>327</v>
      </c>
      <c r="C249" s="98"/>
      <c r="D249" s="101" t="s">
        <v>94</v>
      </c>
      <c r="E249" s="79"/>
      <c r="F249" s="192">
        <v>4</v>
      </c>
      <c r="G249" s="193"/>
      <c r="H249" s="132">
        <v>1.1200000000000001</v>
      </c>
      <c r="I249" s="78">
        <f t="shared" si="2"/>
        <v>4.4800000000000004</v>
      </c>
      <c r="J249" s="119" t="s">
        <v>989</v>
      </c>
      <c r="K249" s="130" t="s">
        <v>229</v>
      </c>
      <c r="L249" s="131"/>
      <c r="M249" s="149" t="s">
        <v>262</v>
      </c>
      <c r="N249" s="135" t="s">
        <v>660</v>
      </c>
      <c r="O249" s="152" t="s">
        <v>662</v>
      </c>
    </row>
    <row r="250" spans="1:15" ht="15" customHeight="1">
      <c r="A250" s="70"/>
      <c r="B250" s="97" t="s">
        <v>327</v>
      </c>
      <c r="C250" s="77"/>
      <c r="D250" s="101" t="s">
        <v>95</v>
      </c>
      <c r="E250" s="79"/>
      <c r="F250" s="192">
        <v>1</v>
      </c>
      <c r="G250" s="193"/>
      <c r="H250" s="132">
        <v>67.709999999999994</v>
      </c>
      <c r="I250" s="78">
        <f t="shared" si="2"/>
        <v>67.709999999999994</v>
      </c>
      <c r="J250" s="119" t="s">
        <v>989</v>
      </c>
      <c r="K250" s="130" t="s">
        <v>229</v>
      </c>
      <c r="L250" s="131"/>
      <c r="M250" s="149" t="s">
        <v>261</v>
      </c>
      <c r="N250" s="135" t="s">
        <v>653</v>
      </c>
      <c r="O250" s="152" t="s">
        <v>663</v>
      </c>
    </row>
    <row r="251" spans="1:15" ht="15" customHeight="1">
      <c r="A251" s="70"/>
      <c r="B251" s="97" t="s">
        <v>327</v>
      </c>
      <c r="C251" s="77"/>
      <c r="D251" s="101" t="s">
        <v>106</v>
      </c>
      <c r="E251" s="79"/>
      <c r="F251" s="192">
        <v>8</v>
      </c>
      <c r="G251" s="193"/>
      <c r="H251" s="132">
        <v>1.3</v>
      </c>
      <c r="I251" s="78">
        <f t="shared" si="2"/>
        <v>10.4</v>
      </c>
      <c r="J251" s="119" t="s">
        <v>989</v>
      </c>
      <c r="K251" s="130" t="s">
        <v>229</v>
      </c>
      <c r="L251" s="131"/>
      <c r="M251" s="149" t="s">
        <v>263</v>
      </c>
      <c r="N251" s="135" t="s">
        <v>607</v>
      </c>
      <c r="O251" s="152" t="s">
        <v>677</v>
      </c>
    </row>
    <row r="252" spans="1:15" ht="15" customHeight="1">
      <c r="A252" s="70"/>
      <c r="B252" s="97" t="s">
        <v>327</v>
      </c>
      <c r="C252" s="98"/>
      <c r="D252" s="101" t="s">
        <v>97</v>
      </c>
      <c r="E252" s="79"/>
      <c r="F252" s="192">
        <v>4</v>
      </c>
      <c r="G252" s="193"/>
      <c r="H252" s="132">
        <v>3.93</v>
      </c>
      <c r="I252" s="78">
        <f t="shared" si="2"/>
        <v>15.72</v>
      </c>
      <c r="J252" s="119" t="s">
        <v>989</v>
      </c>
      <c r="K252" s="130" t="s">
        <v>229</v>
      </c>
      <c r="L252" s="131"/>
      <c r="M252" s="149" t="s">
        <v>260</v>
      </c>
      <c r="N252" s="135" t="s">
        <v>651</v>
      </c>
      <c r="O252" s="152" t="s">
        <v>665</v>
      </c>
    </row>
    <row r="253" spans="1:15" ht="15" customHeight="1">
      <c r="A253" s="70"/>
      <c r="B253" s="97" t="s">
        <v>327</v>
      </c>
      <c r="C253" s="77"/>
      <c r="D253" s="101" t="s">
        <v>98</v>
      </c>
      <c r="E253" s="79"/>
      <c r="F253" s="192">
        <v>1</v>
      </c>
      <c r="G253" s="193"/>
      <c r="H253" s="132">
        <v>1.69</v>
      </c>
      <c r="I253" s="78">
        <f t="shared" si="2"/>
        <v>1.69</v>
      </c>
      <c r="J253" s="119" t="s">
        <v>989</v>
      </c>
      <c r="K253" s="130" t="s">
        <v>229</v>
      </c>
      <c r="L253" s="131"/>
      <c r="M253" s="149" t="s">
        <v>262</v>
      </c>
      <c r="N253" s="135" t="s">
        <v>660</v>
      </c>
      <c r="O253" s="152" t="s">
        <v>666</v>
      </c>
    </row>
    <row r="254" spans="1:15" ht="15" customHeight="1">
      <c r="A254" s="70"/>
      <c r="B254" s="97" t="s">
        <v>327</v>
      </c>
      <c r="C254" s="77"/>
      <c r="D254" s="101" t="s">
        <v>99</v>
      </c>
      <c r="E254" s="79"/>
      <c r="F254" s="192">
        <v>1</v>
      </c>
      <c r="G254" s="193"/>
      <c r="H254" s="132">
        <v>203.09</v>
      </c>
      <c r="I254" s="78">
        <f t="shared" si="2"/>
        <v>203.09</v>
      </c>
      <c r="J254" s="119" t="s">
        <v>989</v>
      </c>
      <c r="K254" s="130" t="s">
        <v>229</v>
      </c>
      <c r="L254" s="131"/>
      <c r="M254" s="149" t="s">
        <v>261</v>
      </c>
      <c r="N254" s="135" t="s">
        <v>653</v>
      </c>
      <c r="O254" s="152" t="s">
        <v>667</v>
      </c>
    </row>
    <row r="255" spans="1:15" ht="15" customHeight="1">
      <c r="A255" s="70"/>
      <c r="B255" s="97" t="s">
        <v>327</v>
      </c>
      <c r="C255" s="98"/>
      <c r="D255" s="101" t="s">
        <v>326</v>
      </c>
      <c r="E255" s="79"/>
      <c r="F255" s="192">
        <v>1</v>
      </c>
      <c r="G255" s="193"/>
      <c r="H255" s="132">
        <v>157.35</v>
      </c>
      <c r="I255" s="78">
        <f t="shared" si="2"/>
        <v>157.35</v>
      </c>
      <c r="J255" s="119" t="s">
        <v>989</v>
      </c>
      <c r="K255" s="130" t="s">
        <v>229</v>
      </c>
      <c r="L255" s="131"/>
      <c r="M255" s="149" t="s">
        <v>261</v>
      </c>
      <c r="N255" s="135" t="s">
        <v>653</v>
      </c>
      <c r="O255" s="152" t="s">
        <v>816</v>
      </c>
    </row>
    <row r="256" spans="1:15" ht="15" customHeight="1">
      <c r="A256" s="70"/>
      <c r="B256" s="97" t="s">
        <v>327</v>
      </c>
      <c r="C256" s="77"/>
      <c r="D256" s="101" t="s">
        <v>145</v>
      </c>
      <c r="E256" s="79"/>
      <c r="F256" s="192">
        <v>1</v>
      </c>
      <c r="G256" s="193"/>
      <c r="H256" s="132">
        <v>146.22</v>
      </c>
      <c r="I256" s="78">
        <f t="shared" si="2"/>
        <v>146.22</v>
      </c>
      <c r="J256" s="119" t="s">
        <v>989</v>
      </c>
      <c r="K256" s="130" t="s">
        <v>229</v>
      </c>
      <c r="L256" s="131"/>
      <c r="M256" s="149" t="s">
        <v>261</v>
      </c>
      <c r="N256" s="135" t="s">
        <v>653</v>
      </c>
      <c r="O256" s="152" t="s">
        <v>723</v>
      </c>
    </row>
    <row r="257" spans="1:15" ht="15" customHeight="1">
      <c r="A257" s="70"/>
      <c r="B257" s="97" t="s">
        <v>327</v>
      </c>
      <c r="C257" s="77"/>
      <c r="D257" s="101" t="s">
        <v>146</v>
      </c>
      <c r="E257" s="79"/>
      <c r="F257" s="192">
        <v>1</v>
      </c>
      <c r="G257" s="193"/>
      <c r="H257" s="132">
        <v>144.78</v>
      </c>
      <c r="I257" s="78">
        <f t="shared" si="2"/>
        <v>144.78</v>
      </c>
      <c r="J257" s="119" t="s">
        <v>989</v>
      </c>
      <c r="K257" s="130" t="s">
        <v>229</v>
      </c>
      <c r="L257" s="131"/>
      <c r="M257" s="149" t="s">
        <v>261</v>
      </c>
      <c r="N257" s="135" t="s">
        <v>653</v>
      </c>
      <c r="O257" s="152" t="s">
        <v>724</v>
      </c>
    </row>
    <row r="258" spans="1:15" ht="15" customHeight="1">
      <c r="A258" s="70"/>
      <c r="B258" s="97" t="s">
        <v>327</v>
      </c>
      <c r="C258" s="98"/>
      <c r="D258" s="101" t="s">
        <v>101</v>
      </c>
      <c r="E258" s="79"/>
      <c r="F258" s="192">
        <v>2</v>
      </c>
      <c r="G258" s="193"/>
      <c r="H258" s="132">
        <v>35.42</v>
      </c>
      <c r="I258" s="78">
        <f t="shared" si="2"/>
        <v>70.84</v>
      </c>
      <c r="J258" s="119" t="s">
        <v>989</v>
      </c>
      <c r="K258" s="130" t="s">
        <v>229</v>
      </c>
      <c r="L258" s="131"/>
      <c r="M258" s="149" t="s">
        <v>261</v>
      </c>
      <c r="N258" s="135" t="s">
        <v>653</v>
      </c>
      <c r="O258" s="152" t="s">
        <v>669</v>
      </c>
    </row>
    <row r="259" spans="1:15" ht="15" customHeight="1">
      <c r="A259" s="70"/>
      <c r="B259" s="97" t="s">
        <v>327</v>
      </c>
      <c r="C259" s="77"/>
      <c r="D259" s="101" t="s">
        <v>102</v>
      </c>
      <c r="E259" s="79"/>
      <c r="F259" s="192">
        <v>1</v>
      </c>
      <c r="G259" s="193"/>
      <c r="H259" s="132">
        <v>13.28</v>
      </c>
      <c r="I259" s="78">
        <f t="shared" si="2"/>
        <v>13.28</v>
      </c>
      <c r="J259" s="119" t="s">
        <v>989</v>
      </c>
      <c r="K259" s="130" t="s">
        <v>229</v>
      </c>
      <c r="L259" s="131"/>
      <c r="M259" s="149" t="s">
        <v>264</v>
      </c>
      <c r="N259" s="135" t="s">
        <v>670</v>
      </c>
      <c r="O259" s="152" t="s">
        <v>671</v>
      </c>
    </row>
    <row r="260" spans="1:15" ht="15" customHeight="1">
      <c r="A260" s="70"/>
      <c r="B260" s="97" t="s">
        <v>327</v>
      </c>
      <c r="C260" s="77"/>
      <c r="D260" s="101" t="s">
        <v>103</v>
      </c>
      <c r="E260" s="79"/>
      <c r="F260" s="192">
        <v>2</v>
      </c>
      <c r="G260" s="193"/>
      <c r="H260" s="132">
        <v>25</v>
      </c>
      <c r="I260" s="78">
        <f t="shared" si="2"/>
        <v>50</v>
      </c>
      <c r="J260" s="119" t="s">
        <v>989</v>
      </c>
      <c r="K260" s="130" t="s">
        <v>229</v>
      </c>
      <c r="L260" s="131"/>
      <c r="M260" s="149" t="s">
        <v>265</v>
      </c>
      <c r="N260" s="135" t="s">
        <v>672</v>
      </c>
      <c r="O260" s="152" t="s">
        <v>673</v>
      </c>
    </row>
    <row r="261" spans="1:15" ht="15" customHeight="1">
      <c r="A261" s="70"/>
      <c r="B261" s="97" t="s">
        <v>327</v>
      </c>
      <c r="C261" s="98"/>
      <c r="D261" s="101" t="s">
        <v>104</v>
      </c>
      <c r="E261" s="79"/>
      <c r="F261" s="192">
        <v>1</v>
      </c>
      <c r="G261" s="193"/>
      <c r="H261" s="132">
        <v>5.98</v>
      </c>
      <c r="I261" s="78">
        <f t="shared" si="2"/>
        <v>5.98</v>
      </c>
      <c r="J261" s="119" t="s">
        <v>989</v>
      </c>
      <c r="K261" s="130" t="s">
        <v>229</v>
      </c>
      <c r="L261" s="131"/>
      <c r="M261" s="149" t="s">
        <v>262</v>
      </c>
      <c r="N261" s="135" t="s">
        <v>660</v>
      </c>
      <c r="O261" s="152" t="s">
        <v>674</v>
      </c>
    </row>
    <row r="262" spans="1:15" ht="15" customHeight="1">
      <c r="A262" s="70"/>
      <c r="B262" s="97" t="s">
        <v>327</v>
      </c>
      <c r="C262" s="77"/>
      <c r="D262" s="101" t="s">
        <v>105</v>
      </c>
      <c r="E262" s="79"/>
      <c r="F262" s="192">
        <v>4</v>
      </c>
      <c r="G262" s="193"/>
      <c r="H262" s="132">
        <v>0.41</v>
      </c>
      <c r="I262" s="78">
        <f t="shared" si="2"/>
        <v>1.64</v>
      </c>
      <c r="J262" s="119" t="s">
        <v>989</v>
      </c>
      <c r="K262" s="130" t="s">
        <v>229</v>
      </c>
      <c r="L262" s="131"/>
      <c r="M262" s="149" t="s">
        <v>266</v>
      </c>
      <c r="N262" s="135" t="s">
        <v>675</v>
      </c>
      <c r="O262" s="152" t="s">
        <v>676</v>
      </c>
    </row>
    <row r="263" spans="1:15" ht="15" customHeight="1">
      <c r="A263" s="70"/>
      <c r="B263" s="97" t="s">
        <v>327</v>
      </c>
      <c r="C263" s="77"/>
      <c r="D263" s="101" t="s">
        <v>110</v>
      </c>
      <c r="E263" s="79"/>
      <c r="F263" s="192">
        <v>2</v>
      </c>
      <c r="G263" s="193"/>
      <c r="H263" s="132">
        <v>2.0499999999999998</v>
      </c>
      <c r="I263" s="78">
        <f t="shared" si="2"/>
        <v>4.0999999999999996</v>
      </c>
      <c r="J263" s="119" t="s">
        <v>989</v>
      </c>
      <c r="K263" s="130" t="s">
        <v>229</v>
      </c>
      <c r="L263" s="131"/>
      <c r="M263" s="149" t="s">
        <v>263</v>
      </c>
      <c r="N263" s="135" t="s">
        <v>595</v>
      </c>
      <c r="O263" s="152" t="s">
        <v>681</v>
      </c>
    </row>
    <row r="264" spans="1:15" ht="15" customHeight="1">
      <c r="A264" s="70"/>
      <c r="B264" s="97" t="s">
        <v>327</v>
      </c>
      <c r="C264" s="98"/>
      <c r="D264" s="101" t="s">
        <v>107</v>
      </c>
      <c r="E264" s="79"/>
      <c r="F264" s="192">
        <v>8</v>
      </c>
      <c r="G264" s="193"/>
      <c r="H264" s="132">
        <v>0.23</v>
      </c>
      <c r="I264" s="78">
        <f t="shared" si="2"/>
        <v>1.84</v>
      </c>
      <c r="J264" s="119" t="s">
        <v>989</v>
      </c>
      <c r="K264" s="130" t="s">
        <v>229</v>
      </c>
      <c r="L264" s="131"/>
      <c r="M264" s="149" t="s">
        <v>266</v>
      </c>
      <c r="N264" s="135" t="s">
        <v>607</v>
      </c>
      <c r="O264" s="152" t="s">
        <v>678</v>
      </c>
    </row>
    <row r="265" spans="1:15" ht="15" customHeight="1">
      <c r="A265" s="70"/>
      <c r="B265" s="97" t="s">
        <v>327</v>
      </c>
      <c r="C265" s="77"/>
      <c r="D265" s="101" t="s">
        <v>108</v>
      </c>
      <c r="E265" s="79"/>
      <c r="F265" s="192">
        <v>1</v>
      </c>
      <c r="G265" s="193"/>
      <c r="H265" s="132">
        <v>11.65</v>
      </c>
      <c r="I265" s="78">
        <f t="shared" si="2"/>
        <v>11.65</v>
      </c>
      <c r="J265" s="119" t="s">
        <v>989</v>
      </c>
      <c r="K265" s="130" t="s">
        <v>229</v>
      </c>
      <c r="L265" s="131"/>
      <c r="M265" s="149" t="s">
        <v>267</v>
      </c>
      <c r="N265" s="135" t="s">
        <v>638</v>
      </c>
      <c r="O265" s="152" t="s">
        <v>679</v>
      </c>
    </row>
    <row r="266" spans="1:15" ht="15" customHeight="1">
      <c r="A266" s="70"/>
      <c r="B266" s="97" t="s">
        <v>327</v>
      </c>
      <c r="C266" s="77"/>
      <c r="D266" s="101" t="s">
        <v>109</v>
      </c>
      <c r="E266" s="79"/>
      <c r="F266" s="192">
        <v>1</v>
      </c>
      <c r="G266" s="193"/>
      <c r="H266" s="132">
        <v>6.41</v>
      </c>
      <c r="I266" s="78">
        <f t="shared" si="2"/>
        <v>6.41</v>
      </c>
      <c r="J266" s="119" t="s">
        <v>989</v>
      </c>
      <c r="K266" s="130" t="s">
        <v>229</v>
      </c>
      <c r="L266" s="131"/>
      <c r="M266" s="149" t="s">
        <v>267</v>
      </c>
      <c r="N266" s="135" t="s">
        <v>638</v>
      </c>
      <c r="O266" s="152" t="s">
        <v>680</v>
      </c>
    </row>
    <row r="267" spans="1:15" ht="15" customHeight="1">
      <c r="A267" s="70"/>
      <c r="B267" s="97" t="s">
        <v>327</v>
      </c>
      <c r="C267" s="98"/>
      <c r="D267" s="101" t="s">
        <v>96</v>
      </c>
      <c r="E267" s="79"/>
      <c r="F267" s="192">
        <v>16</v>
      </c>
      <c r="G267" s="193"/>
      <c r="H267" s="132">
        <v>2.81</v>
      </c>
      <c r="I267" s="78">
        <f t="shared" si="2"/>
        <v>44.96</v>
      </c>
      <c r="J267" s="119" t="s">
        <v>989</v>
      </c>
      <c r="K267" s="130" t="s">
        <v>229</v>
      </c>
      <c r="L267" s="131"/>
      <c r="M267" s="149" t="s">
        <v>263</v>
      </c>
      <c r="N267" s="135" t="s">
        <v>595</v>
      </c>
      <c r="O267" s="152" t="s">
        <v>664</v>
      </c>
    </row>
    <row r="268" spans="1:15" ht="15" customHeight="1">
      <c r="A268" s="70"/>
      <c r="B268" s="97" t="s">
        <v>327</v>
      </c>
      <c r="C268" s="77"/>
      <c r="D268" s="101" t="s">
        <v>111</v>
      </c>
      <c r="E268" s="79"/>
      <c r="F268" s="192">
        <v>3</v>
      </c>
      <c r="G268" s="193"/>
      <c r="H268" s="132">
        <v>0.23</v>
      </c>
      <c r="I268" s="78">
        <f t="shared" si="2"/>
        <v>0.69000000000000006</v>
      </c>
      <c r="J268" s="119" t="s">
        <v>989</v>
      </c>
      <c r="K268" s="130" t="s">
        <v>229</v>
      </c>
      <c r="L268" s="131"/>
      <c r="M268" s="149" t="s">
        <v>266</v>
      </c>
      <c r="N268" s="135" t="s">
        <v>607</v>
      </c>
      <c r="O268" s="152" t="s">
        <v>682</v>
      </c>
    </row>
    <row r="269" spans="1:15" ht="15" customHeight="1">
      <c r="A269" s="70"/>
      <c r="B269" s="97" t="s">
        <v>327</v>
      </c>
      <c r="C269" s="77"/>
      <c r="D269" s="101" t="s">
        <v>112</v>
      </c>
      <c r="E269" s="79"/>
      <c r="F269" s="192">
        <v>14</v>
      </c>
      <c r="G269" s="193"/>
      <c r="H269" s="132">
        <v>20.65</v>
      </c>
      <c r="I269" s="78">
        <f t="shared" si="2"/>
        <v>289.09999999999997</v>
      </c>
      <c r="J269" s="119" t="s">
        <v>989</v>
      </c>
      <c r="K269" s="130" t="s">
        <v>229</v>
      </c>
      <c r="L269" s="131"/>
      <c r="M269" s="149" t="s">
        <v>328</v>
      </c>
      <c r="N269" s="135" t="s">
        <v>651</v>
      </c>
      <c r="O269" s="152" t="s">
        <v>683</v>
      </c>
    </row>
    <row r="270" spans="1:15" ht="15" customHeight="1">
      <c r="A270" s="70"/>
      <c r="B270" s="97" t="s">
        <v>327</v>
      </c>
      <c r="C270" s="98"/>
      <c r="D270" s="101" t="s">
        <v>113</v>
      </c>
      <c r="E270" s="79"/>
      <c r="F270" s="192">
        <v>2</v>
      </c>
      <c r="G270" s="193"/>
      <c r="H270" s="132">
        <v>20.65</v>
      </c>
      <c r="I270" s="78">
        <f t="shared" si="2"/>
        <v>41.3</v>
      </c>
      <c r="J270" s="119" t="s">
        <v>989</v>
      </c>
      <c r="K270" s="130" t="s">
        <v>229</v>
      </c>
      <c r="L270" s="131"/>
      <c r="M270" s="149" t="s">
        <v>328</v>
      </c>
      <c r="N270" s="135" t="s">
        <v>651</v>
      </c>
      <c r="O270" s="152" t="s">
        <v>684</v>
      </c>
    </row>
    <row r="271" spans="1:15" ht="15" customHeight="1">
      <c r="A271" s="70"/>
      <c r="B271" s="97" t="s">
        <v>327</v>
      </c>
      <c r="C271" s="77"/>
      <c r="D271" s="101" t="s">
        <v>114</v>
      </c>
      <c r="E271" s="79"/>
      <c r="F271" s="192">
        <v>2</v>
      </c>
      <c r="G271" s="193"/>
      <c r="H271" s="132">
        <v>23.86</v>
      </c>
      <c r="I271" s="78">
        <f t="shared" si="2"/>
        <v>47.72</v>
      </c>
      <c r="J271" s="119" t="s">
        <v>989</v>
      </c>
      <c r="K271" s="130" t="s">
        <v>229</v>
      </c>
      <c r="L271" s="131"/>
      <c r="M271" s="149" t="s">
        <v>328</v>
      </c>
      <c r="N271" s="135" t="s">
        <v>651</v>
      </c>
      <c r="O271" s="152" t="s">
        <v>685</v>
      </c>
    </row>
    <row r="272" spans="1:15" ht="15" customHeight="1">
      <c r="A272" s="70"/>
      <c r="B272" s="97" t="s">
        <v>327</v>
      </c>
      <c r="C272" s="77"/>
      <c r="D272" s="101" t="s">
        <v>115</v>
      </c>
      <c r="E272" s="79"/>
      <c r="F272" s="192">
        <v>1</v>
      </c>
      <c r="G272" s="193"/>
      <c r="H272" s="132">
        <v>9</v>
      </c>
      <c r="I272" s="78">
        <f t="shared" si="2"/>
        <v>9</v>
      </c>
      <c r="J272" s="119" t="s">
        <v>989</v>
      </c>
      <c r="K272" s="130" t="s">
        <v>229</v>
      </c>
      <c r="L272" s="131"/>
      <c r="M272" s="149" t="s">
        <v>267</v>
      </c>
      <c r="N272" s="135" t="s">
        <v>638</v>
      </c>
      <c r="O272" s="152" t="s">
        <v>686</v>
      </c>
    </row>
    <row r="273" spans="1:15" ht="15" customHeight="1">
      <c r="A273" s="70"/>
      <c r="B273" s="97" t="s">
        <v>327</v>
      </c>
      <c r="C273" s="98"/>
      <c r="D273" s="101" t="s">
        <v>116</v>
      </c>
      <c r="E273" s="79"/>
      <c r="F273" s="192">
        <v>2</v>
      </c>
      <c r="G273" s="193"/>
      <c r="H273" s="132">
        <v>7.79</v>
      </c>
      <c r="I273" s="78">
        <f t="shared" si="2"/>
        <v>15.58</v>
      </c>
      <c r="J273" s="119" t="s">
        <v>989</v>
      </c>
      <c r="K273" s="130" t="s">
        <v>229</v>
      </c>
      <c r="L273" s="131"/>
      <c r="M273" s="149" t="s">
        <v>267</v>
      </c>
      <c r="N273" s="135" t="s">
        <v>638</v>
      </c>
      <c r="O273" s="152" t="s">
        <v>687</v>
      </c>
    </row>
    <row r="274" spans="1:15" ht="15" customHeight="1">
      <c r="A274" s="70"/>
      <c r="B274" s="97" t="s">
        <v>327</v>
      </c>
      <c r="C274" s="77"/>
      <c r="D274" s="101" t="s">
        <v>117</v>
      </c>
      <c r="E274" s="79"/>
      <c r="F274" s="192">
        <v>6</v>
      </c>
      <c r="G274" s="193"/>
      <c r="H274" s="132">
        <v>1.81</v>
      </c>
      <c r="I274" s="78">
        <f t="shared" si="2"/>
        <v>10.86</v>
      </c>
      <c r="J274" s="119" t="s">
        <v>989</v>
      </c>
      <c r="K274" s="130" t="s">
        <v>229</v>
      </c>
      <c r="L274" s="131"/>
      <c r="M274" s="149" t="s">
        <v>262</v>
      </c>
      <c r="N274" s="135" t="s">
        <v>675</v>
      </c>
      <c r="O274" s="152" t="s">
        <v>688</v>
      </c>
    </row>
    <row r="275" spans="1:15" ht="15" customHeight="1">
      <c r="A275" s="70"/>
      <c r="B275" s="97" t="s">
        <v>327</v>
      </c>
      <c r="C275" s="77"/>
      <c r="D275" s="101" t="s">
        <v>118</v>
      </c>
      <c r="E275" s="79"/>
      <c r="F275" s="192">
        <v>2</v>
      </c>
      <c r="G275" s="193"/>
      <c r="H275" s="132">
        <v>1</v>
      </c>
      <c r="I275" s="78">
        <f t="shared" si="2"/>
        <v>2</v>
      </c>
      <c r="J275" s="119" t="s">
        <v>989</v>
      </c>
      <c r="K275" s="130" t="s">
        <v>229</v>
      </c>
      <c r="L275" s="131"/>
      <c r="M275" s="149" t="s">
        <v>269</v>
      </c>
      <c r="N275" s="135" t="s">
        <v>638</v>
      </c>
      <c r="O275" s="152" t="s">
        <v>689</v>
      </c>
    </row>
    <row r="276" spans="1:15" ht="15" customHeight="1">
      <c r="A276" s="70"/>
      <c r="B276" s="97" t="s">
        <v>327</v>
      </c>
      <c r="C276" s="98"/>
      <c r="D276" s="101" t="s">
        <v>119</v>
      </c>
      <c r="E276" s="79"/>
      <c r="F276" s="192">
        <v>4</v>
      </c>
      <c r="G276" s="193"/>
      <c r="H276" s="132">
        <v>1.47</v>
      </c>
      <c r="I276" s="78">
        <f t="shared" si="2"/>
        <v>5.88</v>
      </c>
      <c r="J276" s="119" t="s">
        <v>989</v>
      </c>
      <c r="K276" s="130" t="s">
        <v>229</v>
      </c>
      <c r="L276" s="131"/>
      <c r="M276" s="149" t="s">
        <v>262</v>
      </c>
      <c r="N276" s="135" t="s">
        <v>660</v>
      </c>
      <c r="O276" s="152" t="s">
        <v>690</v>
      </c>
    </row>
    <row r="277" spans="1:15" ht="15" customHeight="1">
      <c r="A277" s="70"/>
      <c r="B277" s="97" t="s">
        <v>327</v>
      </c>
      <c r="C277" s="77"/>
      <c r="D277" s="101" t="s">
        <v>120</v>
      </c>
      <c r="E277" s="79"/>
      <c r="F277" s="192">
        <v>1</v>
      </c>
      <c r="G277" s="193"/>
      <c r="H277" s="132">
        <v>2.4500000000000002</v>
      </c>
      <c r="I277" s="78">
        <f t="shared" si="2"/>
        <v>2.4500000000000002</v>
      </c>
      <c r="J277" s="119" t="s">
        <v>989</v>
      </c>
      <c r="K277" s="130" t="s">
        <v>229</v>
      </c>
      <c r="L277" s="131"/>
      <c r="M277" s="149" t="s">
        <v>270</v>
      </c>
      <c r="N277" s="135" t="s">
        <v>607</v>
      </c>
      <c r="O277" s="152" t="s">
        <v>691</v>
      </c>
    </row>
    <row r="278" spans="1:15" ht="15" customHeight="1">
      <c r="A278" s="70"/>
      <c r="B278" s="97" t="s">
        <v>327</v>
      </c>
      <c r="C278" s="77"/>
      <c r="D278" s="101" t="s">
        <v>122</v>
      </c>
      <c r="E278" s="79"/>
      <c r="F278" s="192">
        <v>4</v>
      </c>
      <c r="G278" s="193"/>
      <c r="H278" s="132">
        <v>1.23</v>
      </c>
      <c r="I278" s="78">
        <f t="shared" si="2"/>
        <v>4.92</v>
      </c>
      <c r="J278" s="119" t="s">
        <v>989</v>
      </c>
      <c r="K278" s="130" t="s">
        <v>229</v>
      </c>
      <c r="L278" s="131"/>
      <c r="M278" s="149" t="s">
        <v>262</v>
      </c>
      <c r="N278" s="135" t="s">
        <v>660</v>
      </c>
      <c r="O278" s="152" t="s">
        <v>693</v>
      </c>
    </row>
    <row r="279" spans="1:15" ht="15" customHeight="1">
      <c r="A279" s="70"/>
      <c r="B279" s="97" t="s">
        <v>327</v>
      </c>
      <c r="C279" s="98"/>
      <c r="D279" s="101" t="s">
        <v>123</v>
      </c>
      <c r="E279" s="79"/>
      <c r="F279" s="192">
        <v>4</v>
      </c>
      <c r="G279" s="193"/>
      <c r="H279" s="132">
        <v>0.38</v>
      </c>
      <c r="I279" s="78">
        <f t="shared" si="2"/>
        <v>1.52</v>
      </c>
      <c r="J279" s="119" t="s">
        <v>989</v>
      </c>
      <c r="K279" s="130" t="s">
        <v>229</v>
      </c>
      <c r="L279" s="131"/>
      <c r="M279" s="149" t="s">
        <v>266</v>
      </c>
      <c r="N279" s="135" t="s">
        <v>675</v>
      </c>
      <c r="O279" s="152" t="s">
        <v>694</v>
      </c>
    </row>
    <row r="280" spans="1:15" ht="15" customHeight="1">
      <c r="A280" s="70"/>
      <c r="B280" s="97" t="s">
        <v>327</v>
      </c>
      <c r="C280" s="77"/>
      <c r="D280" s="101" t="s">
        <v>121</v>
      </c>
      <c r="E280" s="79"/>
      <c r="F280" s="192">
        <v>1</v>
      </c>
      <c r="G280" s="193"/>
      <c r="H280" s="132">
        <v>4.03</v>
      </c>
      <c r="I280" s="78">
        <f t="shared" si="2"/>
        <v>4.03</v>
      </c>
      <c r="J280" s="119" t="s">
        <v>989</v>
      </c>
      <c r="K280" s="130" t="s">
        <v>229</v>
      </c>
      <c r="L280" s="131"/>
      <c r="M280" s="149" t="s">
        <v>263</v>
      </c>
      <c r="N280" s="135" t="s">
        <v>607</v>
      </c>
      <c r="O280" s="152" t="s">
        <v>692</v>
      </c>
    </row>
    <row r="281" spans="1:15" ht="15" customHeight="1">
      <c r="A281" s="70"/>
      <c r="B281" s="97" t="s">
        <v>327</v>
      </c>
      <c r="C281" s="77"/>
      <c r="D281" s="101" t="s">
        <v>148</v>
      </c>
      <c r="E281" s="79"/>
      <c r="F281" s="192">
        <v>2</v>
      </c>
      <c r="G281" s="193"/>
      <c r="H281" s="132">
        <v>5.7</v>
      </c>
      <c r="I281" s="78">
        <f t="shared" si="2"/>
        <v>11.4</v>
      </c>
      <c r="J281" s="119" t="s">
        <v>989</v>
      </c>
      <c r="K281" s="130" t="s">
        <v>226</v>
      </c>
      <c r="L281" s="131"/>
      <c r="M281" s="149" t="s">
        <v>286</v>
      </c>
      <c r="N281" s="135" t="s">
        <v>634</v>
      </c>
      <c r="O281" s="152" t="s">
        <v>726</v>
      </c>
    </row>
    <row r="282" spans="1:15" ht="15" customHeight="1">
      <c r="A282" s="70"/>
      <c r="B282" s="97" t="s">
        <v>327</v>
      </c>
      <c r="C282" s="98"/>
      <c r="D282" s="101" t="s">
        <v>150</v>
      </c>
      <c r="E282" s="79"/>
      <c r="F282" s="192">
        <v>7</v>
      </c>
      <c r="G282" s="193"/>
      <c r="H282" s="132">
        <v>41.36</v>
      </c>
      <c r="I282" s="78">
        <f t="shared" si="2"/>
        <v>289.52</v>
      </c>
      <c r="J282" s="119" t="s">
        <v>989</v>
      </c>
      <c r="K282" s="130" t="s">
        <v>226</v>
      </c>
      <c r="L282" s="131"/>
      <c r="M282" s="149" t="s">
        <v>287</v>
      </c>
      <c r="N282" s="135" t="s">
        <v>728</v>
      </c>
      <c r="O282" s="152" t="s">
        <v>729</v>
      </c>
    </row>
    <row r="283" spans="1:15" ht="15" customHeight="1">
      <c r="A283" s="70"/>
      <c r="B283" s="97" t="s">
        <v>327</v>
      </c>
      <c r="C283" s="77"/>
      <c r="D283" s="101" t="s">
        <v>151</v>
      </c>
      <c r="E283" s="79"/>
      <c r="F283" s="192">
        <v>7</v>
      </c>
      <c r="G283" s="193"/>
      <c r="H283" s="132">
        <v>46.04</v>
      </c>
      <c r="I283" s="78">
        <f t="shared" si="2"/>
        <v>322.27999999999997</v>
      </c>
      <c r="J283" s="119" t="s">
        <v>989</v>
      </c>
      <c r="K283" s="130" t="s">
        <v>226</v>
      </c>
      <c r="L283" s="131"/>
      <c r="M283" s="149" t="s">
        <v>288</v>
      </c>
      <c r="N283" s="135" t="s">
        <v>728</v>
      </c>
      <c r="O283" s="152" t="s">
        <v>730</v>
      </c>
    </row>
    <row r="284" spans="1:15" ht="15" customHeight="1">
      <c r="A284" s="70"/>
      <c r="B284" s="97" t="s">
        <v>327</v>
      </c>
      <c r="C284" s="77"/>
      <c r="D284" s="101" t="s">
        <v>152</v>
      </c>
      <c r="E284" s="79"/>
      <c r="F284" s="192">
        <v>1</v>
      </c>
      <c r="G284" s="193"/>
      <c r="H284" s="132">
        <v>60.86</v>
      </c>
      <c r="I284" s="78">
        <f t="shared" si="2"/>
        <v>60.86</v>
      </c>
      <c r="J284" s="119" t="s">
        <v>989</v>
      </c>
      <c r="K284" s="130" t="s">
        <v>226</v>
      </c>
      <c r="L284" s="131"/>
      <c r="M284" s="149" t="s">
        <v>289</v>
      </c>
      <c r="N284" s="135" t="s">
        <v>728</v>
      </c>
      <c r="O284" s="152" t="s">
        <v>731</v>
      </c>
    </row>
    <row r="285" spans="1:15" ht="15" customHeight="1">
      <c r="A285" s="70"/>
      <c r="B285" s="97" t="s">
        <v>327</v>
      </c>
      <c r="C285" s="98"/>
      <c r="D285" s="101" t="s">
        <v>156</v>
      </c>
      <c r="E285" s="79"/>
      <c r="F285" s="192">
        <v>8</v>
      </c>
      <c r="G285" s="193"/>
      <c r="H285" s="132">
        <v>26.53</v>
      </c>
      <c r="I285" s="78">
        <f t="shared" si="2"/>
        <v>212.24</v>
      </c>
      <c r="J285" s="119" t="s">
        <v>989</v>
      </c>
      <c r="K285" s="130" t="s">
        <v>229</v>
      </c>
      <c r="L285" s="131"/>
      <c r="M285" s="149" t="s">
        <v>249</v>
      </c>
      <c r="N285" s="135" t="s">
        <v>630</v>
      </c>
      <c r="O285" s="152" t="s">
        <v>736</v>
      </c>
    </row>
    <row r="286" spans="1:15" ht="15" customHeight="1">
      <c r="A286" s="70"/>
      <c r="B286" s="97" t="s">
        <v>327</v>
      </c>
      <c r="C286" s="77"/>
      <c r="D286" s="101" t="s">
        <v>157</v>
      </c>
      <c r="E286" s="79"/>
      <c r="F286" s="192">
        <v>2</v>
      </c>
      <c r="G286" s="193"/>
      <c r="H286" s="132">
        <v>18.100000000000001</v>
      </c>
      <c r="I286" s="78">
        <f t="shared" ref="I286:I345" si="3">F286*H286</f>
        <v>36.200000000000003</v>
      </c>
      <c r="J286" s="119" t="s">
        <v>989</v>
      </c>
      <c r="K286" s="130" t="s">
        <v>226</v>
      </c>
      <c r="L286" s="131"/>
      <c r="M286" s="149" t="s">
        <v>293</v>
      </c>
      <c r="N286" s="135" t="s">
        <v>632</v>
      </c>
      <c r="O286" s="152" t="s">
        <v>737</v>
      </c>
    </row>
    <row r="287" spans="1:15" ht="15" customHeight="1">
      <c r="A287" s="70"/>
      <c r="B287" s="97" t="s">
        <v>327</v>
      </c>
      <c r="C287" s="77"/>
      <c r="D287" s="101" t="s">
        <v>158</v>
      </c>
      <c r="E287" s="79"/>
      <c r="F287" s="192">
        <v>2</v>
      </c>
      <c r="G287" s="193"/>
      <c r="H287" s="132">
        <v>16.7</v>
      </c>
      <c r="I287" s="78">
        <f t="shared" si="3"/>
        <v>33.4</v>
      </c>
      <c r="J287" s="119" t="s">
        <v>989</v>
      </c>
      <c r="K287" s="130" t="s">
        <v>226</v>
      </c>
      <c r="L287" s="131"/>
      <c r="M287" s="149" t="s">
        <v>294</v>
      </c>
      <c r="N287" s="135" t="s">
        <v>632</v>
      </c>
      <c r="O287" s="152" t="s">
        <v>738</v>
      </c>
    </row>
    <row r="288" spans="1:15" ht="15" customHeight="1">
      <c r="A288" s="70"/>
      <c r="B288" s="97" t="s">
        <v>327</v>
      </c>
      <c r="C288" s="98"/>
      <c r="D288" s="101" t="s">
        <v>159</v>
      </c>
      <c r="E288" s="79"/>
      <c r="F288" s="192">
        <v>2</v>
      </c>
      <c r="G288" s="193"/>
      <c r="H288" s="132">
        <v>11</v>
      </c>
      <c r="I288" s="78">
        <f t="shared" si="3"/>
        <v>22</v>
      </c>
      <c r="J288" s="119" t="s">
        <v>989</v>
      </c>
      <c r="K288" s="130" t="s">
        <v>226</v>
      </c>
      <c r="L288" s="131"/>
      <c r="M288" s="149" t="s">
        <v>295</v>
      </c>
      <c r="N288" s="135" t="s">
        <v>632</v>
      </c>
      <c r="O288" s="152" t="s">
        <v>739</v>
      </c>
    </row>
    <row r="289" spans="1:15" ht="15" customHeight="1">
      <c r="A289" s="70"/>
      <c r="B289" s="97" t="s">
        <v>327</v>
      </c>
      <c r="C289" s="77"/>
      <c r="D289" s="101" t="s">
        <v>160</v>
      </c>
      <c r="E289" s="79"/>
      <c r="F289" s="192">
        <v>1</v>
      </c>
      <c r="G289" s="193"/>
      <c r="H289" s="132">
        <v>20.76</v>
      </c>
      <c r="I289" s="78">
        <f t="shared" si="3"/>
        <v>20.76</v>
      </c>
      <c r="J289" s="119" t="s">
        <v>989</v>
      </c>
      <c r="K289" s="130" t="s">
        <v>226</v>
      </c>
      <c r="L289" s="131"/>
      <c r="M289" s="149" t="s">
        <v>293</v>
      </c>
      <c r="N289" s="135" t="s">
        <v>632</v>
      </c>
      <c r="O289" s="152" t="s">
        <v>740</v>
      </c>
    </row>
    <row r="290" spans="1:15" ht="15" customHeight="1">
      <c r="A290" s="70"/>
      <c r="B290" s="97" t="s">
        <v>327</v>
      </c>
      <c r="C290" s="77"/>
      <c r="D290" s="101" t="s">
        <v>161</v>
      </c>
      <c r="E290" s="79"/>
      <c r="F290" s="192">
        <v>1</v>
      </c>
      <c r="G290" s="193"/>
      <c r="H290" s="132">
        <v>17.79</v>
      </c>
      <c r="I290" s="78">
        <f t="shared" si="3"/>
        <v>17.79</v>
      </c>
      <c r="J290" s="119" t="s">
        <v>989</v>
      </c>
      <c r="K290" s="130" t="s">
        <v>226</v>
      </c>
      <c r="L290" s="131"/>
      <c r="M290" s="149" t="s">
        <v>294</v>
      </c>
      <c r="N290" s="135" t="s">
        <v>632</v>
      </c>
      <c r="O290" s="152" t="s">
        <v>741</v>
      </c>
    </row>
    <row r="291" spans="1:15" ht="15" customHeight="1">
      <c r="A291" s="70"/>
      <c r="B291" s="97" t="s">
        <v>327</v>
      </c>
      <c r="C291" s="98"/>
      <c r="D291" s="101" t="s">
        <v>162</v>
      </c>
      <c r="E291" s="79"/>
      <c r="F291" s="192">
        <v>3</v>
      </c>
      <c r="G291" s="193"/>
      <c r="H291" s="132">
        <v>3.12</v>
      </c>
      <c r="I291" s="78">
        <f t="shared" si="3"/>
        <v>9.36</v>
      </c>
      <c r="J291" s="119" t="s">
        <v>989</v>
      </c>
      <c r="K291" s="130" t="s">
        <v>226</v>
      </c>
      <c r="L291" s="131"/>
      <c r="M291" s="149" t="s">
        <v>250</v>
      </c>
      <c r="N291" s="135" t="s">
        <v>632</v>
      </c>
      <c r="O291" s="152" t="s">
        <v>742</v>
      </c>
    </row>
    <row r="292" spans="1:15" ht="15" customHeight="1">
      <c r="A292" s="70"/>
      <c r="B292" s="97" t="s">
        <v>327</v>
      </c>
      <c r="C292" s="77"/>
      <c r="D292" s="101" t="s">
        <v>153</v>
      </c>
      <c r="E292" s="79"/>
      <c r="F292" s="192">
        <v>5</v>
      </c>
      <c r="G292" s="193"/>
      <c r="H292" s="132">
        <v>6.79</v>
      </c>
      <c r="I292" s="78">
        <f t="shared" si="3"/>
        <v>33.950000000000003</v>
      </c>
      <c r="J292" s="119" t="s">
        <v>989</v>
      </c>
      <c r="K292" s="130" t="s">
        <v>226</v>
      </c>
      <c r="L292" s="131"/>
      <c r="M292" s="149" t="s">
        <v>290</v>
      </c>
      <c r="N292" s="135" t="s">
        <v>732</v>
      </c>
      <c r="O292" s="152" t="s">
        <v>733</v>
      </c>
    </row>
    <row r="293" spans="1:15" ht="15" customHeight="1">
      <c r="A293" s="70"/>
      <c r="B293" s="97" t="s">
        <v>327</v>
      </c>
      <c r="C293" s="77"/>
      <c r="D293" s="101" t="s">
        <v>154</v>
      </c>
      <c r="E293" s="79"/>
      <c r="F293" s="192">
        <v>4</v>
      </c>
      <c r="G293" s="193"/>
      <c r="H293" s="132">
        <v>27.23</v>
      </c>
      <c r="I293" s="78">
        <f t="shared" si="3"/>
        <v>108.92</v>
      </c>
      <c r="J293" s="119" t="s">
        <v>989</v>
      </c>
      <c r="K293" s="130" t="s">
        <v>226</v>
      </c>
      <c r="L293" s="131"/>
      <c r="M293" s="149" t="s">
        <v>291</v>
      </c>
      <c r="N293" s="135" t="s">
        <v>593</v>
      </c>
      <c r="O293" s="152" t="s">
        <v>734</v>
      </c>
    </row>
    <row r="294" spans="1:15" ht="15" customHeight="1">
      <c r="A294" s="70"/>
      <c r="B294" s="97" t="s">
        <v>327</v>
      </c>
      <c r="C294" s="98"/>
      <c r="D294" s="101" t="s">
        <v>155</v>
      </c>
      <c r="E294" s="79"/>
      <c r="F294" s="192">
        <v>5</v>
      </c>
      <c r="G294" s="193"/>
      <c r="H294" s="132">
        <v>16.07</v>
      </c>
      <c r="I294" s="78">
        <f t="shared" si="3"/>
        <v>80.349999999999994</v>
      </c>
      <c r="J294" s="119" t="s">
        <v>989</v>
      </c>
      <c r="K294" s="130" t="s">
        <v>226</v>
      </c>
      <c r="L294" s="131"/>
      <c r="M294" s="149" t="s">
        <v>292</v>
      </c>
      <c r="N294" s="135" t="s">
        <v>603</v>
      </c>
      <c r="O294" s="152" t="s">
        <v>735</v>
      </c>
    </row>
    <row r="295" spans="1:15" ht="15" customHeight="1">
      <c r="A295" s="70"/>
      <c r="B295" s="97" t="s">
        <v>327</v>
      </c>
      <c r="C295" s="77"/>
      <c r="D295" s="101" t="s">
        <v>208</v>
      </c>
      <c r="E295" s="79"/>
      <c r="F295" s="192">
        <v>4</v>
      </c>
      <c r="G295" s="193"/>
      <c r="H295" s="132">
        <v>26.84</v>
      </c>
      <c r="I295" s="78">
        <f t="shared" si="3"/>
        <v>107.36</v>
      </c>
      <c r="J295" s="119" t="s">
        <v>989</v>
      </c>
      <c r="K295" s="130" t="s">
        <v>226</v>
      </c>
      <c r="L295" s="131"/>
      <c r="M295" s="149" t="s">
        <v>315</v>
      </c>
      <c r="N295" s="135" t="s">
        <v>795</v>
      </c>
      <c r="O295" s="152" t="s">
        <v>796</v>
      </c>
    </row>
    <row r="296" spans="1:15" ht="15" customHeight="1">
      <c r="A296" s="70"/>
      <c r="B296" s="97" t="s">
        <v>327</v>
      </c>
      <c r="C296" s="77"/>
      <c r="D296" s="101" t="s">
        <v>163</v>
      </c>
      <c r="E296" s="79"/>
      <c r="F296" s="192">
        <v>5</v>
      </c>
      <c r="G296" s="193"/>
      <c r="H296" s="132">
        <v>11.24</v>
      </c>
      <c r="I296" s="78">
        <f t="shared" si="3"/>
        <v>56.2</v>
      </c>
      <c r="J296" s="119" t="s">
        <v>989</v>
      </c>
      <c r="K296" s="130" t="s">
        <v>226</v>
      </c>
      <c r="L296" s="131"/>
      <c r="M296" s="149" t="s">
        <v>296</v>
      </c>
      <c r="N296" s="135" t="s">
        <v>632</v>
      </c>
      <c r="O296" s="152" t="s">
        <v>743</v>
      </c>
    </row>
    <row r="297" spans="1:15" ht="15" customHeight="1">
      <c r="A297" s="70"/>
      <c r="B297" s="97" t="s">
        <v>327</v>
      </c>
      <c r="C297" s="98"/>
      <c r="D297" s="101" t="s">
        <v>164</v>
      </c>
      <c r="E297" s="79"/>
      <c r="F297" s="192">
        <v>1</v>
      </c>
      <c r="G297" s="193"/>
      <c r="H297" s="132">
        <v>20.91</v>
      </c>
      <c r="I297" s="78">
        <f t="shared" si="3"/>
        <v>20.91</v>
      </c>
      <c r="J297" s="119" t="s">
        <v>989</v>
      </c>
      <c r="K297" s="130" t="s">
        <v>226</v>
      </c>
      <c r="L297" s="131"/>
      <c r="M297" s="149" t="s">
        <v>296</v>
      </c>
      <c r="N297" s="135" t="s">
        <v>632</v>
      </c>
      <c r="O297" s="152" t="s">
        <v>744</v>
      </c>
    </row>
    <row r="298" spans="1:15" ht="15" customHeight="1">
      <c r="A298" s="70"/>
      <c r="B298" s="97" t="s">
        <v>327</v>
      </c>
      <c r="C298" s="77"/>
      <c r="D298" s="101" t="s">
        <v>165</v>
      </c>
      <c r="E298" s="79"/>
      <c r="F298" s="192">
        <v>1</v>
      </c>
      <c r="G298" s="193"/>
      <c r="H298" s="132">
        <v>17.79</v>
      </c>
      <c r="I298" s="78">
        <f t="shared" si="3"/>
        <v>17.79</v>
      </c>
      <c r="J298" s="119" t="s">
        <v>989</v>
      </c>
      <c r="K298" s="130" t="s">
        <v>226</v>
      </c>
      <c r="L298" s="131"/>
      <c r="M298" s="149" t="s">
        <v>296</v>
      </c>
      <c r="N298" s="135" t="s">
        <v>632</v>
      </c>
      <c r="O298" s="152" t="s">
        <v>745</v>
      </c>
    </row>
    <row r="299" spans="1:15" ht="15" customHeight="1">
      <c r="A299" s="70"/>
      <c r="B299" s="97" t="s">
        <v>327</v>
      </c>
      <c r="C299" s="77"/>
      <c r="D299" s="101" t="s">
        <v>166</v>
      </c>
      <c r="E299" s="79"/>
      <c r="F299" s="192">
        <v>1</v>
      </c>
      <c r="G299" s="193"/>
      <c r="H299" s="132">
        <v>10.61</v>
      </c>
      <c r="I299" s="78">
        <f t="shared" si="3"/>
        <v>10.61</v>
      </c>
      <c r="J299" s="119" t="s">
        <v>989</v>
      </c>
      <c r="K299" s="130" t="s">
        <v>226</v>
      </c>
      <c r="L299" s="131"/>
      <c r="M299" s="149" t="s">
        <v>296</v>
      </c>
      <c r="N299" s="135" t="s">
        <v>632</v>
      </c>
      <c r="O299" s="152" t="s">
        <v>746</v>
      </c>
    </row>
    <row r="300" spans="1:15" ht="15" customHeight="1">
      <c r="A300" s="70"/>
      <c r="B300" s="97" t="s">
        <v>327</v>
      </c>
      <c r="C300" s="98"/>
      <c r="D300" s="101" t="s">
        <v>167</v>
      </c>
      <c r="E300" s="79"/>
      <c r="F300" s="192">
        <v>2</v>
      </c>
      <c r="G300" s="193"/>
      <c r="H300" s="132">
        <v>11.31</v>
      </c>
      <c r="I300" s="78">
        <f t="shared" si="3"/>
        <v>22.62</v>
      </c>
      <c r="J300" s="119" t="s">
        <v>989</v>
      </c>
      <c r="K300" s="130" t="s">
        <v>226</v>
      </c>
      <c r="L300" s="131"/>
      <c r="M300" s="149" t="s">
        <v>297</v>
      </c>
      <c r="N300" s="135" t="s">
        <v>747</v>
      </c>
      <c r="O300" s="152" t="s">
        <v>748</v>
      </c>
    </row>
    <row r="301" spans="1:15" ht="15" customHeight="1">
      <c r="A301" s="70"/>
      <c r="B301" s="97" t="s">
        <v>327</v>
      </c>
      <c r="C301" s="77"/>
      <c r="D301" s="101" t="s">
        <v>168</v>
      </c>
      <c r="E301" s="79"/>
      <c r="F301" s="192">
        <v>1</v>
      </c>
      <c r="G301" s="193"/>
      <c r="H301" s="132">
        <v>8.19</v>
      </c>
      <c r="I301" s="78">
        <f t="shared" si="3"/>
        <v>8.19</v>
      </c>
      <c r="J301" s="119" t="s">
        <v>989</v>
      </c>
      <c r="K301" s="130" t="s">
        <v>226</v>
      </c>
      <c r="L301" s="131"/>
      <c r="M301" s="149" t="s">
        <v>297</v>
      </c>
      <c r="N301" s="135" t="s">
        <v>747</v>
      </c>
      <c r="O301" s="152" t="s">
        <v>749</v>
      </c>
    </row>
    <row r="302" spans="1:15" ht="15" customHeight="1">
      <c r="A302" s="70"/>
      <c r="B302" s="97" t="s">
        <v>327</v>
      </c>
      <c r="C302" s="77"/>
      <c r="D302" s="101" t="s">
        <v>169</v>
      </c>
      <c r="E302" s="79"/>
      <c r="F302" s="192">
        <v>1</v>
      </c>
      <c r="G302" s="193"/>
      <c r="H302" s="132">
        <v>32.15</v>
      </c>
      <c r="I302" s="78">
        <f t="shared" si="3"/>
        <v>32.15</v>
      </c>
      <c r="J302" s="119" t="s">
        <v>989</v>
      </c>
      <c r="K302" s="130" t="s">
        <v>226</v>
      </c>
      <c r="L302" s="131"/>
      <c r="M302" s="149" t="s">
        <v>297</v>
      </c>
      <c r="N302" s="135" t="s">
        <v>747</v>
      </c>
      <c r="O302" s="152" t="s">
        <v>750</v>
      </c>
    </row>
    <row r="303" spans="1:15" ht="15" customHeight="1">
      <c r="A303" s="70"/>
      <c r="B303" s="97" t="s">
        <v>327</v>
      </c>
      <c r="C303" s="98"/>
      <c r="D303" s="101" t="s">
        <v>170</v>
      </c>
      <c r="E303" s="79"/>
      <c r="F303" s="192">
        <v>1</v>
      </c>
      <c r="G303" s="193"/>
      <c r="H303" s="132">
        <v>20.29</v>
      </c>
      <c r="I303" s="78">
        <f t="shared" si="3"/>
        <v>20.29</v>
      </c>
      <c r="J303" s="119" t="s">
        <v>989</v>
      </c>
      <c r="K303" s="130" t="s">
        <v>226</v>
      </c>
      <c r="L303" s="131"/>
      <c r="M303" s="149" t="s">
        <v>297</v>
      </c>
      <c r="N303" s="135" t="s">
        <v>747</v>
      </c>
      <c r="O303" s="152" t="s">
        <v>751</v>
      </c>
    </row>
    <row r="304" spans="1:15" ht="15" customHeight="1">
      <c r="A304" s="70"/>
      <c r="B304" s="97" t="s">
        <v>327</v>
      </c>
      <c r="C304" s="77"/>
      <c r="D304" s="101" t="s">
        <v>171</v>
      </c>
      <c r="E304" s="79"/>
      <c r="F304" s="192">
        <v>1</v>
      </c>
      <c r="G304" s="193"/>
      <c r="H304" s="132">
        <v>8.19</v>
      </c>
      <c r="I304" s="78">
        <f t="shared" si="3"/>
        <v>8.19</v>
      </c>
      <c r="J304" s="119" t="s">
        <v>989</v>
      </c>
      <c r="K304" s="130" t="s">
        <v>226</v>
      </c>
      <c r="L304" s="131"/>
      <c r="M304" s="149" t="s">
        <v>297</v>
      </c>
      <c r="N304" s="135" t="s">
        <v>747</v>
      </c>
      <c r="O304" s="152" t="s">
        <v>752</v>
      </c>
    </row>
    <row r="305" spans="1:15" ht="15" customHeight="1">
      <c r="A305" s="70"/>
      <c r="B305" s="97" t="s">
        <v>327</v>
      </c>
      <c r="C305" s="77"/>
      <c r="D305" s="101" t="s">
        <v>172</v>
      </c>
      <c r="E305" s="79"/>
      <c r="F305" s="192">
        <v>2</v>
      </c>
      <c r="G305" s="193"/>
      <c r="H305" s="132">
        <v>121.72</v>
      </c>
      <c r="I305" s="78">
        <f t="shared" si="3"/>
        <v>243.44</v>
      </c>
      <c r="J305" s="119" t="s">
        <v>989</v>
      </c>
      <c r="K305" s="130" t="s">
        <v>226</v>
      </c>
      <c r="L305" s="131"/>
      <c r="M305" s="149" t="s">
        <v>298</v>
      </c>
      <c r="N305" s="135" t="s">
        <v>753</v>
      </c>
      <c r="O305" s="152" t="s">
        <v>754</v>
      </c>
    </row>
    <row r="306" spans="1:15" ht="15" customHeight="1">
      <c r="A306" s="70"/>
      <c r="B306" s="97" t="s">
        <v>327</v>
      </c>
      <c r="C306" s="98"/>
      <c r="D306" s="101" t="s">
        <v>173</v>
      </c>
      <c r="E306" s="79"/>
      <c r="F306" s="192">
        <v>1</v>
      </c>
      <c r="G306" s="193"/>
      <c r="H306" s="132">
        <v>107.68</v>
      </c>
      <c r="I306" s="78">
        <f t="shared" si="3"/>
        <v>107.68</v>
      </c>
      <c r="J306" s="119" t="s">
        <v>989</v>
      </c>
      <c r="K306" s="130" t="s">
        <v>226</v>
      </c>
      <c r="L306" s="131"/>
      <c r="M306" s="149" t="s">
        <v>299</v>
      </c>
      <c r="N306" s="135" t="s">
        <v>753</v>
      </c>
      <c r="O306" s="152" t="s">
        <v>755</v>
      </c>
    </row>
    <row r="307" spans="1:15" ht="15" customHeight="1">
      <c r="A307" s="70"/>
      <c r="B307" s="97" t="s">
        <v>327</v>
      </c>
      <c r="C307" s="77"/>
      <c r="D307" s="101" t="s">
        <v>174</v>
      </c>
      <c r="E307" s="79"/>
      <c r="F307" s="192">
        <v>1</v>
      </c>
      <c r="G307" s="193"/>
      <c r="H307" s="132">
        <v>1779.05</v>
      </c>
      <c r="I307" s="78">
        <f t="shared" si="3"/>
        <v>1779.05</v>
      </c>
      <c r="J307" s="119" t="s">
        <v>989</v>
      </c>
      <c r="K307" s="130" t="s">
        <v>226</v>
      </c>
      <c r="L307" s="131"/>
      <c r="M307" s="149" t="s">
        <v>300</v>
      </c>
      <c r="N307" s="135" t="s">
        <v>756</v>
      </c>
      <c r="O307" s="152" t="s">
        <v>757</v>
      </c>
    </row>
    <row r="308" spans="1:15" ht="15" customHeight="1">
      <c r="A308" s="70"/>
      <c r="B308" s="97" t="s">
        <v>327</v>
      </c>
      <c r="C308" s="98"/>
      <c r="D308" s="101" t="s">
        <v>175</v>
      </c>
      <c r="E308" s="79"/>
      <c r="F308" s="192">
        <v>5</v>
      </c>
      <c r="G308" s="193"/>
      <c r="H308" s="132">
        <v>75.69</v>
      </c>
      <c r="I308" s="78">
        <f t="shared" si="3"/>
        <v>378.45</v>
      </c>
      <c r="J308" s="119" t="s">
        <v>989</v>
      </c>
      <c r="K308" s="130" t="s">
        <v>227</v>
      </c>
      <c r="L308" s="131"/>
      <c r="M308" s="149" t="s">
        <v>301</v>
      </c>
      <c r="N308" s="135" t="s">
        <v>660</v>
      </c>
      <c r="O308" s="152" t="s">
        <v>758</v>
      </c>
    </row>
    <row r="309" spans="1:15" ht="15" customHeight="1">
      <c r="A309" s="70"/>
      <c r="B309" s="97" t="s">
        <v>327</v>
      </c>
      <c r="C309" s="77"/>
      <c r="D309" s="101" t="s">
        <v>176</v>
      </c>
      <c r="E309" s="79"/>
      <c r="F309" s="192">
        <v>1</v>
      </c>
      <c r="G309" s="193"/>
      <c r="H309" s="132">
        <v>36.520000000000003</v>
      </c>
      <c r="I309" s="78">
        <f t="shared" si="3"/>
        <v>36.520000000000003</v>
      </c>
      <c r="J309" s="119" t="s">
        <v>989</v>
      </c>
      <c r="K309" s="130" t="s">
        <v>229</v>
      </c>
      <c r="L309" s="131"/>
      <c r="M309" s="149" t="s">
        <v>302</v>
      </c>
      <c r="N309" s="135" t="s">
        <v>759</v>
      </c>
      <c r="O309" s="152" t="s">
        <v>760</v>
      </c>
    </row>
    <row r="310" spans="1:15" ht="15" customHeight="1">
      <c r="A310" s="70"/>
      <c r="B310" s="97" t="s">
        <v>327</v>
      </c>
      <c r="C310" s="77"/>
      <c r="D310" s="101" t="s">
        <v>177</v>
      </c>
      <c r="E310" s="79"/>
      <c r="F310" s="192">
        <v>1</v>
      </c>
      <c r="G310" s="193"/>
      <c r="H310" s="132">
        <v>2.4300000000000002</v>
      </c>
      <c r="I310" s="78">
        <f t="shared" si="3"/>
        <v>2.4300000000000002</v>
      </c>
      <c r="J310" s="119" t="s">
        <v>989</v>
      </c>
      <c r="K310" s="130" t="s">
        <v>229</v>
      </c>
      <c r="L310" s="131"/>
      <c r="M310" s="149" t="s">
        <v>303</v>
      </c>
      <c r="N310" s="135" t="s">
        <v>595</v>
      </c>
      <c r="O310" s="152" t="s">
        <v>761</v>
      </c>
    </row>
    <row r="311" spans="1:15" ht="15" customHeight="1">
      <c r="A311" s="70"/>
      <c r="B311" s="97" t="s">
        <v>327</v>
      </c>
      <c r="C311" s="98"/>
      <c r="D311" s="101" t="s">
        <v>178</v>
      </c>
      <c r="E311" s="79"/>
      <c r="F311" s="192">
        <v>3</v>
      </c>
      <c r="G311" s="193"/>
      <c r="H311" s="132">
        <v>8.9700000000000006</v>
      </c>
      <c r="I311" s="78">
        <f t="shared" si="3"/>
        <v>26.910000000000004</v>
      </c>
      <c r="J311" s="119" t="s">
        <v>989</v>
      </c>
      <c r="K311" s="130" t="s">
        <v>229</v>
      </c>
      <c r="L311" s="131"/>
      <c r="M311" s="149" t="s">
        <v>304</v>
      </c>
      <c r="N311" s="135" t="s">
        <v>762</v>
      </c>
      <c r="O311" s="152" t="s">
        <v>763</v>
      </c>
    </row>
    <row r="312" spans="1:15" ht="15" customHeight="1">
      <c r="A312" s="70"/>
      <c r="B312" s="97" t="s">
        <v>327</v>
      </c>
      <c r="C312" s="77"/>
      <c r="D312" s="101" t="s">
        <v>180</v>
      </c>
      <c r="E312" s="79"/>
      <c r="F312" s="192">
        <v>2</v>
      </c>
      <c r="G312" s="193"/>
      <c r="H312" s="132">
        <v>2.5</v>
      </c>
      <c r="I312" s="78">
        <f t="shared" si="3"/>
        <v>5</v>
      </c>
      <c r="J312" s="119" t="s">
        <v>989</v>
      </c>
      <c r="K312" s="130" t="s">
        <v>229</v>
      </c>
      <c r="L312" s="131"/>
      <c r="M312" s="149" t="s">
        <v>305</v>
      </c>
      <c r="N312" s="135" t="s">
        <v>765</v>
      </c>
      <c r="O312" s="152" t="s">
        <v>766</v>
      </c>
    </row>
    <row r="313" spans="1:15" ht="15" customHeight="1">
      <c r="A313" s="70"/>
      <c r="B313" s="97" t="s">
        <v>327</v>
      </c>
      <c r="C313" s="77"/>
      <c r="D313" s="101" t="s">
        <v>181</v>
      </c>
      <c r="E313" s="79"/>
      <c r="F313" s="192">
        <v>1</v>
      </c>
      <c r="G313" s="193"/>
      <c r="H313" s="132">
        <v>54.62</v>
      </c>
      <c r="I313" s="78">
        <f t="shared" si="3"/>
        <v>54.62</v>
      </c>
      <c r="J313" s="119" t="s">
        <v>989</v>
      </c>
      <c r="K313" s="130" t="s">
        <v>229</v>
      </c>
      <c r="L313" s="131"/>
      <c r="M313" s="149" t="s">
        <v>306</v>
      </c>
      <c r="N313" s="135" t="s">
        <v>767</v>
      </c>
      <c r="O313" s="152" t="s">
        <v>768</v>
      </c>
    </row>
    <row r="314" spans="1:15" ht="15" customHeight="1">
      <c r="A314" s="70"/>
      <c r="B314" s="97" t="s">
        <v>327</v>
      </c>
      <c r="C314" s="98"/>
      <c r="D314" s="101" t="s">
        <v>182</v>
      </c>
      <c r="E314" s="79"/>
      <c r="F314" s="192">
        <v>1</v>
      </c>
      <c r="G314" s="193"/>
      <c r="H314" s="132">
        <v>16.39</v>
      </c>
      <c r="I314" s="78">
        <f t="shared" si="3"/>
        <v>16.39</v>
      </c>
      <c r="J314" s="119" t="s">
        <v>989</v>
      </c>
      <c r="K314" s="130" t="s">
        <v>229</v>
      </c>
      <c r="L314" s="131"/>
      <c r="M314" s="149" t="s">
        <v>306</v>
      </c>
      <c r="N314" s="135" t="s">
        <v>767</v>
      </c>
      <c r="O314" s="152" t="s">
        <v>769</v>
      </c>
    </row>
    <row r="315" spans="1:15" ht="15" customHeight="1">
      <c r="A315" s="70"/>
      <c r="B315" s="97" t="s">
        <v>327</v>
      </c>
      <c r="C315" s="77"/>
      <c r="D315" s="101" t="s">
        <v>183</v>
      </c>
      <c r="E315" s="79"/>
      <c r="F315" s="192">
        <v>1</v>
      </c>
      <c r="G315" s="193"/>
      <c r="H315" s="132">
        <v>17.170000000000002</v>
      </c>
      <c r="I315" s="78">
        <f t="shared" si="3"/>
        <v>17.170000000000002</v>
      </c>
      <c r="J315" s="119" t="s">
        <v>989</v>
      </c>
      <c r="K315" s="130" t="s">
        <v>229</v>
      </c>
      <c r="L315" s="131"/>
      <c r="M315" s="149" t="s">
        <v>307</v>
      </c>
      <c r="N315" s="135" t="s">
        <v>770</v>
      </c>
      <c r="O315" s="152" t="s">
        <v>771</v>
      </c>
    </row>
    <row r="316" spans="1:15" ht="15" customHeight="1">
      <c r="A316" s="70"/>
      <c r="B316" s="97" t="s">
        <v>327</v>
      </c>
      <c r="C316" s="77"/>
      <c r="D316" s="101" t="s">
        <v>179</v>
      </c>
      <c r="E316" s="79"/>
      <c r="F316" s="192">
        <v>4</v>
      </c>
      <c r="G316" s="193"/>
      <c r="H316" s="132">
        <v>8.9700000000000006</v>
      </c>
      <c r="I316" s="78">
        <f t="shared" si="3"/>
        <v>35.880000000000003</v>
      </c>
      <c r="J316" s="119" t="s">
        <v>989</v>
      </c>
      <c r="K316" s="130" t="s">
        <v>229</v>
      </c>
      <c r="L316" s="131"/>
      <c r="M316" s="149" t="s">
        <v>304</v>
      </c>
      <c r="N316" s="135" t="s">
        <v>762</v>
      </c>
      <c r="O316" s="152" t="s">
        <v>764</v>
      </c>
    </row>
    <row r="317" spans="1:15" ht="15" customHeight="1">
      <c r="A317" s="70"/>
      <c r="B317" s="97" t="s">
        <v>327</v>
      </c>
      <c r="C317" s="98"/>
      <c r="D317" s="101" t="s">
        <v>184</v>
      </c>
      <c r="E317" s="79"/>
      <c r="F317" s="192">
        <v>5</v>
      </c>
      <c r="G317" s="193"/>
      <c r="H317" s="132">
        <v>18.73</v>
      </c>
      <c r="I317" s="78">
        <f t="shared" si="3"/>
        <v>93.65</v>
      </c>
      <c r="J317" s="119" t="s">
        <v>989</v>
      </c>
      <c r="K317" s="130" t="s">
        <v>229</v>
      </c>
      <c r="L317" s="131"/>
      <c r="M317" s="149" t="s">
        <v>308</v>
      </c>
      <c r="N317" s="135" t="s">
        <v>772</v>
      </c>
      <c r="O317" s="152" t="s">
        <v>773</v>
      </c>
    </row>
    <row r="318" spans="1:15" ht="15" customHeight="1">
      <c r="A318" s="70"/>
      <c r="B318" s="97" t="s">
        <v>327</v>
      </c>
      <c r="C318" s="77"/>
      <c r="D318" s="101" t="s">
        <v>185</v>
      </c>
      <c r="E318" s="79"/>
      <c r="F318" s="192">
        <v>1</v>
      </c>
      <c r="G318" s="193"/>
      <c r="H318" s="132">
        <v>38.229999999999997</v>
      </c>
      <c r="I318" s="78">
        <f t="shared" si="3"/>
        <v>38.229999999999997</v>
      </c>
      <c r="J318" s="119" t="s">
        <v>989</v>
      </c>
      <c r="K318" s="130" t="s">
        <v>229</v>
      </c>
      <c r="L318" s="131"/>
      <c r="M318" s="149" t="s">
        <v>301</v>
      </c>
      <c r="N318" s="135" t="s">
        <v>772</v>
      </c>
      <c r="O318" s="152" t="s">
        <v>774</v>
      </c>
    </row>
    <row r="319" spans="1:15" ht="15" customHeight="1">
      <c r="A319" s="70"/>
      <c r="B319" s="97" t="s">
        <v>327</v>
      </c>
      <c r="C319" s="77"/>
      <c r="D319" s="101" t="s">
        <v>186</v>
      </c>
      <c r="E319" s="79"/>
      <c r="F319" s="192">
        <v>1</v>
      </c>
      <c r="G319" s="193"/>
      <c r="H319" s="132">
        <v>66.319999999999993</v>
      </c>
      <c r="I319" s="78">
        <f t="shared" si="3"/>
        <v>66.319999999999993</v>
      </c>
      <c r="J319" s="119" t="s">
        <v>989</v>
      </c>
      <c r="K319" s="130" t="s">
        <v>229</v>
      </c>
      <c r="L319" s="131"/>
      <c r="M319" s="149" t="s">
        <v>301</v>
      </c>
      <c r="N319" s="135" t="s">
        <v>772</v>
      </c>
      <c r="O319" s="152" t="s">
        <v>775</v>
      </c>
    </row>
    <row r="320" spans="1:15" ht="15" customHeight="1">
      <c r="A320" s="70"/>
      <c r="B320" s="97" t="s">
        <v>327</v>
      </c>
      <c r="C320" s="98"/>
      <c r="D320" s="101" t="s">
        <v>187</v>
      </c>
      <c r="E320" s="79"/>
      <c r="F320" s="192">
        <v>1</v>
      </c>
      <c r="G320" s="193"/>
      <c r="H320" s="132">
        <v>37.450000000000003</v>
      </c>
      <c r="I320" s="78">
        <f t="shared" si="3"/>
        <v>37.450000000000003</v>
      </c>
      <c r="J320" s="119" t="s">
        <v>989</v>
      </c>
      <c r="K320" s="130" t="s">
        <v>228</v>
      </c>
      <c r="L320" s="131"/>
      <c r="M320" s="149" t="s">
        <v>309</v>
      </c>
      <c r="N320" s="135" t="s">
        <v>649</v>
      </c>
      <c r="O320" s="152" t="s">
        <v>776</v>
      </c>
    </row>
    <row r="321" spans="1:15" ht="15" customHeight="1">
      <c r="A321" s="70"/>
      <c r="B321" s="97" t="s">
        <v>327</v>
      </c>
      <c r="C321" s="77"/>
      <c r="D321" s="101" t="s">
        <v>188</v>
      </c>
      <c r="E321" s="79"/>
      <c r="F321" s="192">
        <v>2</v>
      </c>
      <c r="G321" s="193"/>
      <c r="H321" s="132">
        <v>16.39</v>
      </c>
      <c r="I321" s="78">
        <f t="shared" si="3"/>
        <v>32.78</v>
      </c>
      <c r="J321" s="119" t="s">
        <v>989</v>
      </c>
      <c r="K321" s="130" t="s">
        <v>228</v>
      </c>
      <c r="L321" s="131"/>
      <c r="M321" s="149" t="s">
        <v>309</v>
      </c>
      <c r="N321" s="135" t="s">
        <v>649</v>
      </c>
      <c r="O321" s="152" t="s">
        <v>777</v>
      </c>
    </row>
    <row r="322" spans="1:15" ht="15" customHeight="1">
      <c r="A322" s="70"/>
      <c r="B322" s="97" t="s">
        <v>327</v>
      </c>
      <c r="C322" s="77"/>
      <c r="D322" s="101" t="s">
        <v>189</v>
      </c>
      <c r="E322" s="79"/>
      <c r="F322" s="192">
        <v>2</v>
      </c>
      <c r="G322" s="193"/>
      <c r="H322" s="132">
        <v>12.25</v>
      </c>
      <c r="I322" s="78">
        <f t="shared" si="3"/>
        <v>24.5</v>
      </c>
      <c r="J322" s="119" t="s">
        <v>989</v>
      </c>
      <c r="K322" s="130" t="s">
        <v>229</v>
      </c>
      <c r="L322" s="131"/>
      <c r="M322" s="149" t="s">
        <v>310</v>
      </c>
      <c r="N322" s="135" t="s">
        <v>672</v>
      </c>
      <c r="O322" s="152" t="s">
        <v>778</v>
      </c>
    </row>
    <row r="323" spans="1:15" ht="15" customHeight="1">
      <c r="A323" s="70"/>
      <c r="B323" s="97" t="s">
        <v>327</v>
      </c>
      <c r="C323" s="98"/>
      <c r="D323" s="101" t="s">
        <v>191</v>
      </c>
      <c r="E323" s="79"/>
      <c r="F323" s="192">
        <v>4</v>
      </c>
      <c r="G323" s="193"/>
      <c r="H323" s="132">
        <v>37.450000000000003</v>
      </c>
      <c r="I323" s="78">
        <f t="shared" si="3"/>
        <v>149.80000000000001</v>
      </c>
      <c r="J323" s="119" t="s">
        <v>989</v>
      </c>
      <c r="K323" s="130" t="s">
        <v>226</v>
      </c>
      <c r="L323" s="131"/>
      <c r="M323" s="149" t="s">
        <v>312</v>
      </c>
      <c r="N323" s="135" t="s">
        <v>607</v>
      </c>
      <c r="O323" s="152" t="s">
        <v>781</v>
      </c>
    </row>
    <row r="324" spans="1:15" ht="15" customHeight="1">
      <c r="A324" s="70"/>
      <c r="B324" s="97" t="s">
        <v>327</v>
      </c>
      <c r="C324" s="77"/>
      <c r="D324" s="101" t="s">
        <v>192</v>
      </c>
      <c r="E324" s="79"/>
      <c r="F324" s="192">
        <v>8</v>
      </c>
      <c r="G324" s="193"/>
      <c r="H324" s="132">
        <v>0.39</v>
      </c>
      <c r="I324" s="78">
        <f t="shared" si="3"/>
        <v>3.12</v>
      </c>
      <c r="J324" s="119" t="s">
        <v>989</v>
      </c>
      <c r="K324" s="130" t="s">
        <v>226</v>
      </c>
      <c r="L324" s="131"/>
      <c r="M324" s="149" t="s">
        <v>311</v>
      </c>
      <c r="N324" s="135" t="s">
        <v>779</v>
      </c>
      <c r="O324" s="152" t="s">
        <v>782</v>
      </c>
    </row>
    <row r="325" spans="1:15" ht="15" customHeight="1">
      <c r="A325" s="70"/>
      <c r="B325" s="97" t="s">
        <v>327</v>
      </c>
      <c r="C325" s="77"/>
      <c r="D325" s="101" t="s">
        <v>193</v>
      </c>
      <c r="E325" s="79"/>
      <c r="F325" s="192">
        <v>1</v>
      </c>
      <c r="G325" s="193"/>
      <c r="H325" s="132">
        <v>22.63</v>
      </c>
      <c r="I325" s="78">
        <f t="shared" si="3"/>
        <v>22.63</v>
      </c>
      <c r="J325" s="119" t="s">
        <v>989</v>
      </c>
      <c r="K325" s="130" t="s">
        <v>226</v>
      </c>
      <c r="L325" s="131"/>
      <c r="M325" s="149" t="s">
        <v>312</v>
      </c>
      <c r="N325" s="135" t="s">
        <v>607</v>
      </c>
      <c r="O325" s="152" t="s">
        <v>781</v>
      </c>
    </row>
    <row r="326" spans="1:15" ht="15" customHeight="1">
      <c r="A326" s="70"/>
      <c r="B326" s="97" t="s">
        <v>327</v>
      </c>
      <c r="C326" s="98"/>
      <c r="D326" s="101" t="s">
        <v>194</v>
      </c>
      <c r="E326" s="79"/>
      <c r="F326" s="192">
        <v>1</v>
      </c>
      <c r="G326" s="193"/>
      <c r="H326" s="132">
        <v>48.38</v>
      </c>
      <c r="I326" s="78">
        <f t="shared" si="3"/>
        <v>48.38</v>
      </c>
      <c r="J326" s="119" t="s">
        <v>989</v>
      </c>
      <c r="K326" s="130" t="s">
        <v>226</v>
      </c>
      <c r="L326" s="131"/>
      <c r="M326" s="149" t="s">
        <v>312</v>
      </c>
      <c r="N326" s="135" t="s">
        <v>607</v>
      </c>
      <c r="O326" s="152" t="s">
        <v>781</v>
      </c>
    </row>
    <row r="327" spans="1:15" ht="15" customHeight="1">
      <c r="A327" s="70"/>
      <c r="B327" s="97" t="s">
        <v>327</v>
      </c>
      <c r="C327" s="77"/>
      <c r="D327" s="101" t="s">
        <v>195</v>
      </c>
      <c r="E327" s="79"/>
      <c r="F327" s="192">
        <v>1</v>
      </c>
      <c r="G327" s="193"/>
      <c r="H327" s="132">
        <v>27.93</v>
      </c>
      <c r="I327" s="78">
        <f t="shared" si="3"/>
        <v>27.93</v>
      </c>
      <c r="J327" s="119" t="s">
        <v>989</v>
      </c>
      <c r="K327" s="130" t="s">
        <v>226</v>
      </c>
      <c r="L327" s="131"/>
      <c r="M327" s="149" t="s">
        <v>312</v>
      </c>
      <c r="N327" s="135" t="s">
        <v>607</v>
      </c>
      <c r="O327" s="152" t="s">
        <v>781</v>
      </c>
    </row>
    <row r="328" spans="1:15" ht="15" customHeight="1">
      <c r="A328" s="70"/>
      <c r="B328" s="97" t="s">
        <v>327</v>
      </c>
      <c r="C328" s="77"/>
      <c r="D328" s="101" t="s">
        <v>196</v>
      </c>
      <c r="E328" s="79"/>
      <c r="F328" s="192">
        <v>4</v>
      </c>
      <c r="G328" s="193"/>
      <c r="H328" s="132">
        <v>0.62</v>
      </c>
      <c r="I328" s="78">
        <f t="shared" si="3"/>
        <v>2.48</v>
      </c>
      <c r="J328" s="119" t="s">
        <v>989</v>
      </c>
      <c r="K328" s="130" t="s">
        <v>226</v>
      </c>
      <c r="L328" s="131"/>
      <c r="M328" s="149" t="s">
        <v>311</v>
      </c>
      <c r="N328" s="135" t="s">
        <v>779</v>
      </c>
      <c r="O328" s="152" t="s">
        <v>783</v>
      </c>
    </row>
    <row r="329" spans="1:15" ht="15" customHeight="1">
      <c r="A329" s="70"/>
      <c r="B329" s="97" t="s">
        <v>327</v>
      </c>
      <c r="C329" s="98"/>
      <c r="D329" s="101" t="s">
        <v>190</v>
      </c>
      <c r="E329" s="79"/>
      <c r="F329" s="192">
        <v>24</v>
      </c>
      <c r="G329" s="193"/>
      <c r="H329" s="132">
        <v>0.66</v>
      </c>
      <c r="I329" s="78">
        <f t="shared" si="3"/>
        <v>15.84</v>
      </c>
      <c r="J329" s="119" t="s">
        <v>989</v>
      </c>
      <c r="K329" s="130" t="s">
        <v>226</v>
      </c>
      <c r="L329" s="131"/>
      <c r="M329" s="149" t="s">
        <v>311</v>
      </c>
      <c r="N329" s="135" t="s">
        <v>779</v>
      </c>
      <c r="O329" s="152" t="s">
        <v>780</v>
      </c>
    </row>
    <row r="330" spans="1:15" ht="15" customHeight="1">
      <c r="A330" s="70"/>
      <c r="B330" s="97" t="s">
        <v>327</v>
      </c>
      <c r="C330" s="77"/>
      <c r="D330" s="101" t="s">
        <v>197</v>
      </c>
      <c r="E330" s="79"/>
      <c r="F330" s="192">
        <v>8</v>
      </c>
      <c r="G330" s="193"/>
      <c r="H330" s="132">
        <v>0.59</v>
      </c>
      <c r="I330" s="78">
        <f t="shared" si="3"/>
        <v>4.72</v>
      </c>
      <c r="J330" s="119" t="s">
        <v>989</v>
      </c>
      <c r="K330" s="130" t="s">
        <v>226</v>
      </c>
      <c r="L330" s="131"/>
      <c r="M330" s="149" t="s">
        <v>311</v>
      </c>
      <c r="N330" s="135" t="s">
        <v>779</v>
      </c>
      <c r="O330" s="152" t="s">
        <v>784</v>
      </c>
    </row>
    <row r="331" spans="1:15" ht="15" customHeight="1">
      <c r="A331" s="70"/>
      <c r="B331" s="97" t="s">
        <v>327</v>
      </c>
      <c r="C331" s="77"/>
      <c r="D331" s="101" t="s">
        <v>198</v>
      </c>
      <c r="E331" s="79"/>
      <c r="F331" s="192">
        <v>2</v>
      </c>
      <c r="G331" s="193"/>
      <c r="H331" s="132">
        <v>10.14</v>
      </c>
      <c r="I331" s="78">
        <f t="shared" si="3"/>
        <v>20.28</v>
      </c>
      <c r="J331" s="119" t="s">
        <v>989</v>
      </c>
      <c r="K331" s="130" t="s">
        <v>226</v>
      </c>
      <c r="L331" s="131"/>
      <c r="M331" s="149" t="s">
        <v>312</v>
      </c>
      <c r="N331" s="135" t="s">
        <v>607</v>
      </c>
      <c r="O331" s="152" t="s">
        <v>781</v>
      </c>
    </row>
    <row r="332" spans="1:15" ht="15" customHeight="1">
      <c r="A332" s="70"/>
      <c r="B332" s="97" t="s">
        <v>327</v>
      </c>
      <c r="C332" s="98"/>
      <c r="D332" s="101" t="s">
        <v>199</v>
      </c>
      <c r="E332" s="79"/>
      <c r="F332" s="192">
        <v>4</v>
      </c>
      <c r="G332" s="193"/>
      <c r="H332" s="132">
        <v>1.29</v>
      </c>
      <c r="I332" s="78">
        <f t="shared" si="3"/>
        <v>5.16</v>
      </c>
      <c r="J332" s="119" t="s">
        <v>989</v>
      </c>
      <c r="K332" s="130" t="s">
        <v>226</v>
      </c>
      <c r="L332" s="131"/>
      <c r="M332" s="149" t="s">
        <v>311</v>
      </c>
      <c r="N332" s="135" t="s">
        <v>779</v>
      </c>
      <c r="O332" s="152" t="s">
        <v>783</v>
      </c>
    </row>
    <row r="333" spans="1:15" ht="15" customHeight="1">
      <c r="A333" s="70"/>
      <c r="B333" s="97" t="s">
        <v>327</v>
      </c>
      <c r="C333" s="77"/>
      <c r="D333" s="101" t="s">
        <v>200</v>
      </c>
      <c r="E333" s="79"/>
      <c r="F333" s="192">
        <v>2</v>
      </c>
      <c r="G333" s="193"/>
      <c r="H333" s="132">
        <v>201.31</v>
      </c>
      <c r="I333" s="78">
        <f t="shared" si="3"/>
        <v>402.62</v>
      </c>
      <c r="J333" s="119" t="s">
        <v>989</v>
      </c>
      <c r="K333" s="130" t="s">
        <v>229</v>
      </c>
      <c r="L333" s="131"/>
      <c r="M333" s="149" t="s">
        <v>313</v>
      </c>
      <c r="N333" s="135" t="s">
        <v>785</v>
      </c>
      <c r="O333" s="152" t="s">
        <v>786</v>
      </c>
    </row>
    <row r="334" spans="1:15" ht="15" customHeight="1">
      <c r="A334" s="70"/>
      <c r="B334" s="97" t="s">
        <v>327</v>
      </c>
      <c r="C334" s="77"/>
      <c r="D334" s="101" t="s">
        <v>201</v>
      </c>
      <c r="E334" s="79"/>
      <c r="F334" s="192">
        <v>2</v>
      </c>
      <c r="G334" s="193"/>
      <c r="H334" s="132">
        <v>202.87</v>
      </c>
      <c r="I334" s="78">
        <f t="shared" si="3"/>
        <v>405.74</v>
      </c>
      <c r="J334" s="119" t="s">
        <v>989</v>
      </c>
      <c r="K334" s="130" t="s">
        <v>229</v>
      </c>
      <c r="L334" s="131"/>
      <c r="M334" s="149" t="s">
        <v>314</v>
      </c>
      <c r="N334" s="135" t="s">
        <v>615</v>
      </c>
      <c r="O334" s="152" t="s">
        <v>787</v>
      </c>
    </row>
    <row r="335" spans="1:15" ht="15" customHeight="1">
      <c r="A335" s="70"/>
      <c r="B335" s="97" t="s">
        <v>327</v>
      </c>
      <c r="C335" s="98"/>
      <c r="D335" s="101" t="s">
        <v>202</v>
      </c>
      <c r="E335" s="79"/>
      <c r="F335" s="192">
        <v>1</v>
      </c>
      <c r="G335" s="193"/>
      <c r="H335" s="132">
        <v>113.92</v>
      </c>
      <c r="I335" s="78">
        <f t="shared" si="3"/>
        <v>113.92</v>
      </c>
      <c r="J335" s="119" t="s">
        <v>989</v>
      </c>
      <c r="K335" s="130" t="s">
        <v>229</v>
      </c>
      <c r="L335" s="131"/>
      <c r="M335" s="149" t="s">
        <v>313</v>
      </c>
      <c r="N335" s="135" t="s">
        <v>785</v>
      </c>
      <c r="O335" s="152" t="s">
        <v>788</v>
      </c>
    </row>
    <row r="336" spans="1:15" ht="15" customHeight="1">
      <c r="A336" s="70"/>
      <c r="B336" s="97" t="s">
        <v>327</v>
      </c>
      <c r="C336" s="77"/>
      <c r="D336" s="101" t="s">
        <v>203</v>
      </c>
      <c r="E336" s="79"/>
      <c r="F336" s="192">
        <v>1</v>
      </c>
      <c r="G336" s="193"/>
      <c r="H336" s="132">
        <v>197.41</v>
      </c>
      <c r="I336" s="78">
        <f t="shared" si="3"/>
        <v>197.41</v>
      </c>
      <c r="J336" s="119" t="s">
        <v>989</v>
      </c>
      <c r="K336" s="130" t="s">
        <v>229</v>
      </c>
      <c r="L336" s="131"/>
      <c r="M336" s="149" t="s">
        <v>314</v>
      </c>
      <c r="N336" s="135" t="s">
        <v>615</v>
      </c>
      <c r="O336" s="152" t="s">
        <v>789</v>
      </c>
    </row>
    <row r="337" spans="1:15" ht="15" customHeight="1">
      <c r="A337" s="70"/>
      <c r="B337" s="97" t="s">
        <v>327</v>
      </c>
      <c r="C337" s="77"/>
      <c r="D337" s="101" t="s">
        <v>204</v>
      </c>
      <c r="E337" s="79"/>
      <c r="F337" s="192">
        <v>3</v>
      </c>
      <c r="G337" s="193"/>
      <c r="H337" s="132">
        <v>2.73</v>
      </c>
      <c r="I337" s="78">
        <f t="shared" si="3"/>
        <v>8.19</v>
      </c>
      <c r="J337" s="119" t="s">
        <v>989</v>
      </c>
      <c r="K337" s="130" t="s">
        <v>229</v>
      </c>
      <c r="L337" s="131"/>
      <c r="M337" s="149" t="s">
        <v>249</v>
      </c>
      <c r="N337" s="135" t="s">
        <v>630</v>
      </c>
      <c r="O337" s="152" t="s">
        <v>790</v>
      </c>
    </row>
    <row r="338" spans="1:15" ht="15" customHeight="1">
      <c r="A338" s="70"/>
      <c r="B338" s="97" t="s">
        <v>327</v>
      </c>
      <c r="C338" s="98"/>
      <c r="D338" s="101" t="s">
        <v>206</v>
      </c>
      <c r="E338" s="79"/>
      <c r="F338" s="192">
        <v>4</v>
      </c>
      <c r="G338" s="193"/>
      <c r="H338" s="132">
        <v>25.13</v>
      </c>
      <c r="I338" s="78">
        <f t="shared" si="3"/>
        <v>100.52</v>
      </c>
      <c r="J338" s="119" t="s">
        <v>989</v>
      </c>
      <c r="K338" s="130" t="s">
        <v>226</v>
      </c>
      <c r="L338" s="131"/>
      <c r="M338" s="149" t="s">
        <v>315</v>
      </c>
      <c r="N338" s="135" t="s">
        <v>792</v>
      </c>
      <c r="O338" s="152" t="s">
        <v>793</v>
      </c>
    </row>
    <row r="339" spans="1:15" ht="15" customHeight="1">
      <c r="A339" s="70"/>
      <c r="B339" s="97" t="s">
        <v>327</v>
      </c>
      <c r="C339" s="77"/>
      <c r="D339" s="101" t="s">
        <v>207</v>
      </c>
      <c r="E339" s="79"/>
      <c r="F339" s="192">
        <v>4</v>
      </c>
      <c r="G339" s="193"/>
      <c r="H339" s="132">
        <v>20.21</v>
      </c>
      <c r="I339" s="78">
        <f t="shared" si="3"/>
        <v>80.84</v>
      </c>
      <c r="J339" s="119" t="s">
        <v>989</v>
      </c>
      <c r="K339" s="130" t="s">
        <v>226</v>
      </c>
      <c r="L339" s="131"/>
      <c r="M339" s="149" t="s">
        <v>316</v>
      </c>
      <c r="N339" s="135" t="s">
        <v>753</v>
      </c>
      <c r="O339" s="152" t="s">
        <v>794</v>
      </c>
    </row>
    <row r="340" spans="1:15" ht="15" customHeight="1">
      <c r="A340" s="70"/>
      <c r="B340" s="97" t="s">
        <v>327</v>
      </c>
      <c r="C340" s="77"/>
      <c r="D340" s="101" t="s">
        <v>209</v>
      </c>
      <c r="E340" s="79"/>
      <c r="F340" s="192">
        <v>4</v>
      </c>
      <c r="G340" s="193"/>
      <c r="H340" s="132">
        <v>21.69</v>
      </c>
      <c r="I340" s="78">
        <f t="shared" si="3"/>
        <v>86.76</v>
      </c>
      <c r="J340" s="119" t="s">
        <v>989</v>
      </c>
      <c r="K340" s="130" t="s">
        <v>226</v>
      </c>
      <c r="L340" s="131"/>
      <c r="M340" s="149" t="s">
        <v>316</v>
      </c>
      <c r="N340" s="135" t="s">
        <v>753</v>
      </c>
      <c r="O340" s="152" t="s">
        <v>797</v>
      </c>
    </row>
    <row r="341" spans="1:15" ht="15" customHeight="1">
      <c r="A341" s="70"/>
      <c r="B341" s="97" t="s">
        <v>327</v>
      </c>
      <c r="C341" s="98"/>
      <c r="D341" s="101" t="s">
        <v>210</v>
      </c>
      <c r="E341" s="79"/>
      <c r="F341" s="192">
        <v>1</v>
      </c>
      <c r="G341" s="193"/>
      <c r="H341" s="132">
        <v>702.25</v>
      </c>
      <c r="I341" s="78">
        <f t="shared" si="3"/>
        <v>702.25</v>
      </c>
      <c r="J341" s="119" t="s">
        <v>989</v>
      </c>
      <c r="K341" s="130" t="s">
        <v>226</v>
      </c>
      <c r="L341" s="131"/>
      <c r="M341" s="149" t="s">
        <v>317</v>
      </c>
      <c r="N341" s="135" t="s">
        <v>615</v>
      </c>
      <c r="O341" s="152" t="s">
        <v>798</v>
      </c>
    </row>
    <row r="342" spans="1:15" ht="15" customHeight="1">
      <c r="A342" s="70"/>
      <c r="B342" s="97" t="s">
        <v>327</v>
      </c>
      <c r="C342" s="77"/>
      <c r="D342" s="101" t="s">
        <v>212</v>
      </c>
      <c r="E342" s="79"/>
      <c r="F342" s="192">
        <v>4</v>
      </c>
      <c r="G342" s="193"/>
      <c r="H342" s="132">
        <v>1.79</v>
      </c>
      <c r="I342" s="78">
        <f t="shared" si="3"/>
        <v>7.16</v>
      </c>
      <c r="J342" s="119" t="s">
        <v>989</v>
      </c>
      <c r="K342" s="130" t="s">
        <v>229</v>
      </c>
      <c r="L342" s="131"/>
      <c r="M342" s="149" t="s">
        <v>305</v>
      </c>
      <c r="N342" s="135" t="s">
        <v>765</v>
      </c>
      <c r="O342" s="152" t="s">
        <v>800</v>
      </c>
    </row>
    <row r="343" spans="1:15" ht="15" customHeight="1">
      <c r="A343" s="70"/>
      <c r="B343" s="97" t="s">
        <v>327</v>
      </c>
      <c r="C343" s="77"/>
      <c r="D343" s="101" t="s">
        <v>213</v>
      </c>
      <c r="E343" s="79"/>
      <c r="F343" s="192">
        <v>2</v>
      </c>
      <c r="G343" s="193"/>
      <c r="H343" s="132">
        <v>1.55</v>
      </c>
      <c r="I343" s="78">
        <f t="shared" si="3"/>
        <v>3.1</v>
      </c>
      <c r="J343" s="119" t="s">
        <v>989</v>
      </c>
      <c r="K343" s="130" t="s">
        <v>229</v>
      </c>
      <c r="L343" s="131"/>
      <c r="M343" s="149" t="s">
        <v>318</v>
      </c>
      <c r="N343" s="135" t="s">
        <v>801</v>
      </c>
      <c r="O343" s="152" t="s">
        <v>802</v>
      </c>
    </row>
    <row r="344" spans="1:15" ht="15" customHeight="1">
      <c r="A344" s="70"/>
      <c r="B344" s="97" t="s">
        <v>327</v>
      </c>
      <c r="C344" s="98"/>
      <c r="D344" s="101" t="s">
        <v>214</v>
      </c>
      <c r="E344" s="79"/>
      <c r="F344" s="192">
        <v>1</v>
      </c>
      <c r="G344" s="193"/>
      <c r="H344" s="132">
        <v>53.06</v>
      </c>
      <c r="I344" s="78">
        <f t="shared" si="3"/>
        <v>53.06</v>
      </c>
      <c r="J344" s="119" t="s">
        <v>989</v>
      </c>
      <c r="K344" s="130" t="s">
        <v>229</v>
      </c>
      <c r="L344" s="131"/>
      <c r="M344" s="149" t="s">
        <v>319</v>
      </c>
      <c r="N344" s="135" t="s">
        <v>638</v>
      </c>
      <c r="O344" s="152" t="s">
        <v>803</v>
      </c>
    </row>
    <row r="345" spans="1:15" ht="15" customHeight="1">
      <c r="A345" s="70"/>
      <c r="B345" s="97" t="s">
        <v>327</v>
      </c>
      <c r="C345" s="77"/>
      <c r="D345" s="101" t="s">
        <v>211</v>
      </c>
      <c r="E345" s="79"/>
      <c r="F345" s="192">
        <v>3</v>
      </c>
      <c r="G345" s="193"/>
      <c r="H345" s="132">
        <v>65.31</v>
      </c>
      <c r="I345" s="78">
        <f t="shared" si="3"/>
        <v>195.93</v>
      </c>
      <c r="J345" s="119" t="s">
        <v>989</v>
      </c>
      <c r="K345" s="130" t="s">
        <v>229</v>
      </c>
      <c r="L345" s="131"/>
      <c r="M345" s="149" t="s">
        <v>329</v>
      </c>
      <c r="N345" s="135" t="s">
        <v>638</v>
      </c>
      <c r="O345" s="152" t="s">
        <v>799</v>
      </c>
    </row>
    <row r="346" spans="1:15" ht="15" customHeight="1">
      <c r="A346" s="70"/>
      <c r="B346" s="97" t="s">
        <v>327</v>
      </c>
      <c r="C346" s="77"/>
      <c r="D346" s="101" t="s">
        <v>215</v>
      </c>
      <c r="E346" s="79"/>
      <c r="F346" s="192">
        <v>2</v>
      </c>
      <c r="G346" s="193"/>
      <c r="H346" s="132">
        <v>7.12</v>
      </c>
      <c r="I346" s="78">
        <f t="shared" ref="I346:I388" si="4">F346*H346</f>
        <v>14.24</v>
      </c>
      <c r="J346" s="119" t="s">
        <v>989</v>
      </c>
      <c r="K346" s="130" t="s">
        <v>229</v>
      </c>
      <c r="L346" s="131"/>
      <c r="M346" s="149" t="s">
        <v>320</v>
      </c>
      <c r="N346" s="135" t="s">
        <v>762</v>
      </c>
      <c r="O346" s="152" t="s">
        <v>804</v>
      </c>
    </row>
    <row r="347" spans="1:15" ht="15" customHeight="1">
      <c r="A347" s="70"/>
      <c r="B347" s="97" t="s">
        <v>327</v>
      </c>
      <c r="C347" s="98"/>
      <c r="D347" s="101" t="s">
        <v>216</v>
      </c>
      <c r="E347" s="79"/>
      <c r="F347" s="192">
        <v>2</v>
      </c>
      <c r="G347" s="193"/>
      <c r="H347" s="132">
        <v>7.12</v>
      </c>
      <c r="I347" s="78">
        <f t="shared" si="4"/>
        <v>14.24</v>
      </c>
      <c r="J347" s="119" t="s">
        <v>989</v>
      </c>
      <c r="K347" s="130" t="s">
        <v>229</v>
      </c>
      <c r="L347" s="131"/>
      <c r="M347" s="149" t="s">
        <v>320</v>
      </c>
      <c r="N347" s="135" t="s">
        <v>762</v>
      </c>
      <c r="O347" s="152" t="s">
        <v>805</v>
      </c>
    </row>
    <row r="348" spans="1:15" ht="15" customHeight="1">
      <c r="A348" s="70"/>
      <c r="B348" s="97" t="s">
        <v>327</v>
      </c>
      <c r="C348" s="77"/>
      <c r="D348" s="101" t="s">
        <v>217</v>
      </c>
      <c r="E348" s="79"/>
      <c r="F348" s="192">
        <v>2</v>
      </c>
      <c r="G348" s="193"/>
      <c r="H348" s="132">
        <v>5.94</v>
      </c>
      <c r="I348" s="78">
        <f t="shared" si="4"/>
        <v>11.88</v>
      </c>
      <c r="J348" s="119" t="s">
        <v>989</v>
      </c>
      <c r="K348" s="130" t="s">
        <v>229</v>
      </c>
      <c r="L348" s="131"/>
      <c r="M348" s="149" t="s">
        <v>321</v>
      </c>
      <c r="N348" s="135" t="s">
        <v>607</v>
      </c>
      <c r="O348" s="152" t="s">
        <v>806</v>
      </c>
    </row>
    <row r="349" spans="1:15" ht="15" customHeight="1">
      <c r="A349" s="70"/>
      <c r="B349" s="97" t="s">
        <v>327</v>
      </c>
      <c r="C349" s="77"/>
      <c r="D349" s="101" t="s">
        <v>218</v>
      </c>
      <c r="E349" s="79"/>
      <c r="F349" s="192">
        <v>2</v>
      </c>
      <c r="G349" s="193"/>
      <c r="H349" s="132">
        <v>5.51</v>
      </c>
      <c r="I349" s="78">
        <f t="shared" si="4"/>
        <v>11.02</v>
      </c>
      <c r="J349" s="119" t="s">
        <v>989</v>
      </c>
      <c r="K349" s="130" t="s">
        <v>229</v>
      </c>
      <c r="L349" s="131"/>
      <c r="M349" s="149" t="s">
        <v>321</v>
      </c>
      <c r="N349" s="135" t="s">
        <v>607</v>
      </c>
      <c r="O349" s="152" t="s">
        <v>807</v>
      </c>
    </row>
    <row r="350" spans="1:15" ht="15" customHeight="1">
      <c r="A350" s="70"/>
      <c r="B350" s="97" t="s">
        <v>327</v>
      </c>
      <c r="C350" s="98"/>
      <c r="D350" s="101" t="s">
        <v>219</v>
      </c>
      <c r="E350" s="79"/>
      <c r="F350" s="192">
        <v>8</v>
      </c>
      <c r="G350" s="193"/>
      <c r="H350" s="132">
        <v>6.63</v>
      </c>
      <c r="I350" s="78">
        <f t="shared" si="4"/>
        <v>53.04</v>
      </c>
      <c r="J350" s="119" t="s">
        <v>989</v>
      </c>
      <c r="K350" s="130" t="s">
        <v>229</v>
      </c>
      <c r="L350" s="131"/>
      <c r="M350" s="149" t="s">
        <v>322</v>
      </c>
      <c r="N350" s="135" t="s">
        <v>753</v>
      </c>
      <c r="O350" s="152" t="s">
        <v>808</v>
      </c>
    </row>
    <row r="351" spans="1:15" ht="15" customHeight="1">
      <c r="A351" s="70"/>
      <c r="B351" s="97" t="s">
        <v>327</v>
      </c>
      <c r="C351" s="77"/>
      <c r="D351" s="101" t="s">
        <v>330</v>
      </c>
      <c r="E351" s="79"/>
      <c r="F351" s="192">
        <v>4</v>
      </c>
      <c r="G351" s="193"/>
      <c r="H351" s="132">
        <v>3.6</v>
      </c>
      <c r="I351" s="78">
        <f t="shared" si="4"/>
        <v>14.4</v>
      </c>
      <c r="J351" s="119" t="s">
        <v>989</v>
      </c>
      <c r="K351" s="130" t="s">
        <v>229</v>
      </c>
      <c r="L351" s="131"/>
      <c r="M351" s="149" t="s">
        <v>323</v>
      </c>
      <c r="N351" s="135" t="s">
        <v>809</v>
      </c>
      <c r="O351" s="152" t="s">
        <v>810</v>
      </c>
    </row>
    <row r="352" spans="1:15" ht="15" customHeight="1">
      <c r="A352" s="70"/>
      <c r="B352" s="97" t="s">
        <v>327</v>
      </c>
      <c r="C352" s="77"/>
      <c r="D352" s="101" t="s">
        <v>221</v>
      </c>
      <c r="E352" s="79"/>
      <c r="F352" s="192">
        <v>2</v>
      </c>
      <c r="G352" s="193"/>
      <c r="H352" s="132">
        <v>4.29</v>
      </c>
      <c r="I352" s="78">
        <f t="shared" si="4"/>
        <v>8.58</v>
      </c>
      <c r="J352" s="119" t="s">
        <v>989</v>
      </c>
      <c r="K352" s="130" t="s">
        <v>229</v>
      </c>
      <c r="L352" s="131"/>
      <c r="M352" s="149" t="s">
        <v>306</v>
      </c>
      <c r="N352" s="135" t="s">
        <v>767</v>
      </c>
      <c r="O352" s="152" t="s">
        <v>811</v>
      </c>
    </row>
    <row r="353" spans="1:15" ht="15" customHeight="1">
      <c r="A353" s="70"/>
      <c r="B353" s="97" t="s">
        <v>327</v>
      </c>
      <c r="C353" s="98"/>
      <c r="D353" s="101" t="s">
        <v>222</v>
      </c>
      <c r="E353" s="79"/>
      <c r="F353" s="192">
        <v>2</v>
      </c>
      <c r="G353" s="193"/>
      <c r="H353" s="132">
        <v>10.9</v>
      </c>
      <c r="I353" s="78">
        <f t="shared" si="4"/>
        <v>21.8</v>
      </c>
      <c r="J353" s="119" t="s">
        <v>989</v>
      </c>
      <c r="K353" s="130" t="s">
        <v>229</v>
      </c>
      <c r="L353" s="131"/>
      <c r="M353" s="149" t="s">
        <v>306</v>
      </c>
      <c r="N353" s="135" t="s">
        <v>767</v>
      </c>
      <c r="O353" s="152" t="s">
        <v>812</v>
      </c>
    </row>
    <row r="354" spans="1:15" ht="15" customHeight="1">
      <c r="A354" s="70"/>
      <c r="B354" s="97" t="s">
        <v>327</v>
      </c>
      <c r="C354" s="77"/>
      <c r="D354" s="101" t="s">
        <v>223</v>
      </c>
      <c r="E354" s="79"/>
      <c r="F354" s="192">
        <v>2</v>
      </c>
      <c r="G354" s="193"/>
      <c r="H354" s="132">
        <v>16.899999999999999</v>
      </c>
      <c r="I354" s="78">
        <f t="shared" si="4"/>
        <v>33.799999999999997</v>
      </c>
      <c r="J354" s="119" t="s">
        <v>989</v>
      </c>
      <c r="K354" s="130" t="s">
        <v>229</v>
      </c>
      <c r="L354" s="131"/>
      <c r="M354" s="149" t="s">
        <v>307</v>
      </c>
      <c r="N354" s="135" t="s">
        <v>770</v>
      </c>
      <c r="O354" s="152" t="s">
        <v>813</v>
      </c>
    </row>
    <row r="355" spans="1:15" ht="15" customHeight="1">
      <c r="A355" s="70"/>
      <c r="B355" s="97" t="s">
        <v>327</v>
      </c>
      <c r="C355" s="77"/>
      <c r="D355" s="101" t="s">
        <v>224</v>
      </c>
      <c r="E355" s="79"/>
      <c r="F355" s="192">
        <v>4</v>
      </c>
      <c r="G355" s="193"/>
      <c r="H355" s="132">
        <v>18.66</v>
      </c>
      <c r="I355" s="78">
        <f t="shared" si="4"/>
        <v>74.64</v>
      </c>
      <c r="J355" s="119" t="s">
        <v>989</v>
      </c>
      <c r="K355" s="130" t="s">
        <v>226</v>
      </c>
      <c r="L355" s="131"/>
      <c r="M355" s="149" t="s">
        <v>324</v>
      </c>
      <c r="N355" s="135" t="s">
        <v>607</v>
      </c>
      <c r="O355" s="152" t="s">
        <v>817</v>
      </c>
    </row>
    <row r="356" spans="1:15" s="180" customFormat="1" ht="15" customHeight="1" thickBot="1">
      <c r="A356" s="168"/>
      <c r="B356" s="82" t="s">
        <v>327</v>
      </c>
      <c r="C356" s="159"/>
      <c r="D356" s="170" t="s">
        <v>225</v>
      </c>
      <c r="E356" s="171"/>
      <c r="F356" s="239">
        <v>1</v>
      </c>
      <c r="G356" s="240"/>
      <c r="H356" s="172">
        <v>4.5999999999999996</v>
      </c>
      <c r="I356" s="173">
        <f t="shared" si="4"/>
        <v>4.5999999999999996</v>
      </c>
      <c r="J356" s="174" t="s">
        <v>990</v>
      </c>
      <c r="K356" s="175" t="s">
        <v>229</v>
      </c>
      <c r="L356" s="176"/>
      <c r="M356" s="177" t="s">
        <v>320</v>
      </c>
      <c r="N356" s="178" t="s">
        <v>762</v>
      </c>
      <c r="O356" s="179" t="s">
        <v>814</v>
      </c>
    </row>
    <row r="357" spans="1:15" ht="15" customHeight="1" thickTop="1">
      <c r="A357" s="128"/>
      <c r="B357" s="97" t="s">
        <v>331</v>
      </c>
      <c r="C357" s="98"/>
      <c r="D357" s="99" t="s">
        <v>332</v>
      </c>
      <c r="E357" s="100"/>
      <c r="F357" s="241">
        <v>2</v>
      </c>
      <c r="G357" s="242"/>
      <c r="H357" s="129">
        <v>25.75</v>
      </c>
      <c r="I357" s="80">
        <f t="shared" si="4"/>
        <v>51.5</v>
      </c>
      <c r="J357" s="119" t="s">
        <v>987</v>
      </c>
      <c r="K357" s="145" t="s">
        <v>229</v>
      </c>
      <c r="L357" s="146"/>
      <c r="M357" s="148" t="s">
        <v>373</v>
      </c>
      <c r="N357" s="136" t="s">
        <v>634</v>
      </c>
      <c r="O357" s="153" t="s">
        <v>818</v>
      </c>
    </row>
    <row r="358" spans="1:15" ht="15" customHeight="1">
      <c r="A358" s="70"/>
      <c r="B358" s="97" t="s">
        <v>331</v>
      </c>
      <c r="C358" s="77"/>
      <c r="D358" s="101" t="s">
        <v>333</v>
      </c>
      <c r="E358" s="79"/>
      <c r="F358" s="192">
        <v>1</v>
      </c>
      <c r="G358" s="193"/>
      <c r="H358" s="132">
        <v>17.170000000000002</v>
      </c>
      <c r="I358" s="78">
        <f t="shared" si="4"/>
        <v>17.170000000000002</v>
      </c>
      <c r="J358" s="119" t="s">
        <v>987</v>
      </c>
      <c r="K358" s="130" t="s">
        <v>226</v>
      </c>
      <c r="L358" s="131"/>
      <c r="M358" s="149" t="s">
        <v>374</v>
      </c>
      <c r="N358" s="135" t="s">
        <v>630</v>
      </c>
      <c r="O358" s="152" t="s">
        <v>819</v>
      </c>
    </row>
    <row r="359" spans="1:15" ht="15" customHeight="1">
      <c r="A359" s="70"/>
      <c r="B359" s="97" t="s">
        <v>331</v>
      </c>
      <c r="C359" s="77"/>
      <c r="D359" s="101" t="s">
        <v>60</v>
      </c>
      <c r="E359" s="79"/>
      <c r="F359" s="192">
        <v>1</v>
      </c>
      <c r="G359" s="193"/>
      <c r="H359" s="132">
        <v>42.76</v>
      </c>
      <c r="I359" s="78">
        <f t="shared" si="4"/>
        <v>42.76</v>
      </c>
      <c r="J359" s="119" t="s">
        <v>987</v>
      </c>
      <c r="K359" s="130" t="s">
        <v>226</v>
      </c>
      <c r="L359" s="131"/>
      <c r="M359" s="149" t="s">
        <v>375</v>
      </c>
      <c r="N359" s="135" t="s">
        <v>609</v>
      </c>
      <c r="O359" s="152" t="s">
        <v>611</v>
      </c>
    </row>
    <row r="360" spans="1:15" ht="15" customHeight="1">
      <c r="A360" s="70"/>
      <c r="B360" s="97" t="s">
        <v>331</v>
      </c>
      <c r="C360" s="98"/>
      <c r="D360" s="101" t="s">
        <v>59</v>
      </c>
      <c r="E360" s="79"/>
      <c r="F360" s="192">
        <v>1</v>
      </c>
      <c r="G360" s="193"/>
      <c r="H360" s="132">
        <v>31.06</v>
      </c>
      <c r="I360" s="78">
        <f t="shared" si="4"/>
        <v>31.06</v>
      </c>
      <c r="J360" s="119" t="s">
        <v>987</v>
      </c>
      <c r="K360" s="130" t="s">
        <v>226</v>
      </c>
      <c r="L360" s="131"/>
      <c r="M360" s="149" t="s">
        <v>376</v>
      </c>
      <c r="N360" s="135" t="s">
        <v>609</v>
      </c>
      <c r="O360" s="152" t="s">
        <v>610</v>
      </c>
    </row>
    <row r="361" spans="1:15" ht="15" customHeight="1">
      <c r="A361" s="70"/>
      <c r="B361" s="97" t="s">
        <v>331</v>
      </c>
      <c r="C361" s="77"/>
      <c r="D361" s="101" t="s">
        <v>334</v>
      </c>
      <c r="E361" s="79"/>
      <c r="F361" s="192">
        <v>1</v>
      </c>
      <c r="G361" s="193"/>
      <c r="H361" s="132">
        <v>9.52</v>
      </c>
      <c r="I361" s="78">
        <f t="shared" si="4"/>
        <v>9.52</v>
      </c>
      <c r="J361" s="119" t="s">
        <v>987</v>
      </c>
      <c r="K361" s="130" t="s">
        <v>226</v>
      </c>
      <c r="L361" s="131"/>
      <c r="M361" s="149" t="s">
        <v>377</v>
      </c>
      <c r="N361" s="135" t="s">
        <v>597</v>
      </c>
      <c r="O361" s="152" t="s">
        <v>820</v>
      </c>
    </row>
    <row r="362" spans="1:15" ht="15" customHeight="1">
      <c r="A362" s="70"/>
      <c r="B362" s="97" t="s">
        <v>331</v>
      </c>
      <c r="C362" s="77"/>
      <c r="D362" s="101" t="s">
        <v>335</v>
      </c>
      <c r="E362" s="79"/>
      <c r="F362" s="192">
        <v>1</v>
      </c>
      <c r="G362" s="193"/>
      <c r="H362" s="132">
        <v>11.7</v>
      </c>
      <c r="I362" s="78">
        <f t="shared" si="4"/>
        <v>11.7</v>
      </c>
      <c r="J362" s="119" t="s">
        <v>987</v>
      </c>
      <c r="K362" s="130" t="s">
        <v>230</v>
      </c>
      <c r="L362" s="131"/>
      <c r="M362" s="149" t="s">
        <v>245</v>
      </c>
      <c r="N362" s="135" t="s">
        <v>618</v>
      </c>
      <c r="O362" s="152" t="s">
        <v>821</v>
      </c>
    </row>
    <row r="363" spans="1:15" ht="15" customHeight="1">
      <c r="A363" s="70"/>
      <c r="B363" s="97" t="s">
        <v>331</v>
      </c>
      <c r="C363" s="98"/>
      <c r="D363" s="101" t="s">
        <v>66</v>
      </c>
      <c r="E363" s="79"/>
      <c r="F363" s="192">
        <v>1</v>
      </c>
      <c r="G363" s="193"/>
      <c r="H363" s="132">
        <v>20.29</v>
      </c>
      <c r="I363" s="78">
        <f t="shared" si="4"/>
        <v>20.29</v>
      </c>
      <c r="J363" s="119" t="s">
        <v>987</v>
      </c>
      <c r="K363" s="130" t="s">
        <v>230</v>
      </c>
      <c r="L363" s="131"/>
      <c r="M363" s="149" t="s">
        <v>245</v>
      </c>
      <c r="N363" s="135" t="s">
        <v>618</v>
      </c>
      <c r="O363" s="152" t="s">
        <v>620</v>
      </c>
    </row>
    <row r="364" spans="1:15" ht="15" customHeight="1">
      <c r="A364" s="70"/>
      <c r="B364" s="97" t="s">
        <v>331</v>
      </c>
      <c r="C364" s="77"/>
      <c r="D364" s="101" t="s">
        <v>336</v>
      </c>
      <c r="E364" s="79"/>
      <c r="F364" s="192">
        <v>1</v>
      </c>
      <c r="G364" s="193"/>
      <c r="H364" s="132">
        <v>31.21</v>
      </c>
      <c r="I364" s="78">
        <f t="shared" si="4"/>
        <v>31.21</v>
      </c>
      <c r="J364" s="119" t="s">
        <v>987</v>
      </c>
      <c r="K364" s="130" t="s">
        <v>228</v>
      </c>
      <c r="L364" s="131"/>
      <c r="M364" s="149" t="s">
        <v>378</v>
      </c>
      <c r="N364" s="135" t="s">
        <v>822</v>
      </c>
      <c r="O364" s="152" t="s">
        <v>823</v>
      </c>
    </row>
    <row r="365" spans="1:15" ht="15" customHeight="1">
      <c r="A365" s="70"/>
      <c r="B365" s="97" t="s">
        <v>331</v>
      </c>
      <c r="C365" s="77"/>
      <c r="D365" s="101" t="s">
        <v>61</v>
      </c>
      <c r="E365" s="79"/>
      <c r="F365" s="192">
        <v>4</v>
      </c>
      <c r="G365" s="193"/>
      <c r="H365" s="132">
        <v>8.19</v>
      </c>
      <c r="I365" s="78">
        <f t="shared" si="4"/>
        <v>32.76</v>
      </c>
      <c r="J365" s="119" t="s">
        <v>987</v>
      </c>
      <c r="K365" s="130" t="s">
        <v>229</v>
      </c>
      <c r="L365" s="131"/>
      <c r="M365" s="149" t="s">
        <v>241</v>
      </c>
      <c r="N365" s="135" t="s">
        <v>593</v>
      </c>
      <c r="O365" s="152" t="s">
        <v>612</v>
      </c>
    </row>
    <row r="366" spans="1:15" ht="15" customHeight="1">
      <c r="A366" s="70"/>
      <c r="B366" s="97" t="s">
        <v>331</v>
      </c>
      <c r="C366" s="98"/>
      <c r="D366" s="101" t="s">
        <v>62</v>
      </c>
      <c r="E366" s="79"/>
      <c r="F366" s="192">
        <v>4</v>
      </c>
      <c r="G366" s="193"/>
      <c r="H366" s="132">
        <v>8.27</v>
      </c>
      <c r="I366" s="78">
        <f t="shared" si="4"/>
        <v>33.08</v>
      </c>
      <c r="J366" s="119" t="s">
        <v>987</v>
      </c>
      <c r="K366" s="130" t="s">
        <v>229</v>
      </c>
      <c r="L366" s="131"/>
      <c r="M366" s="149" t="s">
        <v>242</v>
      </c>
      <c r="N366" s="135" t="s">
        <v>613</v>
      </c>
      <c r="O366" s="152" t="s">
        <v>614</v>
      </c>
    </row>
    <row r="367" spans="1:15" ht="15" customHeight="1">
      <c r="A367" s="70"/>
      <c r="B367" s="97" t="s">
        <v>331</v>
      </c>
      <c r="C367" s="77"/>
      <c r="D367" s="101" t="s">
        <v>50</v>
      </c>
      <c r="E367" s="79"/>
      <c r="F367" s="192">
        <v>2</v>
      </c>
      <c r="G367" s="193"/>
      <c r="H367" s="132">
        <v>9.83</v>
      </c>
      <c r="I367" s="78">
        <f t="shared" si="4"/>
        <v>19.66</v>
      </c>
      <c r="J367" s="119" t="s">
        <v>987</v>
      </c>
      <c r="K367" s="130" t="s">
        <v>226</v>
      </c>
      <c r="L367" s="131"/>
      <c r="M367" s="149" t="s">
        <v>233</v>
      </c>
      <c r="N367" s="135" t="s">
        <v>593</v>
      </c>
      <c r="O367" s="152" t="s">
        <v>594</v>
      </c>
    </row>
    <row r="368" spans="1:15" ht="15" customHeight="1">
      <c r="A368" s="70"/>
      <c r="B368" s="97" t="s">
        <v>331</v>
      </c>
      <c r="C368" s="77"/>
      <c r="D368" s="101" t="s">
        <v>337</v>
      </c>
      <c r="E368" s="79"/>
      <c r="F368" s="192">
        <v>1</v>
      </c>
      <c r="G368" s="193"/>
      <c r="H368" s="132">
        <v>304.31</v>
      </c>
      <c r="I368" s="78">
        <f t="shared" si="4"/>
        <v>304.31</v>
      </c>
      <c r="J368" s="119" t="s">
        <v>987</v>
      </c>
      <c r="K368" s="130" t="s">
        <v>229</v>
      </c>
      <c r="L368" s="131"/>
      <c r="M368" s="149" t="s">
        <v>379</v>
      </c>
      <c r="N368" s="135" t="s">
        <v>615</v>
      </c>
      <c r="O368" s="152" t="s">
        <v>824</v>
      </c>
    </row>
    <row r="369" spans="1:15" ht="15" customHeight="1">
      <c r="A369" s="70"/>
      <c r="B369" s="97" t="s">
        <v>331</v>
      </c>
      <c r="C369" s="98"/>
      <c r="D369" s="101" t="s">
        <v>338</v>
      </c>
      <c r="E369" s="79"/>
      <c r="F369" s="192">
        <v>1</v>
      </c>
      <c r="G369" s="193"/>
      <c r="H369" s="132">
        <v>46.82</v>
      </c>
      <c r="I369" s="78">
        <f t="shared" si="4"/>
        <v>46.82</v>
      </c>
      <c r="J369" s="119" t="s">
        <v>987</v>
      </c>
      <c r="K369" s="130" t="s">
        <v>372</v>
      </c>
      <c r="L369" s="131"/>
      <c r="M369" s="149" t="s">
        <v>380</v>
      </c>
      <c r="N369" s="135" t="s">
        <v>636</v>
      </c>
      <c r="O369" s="152" t="s">
        <v>637</v>
      </c>
    </row>
    <row r="370" spans="1:15" ht="15" customHeight="1">
      <c r="A370" s="70"/>
      <c r="B370" s="97" t="s">
        <v>331</v>
      </c>
      <c r="C370" s="77"/>
      <c r="D370" s="101" t="s">
        <v>339</v>
      </c>
      <c r="E370" s="79"/>
      <c r="F370" s="192">
        <v>1</v>
      </c>
      <c r="G370" s="193"/>
      <c r="H370" s="132">
        <v>13.28</v>
      </c>
      <c r="I370" s="78">
        <f t="shared" si="4"/>
        <v>13.28</v>
      </c>
      <c r="J370" s="119" t="s">
        <v>987</v>
      </c>
      <c r="K370" s="130" t="s">
        <v>229</v>
      </c>
      <c r="L370" s="131"/>
      <c r="M370" s="149" t="s">
        <v>381</v>
      </c>
      <c r="N370" s="135" t="s">
        <v>670</v>
      </c>
      <c r="O370" s="152" t="s">
        <v>825</v>
      </c>
    </row>
    <row r="371" spans="1:15" ht="15" customHeight="1">
      <c r="A371" s="70"/>
      <c r="B371" s="97" t="s">
        <v>331</v>
      </c>
      <c r="C371" s="77"/>
      <c r="D371" s="101" t="s">
        <v>340</v>
      </c>
      <c r="E371" s="79"/>
      <c r="F371" s="192">
        <v>1</v>
      </c>
      <c r="G371" s="193"/>
      <c r="H371" s="132">
        <v>26.19</v>
      </c>
      <c r="I371" s="78">
        <f t="shared" si="4"/>
        <v>26.19</v>
      </c>
      <c r="J371" s="119" t="s">
        <v>987</v>
      </c>
      <c r="K371" s="130" t="s">
        <v>229</v>
      </c>
      <c r="L371" s="131"/>
      <c r="M371" s="149" t="s">
        <v>382</v>
      </c>
      <c r="N371" s="135" t="s">
        <v>672</v>
      </c>
      <c r="O371" s="152" t="s">
        <v>826</v>
      </c>
    </row>
    <row r="372" spans="1:15" ht="15" customHeight="1">
      <c r="A372" s="70"/>
      <c r="B372" s="97" t="s">
        <v>331</v>
      </c>
      <c r="C372" s="98"/>
      <c r="D372" s="101" t="s">
        <v>120</v>
      </c>
      <c r="E372" s="79"/>
      <c r="F372" s="192">
        <v>1</v>
      </c>
      <c r="G372" s="193"/>
      <c r="H372" s="132">
        <v>2.4500000000000002</v>
      </c>
      <c r="I372" s="78">
        <f t="shared" si="4"/>
        <v>2.4500000000000002</v>
      </c>
      <c r="J372" s="119" t="s">
        <v>987</v>
      </c>
      <c r="K372" s="130" t="s">
        <v>229</v>
      </c>
      <c r="L372" s="131"/>
      <c r="M372" s="149" t="s">
        <v>383</v>
      </c>
      <c r="N372" s="135" t="s">
        <v>607</v>
      </c>
      <c r="O372" s="152" t="s">
        <v>691</v>
      </c>
    </row>
    <row r="373" spans="1:15" ht="15" customHeight="1">
      <c r="A373" s="70"/>
      <c r="B373" s="97" t="s">
        <v>331</v>
      </c>
      <c r="C373" s="77"/>
      <c r="D373" s="101" t="s">
        <v>341</v>
      </c>
      <c r="E373" s="79"/>
      <c r="F373" s="192">
        <v>1</v>
      </c>
      <c r="G373" s="193"/>
      <c r="H373" s="132">
        <v>19.940000000000001</v>
      </c>
      <c r="I373" s="78">
        <f t="shared" si="4"/>
        <v>19.940000000000001</v>
      </c>
      <c r="J373" s="119" t="s">
        <v>987</v>
      </c>
      <c r="K373" s="130" t="s">
        <v>229</v>
      </c>
      <c r="L373" s="131"/>
      <c r="M373" s="149" t="s">
        <v>382</v>
      </c>
      <c r="N373" s="135" t="s">
        <v>672</v>
      </c>
      <c r="O373" s="152" t="s">
        <v>827</v>
      </c>
    </row>
    <row r="374" spans="1:15" ht="15" customHeight="1">
      <c r="A374" s="70"/>
      <c r="B374" s="97" t="s">
        <v>331</v>
      </c>
      <c r="C374" s="77"/>
      <c r="D374" s="101" t="s">
        <v>116</v>
      </c>
      <c r="E374" s="79"/>
      <c r="F374" s="192">
        <v>1</v>
      </c>
      <c r="G374" s="193"/>
      <c r="H374" s="132">
        <v>7.79</v>
      </c>
      <c r="I374" s="78">
        <f t="shared" si="4"/>
        <v>7.79</v>
      </c>
      <c r="J374" s="119" t="s">
        <v>987</v>
      </c>
      <c r="K374" s="130" t="s">
        <v>229</v>
      </c>
      <c r="L374" s="131"/>
      <c r="M374" s="149" t="s">
        <v>267</v>
      </c>
      <c r="N374" s="135" t="s">
        <v>638</v>
      </c>
      <c r="O374" s="152" t="s">
        <v>687</v>
      </c>
    </row>
    <row r="375" spans="1:15" ht="15" customHeight="1">
      <c r="A375" s="70"/>
      <c r="B375" s="97" t="s">
        <v>331</v>
      </c>
      <c r="C375" s="98"/>
      <c r="D375" s="101" t="s">
        <v>107</v>
      </c>
      <c r="E375" s="79"/>
      <c r="F375" s="192">
        <v>3</v>
      </c>
      <c r="G375" s="193"/>
      <c r="H375" s="132">
        <v>0.23</v>
      </c>
      <c r="I375" s="78">
        <f t="shared" si="4"/>
        <v>0.69000000000000006</v>
      </c>
      <c r="J375" s="119" t="s">
        <v>987</v>
      </c>
      <c r="K375" s="130" t="s">
        <v>229</v>
      </c>
      <c r="L375" s="131"/>
      <c r="M375" s="149" t="s">
        <v>266</v>
      </c>
      <c r="N375" s="135" t="s">
        <v>607</v>
      </c>
      <c r="O375" s="152" t="s">
        <v>678</v>
      </c>
    </row>
    <row r="376" spans="1:15" ht="15" customHeight="1">
      <c r="A376" s="70"/>
      <c r="B376" s="97" t="s">
        <v>331</v>
      </c>
      <c r="C376" s="77"/>
      <c r="D376" s="101" t="s">
        <v>342</v>
      </c>
      <c r="E376" s="79"/>
      <c r="F376" s="192">
        <v>2</v>
      </c>
      <c r="G376" s="193"/>
      <c r="H376" s="132">
        <v>2.41</v>
      </c>
      <c r="I376" s="78">
        <f t="shared" si="4"/>
        <v>4.82</v>
      </c>
      <c r="J376" s="119" t="s">
        <v>987</v>
      </c>
      <c r="K376" s="130" t="s">
        <v>229</v>
      </c>
      <c r="L376" s="131"/>
      <c r="M376" s="149" t="s">
        <v>384</v>
      </c>
      <c r="N376" s="135" t="s">
        <v>607</v>
      </c>
      <c r="O376" s="152" t="s">
        <v>828</v>
      </c>
    </row>
    <row r="377" spans="1:15" ht="15" customHeight="1">
      <c r="A377" s="70"/>
      <c r="B377" s="97" t="s">
        <v>331</v>
      </c>
      <c r="C377" s="77"/>
      <c r="D377" s="101" t="s">
        <v>343</v>
      </c>
      <c r="E377" s="79"/>
      <c r="F377" s="192">
        <v>1</v>
      </c>
      <c r="G377" s="193"/>
      <c r="H377" s="132">
        <v>2.36</v>
      </c>
      <c r="I377" s="78">
        <f t="shared" si="4"/>
        <v>2.36</v>
      </c>
      <c r="J377" s="119" t="s">
        <v>987</v>
      </c>
      <c r="K377" s="130" t="s">
        <v>229</v>
      </c>
      <c r="L377" s="131"/>
      <c r="M377" s="149" t="s">
        <v>262</v>
      </c>
      <c r="N377" s="135" t="s">
        <v>660</v>
      </c>
      <c r="O377" s="152" t="s">
        <v>829</v>
      </c>
    </row>
    <row r="378" spans="1:15" ht="15" customHeight="1">
      <c r="A378" s="70"/>
      <c r="B378" s="97" t="s">
        <v>331</v>
      </c>
      <c r="C378" s="98"/>
      <c r="D378" s="101" t="s">
        <v>344</v>
      </c>
      <c r="E378" s="79"/>
      <c r="F378" s="192">
        <v>1</v>
      </c>
      <c r="G378" s="193"/>
      <c r="H378" s="132">
        <v>1.72</v>
      </c>
      <c r="I378" s="78">
        <f t="shared" si="4"/>
        <v>1.72</v>
      </c>
      <c r="J378" s="119" t="s">
        <v>987</v>
      </c>
      <c r="K378" s="130" t="s">
        <v>229</v>
      </c>
      <c r="L378" s="131"/>
      <c r="M378" s="149" t="s">
        <v>262</v>
      </c>
      <c r="N378" s="135" t="s">
        <v>660</v>
      </c>
      <c r="O378" s="152" t="s">
        <v>830</v>
      </c>
    </row>
    <row r="379" spans="1:15" ht="15" customHeight="1">
      <c r="A379" s="70"/>
      <c r="B379" s="97" t="s">
        <v>331</v>
      </c>
      <c r="C379" s="77"/>
      <c r="D379" s="101" t="s">
        <v>345</v>
      </c>
      <c r="E379" s="79"/>
      <c r="F379" s="192">
        <v>2</v>
      </c>
      <c r="G379" s="193"/>
      <c r="H379" s="132">
        <v>1.54</v>
      </c>
      <c r="I379" s="78">
        <f t="shared" si="4"/>
        <v>3.08</v>
      </c>
      <c r="J379" s="119" t="s">
        <v>987</v>
      </c>
      <c r="K379" s="130" t="s">
        <v>229</v>
      </c>
      <c r="L379" s="131"/>
      <c r="M379" s="149" t="s">
        <v>262</v>
      </c>
      <c r="N379" s="135" t="s">
        <v>660</v>
      </c>
      <c r="O379" s="152" t="s">
        <v>831</v>
      </c>
    </row>
    <row r="380" spans="1:15" ht="15" customHeight="1">
      <c r="A380" s="70"/>
      <c r="B380" s="97" t="s">
        <v>331</v>
      </c>
      <c r="C380" s="77"/>
      <c r="D380" s="101" t="s">
        <v>122</v>
      </c>
      <c r="E380" s="79"/>
      <c r="F380" s="192">
        <v>1</v>
      </c>
      <c r="G380" s="193"/>
      <c r="H380" s="132">
        <v>1.23</v>
      </c>
      <c r="I380" s="78">
        <f t="shared" si="4"/>
        <v>1.23</v>
      </c>
      <c r="J380" s="119" t="s">
        <v>987</v>
      </c>
      <c r="K380" s="130" t="s">
        <v>229</v>
      </c>
      <c r="L380" s="131"/>
      <c r="M380" s="149" t="s">
        <v>262</v>
      </c>
      <c r="N380" s="135" t="s">
        <v>660</v>
      </c>
      <c r="O380" s="152" t="s">
        <v>693</v>
      </c>
    </row>
    <row r="381" spans="1:15" ht="15" customHeight="1">
      <c r="A381" s="70"/>
      <c r="B381" s="97" t="s">
        <v>331</v>
      </c>
      <c r="C381" s="98"/>
      <c r="D381" s="101" t="s">
        <v>124</v>
      </c>
      <c r="E381" s="79"/>
      <c r="F381" s="192">
        <v>1</v>
      </c>
      <c r="G381" s="193"/>
      <c r="H381" s="132">
        <v>28</v>
      </c>
      <c r="I381" s="78">
        <f t="shared" si="4"/>
        <v>28</v>
      </c>
      <c r="J381" s="119" t="s">
        <v>987</v>
      </c>
      <c r="K381" s="130" t="s">
        <v>229</v>
      </c>
      <c r="L381" s="131"/>
      <c r="M381" s="149" t="s">
        <v>385</v>
      </c>
      <c r="N381" s="135" t="s">
        <v>651</v>
      </c>
      <c r="O381" s="152" t="s">
        <v>695</v>
      </c>
    </row>
    <row r="382" spans="1:15" ht="15" customHeight="1">
      <c r="A382" s="70"/>
      <c r="B382" s="97" t="s">
        <v>331</v>
      </c>
      <c r="C382" s="77"/>
      <c r="D382" s="101" t="s">
        <v>112</v>
      </c>
      <c r="E382" s="79"/>
      <c r="F382" s="192">
        <v>2</v>
      </c>
      <c r="G382" s="193"/>
      <c r="H382" s="132">
        <v>20.65</v>
      </c>
      <c r="I382" s="78">
        <f t="shared" si="4"/>
        <v>41.3</v>
      </c>
      <c r="J382" s="119" t="s">
        <v>987</v>
      </c>
      <c r="K382" s="130" t="s">
        <v>229</v>
      </c>
      <c r="L382" s="131"/>
      <c r="M382" s="149" t="s">
        <v>385</v>
      </c>
      <c r="N382" s="135" t="s">
        <v>651</v>
      </c>
      <c r="O382" s="152" t="s">
        <v>683</v>
      </c>
    </row>
    <row r="383" spans="1:15" ht="15" customHeight="1">
      <c r="A383" s="70"/>
      <c r="B383" s="97" t="s">
        <v>331</v>
      </c>
      <c r="C383" s="77"/>
      <c r="D383" s="101" t="s">
        <v>346</v>
      </c>
      <c r="E383" s="79"/>
      <c r="F383" s="192">
        <v>1</v>
      </c>
      <c r="G383" s="193"/>
      <c r="H383" s="132">
        <v>39.56</v>
      </c>
      <c r="I383" s="78">
        <f t="shared" si="4"/>
        <v>39.56</v>
      </c>
      <c r="J383" s="119" t="s">
        <v>987</v>
      </c>
      <c r="K383" s="130" t="s">
        <v>229</v>
      </c>
      <c r="L383" s="131"/>
      <c r="M383" s="149" t="s">
        <v>261</v>
      </c>
      <c r="N383" s="135" t="s">
        <v>653</v>
      </c>
      <c r="O383" s="152" t="s">
        <v>696</v>
      </c>
    </row>
    <row r="384" spans="1:15" ht="15" customHeight="1">
      <c r="A384" s="70"/>
      <c r="B384" s="97" t="s">
        <v>331</v>
      </c>
      <c r="C384" s="98"/>
      <c r="D384" s="101" t="s">
        <v>86</v>
      </c>
      <c r="E384" s="79"/>
      <c r="F384" s="192">
        <v>4</v>
      </c>
      <c r="G384" s="193"/>
      <c r="H384" s="132">
        <v>3.93</v>
      </c>
      <c r="I384" s="78">
        <f t="shared" si="4"/>
        <v>15.72</v>
      </c>
      <c r="J384" s="119" t="s">
        <v>987</v>
      </c>
      <c r="K384" s="130" t="s">
        <v>229</v>
      </c>
      <c r="L384" s="131"/>
      <c r="M384" s="149" t="s">
        <v>260</v>
      </c>
      <c r="N384" s="135" t="s">
        <v>651</v>
      </c>
      <c r="O384" s="152" t="s">
        <v>652</v>
      </c>
    </row>
    <row r="385" spans="1:15" ht="15" customHeight="1">
      <c r="A385" s="70"/>
      <c r="B385" s="97" t="s">
        <v>331</v>
      </c>
      <c r="C385" s="77"/>
      <c r="D385" s="101" t="s">
        <v>347</v>
      </c>
      <c r="E385" s="79"/>
      <c r="F385" s="192">
        <v>1</v>
      </c>
      <c r="G385" s="193"/>
      <c r="H385" s="132">
        <v>161.44</v>
      </c>
      <c r="I385" s="78">
        <f t="shared" si="4"/>
        <v>161.44</v>
      </c>
      <c r="J385" s="119" t="s">
        <v>987</v>
      </c>
      <c r="K385" s="130" t="s">
        <v>229</v>
      </c>
      <c r="L385" s="131"/>
      <c r="M385" s="149" t="s">
        <v>261</v>
      </c>
      <c r="N385" s="135" t="s">
        <v>653</v>
      </c>
      <c r="O385" s="152" t="s">
        <v>696</v>
      </c>
    </row>
    <row r="386" spans="1:15" ht="15" customHeight="1">
      <c r="A386" s="70"/>
      <c r="B386" s="97" t="s">
        <v>331</v>
      </c>
      <c r="C386" s="77"/>
      <c r="D386" s="101" t="s">
        <v>348</v>
      </c>
      <c r="E386" s="79"/>
      <c r="F386" s="192">
        <v>1</v>
      </c>
      <c r="G386" s="193"/>
      <c r="H386" s="132">
        <v>150.29</v>
      </c>
      <c r="I386" s="78">
        <f t="shared" si="4"/>
        <v>150.29</v>
      </c>
      <c r="J386" s="119" t="s">
        <v>987</v>
      </c>
      <c r="K386" s="130" t="s">
        <v>229</v>
      </c>
      <c r="L386" s="131"/>
      <c r="M386" s="149" t="s">
        <v>261</v>
      </c>
      <c r="N386" s="135" t="s">
        <v>653</v>
      </c>
      <c r="O386" s="152" t="s">
        <v>832</v>
      </c>
    </row>
    <row r="387" spans="1:15" ht="15" customHeight="1">
      <c r="A387" s="70"/>
      <c r="B387" s="97" t="s">
        <v>331</v>
      </c>
      <c r="C387" s="98"/>
      <c r="D387" s="101" t="s">
        <v>91</v>
      </c>
      <c r="E387" s="79"/>
      <c r="F387" s="192">
        <v>2</v>
      </c>
      <c r="G387" s="193"/>
      <c r="H387" s="132">
        <v>6.04</v>
      </c>
      <c r="I387" s="78">
        <f t="shared" si="4"/>
        <v>12.08</v>
      </c>
      <c r="J387" s="119" t="s">
        <v>987</v>
      </c>
      <c r="K387" s="130" t="s">
        <v>229</v>
      </c>
      <c r="L387" s="131"/>
      <c r="M387" s="149" t="s">
        <v>260</v>
      </c>
      <c r="N387" s="135" t="s">
        <v>651</v>
      </c>
      <c r="O387" s="152" t="s">
        <v>658</v>
      </c>
    </row>
    <row r="388" spans="1:15" ht="15" customHeight="1">
      <c r="A388" s="70"/>
      <c r="B388" s="97" t="s">
        <v>331</v>
      </c>
      <c r="C388" s="77"/>
      <c r="D388" s="101" t="s">
        <v>349</v>
      </c>
      <c r="E388" s="79"/>
      <c r="F388" s="192">
        <v>6</v>
      </c>
      <c r="G388" s="193"/>
      <c r="H388" s="132">
        <v>15.59</v>
      </c>
      <c r="I388" s="78">
        <f t="shared" si="4"/>
        <v>93.539999999999992</v>
      </c>
      <c r="J388" s="119" t="s">
        <v>987</v>
      </c>
      <c r="K388" s="130" t="s">
        <v>229</v>
      </c>
      <c r="L388" s="131"/>
      <c r="M388" s="149" t="s">
        <v>386</v>
      </c>
      <c r="N388" s="135" t="s">
        <v>833</v>
      </c>
      <c r="O388" s="152" t="s">
        <v>834</v>
      </c>
    </row>
    <row r="389" spans="1:15" ht="15" customHeight="1">
      <c r="A389" s="70"/>
      <c r="B389" s="97" t="s">
        <v>331</v>
      </c>
      <c r="C389" s="98"/>
      <c r="D389" s="101" t="s">
        <v>351</v>
      </c>
      <c r="E389" s="79"/>
      <c r="F389" s="192">
        <v>3</v>
      </c>
      <c r="G389" s="193"/>
      <c r="H389" s="132">
        <v>19.350000000000001</v>
      </c>
      <c r="I389" s="78">
        <f t="shared" ref="I389:I401" si="5">F389*H389</f>
        <v>58.050000000000004</v>
      </c>
      <c r="J389" s="119" t="s">
        <v>987</v>
      </c>
      <c r="K389" s="130" t="s">
        <v>229</v>
      </c>
      <c r="L389" s="131"/>
      <c r="M389" s="149" t="s">
        <v>249</v>
      </c>
      <c r="N389" s="135" t="s">
        <v>630</v>
      </c>
      <c r="O389" s="152" t="s">
        <v>836</v>
      </c>
    </row>
    <row r="390" spans="1:15" ht="15" customHeight="1">
      <c r="A390" s="70"/>
      <c r="B390" s="97" t="s">
        <v>331</v>
      </c>
      <c r="C390" s="77"/>
      <c r="D390" s="101" t="s">
        <v>160</v>
      </c>
      <c r="E390" s="79"/>
      <c r="F390" s="192">
        <v>2</v>
      </c>
      <c r="G390" s="193"/>
      <c r="H390" s="132">
        <v>20.76</v>
      </c>
      <c r="I390" s="78">
        <f t="shared" si="5"/>
        <v>41.52</v>
      </c>
      <c r="J390" s="119" t="s">
        <v>987</v>
      </c>
      <c r="K390" s="130" t="s">
        <v>226</v>
      </c>
      <c r="L390" s="131"/>
      <c r="M390" s="149" t="s">
        <v>391</v>
      </c>
      <c r="N390" s="135" t="s">
        <v>632</v>
      </c>
      <c r="O390" s="152" t="s">
        <v>740</v>
      </c>
    </row>
    <row r="391" spans="1:15" ht="15" customHeight="1">
      <c r="A391" s="70"/>
      <c r="B391" s="97" t="s">
        <v>331</v>
      </c>
      <c r="C391" s="77"/>
      <c r="D391" s="101" t="s">
        <v>161</v>
      </c>
      <c r="E391" s="79"/>
      <c r="F391" s="192">
        <v>2</v>
      </c>
      <c r="G391" s="193"/>
      <c r="H391" s="132">
        <v>17.79</v>
      </c>
      <c r="I391" s="78">
        <f t="shared" si="5"/>
        <v>35.58</v>
      </c>
      <c r="J391" s="119" t="s">
        <v>987</v>
      </c>
      <c r="K391" s="130" t="s">
        <v>226</v>
      </c>
      <c r="L391" s="131"/>
      <c r="M391" s="149" t="s">
        <v>392</v>
      </c>
      <c r="N391" s="135" t="s">
        <v>632</v>
      </c>
      <c r="O391" s="152" t="s">
        <v>741</v>
      </c>
    </row>
    <row r="392" spans="1:15" ht="15" customHeight="1">
      <c r="A392" s="70"/>
      <c r="B392" s="97" t="s">
        <v>331</v>
      </c>
      <c r="C392" s="98"/>
      <c r="D392" s="101" t="s">
        <v>352</v>
      </c>
      <c r="E392" s="79"/>
      <c r="F392" s="192">
        <v>1</v>
      </c>
      <c r="G392" s="193"/>
      <c r="H392" s="132">
        <v>17.399999999999999</v>
      </c>
      <c r="I392" s="78">
        <f t="shared" si="5"/>
        <v>17.399999999999999</v>
      </c>
      <c r="J392" s="119" t="s">
        <v>987</v>
      </c>
      <c r="K392" s="130" t="s">
        <v>226</v>
      </c>
      <c r="L392" s="131"/>
      <c r="M392" s="149" t="s">
        <v>391</v>
      </c>
      <c r="N392" s="135" t="s">
        <v>632</v>
      </c>
      <c r="O392" s="152" t="s">
        <v>837</v>
      </c>
    </row>
    <row r="393" spans="1:15" ht="15" customHeight="1">
      <c r="A393" s="70"/>
      <c r="B393" s="97" t="s">
        <v>331</v>
      </c>
      <c r="C393" s="77"/>
      <c r="D393" s="101" t="s">
        <v>353</v>
      </c>
      <c r="E393" s="79"/>
      <c r="F393" s="192">
        <v>1</v>
      </c>
      <c r="G393" s="193"/>
      <c r="H393" s="132">
        <v>15.68</v>
      </c>
      <c r="I393" s="78">
        <f t="shared" si="5"/>
        <v>15.68</v>
      </c>
      <c r="J393" s="119" t="s">
        <v>987</v>
      </c>
      <c r="K393" s="130" t="s">
        <v>226</v>
      </c>
      <c r="L393" s="131"/>
      <c r="M393" s="149" t="s">
        <v>392</v>
      </c>
      <c r="N393" s="135" t="s">
        <v>632</v>
      </c>
      <c r="O393" s="152" t="s">
        <v>838</v>
      </c>
    </row>
    <row r="394" spans="1:15" ht="15" customHeight="1">
      <c r="A394" s="70"/>
      <c r="B394" s="97" t="s">
        <v>331</v>
      </c>
      <c r="C394" s="77"/>
      <c r="D394" s="101" t="s">
        <v>354</v>
      </c>
      <c r="E394" s="79"/>
      <c r="F394" s="192">
        <v>1</v>
      </c>
      <c r="G394" s="193"/>
      <c r="H394" s="132">
        <v>11.86</v>
      </c>
      <c r="I394" s="78">
        <f t="shared" si="5"/>
        <v>11.86</v>
      </c>
      <c r="J394" s="119" t="s">
        <v>987</v>
      </c>
      <c r="K394" s="130" t="s">
        <v>226</v>
      </c>
      <c r="L394" s="131"/>
      <c r="M394" s="149" t="s">
        <v>393</v>
      </c>
      <c r="N394" s="135" t="s">
        <v>632</v>
      </c>
      <c r="O394" s="152" t="s">
        <v>839</v>
      </c>
    </row>
    <row r="395" spans="1:15" ht="15" customHeight="1">
      <c r="A395" s="70"/>
      <c r="B395" s="97" t="s">
        <v>331</v>
      </c>
      <c r="C395" s="98"/>
      <c r="D395" s="101" t="s">
        <v>156</v>
      </c>
      <c r="E395" s="79"/>
      <c r="F395" s="192">
        <v>3</v>
      </c>
      <c r="G395" s="193"/>
      <c r="H395" s="132">
        <v>26.53</v>
      </c>
      <c r="I395" s="78">
        <f t="shared" si="5"/>
        <v>79.59</v>
      </c>
      <c r="J395" s="119" t="s">
        <v>987</v>
      </c>
      <c r="K395" s="130" t="s">
        <v>229</v>
      </c>
      <c r="L395" s="131"/>
      <c r="M395" s="149" t="s">
        <v>374</v>
      </c>
      <c r="N395" s="135" t="s">
        <v>630</v>
      </c>
      <c r="O395" s="152" t="s">
        <v>736</v>
      </c>
    </row>
    <row r="396" spans="1:15" ht="15" customHeight="1">
      <c r="A396" s="70"/>
      <c r="B396" s="97" t="s">
        <v>331</v>
      </c>
      <c r="C396" s="77"/>
      <c r="D396" s="101" t="s">
        <v>208</v>
      </c>
      <c r="E396" s="79"/>
      <c r="F396" s="192">
        <v>2</v>
      </c>
      <c r="G396" s="193"/>
      <c r="H396" s="132">
        <v>26.84</v>
      </c>
      <c r="I396" s="78">
        <f t="shared" si="5"/>
        <v>53.68</v>
      </c>
      <c r="J396" s="119" t="s">
        <v>987</v>
      </c>
      <c r="K396" s="130" t="s">
        <v>226</v>
      </c>
      <c r="L396" s="131"/>
      <c r="M396" s="149" t="s">
        <v>315</v>
      </c>
      <c r="N396" s="135" t="s">
        <v>795</v>
      </c>
      <c r="O396" s="152" t="s">
        <v>796</v>
      </c>
    </row>
    <row r="397" spans="1:15" ht="15" customHeight="1">
      <c r="A397" s="70"/>
      <c r="B397" s="97" t="s">
        <v>331</v>
      </c>
      <c r="C397" s="77"/>
      <c r="D397" s="101" t="s">
        <v>355</v>
      </c>
      <c r="E397" s="79"/>
      <c r="F397" s="192">
        <v>1</v>
      </c>
      <c r="G397" s="193"/>
      <c r="H397" s="132">
        <v>25.05</v>
      </c>
      <c r="I397" s="78">
        <f t="shared" si="5"/>
        <v>25.05</v>
      </c>
      <c r="J397" s="119" t="s">
        <v>987</v>
      </c>
      <c r="K397" s="130" t="s">
        <v>226</v>
      </c>
      <c r="L397" s="131"/>
      <c r="M397" s="149" t="s">
        <v>316</v>
      </c>
      <c r="N397" s="135" t="s">
        <v>753</v>
      </c>
      <c r="O397" s="152" t="s">
        <v>840</v>
      </c>
    </row>
    <row r="398" spans="1:15" ht="15" customHeight="1">
      <c r="A398" s="70"/>
      <c r="B398" s="97" t="s">
        <v>331</v>
      </c>
      <c r="C398" s="98"/>
      <c r="D398" s="101" t="s">
        <v>356</v>
      </c>
      <c r="E398" s="79"/>
      <c r="F398" s="192">
        <v>1</v>
      </c>
      <c r="G398" s="193"/>
      <c r="H398" s="132">
        <v>25.05</v>
      </c>
      <c r="I398" s="78">
        <f t="shared" si="5"/>
        <v>25.05</v>
      </c>
      <c r="J398" s="119" t="s">
        <v>987</v>
      </c>
      <c r="K398" s="130" t="s">
        <v>226</v>
      </c>
      <c r="L398" s="131"/>
      <c r="M398" s="149" t="s">
        <v>316</v>
      </c>
      <c r="N398" s="135" t="s">
        <v>753</v>
      </c>
      <c r="O398" s="152" t="s">
        <v>841</v>
      </c>
    </row>
    <row r="399" spans="1:15" ht="15" customHeight="1">
      <c r="A399" s="70"/>
      <c r="B399" s="97" t="s">
        <v>331</v>
      </c>
      <c r="C399" s="77"/>
      <c r="D399" s="101" t="s">
        <v>357</v>
      </c>
      <c r="E399" s="79"/>
      <c r="F399" s="192">
        <v>2</v>
      </c>
      <c r="G399" s="193"/>
      <c r="H399" s="132">
        <v>170.88</v>
      </c>
      <c r="I399" s="78">
        <f t="shared" si="5"/>
        <v>341.76</v>
      </c>
      <c r="J399" s="119" t="s">
        <v>987</v>
      </c>
      <c r="K399" s="130" t="s">
        <v>226</v>
      </c>
      <c r="L399" s="131"/>
      <c r="M399" s="149" t="s">
        <v>394</v>
      </c>
      <c r="N399" s="135" t="s">
        <v>753</v>
      </c>
      <c r="O399" s="152" t="s">
        <v>842</v>
      </c>
    </row>
    <row r="400" spans="1:15" ht="15" customHeight="1">
      <c r="A400" s="70"/>
      <c r="B400" s="97" t="s">
        <v>331</v>
      </c>
      <c r="C400" s="77"/>
      <c r="D400" s="101" t="s">
        <v>154</v>
      </c>
      <c r="E400" s="79"/>
      <c r="F400" s="192">
        <v>2</v>
      </c>
      <c r="G400" s="193"/>
      <c r="H400" s="132">
        <v>27.23</v>
      </c>
      <c r="I400" s="78">
        <f t="shared" si="5"/>
        <v>54.46</v>
      </c>
      <c r="J400" s="119" t="s">
        <v>987</v>
      </c>
      <c r="K400" s="130" t="s">
        <v>226</v>
      </c>
      <c r="L400" s="131"/>
      <c r="M400" s="149" t="s">
        <v>291</v>
      </c>
      <c r="N400" s="135" t="s">
        <v>593</v>
      </c>
      <c r="O400" s="152" t="s">
        <v>734</v>
      </c>
    </row>
    <row r="401" spans="1:15" ht="15" customHeight="1">
      <c r="A401" s="70"/>
      <c r="B401" s="97" t="s">
        <v>331</v>
      </c>
      <c r="C401" s="98"/>
      <c r="D401" s="101" t="s">
        <v>153</v>
      </c>
      <c r="E401" s="79"/>
      <c r="F401" s="192">
        <v>2</v>
      </c>
      <c r="G401" s="193"/>
      <c r="H401" s="132">
        <v>6.79</v>
      </c>
      <c r="I401" s="78">
        <f t="shared" si="5"/>
        <v>13.58</v>
      </c>
      <c r="J401" s="119" t="s">
        <v>987</v>
      </c>
      <c r="K401" s="130" t="s">
        <v>226</v>
      </c>
      <c r="L401" s="131"/>
      <c r="M401" s="149" t="s">
        <v>395</v>
      </c>
      <c r="N401" s="135" t="s">
        <v>732</v>
      </c>
      <c r="O401" s="152" t="s">
        <v>733</v>
      </c>
    </row>
    <row r="402" spans="1:15" ht="15" customHeight="1">
      <c r="A402" s="70"/>
      <c r="B402" s="97" t="s">
        <v>331</v>
      </c>
      <c r="C402" s="77"/>
      <c r="D402" s="101" t="s">
        <v>174</v>
      </c>
      <c r="E402" s="79"/>
      <c r="F402" s="192">
        <v>1</v>
      </c>
      <c r="G402" s="193"/>
      <c r="H402" s="132">
        <v>1779.05</v>
      </c>
      <c r="I402" s="78">
        <f t="shared" ref="I402:I418" si="6">F402*H402</f>
        <v>1779.05</v>
      </c>
      <c r="J402" s="119" t="s">
        <v>987</v>
      </c>
      <c r="K402" s="130" t="s">
        <v>226</v>
      </c>
      <c r="L402" s="131"/>
      <c r="M402" s="149" t="s">
        <v>300</v>
      </c>
      <c r="N402" s="135" t="s">
        <v>756</v>
      </c>
      <c r="O402" s="152" t="s">
        <v>757</v>
      </c>
    </row>
    <row r="403" spans="1:15" ht="15" customHeight="1">
      <c r="A403" s="70"/>
      <c r="B403" s="97" t="s">
        <v>331</v>
      </c>
      <c r="C403" s="98"/>
      <c r="D403" s="101" t="s">
        <v>358</v>
      </c>
      <c r="E403" s="79"/>
      <c r="F403" s="192">
        <v>3</v>
      </c>
      <c r="G403" s="193"/>
      <c r="H403" s="132">
        <v>58.52</v>
      </c>
      <c r="I403" s="78">
        <f t="shared" si="6"/>
        <v>175.56</v>
      </c>
      <c r="J403" s="119" t="s">
        <v>987</v>
      </c>
      <c r="K403" s="130" t="s">
        <v>232</v>
      </c>
      <c r="L403" s="131"/>
      <c r="M403" s="149" t="s">
        <v>308</v>
      </c>
      <c r="N403" s="135" t="s">
        <v>843</v>
      </c>
      <c r="O403" s="152" t="s">
        <v>844</v>
      </c>
    </row>
    <row r="404" spans="1:15" ht="15" customHeight="1">
      <c r="A404" s="70"/>
      <c r="B404" s="97" t="s">
        <v>331</v>
      </c>
      <c r="C404" s="77"/>
      <c r="D404" s="101" t="s">
        <v>359</v>
      </c>
      <c r="E404" s="79"/>
      <c r="F404" s="192">
        <v>3</v>
      </c>
      <c r="G404" s="193"/>
      <c r="H404" s="132">
        <v>64.760000000000005</v>
      </c>
      <c r="I404" s="78">
        <f t="shared" si="6"/>
        <v>194.28000000000003</v>
      </c>
      <c r="J404" s="119" t="s">
        <v>987</v>
      </c>
      <c r="K404" s="130" t="s">
        <v>226</v>
      </c>
      <c r="L404" s="131"/>
      <c r="M404" s="149" t="s">
        <v>396</v>
      </c>
      <c r="N404" s="135" t="s">
        <v>772</v>
      </c>
      <c r="O404" s="152" t="s">
        <v>845</v>
      </c>
    </row>
    <row r="405" spans="1:15" ht="15" customHeight="1">
      <c r="A405" s="70"/>
      <c r="B405" s="97" t="s">
        <v>331</v>
      </c>
      <c r="C405" s="77"/>
      <c r="D405" s="101" t="s">
        <v>360</v>
      </c>
      <c r="E405" s="79"/>
      <c r="F405" s="192">
        <v>1</v>
      </c>
      <c r="G405" s="193"/>
      <c r="H405" s="132">
        <v>27.86</v>
      </c>
      <c r="I405" s="78">
        <f t="shared" si="6"/>
        <v>27.86</v>
      </c>
      <c r="J405" s="119" t="s">
        <v>987</v>
      </c>
      <c r="K405" s="130" t="s">
        <v>226</v>
      </c>
      <c r="L405" s="131"/>
      <c r="M405" s="149" t="s">
        <v>312</v>
      </c>
      <c r="N405" s="135" t="s">
        <v>607</v>
      </c>
      <c r="O405" s="152" t="s">
        <v>781</v>
      </c>
    </row>
    <row r="406" spans="1:15" ht="15" customHeight="1">
      <c r="A406" s="70"/>
      <c r="B406" s="97" t="s">
        <v>331</v>
      </c>
      <c r="C406" s="77"/>
      <c r="D406" s="101" t="s">
        <v>190</v>
      </c>
      <c r="E406" s="79"/>
      <c r="F406" s="192">
        <v>12</v>
      </c>
      <c r="G406" s="193"/>
      <c r="H406" s="132">
        <v>0.66</v>
      </c>
      <c r="I406" s="78">
        <f t="shared" si="6"/>
        <v>7.92</v>
      </c>
      <c r="J406" s="119" t="s">
        <v>987</v>
      </c>
      <c r="K406" s="130" t="s">
        <v>226</v>
      </c>
      <c r="L406" s="131"/>
      <c r="M406" s="149" t="s">
        <v>311</v>
      </c>
      <c r="N406" s="135" t="s">
        <v>779</v>
      </c>
      <c r="O406" s="152" t="s">
        <v>780</v>
      </c>
    </row>
    <row r="407" spans="1:15" ht="15" customHeight="1">
      <c r="A407" s="70"/>
      <c r="B407" s="97" t="s">
        <v>331</v>
      </c>
      <c r="C407" s="98"/>
      <c r="D407" s="101" t="s">
        <v>361</v>
      </c>
      <c r="E407" s="79"/>
      <c r="F407" s="192">
        <v>4</v>
      </c>
      <c r="G407" s="193"/>
      <c r="H407" s="132">
        <v>12.05</v>
      </c>
      <c r="I407" s="78">
        <f t="shared" si="6"/>
        <v>48.2</v>
      </c>
      <c r="J407" s="119" t="s">
        <v>987</v>
      </c>
      <c r="K407" s="130" t="s">
        <v>226</v>
      </c>
      <c r="L407" s="131"/>
      <c r="M407" s="149" t="s">
        <v>324</v>
      </c>
      <c r="N407" s="135" t="s">
        <v>607</v>
      </c>
      <c r="O407" s="152" t="s">
        <v>846</v>
      </c>
    </row>
    <row r="408" spans="1:15" ht="15" customHeight="1">
      <c r="A408" s="70"/>
      <c r="B408" s="97" t="s">
        <v>331</v>
      </c>
      <c r="C408" s="77"/>
      <c r="D408" s="101" t="s">
        <v>362</v>
      </c>
      <c r="E408" s="79"/>
      <c r="F408" s="192">
        <v>1</v>
      </c>
      <c r="G408" s="193"/>
      <c r="H408" s="132">
        <v>12.08</v>
      </c>
      <c r="I408" s="78">
        <f t="shared" si="6"/>
        <v>12.08</v>
      </c>
      <c r="J408" s="119" t="s">
        <v>987</v>
      </c>
      <c r="K408" s="130" t="s">
        <v>227</v>
      </c>
      <c r="L408" s="131"/>
      <c r="M408" s="149" t="s">
        <v>320</v>
      </c>
      <c r="N408" s="135" t="s">
        <v>762</v>
      </c>
      <c r="O408" s="152" t="s">
        <v>847</v>
      </c>
    </row>
    <row r="409" spans="1:15" ht="15" customHeight="1">
      <c r="A409" s="70"/>
      <c r="B409" s="97" t="s">
        <v>331</v>
      </c>
      <c r="C409" s="77"/>
      <c r="D409" s="101" t="s">
        <v>363</v>
      </c>
      <c r="E409" s="79"/>
      <c r="F409" s="192">
        <v>1</v>
      </c>
      <c r="G409" s="193"/>
      <c r="H409" s="132">
        <v>1.42</v>
      </c>
      <c r="I409" s="78">
        <f t="shared" si="6"/>
        <v>1.42</v>
      </c>
      <c r="J409" s="119" t="s">
        <v>987</v>
      </c>
      <c r="K409" s="130" t="s">
        <v>227</v>
      </c>
      <c r="L409" s="131"/>
      <c r="M409" s="149" t="s">
        <v>398</v>
      </c>
      <c r="N409" s="135" t="s">
        <v>848</v>
      </c>
      <c r="O409" s="152" t="s">
        <v>849</v>
      </c>
    </row>
    <row r="410" spans="1:15" ht="15" customHeight="1">
      <c r="A410" s="70"/>
      <c r="B410" s="97" t="s">
        <v>331</v>
      </c>
      <c r="C410" s="98"/>
      <c r="D410" s="101" t="s">
        <v>220</v>
      </c>
      <c r="E410" s="79"/>
      <c r="F410" s="192">
        <v>2</v>
      </c>
      <c r="G410" s="193"/>
      <c r="H410" s="132">
        <v>3.6</v>
      </c>
      <c r="I410" s="78">
        <f t="shared" si="6"/>
        <v>7.2</v>
      </c>
      <c r="J410" s="119" t="s">
        <v>987</v>
      </c>
      <c r="K410" s="130" t="s">
        <v>227</v>
      </c>
      <c r="L410" s="131"/>
      <c r="M410" s="149" t="s">
        <v>399</v>
      </c>
      <c r="N410" s="135" t="s">
        <v>809</v>
      </c>
      <c r="O410" s="152" t="s">
        <v>810</v>
      </c>
    </row>
    <row r="411" spans="1:15" ht="15" customHeight="1">
      <c r="A411" s="70"/>
      <c r="B411" s="97" t="s">
        <v>331</v>
      </c>
      <c r="C411" s="77"/>
      <c r="D411" s="101" t="s">
        <v>364</v>
      </c>
      <c r="E411" s="79"/>
      <c r="F411" s="192">
        <v>1</v>
      </c>
      <c r="G411" s="193"/>
      <c r="H411" s="132">
        <v>3.13</v>
      </c>
      <c r="I411" s="78">
        <f t="shared" si="6"/>
        <v>3.13</v>
      </c>
      <c r="J411" s="119" t="s">
        <v>987</v>
      </c>
      <c r="K411" s="130" t="s">
        <v>227</v>
      </c>
      <c r="L411" s="131"/>
      <c r="M411" s="149" t="s">
        <v>400</v>
      </c>
      <c r="N411" s="135" t="s">
        <v>638</v>
      </c>
      <c r="O411" s="152" t="s">
        <v>850</v>
      </c>
    </row>
    <row r="412" spans="1:15" ht="15" customHeight="1">
      <c r="A412" s="70"/>
      <c r="B412" s="97" t="s">
        <v>331</v>
      </c>
      <c r="C412" s="77"/>
      <c r="D412" s="101" t="s">
        <v>365</v>
      </c>
      <c r="E412" s="79"/>
      <c r="F412" s="192">
        <v>1</v>
      </c>
      <c r="G412" s="193"/>
      <c r="H412" s="132">
        <v>4.79</v>
      </c>
      <c r="I412" s="78">
        <f t="shared" si="6"/>
        <v>4.79</v>
      </c>
      <c r="J412" s="119" t="s">
        <v>987</v>
      </c>
      <c r="K412" s="130" t="s">
        <v>227</v>
      </c>
      <c r="L412" s="131"/>
      <c r="M412" s="149" t="s">
        <v>321</v>
      </c>
      <c r="N412" s="135" t="s">
        <v>607</v>
      </c>
      <c r="O412" s="152" t="s">
        <v>851</v>
      </c>
    </row>
    <row r="413" spans="1:15" ht="15" customHeight="1">
      <c r="A413" s="70"/>
      <c r="B413" s="97" t="s">
        <v>331</v>
      </c>
      <c r="C413" s="98"/>
      <c r="D413" s="101" t="s">
        <v>366</v>
      </c>
      <c r="E413" s="79"/>
      <c r="F413" s="192">
        <v>4</v>
      </c>
      <c r="G413" s="193"/>
      <c r="H413" s="132">
        <v>2.77</v>
      </c>
      <c r="I413" s="78">
        <f t="shared" si="6"/>
        <v>11.08</v>
      </c>
      <c r="J413" s="119" t="s">
        <v>987</v>
      </c>
      <c r="K413" s="130" t="s">
        <v>227</v>
      </c>
      <c r="L413" s="131"/>
      <c r="M413" s="149" t="s">
        <v>401</v>
      </c>
      <c r="N413" s="135" t="s">
        <v>638</v>
      </c>
      <c r="O413" s="152" t="s">
        <v>852</v>
      </c>
    </row>
    <row r="414" spans="1:15" ht="15" customHeight="1">
      <c r="A414" s="70"/>
      <c r="B414" s="97" t="s">
        <v>331</v>
      </c>
      <c r="C414" s="98"/>
      <c r="D414" s="101" t="s">
        <v>367</v>
      </c>
      <c r="E414" s="79"/>
      <c r="F414" s="192">
        <v>4</v>
      </c>
      <c r="G414" s="193"/>
      <c r="H414" s="132">
        <v>7.93</v>
      </c>
      <c r="I414" s="78">
        <f t="shared" si="6"/>
        <v>31.72</v>
      </c>
      <c r="J414" s="119" t="s">
        <v>987</v>
      </c>
      <c r="K414" s="130" t="s">
        <v>227</v>
      </c>
      <c r="L414" s="131"/>
      <c r="M414" s="149" t="s">
        <v>322</v>
      </c>
      <c r="N414" s="135" t="s">
        <v>753</v>
      </c>
      <c r="O414" s="152" t="s">
        <v>854</v>
      </c>
    </row>
    <row r="415" spans="1:15" ht="15" customHeight="1">
      <c r="A415" s="70"/>
      <c r="B415" s="97" t="s">
        <v>331</v>
      </c>
      <c r="C415" s="77"/>
      <c r="D415" s="101" t="s">
        <v>368</v>
      </c>
      <c r="E415" s="79"/>
      <c r="F415" s="192">
        <v>3</v>
      </c>
      <c r="G415" s="193"/>
      <c r="H415" s="132">
        <v>22.28</v>
      </c>
      <c r="I415" s="78">
        <f t="shared" si="6"/>
        <v>66.84</v>
      </c>
      <c r="J415" s="119" t="s">
        <v>987</v>
      </c>
      <c r="K415" s="130" t="s">
        <v>227</v>
      </c>
      <c r="L415" s="131"/>
      <c r="M415" s="149" t="s">
        <v>402</v>
      </c>
      <c r="N415" s="135" t="s">
        <v>607</v>
      </c>
      <c r="O415" s="152" t="s">
        <v>855</v>
      </c>
    </row>
    <row r="416" spans="1:15" ht="15" customHeight="1">
      <c r="A416" s="70"/>
      <c r="B416" s="97" t="s">
        <v>331</v>
      </c>
      <c r="C416" s="77"/>
      <c r="D416" s="101" t="s">
        <v>369</v>
      </c>
      <c r="E416" s="79"/>
      <c r="F416" s="192">
        <v>2</v>
      </c>
      <c r="G416" s="193"/>
      <c r="H416" s="132">
        <v>0.53</v>
      </c>
      <c r="I416" s="78">
        <f t="shared" si="6"/>
        <v>1.06</v>
      </c>
      <c r="J416" s="119" t="s">
        <v>987</v>
      </c>
      <c r="K416" s="130" t="s">
        <v>227</v>
      </c>
      <c r="L416" s="131"/>
      <c r="M416" s="149" t="s">
        <v>403</v>
      </c>
      <c r="N416" s="135" t="s">
        <v>856</v>
      </c>
      <c r="O416" s="152" t="s">
        <v>857</v>
      </c>
    </row>
    <row r="417" spans="1:15" ht="15" customHeight="1">
      <c r="A417" s="70"/>
      <c r="B417" s="97" t="s">
        <v>331</v>
      </c>
      <c r="C417" s="98"/>
      <c r="D417" s="101" t="s">
        <v>370</v>
      </c>
      <c r="E417" s="79"/>
      <c r="F417" s="192">
        <v>2</v>
      </c>
      <c r="G417" s="193"/>
      <c r="H417" s="132">
        <v>23.46</v>
      </c>
      <c r="I417" s="78">
        <f t="shared" si="6"/>
        <v>46.92</v>
      </c>
      <c r="J417" s="119" t="s">
        <v>987</v>
      </c>
      <c r="K417" s="130" t="s">
        <v>227</v>
      </c>
      <c r="L417" s="131"/>
      <c r="M417" s="149" t="s">
        <v>404</v>
      </c>
      <c r="N417" s="135" t="s">
        <v>858</v>
      </c>
      <c r="O417" s="152" t="s">
        <v>859</v>
      </c>
    </row>
    <row r="418" spans="1:15" s="180" customFormat="1" ht="15" customHeight="1" thickBot="1">
      <c r="A418" s="168"/>
      <c r="B418" s="82" t="s">
        <v>331</v>
      </c>
      <c r="C418" s="169"/>
      <c r="D418" s="170" t="s">
        <v>371</v>
      </c>
      <c r="E418" s="171"/>
      <c r="F418" s="239">
        <v>3</v>
      </c>
      <c r="G418" s="240"/>
      <c r="H418" s="172">
        <v>3.58</v>
      </c>
      <c r="I418" s="173">
        <f t="shared" si="6"/>
        <v>10.74</v>
      </c>
      <c r="J418" s="174" t="s">
        <v>987</v>
      </c>
      <c r="K418" s="175" t="s">
        <v>227</v>
      </c>
      <c r="L418" s="176"/>
      <c r="M418" s="177" t="s">
        <v>400</v>
      </c>
      <c r="N418" s="178" t="s">
        <v>638</v>
      </c>
      <c r="O418" s="179" t="s">
        <v>860</v>
      </c>
    </row>
    <row r="419" spans="1:15" ht="15" customHeight="1" thickTop="1">
      <c r="A419" s="70"/>
      <c r="B419" s="97" t="s">
        <v>405</v>
      </c>
      <c r="C419" s="98"/>
      <c r="D419" s="101" t="s">
        <v>351</v>
      </c>
      <c r="E419" s="79"/>
      <c r="F419" s="192">
        <v>3</v>
      </c>
      <c r="G419" s="193"/>
      <c r="H419" s="132">
        <v>19.350000000000001</v>
      </c>
      <c r="I419" s="78">
        <f t="shared" ref="I419:I432" si="7">F419*H419</f>
        <v>58.050000000000004</v>
      </c>
      <c r="J419" s="119" t="s">
        <v>988</v>
      </c>
      <c r="K419" s="130" t="s">
        <v>229</v>
      </c>
      <c r="L419" s="131"/>
      <c r="M419" s="149" t="s">
        <v>249</v>
      </c>
      <c r="N419" s="135" t="s">
        <v>630</v>
      </c>
      <c r="O419" s="152" t="s">
        <v>836</v>
      </c>
    </row>
    <row r="420" spans="1:15" ht="15" customHeight="1">
      <c r="A420" s="70"/>
      <c r="B420" s="97" t="s">
        <v>405</v>
      </c>
      <c r="C420" s="77"/>
      <c r="D420" s="101" t="s">
        <v>160</v>
      </c>
      <c r="E420" s="79"/>
      <c r="F420" s="192">
        <v>2</v>
      </c>
      <c r="G420" s="193"/>
      <c r="H420" s="132">
        <v>20.76</v>
      </c>
      <c r="I420" s="78">
        <f t="shared" si="7"/>
        <v>41.52</v>
      </c>
      <c r="J420" s="119" t="s">
        <v>988</v>
      </c>
      <c r="K420" s="130" t="s">
        <v>226</v>
      </c>
      <c r="L420" s="131"/>
      <c r="M420" s="149" t="s">
        <v>391</v>
      </c>
      <c r="N420" s="135" t="s">
        <v>632</v>
      </c>
      <c r="O420" s="152" t="s">
        <v>740</v>
      </c>
    </row>
    <row r="421" spans="1:15" ht="15" customHeight="1">
      <c r="A421" s="70"/>
      <c r="B421" s="97" t="s">
        <v>405</v>
      </c>
      <c r="C421" s="77"/>
      <c r="D421" s="101" t="s">
        <v>161</v>
      </c>
      <c r="E421" s="79"/>
      <c r="F421" s="192">
        <v>2</v>
      </c>
      <c r="G421" s="193"/>
      <c r="H421" s="132">
        <v>17.79</v>
      </c>
      <c r="I421" s="78">
        <f t="shared" si="7"/>
        <v>35.58</v>
      </c>
      <c r="J421" s="119" t="s">
        <v>988</v>
      </c>
      <c r="K421" s="130" t="s">
        <v>226</v>
      </c>
      <c r="L421" s="131"/>
      <c r="M421" s="149" t="s">
        <v>392</v>
      </c>
      <c r="N421" s="135" t="s">
        <v>632</v>
      </c>
      <c r="O421" s="152" t="s">
        <v>741</v>
      </c>
    </row>
    <row r="422" spans="1:15" ht="15" customHeight="1">
      <c r="A422" s="70"/>
      <c r="B422" s="97" t="s">
        <v>405</v>
      </c>
      <c r="C422" s="98"/>
      <c r="D422" s="101" t="s">
        <v>352</v>
      </c>
      <c r="E422" s="79"/>
      <c r="F422" s="192">
        <v>1</v>
      </c>
      <c r="G422" s="193"/>
      <c r="H422" s="132">
        <v>17.399999999999999</v>
      </c>
      <c r="I422" s="78">
        <f t="shared" si="7"/>
        <v>17.399999999999999</v>
      </c>
      <c r="J422" s="119" t="s">
        <v>988</v>
      </c>
      <c r="K422" s="130" t="s">
        <v>226</v>
      </c>
      <c r="L422" s="131"/>
      <c r="M422" s="149" t="s">
        <v>391</v>
      </c>
      <c r="N422" s="135" t="s">
        <v>632</v>
      </c>
      <c r="O422" s="152" t="s">
        <v>837</v>
      </c>
    </row>
    <row r="423" spans="1:15" ht="15" customHeight="1">
      <c r="A423" s="70"/>
      <c r="B423" s="97" t="s">
        <v>405</v>
      </c>
      <c r="C423" s="77"/>
      <c r="D423" s="101" t="s">
        <v>353</v>
      </c>
      <c r="E423" s="79"/>
      <c r="F423" s="192">
        <v>1</v>
      </c>
      <c r="G423" s="193"/>
      <c r="H423" s="132">
        <v>15.68</v>
      </c>
      <c r="I423" s="78">
        <f t="shared" si="7"/>
        <v>15.68</v>
      </c>
      <c r="J423" s="119" t="s">
        <v>988</v>
      </c>
      <c r="K423" s="130" t="s">
        <v>226</v>
      </c>
      <c r="L423" s="131"/>
      <c r="M423" s="149" t="s">
        <v>392</v>
      </c>
      <c r="N423" s="135" t="s">
        <v>632</v>
      </c>
      <c r="O423" s="152" t="s">
        <v>838</v>
      </c>
    </row>
    <row r="424" spans="1:15" ht="15" customHeight="1">
      <c r="A424" s="70"/>
      <c r="B424" s="97" t="s">
        <v>405</v>
      </c>
      <c r="C424" s="77"/>
      <c r="D424" s="101" t="s">
        <v>354</v>
      </c>
      <c r="E424" s="79"/>
      <c r="F424" s="192">
        <v>1</v>
      </c>
      <c r="G424" s="193"/>
      <c r="H424" s="132">
        <v>11.86</v>
      </c>
      <c r="I424" s="78">
        <f t="shared" si="7"/>
        <v>11.86</v>
      </c>
      <c r="J424" s="119" t="s">
        <v>988</v>
      </c>
      <c r="K424" s="130" t="s">
        <v>226</v>
      </c>
      <c r="L424" s="131"/>
      <c r="M424" s="149" t="s">
        <v>393</v>
      </c>
      <c r="N424" s="135" t="s">
        <v>632</v>
      </c>
      <c r="O424" s="152" t="s">
        <v>839</v>
      </c>
    </row>
    <row r="425" spans="1:15" ht="15" customHeight="1">
      <c r="A425" s="70"/>
      <c r="B425" s="97" t="s">
        <v>405</v>
      </c>
      <c r="C425" s="98"/>
      <c r="D425" s="101" t="s">
        <v>156</v>
      </c>
      <c r="E425" s="79"/>
      <c r="F425" s="192">
        <v>3</v>
      </c>
      <c r="G425" s="193"/>
      <c r="H425" s="132">
        <v>26.53</v>
      </c>
      <c r="I425" s="78">
        <f t="shared" si="7"/>
        <v>79.59</v>
      </c>
      <c r="J425" s="119" t="s">
        <v>988</v>
      </c>
      <c r="K425" s="130" t="s">
        <v>229</v>
      </c>
      <c r="L425" s="131"/>
      <c r="M425" s="149" t="s">
        <v>249</v>
      </c>
      <c r="N425" s="135" t="s">
        <v>630</v>
      </c>
      <c r="O425" s="152" t="s">
        <v>736</v>
      </c>
    </row>
    <row r="426" spans="1:15" ht="15" customHeight="1">
      <c r="A426" s="70"/>
      <c r="B426" s="97" t="s">
        <v>405</v>
      </c>
      <c r="C426" s="77"/>
      <c r="D426" s="101" t="s">
        <v>208</v>
      </c>
      <c r="E426" s="79"/>
      <c r="F426" s="192">
        <v>2</v>
      </c>
      <c r="G426" s="193"/>
      <c r="H426" s="132">
        <v>26.84</v>
      </c>
      <c r="I426" s="78">
        <f t="shared" si="7"/>
        <v>53.68</v>
      </c>
      <c r="J426" s="119" t="s">
        <v>988</v>
      </c>
      <c r="K426" s="130" t="s">
        <v>226</v>
      </c>
      <c r="L426" s="131"/>
      <c r="M426" s="149" t="s">
        <v>315</v>
      </c>
      <c r="N426" s="135" t="s">
        <v>795</v>
      </c>
      <c r="O426" s="152" t="s">
        <v>796</v>
      </c>
    </row>
    <row r="427" spans="1:15" ht="15" customHeight="1">
      <c r="A427" s="70"/>
      <c r="B427" s="97" t="s">
        <v>405</v>
      </c>
      <c r="C427" s="77"/>
      <c r="D427" s="101" t="s">
        <v>355</v>
      </c>
      <c r="E427" s="79"/>
      <c r="F427" s="192">
        <v>1</v>
      </c>
      <c r="G427" s="193"/>
      <c r="H427" s="132">
        <v>25.05</v>
      </c>
      <c r="I427" s="78">
        <f t="shared" si="7"/>
        <v>25.05</v>
      </c>
      <c r="J427" s="119" t="s">
        <v>988</v>
      </c>
      <c r="K427" s="130" t="s">
        <v>226</v>
      </c>
      <c r="L427" s="131"/>
      <c r="M427" s="149" t="s">
        <v>316</v>
      </c>
      <c r="N427" s="135" t="s">
        <v>753</v>
      </c>
      <c r="O427" s="152" t="s">
        <v>840</v>
      </c>
    </row>
    <row r="428" spans="1:15" ht="15" customHeight="1">
      <c r="A428" s="70"/>
      <c r="B428" s="97" t="s">
        <v>405</v>
      </c>
      <c r="C428" s="98"/>
      <c r="D428" s="101" t="s">
        <v>356</v>
      </c>
      <c r="E428" s="79"/>
      <c r="F428" s="192">
        <v>1</v>
      </c>
      <c r="G428" s="193"/>
      <c r="H428" s="132">
        <v>25.05</v>
      </c>
      <c r="I428" s="78">
        <f t="shared" si="7"/>
        <v>25.05</v>
      </c>
      <c r="J428" s="119" t="s">
        <v>988</v>
      </c>
      <c r="K428" s="130" t="s">
        <v>226</v>
      </c>
      <c r="L428" s="131"/>
      <c r="M428" s="149" t="s">
        <v>316</v>
      </c>
      <c r="N428" s="135" t="s">
        <v>753</v>
      </c>
      <c r="O428" s="152" t="s">
        <v>841</v>
      </c>
    </row>
    <row r="429" spans="1:15" ht="15" customHeight="1">
      <c r="A429" s="70"/>
      <c r="B429" s="97" t="s">
        <v>405</v>
      </c>
      <c r="C429" s="77"/>
      <c r="D429" s="101" t="s">
        <v>357</v>
      </c>
      <c r="E429" s="79"/>
      <c r="F429" s="192">
        <v>2</v>
      </c>
      <c r="G429" s="193"/>
      <c r="H429" s="132">
        <v>170.88</v>
      </c>
      <c r="I429" s="78">
        <f t="shared" si="7"/>
        <v>341.76</v>
      </c>
      <c r="J429" s="119" t="s">
        <v>988</v>
      </c>
      <c r="K429" s="130" t="s">
        <v>226</v>
      </c>
      <c r="L429" s="131"/>
      <c r="M429" s="149" t="s">
        <v>394</v>
      </c>
      <c r="N429" s="135" t="s">
        <v>753</v>
      </c>
      <c r="O429" s="152" t="s">
        <v>842</v>
      </c>
    </row>
    <row r="430" spans="1:15" ht="15" customHeight="1">
      <c r="A430" s="70"/>
      <c r="B430" s="97" t="s">
        <v>405</v>
      </c>
      <c r="C430" s="77"/>
      <c r="D430" s="101" t="s">
        <v>174</v>
      </c>
      <c r="E430" s="79"/>
      <c r="F430" s="192">
        <v>1</v>
      </c>
      <c r="G430" s="193"/>
      <c r="H430" s="132">
        <v>1779.05</v>
      </c>
      <c r="I430" s="78">
        <f t="shared" si="7"/>
        <v>1779.05</v>
      </c>
      <c r="J430" s="119" t="s">
        <v>988</v>
      </c>
      <c r="K430" s="130" t="s">
        <v>226</v>
      </c>
      <c r="L430" s="131"/>
      <c r="M430" s="149" t="s">
        <v>300</v>
      </c>
      <c r="N430" s="135" t="s">
        <v>756</v>
      </c>
      <c r="O430" s="152" t="s">
        <v>757</v>
      </c>
    </row>
    <row r="431" spans="1:15" ht="15" customHeight="1">
      <c r="A431" s="70"/>
      <c r="B431" s="97" t="s">
        <v>405</v>
      </c>
      <c r="C431" s="98"/>
      <c r="D431" s="101" t="s">
        <v>358</v>
      </c>
      <c r="E431" s="79"/>
      <c r="F431" s="192">
        <v>3</v>
      </c>
      <c r="G431" s="193"/>
      <c r="H431" s="132">
        <v>58.52</v>
      </c>
      <c r="I431" s="78">
        <f t="shared" si="7"/>
        <v>175.56</v>
      </c>
      <c r="J431" s="119" t="s">
        <v>988</v>
      </c>
      <c r="K431" s="130" t="s">
        <v>232</v>
      </c>
      <c r="L431" s="131"/>
      <c r="M431" s="149" t="s">
        <v>308</v>
      </c>
      <c r="N431" s="135" t="s">
        <v>843</v>
      </c>
      <c r="O431" s="152" t="s">
        <v>844</v>
      </c>
    </row>
    <row r="432" spans="1:15" ht="15" customHeight="1">
      <c r="A432" s="70"/>
      <c r="B432" s="97" t="s">
        <v>405</v>
      </c>
      <c r="C432" s="77"/>
      <c r="D432" s="101" t="s">
        <v>359</v>
      </c>
      <c r="E432" s="79"/>
      <c r="F432" s="192">
        <v>3</v>
      </c>
      <c r="G432" s="193"/>
      <c r="H432" s="132">
        <v>64.760000000000005</v>
      </c>
      <c r="I432" s="78">
        <f t="shared" si="7"/>
        <v>194.28000000000003</v>
      </c>
      <c r="J432" s="119" t="s">
        <v>988</v>
      </c>
      <c r="K432" s="130" t="s">
        <v>226</v>
      </c>
      <c r="L432" s="131"/>
      <c r="M432" s="149" t="s">
        <v>396</v>
      </c>
      <c r="N432" s="135" t="s">
        <v>772</v>
      </c>
      <c r="O432" s="152" t="s">
        <v>845</v>
      </c>
    </row>
    <row r="433" spans="1:15" ht="15" customHeight="1">
      <c r="A433" s="128"/>
      <c r="B433" s="97" t="s">
        <v>405</v>
      </c>
      <c r="C433" s="98"/>
      <c r="D433" s="99" t="s">
        <v>985</v>
      </c>
      <c r="E433" s="79"/>
      <c r="F433" s="241">
        <v>2</v>
      </c>
      <c r="G433" s="242"/>
      <c r="H433" s="129">
        <v>25.75</v>
      </c>
      <c r="I433" s="80">
        <f t="shared" ref="I433:I464" si="8">F433*H433</f>
        <v>51.5</v>
      </c>
      <c r="J433" s="119" t="s">
        <v>988</v>
      </c>
      <c r="K433" s="145" t="s">
        <v>229</v>
      </c>
      <c r="L433" s="146"/>
      <c r="M433" s="148" t="s">
        <v>373</v>
      </c>
      <c r="N433" s="136" t="s">
        <v>634</v>
      </c>
      <c r="O433" s="153" t="s">
        <v>818</v>
      </c>
    </row>
    <row r="434" spans="1:15" ht="15" customHeight="1">
      <c r="A434" s="70"/>
      <c r="B434" s="97" t="s">
        <v>405</v>
      </c>
      <c r="C434" s="77"/>
      <c r="D434" s="101" t="s">
        <v>333</v>
      </c>
      <c r="E434" s="79"/>
      <c r="F434" s="192">
        <v>1</v>
      </c>
      <c r="G434" s="193"/>
      <c r="H434" s="132">
        <v>17.170000000000002</v>
      </c>
      <c r="I434" s="78">
        <f t="shared" si="8"/>
        <v>17.170000000000002</v>
      </c>
      <c r="J434" s="119" t="s">
        <v>988</v>
      </c>
      <c r="K434" s="130" t="s">
        <v>226</v>
      </c>
      <c r="L434" s="131"/>
      <c r="M434" s="149" t="s">
        <v>249</v>
      </c>
      <c r="N434" s="135" t="s">
        <v>630</v>
      </c>
      <c r="O434" s="152" t="s">
        <v>819</v>
      </c>
    </row>
    <row r="435" spans="1:15" ht="15" customHeight="1">
      <c r="A435" s="70"/>
      <c r="B435" s="97" t="s">
        <v>405</v>
      </c>
      <c r="C435" s="77"/>
      <c r="D435" s="101" t="s">
        <v>60</v>
      </c>
      <c r="E435" s="79"/>
      <c r="F435" s="192">
        <v>1</v>
      </c>
      <c r="G435" s="193"/>
      <c r="H435" s="132">
        <v>42.76</v>
      </c>
      <c r="I435" s="78">
        <f t="shared" si="8"/>
        <v>42.76</v>
      </c>
      <c r="J435" s="119" t="s">
        <v>988</v>
      </c>
      <c r="K435" s="130" t="s">
        <v>226</v>
      </c>
      <c r="L435" s="131"/>
      <c r="M435" s="149" t="s">
        <v>375</v>
      </c>
      <c r="N435" s="135" t="s">
        <v>609</v>
      </c>
      <c r="O435" s="152" t="s">
        <v>611</v>
      </c>
    </row>
    <row r="436" spans="1:15" ht="15" customHeight="1">
      <c r="A436" s="70"/>
      <c r="B436" s="97" t="s">
        <v>405</v>
      </c>
      <c r="C436" s="98"/>
      <c r="D436" s="101" t="s">
        <v>59</v>
      </c>
      <c r="E436" s="79"/>
      <c r="F436" s="192">
        <v>1</v>
      </c>
      <c r="G436" s="193"/>
      <c r="H436" s="132">
        <v>31.06</v>
      </c>
      <c r="I436" s="78">
        <f t="shared" si="8"/>
        <v>31.06</v>
      </c>
      <c r="J436" s="119" t="s">
        <v>988</v>
      </c>
      <c r="K436" s="130" t="s">
        <v>226</v>
      </c>
      <c r="L436" s="131"/>
      <c r="M436" s="149" t="s">
        <v>376</v>
      </c>
      <c r="N436" s="135" t="s">
        <v>609</v>
      </c>
      <c r="O436" s="152" t="s">
        <v>610</v>
      </c>
    </row>
    <row r="437" spans="1:15" ht="15" customHeight="1">
      <c r="A437" s="70"/>
      <c r="B437" s="97" t="s">
        <v>405</v>
      </c>
      <c r="C437" s="77"/>
      <c r="D437" s="101" t="s">
        <v>334</v>
      </c>
      <c r="E437" s="79"/>
      <c r="F437" s="192">
        <v>1</v>
      </c>
      <c r="G437" s="193"/>
      <c r="H437" s="132">
        <v>9.52</v>
      </c>
      <c r="I437" s="78">
        <f t="shared" si="8"/>
        <v>9.52</v>
      </c>
      <c r="J437" s="119" t="s">
        <v>988</v>
      </c>
      <c r="K437" s="130" t="s">
        <v>226</v>
      </c>
      <c r="L437" s="131"/>
      <c r="M437" s="149" t="s">
        <v>377</v>
      </c>
      <c r="N437" s="135" t="s">
        <v>597</v>
      </c>
      <c r="O437" s="152" t="s">
        <v>820</v>
      </c>
    </row>
    <row r="438" spans="1:15" ht="15" customHeight="1">
      <c r="A438" s="70"/>
      <c r="B438" s="97" t="s">
        <v>405</v>
      </c>
      <c r="C438" s="77"/>
      <c r="D438" s="101" t="s">
        <v>335</v>
      </c>
      <c r="E438" s="79"/>
      <c r="F438" s="192">
        <v>1</v>
      </c>
      <c r="G438" s="193"/>
      <c r="H438" s="132">
        <v>11.7</v>
      </c>
      <c r="I438" s="78">
        <f t="shared" si="8"/>
        <v>11.7</v>
      </c>
      <c r="J438" s="119" t="s">
        <v>988</v>
      </c>
      <c r="K438" s="130" t="s">
        <v>230</v>
      </c>
      <c r="L438" s="131"/>
      <c r="M438" s="149" t="s">
        <v>245</v>
      </c>
      <c r="N438" s="135" t="s">
        <v>618</v>
      </c>
      <c r="O438" s="152" t="s">
        <v>821</v>
      </c>
    </row>
    <row r="439" spans="1:15" ht="15" customHeight="1">
      <c r="A439" s="70"/>
      <c r="B439" s="97" t="s">
        <v>405</v>
      </c>
      <c r="C439" s="98"/>
      <c r="D439" s="101" t="s">
        <v>66</v>
      </c>
      <c r="E439" s="79"/>
      <c r="F439" s="192">
        <v>1</v>
      </c>
      <c r="G439" s="193"/>
      <c r="H439" s="132">
        <v>20.29</v>
      </c>
      <c r="I439" s="78">
        <f t="shared" si="8"/>
        <v>20.29</v>
      </c>
      <c r="J439" s="119" t="s">
        <v>988</v>
      </c>
      <c r="K439" s="130" t="s">
        <v>230</v>
      </c>
      <c r="L439" s="131"/>
      <c r="M439" s="149" t="s">
        <v>245</v>
      </c>
      <c r="N439" s="135" t="s">
        <v>618</v>
      </c>
      <c r="O439" s="152" t="s">
        <v>620</v>
      </c>
    </row>
    <row r="440" spans="1:15" ht="15" customHeight="1">
      <c r="A440" s="70"/>
      <c r="B440" s="97" t="s">
        <v>405</v>
      </c>
      <c r="C440" s="77"/>
      <c r="D440" s="101" t="s">
        <v>336</v>
      </c>
      <c r="E440" s="79"/>
      <c r="F440" s="192">
        <v>1</v>
      </c>
      <c r="G440" s="193"/>
      <c r="H440" s="132">
        <v>31.21</v>
      </c>
      <c r="I440" s="78">
        <f t="shared" si="8"/>
        <v>31.21</v>
      </c>
      <c r="J440" s="119" t="s">
        <v>988</v>
      </c>
      <c r="K440" s="130" t="s">
        <v>228</v>
      </c>
      <c r="L440" s="131"/>
      <c r="M440" s="149" t="s">
        <v>378</v>
      </c>
      <c r="N440" s="135" t="s">
        <v>822</v>
      </c>
      <c r="O440" s="152" t="s">
        <v>823</v>
      </c>
    </row>
    <row r="441" spans="1:15" ht="15" customHeight="1">
      <c r="A441" s="70"/>
      <c r="B441" s="97" t="s">
        <v>405</v>
      </c>
      <c r="C441" s="77"/>
      <c r="D441" s="101" t="s">
        <v>61</v>
      </c>
      <c r="E441" s="79"/>
      <c r="F441" s="192">
        <v>4</v>
      </c>
      <c r="G441" s="193"/>
      <c r="H441" s="132">
        <v>8.19</v>
      </c>
      <c r="I441" s="78">
        <f t="shared" si="8"/>
        <v>32.76</v>
      </c>
      <c r="J441" s="119" t="s">
        <v>988</v>
      </c>
      <c r="K441" s="130" t="s">
        <v>229</v>
      </c>
      <c r="L441" s="131"/>
      <c r="M441" s="149" t="s">
        <v>241</v>
      </c>
      <c r="N441" s="135" t="s">
        <v>593</v>
      </c>
      <c r="O441" s="152" t="s">
        <v>612</v>
      </c>
    </row>
    <row r="442" spans="1:15" ht="15" customHeight="1">
      <c r="A442" s="70"/>
      <c r="B442" s="97" t="s">
        <v>405</v>
      </c>
      <c r="C442" s="98"/>
      <c r="D442" s="101" t="s">
        <v>62</v>
      </c>
      <c r="E442" s="79"/>
      <c r="F442" s="192">
        <v>4</v>
      </c>
      <c r="G442" s="193"/>
      <c r="H442" s="132">
        <v>8.27</v>
      </c>
      <c r="I442" s="78">
        <f t="shared" si="8"/>
        <v>33.08</v>
      </c>
      <c r="J442" s="119" t="s">
        <v>988</v>
      </c>
      <c r="K442" s="130" t="s">
        <v>229</v>
      </c>
      <c r="L442" s="131"/>
      <c r="M442" s="149" t="s">
        <v>242</v>
      </c>
      <c r="N442" s="135" t="s">
        <v>613</v>
      </c>
      <c r="O442" s="152" t="s">
        <v>614</v>
      </c>
    </row>
    <row r="443" spans="1:15" ht="15" customHeight="1">
      <c r="A443" s="70"/>
      <c r="B443" s="97" t="s">
        <v>405</v>
      </c>
      <c r="C443" s="77"/>
      <c r="D443" s="101" t="s">
        <v>50</v>
      </c>
      <c r="E443" s="79"/>
      <c r="F443" s="192">
        <v>2</v>
      </c>
      <c r="G443" s="193"/>
      <c r="H443" s="132">
        <v>9.83</v>
      </c>
      <c r="I443" s="78">
        <f t="shared" si="8"/>
        <v>19.66</v>
      </c>
      <c r="J443" s="119" t="s">
        <v>988</v>
      </c>
      <c r="K443" s="130" t="s">
        <v>226</v>
      </c>
      <c r="L443" s="131"/>
      <c r="M443" s="149" t="s">
        <v>233</v>
      </c>
      <c r="N443" s="135" t="s">
        <v>593</v>
      </c>
      <c r="O443" s="152" t="s">
        <v>594</v>
      </c>
    </row>
    <row r="444" spans="1:15" ht="15" customHeight="1">
      <c r="A444" s="70"/>
      <c r="B444" s="97" t="s">
        <v>405</v>
      </c>
      <c r="C444" s="77"/>
      <c r="D444" s="101" t="s">
        <v>337</v>
      </c>
      <c r="E444" s="79"/>
      <c r="F444" s="192">
        <v>1</v>
      </c>
      <c r="G444" s="193"/>
      <c r="H444" s="132">
        <v>304.31</v>
      </c>
      <c r="I444" s="78">
        <f t="shared" si="8"/>
        <v>304.31</v>
      </c>
      <c r="J444" s="119" t="s">
        <v>988</v>
      </c>
      <c r="K444" s="130" t="s">
        <v>229</v>
      </c>
      <c r="L444" s="131"/>
      <c r="M444" s="149" t="s">
        <v>379</v>
      </c>
      <c r="N444" s="135" t="s">
        <v>615</v>
      </c>
      <c r="O444" s="152" t="s">
        <v>824</v>
      </c>
    </row>
    <row r="445" spans="1:15" ht="15" customHeight="1">
      <c r="A445" s="70"/>
      <c r="B445" s="97" t="s">
        <v>405</v>
      </c>
      <c r="C445" s="98"/>
      <c r="D445" s="101" t="s">
        <v>338</v>
      </c>
      <c r="E445" s="79"/>
      <c r="F445" s="192">
        <v>1</v>
      </c>
      <c r="G445" s="193"/>
      <c r="H445" s="132">
        <v>46.82</v>
      </c>
      <c r="I445" s="78">
        <f t="shared" si="8"/>
        <v>46.82</v>
      </c>
      <c r="J445" s="119" t="s">
        <v>988</v>
      </c>
      <c r="K445" s="130" t="s">
        <v>372</v>
      </c>
      <c r="L445" s="131"/>
      <c r="M445" s="149" t="s">
        <v>380</v>
      </c>
      <c r="N445" s="135" t="s">
        <v>636</v>
      </c>
      <c r="O445" s="152" t="s">
        <v>861</v>
      </c>
    </row>
    <row r="446" spans="1:15" ht="15" customHeight="1">
      <c r="A446" s="70"/>
      <c r="B446" s="97" t="s">
        <v>405</v>
      </c>
      <c r="C446" s="77"/>
      <c r="D446" s="101" t="s">
        <v>339</v>
      </c>
      <c r="E446" s="79"/>
      <c r="F446" s="192">
        <v>1</v>
      </c>
      <c r="G446" s="193"/>
      <c r="H446" s="132">
        <v>13.28</v>
      </c>
      <c r="I446" s="78">
        <f t="shared" si="8"/>
        <v>13.28</v>
      </c>
      <c r="J446" s="119" t="s">
        <v>988</v>
      </c>
      <c r="K446" s="130" t="s">
        <v>229</v>
      </c>
      <c r="L446" s="131"/>
      <c r="M446" s="149" t="s">
        <v>381</v>
      </c>
      <c r="N446" s="135" t="s">
        <v>670</v>
      </c>
      <c r="O446" s="152" t="s">
        <v>825</v>
      </c>
    </row>
    <row r="447" spans="1:15" ht="15" customHeight="1">
      <c r="A447" s="70"/>
      <c r="B447" s="97" t="s">
        <v>405</v>
      </c>
      <c r="C447" s="77"/>
      <c r="D447" s="101" t="s">
        <v>340</v>
      </c>
      <c r="E447" s="79"/>
      <c r="F447" s="192">
        <v>1</v>
      </c>
      <c r="G447" s="193"/>
      <c r="H447" s="132">
        <v>26.19</v>
      </c>
      <c r="I447" s="78">
        <f t="shared" si="8"/>
        <v>26.19</v>
      </c>
      <c r="J447" s="119" t="s">
        <v>988</v>
      </c>
      <c r="K447" s="130" t="s">
        <v>229</v>
      </c>
      <c r="L447" s="131"/>
      <c r="M447" s="149" t="s">
        <v>265</v>
      </c>
      <c r="N447" s="135" t="s">
        <v>672</v>
      </c>
      <c r="O447" s="152" t="s">
        <v>826</v>
      </c>
    </row>
    <row r="448" spans="1:15" ht="15" customHeight="1">
      <c r="A448" s="70"/>
      <c r="B448" s="97" t="s">
        <v>405</v>
      </c>
      <c r="C448" s="98"/>
      <c r="D448" s="101" t="s">
        <v>120</v>
      </c>
      <c r="E448" s="79"/>
      <c r="F448" s="192">
        <v>1</v>
      </c>
      <c r="G448" s="193"/>
      <c r="H448" s="132">
        <v>2.4500000000000002</v>
      </c>
      <c r="I448" s="78">
        <f t="shared" si="8"/>
        <v>2.4500000000000002</v>
      </c>
      <c r="J448" s="119" t="s">
        <v>988</v>
      </c>
      <c r="K448" s="130" t="s">
        <v>229</v>
      </c>
      <c r="L448" s="131"/>
      <c r="M448" s="149" t="s">
        <v>270</v>
      </c>
      <c r="N448" s="135" t="s">
        <v>607</v>
      </c>
      <c r="O448" s="152" t="s">
        <v>691</v>
      </c>
    </row>
    <row r="449" spans="1:15" ht="15" customHeight="1">
      <c r="A449" s="70"/>
      <c r="B449" s="97" t="s">
        <v>405</v>
      </c>
      <c r="C449" s="77"/>
      <c r="D449" s="101" t="s">
        <v>341</v>
      </c>
      <c r="E449" s="79"/>
      <c r="F449" s="192">
        <v>1</v>
      </c>
      <c r="G449" s="193"/>
      <c r="H449" s="132">
        <v>19.940000000000001</v>
      </c>
      <c r="I449" s="78">
        <f>F449*H449</f>
        <v>19.940000000000001</v>
      </c>
      <c r="J449" s="119" t="s">
        <v>988</v>
      </c>
      <c r="K449" s="130" t="s">
        <v>229</v>
      </c>
      <c r="L449" s="131"/>
      <c r="M449" s="149" t="s">
        <v>265</v>
      </c>
      <c r="N449" s="135" t="s">
        <v>672</v>
      </c>
      <c r="O449" s="152" t="s">
        <v>827</v>
      </c>
    </row>
    <row r="450" spans="1:15" ht="15" customHeight="1">
      <c r="A450" s="70"/>
      <c r="B450" s="97" t="s">
        <v>405</v>
      </c>
      <c r="C450" s="77"/>
      <c r="D450" s="101" t="s">
        <v>116</v>
      </c>
      <c r="E450" s="79"/>
      <c r="F450" s="192">
        <v>1</v>
      </c>
      <c r="G450" s="193"/>
      <c r="H450" s="132">
        <v>7.79</v>
      </c>
      <c r="I450" s="78">
        <f>F450*H450</f>
        <v>7.79</v>
      </c>
      <c r="J450" s="119" t="s">
        <v>988</v>
      </c>
      <c r="K450" s="130" t="s">
        <v>229</v>
      </c>
      <c r="L450" s="131"/>
      <c r="M450" s="149" t="s">
        <v>267</v>
      </c>
      <c r="N450" s="135" t="s">
        <v>638</v>
      </c>
      <c r="O450" s="152" t="s">
        <v>687</v>
      </c>
    </row>
    <row r="451" spans="1:15" ht="15" customHeight="1">
      <c r="A451" s="70"/>
      <c r="B451" s="97" t="s">
        <v>405</v>
      </c>
      <c r="C451" s="98"/>
      <c r="D451" s="101" t="s">
        <v>107</v>
      </c>
      <c r="E451" s="79"/>
      <c r="F451" s="192">
        <v>3</v>
      </c>
      <c r="G451" s="193"/>
      <c r="H451" s="132">
        <v>0.23</v>
      </c>
      <c r="I451" s="78">
        <f>F451*H451</f>
        <v>0.69000000000000006</v>
      </c>
      <c r="J451" s="119" t="s">
        <v>988</v>
      </c>
      <c r="K451" s="130" t="s">
        <v>229</v>
      </c>
      <c r="L451" s="131"/>
      <c r="M451" s="149" t="s">
        <v>266</v>
      </c>
      <c r="N451" s="135" t="s">
        <v>607</v>
      </c>
      <c r="O451" s="152" t="s">
        <v>678</v>
      </c>
    </row>
    <row r="452" spans="1:15" ht="15" customHeight="1">
      <c r="A452" s="70"/>
      <c r="B452" s="97" t="s">
        <v>405</v>
      </c>
      <c r="C452" s="77"/>
      <c r="D452" s="101" t="s">
        <v>342</v>
      </c>
      <c r="E452" s="79"/>
      <c r="F452" s="192">
        <v>2</v>
      </c>
      <c r="G452" s="193"/>
      <c r="H452" s="132">
        <v>2.41</v>
      </c>
      <c r="I452" s="78">
        <f>F452*H452</f>
        <v>4.82</v>
      </c>
      <c r="J452" s="119" t="s">
        <v>988</v>
      </c>
      <c r="K452" s="130" t="s">
        <v>229</v>
      </c>
      <c r="L452" s="131"/>
      <c r="M452" s="149" t="s">
        <v>408</v>
      </c>
      <c r="N452" s="135" t="s">
        <v>607</v>
      </c>
      <c r="O452" s="152" t="s">
        <v>862</v>
      </c>
    </row>
    <row r="453" spans="1:15" ht="15" customHeight="1">
      <c r="A453" s="70"/>
      <c r="B453" s="97" t="s">
        <v>405</v>
      </c>
      <c r="C453" s="77"/>
      <c r="D453" s="101" t="s">
        <v>343</v>
      </c>
      <c r="E453" s="79"/>
      <c r="F453" s="192">
        <v>1</v>
      </c>
      <c r="G453" s="193"/>
      <c r="H453" s="132">
        <v>2.36</v>
      </c>
      <c r="I453" s="78">
        <f t="shared" si="8"/>
        <v>2.36</v>
      </c>
      <c r="J453" s="119" t="s">
        <v>988</v>
      </c>
      <c r="K453" s="130" t="s">
        <v>229</v>
      </c>
      <c r="L453" s="131"/>
      <c r="M453" s="149" t="s">
        <v>262</v>
      </c>
      <c r="N453" s="135" t="s">
        <v>660</v>
      </c>
      <c r="O453" s="152" t="s">
        <v>829</v>
      </c>
    </row>
    <row r="454" spans="1:15" ht="15" customHeight="1">
      <c r="A454" s="70"/>
      <c r="B454" s="97" t="s">
        <v>405</v>
      </c>
      <c r="C454" s="98"/>
      <c r="D454" s="101" t="s">
        <v>344</v>
      </c>
      <c r="E454" s="79"/>
      <c r="F454" s="192">
        <v>1</v>
      </c>
      <c r="G454" s="193"/>
      <c r="H454" s="132">
        <v>1.72</v>
      </c>
      <c r="I454" s="78">
        <f t="shared" si="8"/>
        <v>1.72</v>
      </c>
      <c r="J454" s="119" t="s">
        <v>988</v>
      </c>
      <c r="K454" s="130" t="s">
        <v>229</v>
      </c>
      <c r="L454" s="131"/>
      <c r="M454" s="149" t="s">
        <v>262</v>
      </c>
      <c r="N454" s="135" t="s">
        <v>660</v>
      </c>
      <c r="O454" s="152" t="s">
        <v>830</v>
      </c>
    </row>
    <row r="455" spans="1:15" ht="15" customHeight="1">
      <c r="A455" s="70"/>
      <c r="B455" s="97" t="s">
        <v>405</v>
      </c>
      <c r="C455" s="77"/>
      <c r="D455" s="101" t="s">
        <v>345</v>
      </c>
      <c r="E455" s="79"/>
      <c r="F455" s="192">
        <v>2</v>
      </c>
      <c r="G455" s="193"/>
      <c r="H455" s="132">
        <v>1.54</v>
      </c>
      <c r="I455" s="78">
        <f t="shared" si="8"/>
        <v>3.08</v>
      </c>
      <c r="J455" s="119" t="s">
        <v>988</v>
      </c>
      <c r="K455" s="130" t="s">
        <v>229</v>
      </c>
      <c r="L455" s="131"/>
      <c r="M455" s="149" t="s">
        <v>262</v>
      </c>
      <c r="N455" s="135" t="s">
        <v>660</v>
      </c>
      <c r="O455" s="152" t="s">
        <v>863</v>
      </c>
    </row>
    <row r="456" spans="1:15" ht="15" customHeight="1">
      <c r="A456" s="70"/>
      <c r="B456" s="97" t="s">
        <v>405</v>
      </c>
      <c r="C456" s="77"/>
      <c r="D456" s="101" t="s">
        <v>122</v>
      </c>
      <c r="E456" s="79"/>
      <c r="F456" s="192">
        <v>1</v>
      </c>
      <c r="G456" s="193"/>
      <c r="H456" s="132">
        <v>1.23</v>
      </c>
      <c r="I456" s="78">
        <f t="shared" si="8"/>
        <v>1.23</v>
      </c>
      <c r="J456" s="119" t="s">
        <v>988</v>
      </c>
      <c r="K456" s="130" t="s">
        <v>229</v>
      </c>
      <c r="L456" s="131"/>
      <c r="M456" s="149" t="s">
        <v>262</v>
      </c>
      <c r="N456" s="135" t="s">
        <v>660</v>
      </c>
      <c r="O456" s="152" t="s">
        <v>693</v>
      </c>
    </row>
    <row r="457" spans="1:15" ht="15" customHeight="1">
      <c r="A457" s="70"/>
      <c r="B457" s="97" t="s">
        <v>405</v>
      </c>
      <c r="C457" s="98"/>
      <c r="D457" s="101" t="s">
        <v>124</v>
      </c>
      <c r="E457" s="79"/>
      <c r="F457" s="192">
        <v>1</v>
      </c>
      <c r="G457" s="193"/>
      <c r="H457" s="132">
        <v>28</v>
      </c>
      <c r="I457" s="78">
        <f t="shared" si="8"/>
        <v>28</v>
      </c>
      <c r="J457" s="119" t="s">
        <v>988</v>
      </c>
      <c r="K457" s="130" t="s">
        <v>229</v>
      </c>
      <c r="L457" s="131"/>
      <c r="M457" s="149" t="s">
        <v>385</v>
      </c>
      <c r="N457" s="135" t="s">
        <v>651</v>
      </c>
      <c r="O457" s="152" t="s">
        <v>864</v>
      </c>
    </row>
    <row r="458" spans="1:15" ht="15" customHeight="1">
      <c r="A458" s="70"/>
      <c r="B458" s="97" t="s">
        <v>405</v>
      </c>
      <c r="C458" s="77"/>
      <c r="D458" s="101" t="s">
        <v>112</v>
      </c>
      <c r="E458" s="79"/>
      <c r="F458" s="192">
        <v>2</v>
      </c>
      <c r="G458" s="193"/>
      <c r="H458" s="132">
        <v>20.65</v>
      </c>
      <c r="I458" s="78">
        <f t="shared" si="8"/>
        <v>41.3</v>
      </c>
      <c r="J458" s="119" t="s">
        <v>988</v>
      </c>
      <c r="K458" s="130" t="s">
        <v>229</v>
      </c>
      <c r="L458" s="131"/>
      <c r="M458" s="149" t="s">
        <v>385</v>
      </c>
      <c r="N458" s="135" t="s">
        <v>651</v>
      </c>
      <c r="O458" s="152" t="s">
        <v>683</v>
      </c>
    </row>
    <row r="459" spans="1:15" ht="15" customHeight="1">
      <c r="A459" s="70"/>
      <c r="B459" s="97" t="s">
        <v>405</v>
      </c>
      <c r="C459" s="77"/>
      <c r="D459" s="101" t="s">
        <v>346</v>
      </c>
      <c r="E459" s="79"/>
      <c r="F459" s="192">
        <v>1</v>
      </c>
      <c r="G459" s="193"/>
      <c r="H459" s="132">
        <v>39.56</v>
      </c>
      <c r="I459" s="78">
        <f t="shared" si="8"/>
        <v>39.56</v>
      </c>
      <c r="J459" s="119" t="s">
        <v>988</v>
      </c>
      <c r="K459" s="130" t="s">
        <v>229</v>
      </c>
      <c r="L459" s="131"/>
      <c r="M459" s="149" t="s">
        <v>261</v>
      </c>
      <c r="N459" s="135" t="s">
        <v>653</v>
      </c>
      <c r="O459" s="152" t="s">
        <v>865</v>
      </c>
    </row>
    <row r="460" spans="1:15" ht="15" customHeight="1">
      <c r="A460" s="70"/>
      <c r="B460" s="97" t="s">
        <v>405</v>
      </c>
      <c r="C460" s="98"/>
      <c r="D460" s="101" t="s">
        <v>86</v>
      </c>
      <c r="E460" s="79"/>
      <c r="F460" s="192">
        <v>4</v>
      </c>
      <c r="G460" s="193"/>
      <c r="H460" s="132">
        <v>3.93</v>
      </c>
      <c r="I460" s="78">
        <f t="shared" si="8"/>
        <v>15.72</v>
      </c>
      <c r="J460" s="119" t="s">
        <v>988</v>
      </c>
      <c r="K460" s="130" t="s">
        <v>229</v>
      </c>
      <c r="L460" s="131"/>
      <c r="M460" s="149" t="s">
        <v>260</v>
      </c>
      <c r="N460" s="135" t="s">
        <v>651</v>
      </c>
      <c r="O460" s="152" t="s">
        <v>652</v>
      </c>
    </row>
    <row r="461" spans="1:15" ht="15" customHeight="1">
      <c r="A461" s="70"/>
      <c r="B461" s="97" t="s">
        <v>405</v>
      </c>
      <c r="C461" s="77"/>
      <c r="D461" s="101" t="s">
        <v>347</v>
      </c>
      <c r="E461" s="79"/>
      <c r="F461" s="192">
        <v>1</v>
      </c>
      <c r="G461" s="193"/>
      <c r="H461" s="132">
        <v>161.44</v>
      </c>
      <c r="I461" s="78">
        <f t="shared" si="8"/>
        <v>161.44</v>
      </c>
      <c r="J461" s="119" t="s">
        <v>988</v>
      </c>
      <c r="K461" s="130" t="s">
        <v>229</v>
      </c>
      <c r="L461" s="131"/>
      <c r="M461" s="149" t="s">
        <v>261</v>
      </c>
      <c r="N461" s="135" t="s">
        <v>653</v>
      </c>
      <c r="O461" s="152" t="s">
        <v>865</v>
      </c>
    </row>
    <row r="462" spans="1:15" ht="15" customHeight="1">
      <c r="A462" s="70"/>
      <c r="B462" s="97" t="s">
        <v>405</v>
      </c>
      <c r="C462" s="77"/>
      <c r="D462" s="101" t="s">
        <v>348</v>
      </c>
      <c r="E462" s="79"/>
      <c r="F462" s="192">
        <v>1</v>
      </c>
      <c r="G462" s="193"/>
      <c r="H462" s="132">
        <v>150.29</v>
      </c>
      <c r="I462" s="78">
        <f t="shared" si="8"/>
        <v>150.29</v>
      </c>
      <c r="J462" s="119" t="s">
        <v>988</v>
      </c>
      <c r="K462" s="130" t="s">
        <v>229</v>
      </c>
      <c r="L462" s="131"/>
      <c r="M462" s="149" t="s">
        <v>261</v>
      </c>
      <c r="N462" s="135" t="s">
        <v>653</v>
      </c>
      <c r="O462" s="152" t="s">
        <v>832</v>
      </c>
    </row>
    <row r="463" spans="1:15" ht="15" customHeight="1">
      <c r="A463" s="70"/>
      <c r="B463" s="97" t="s">
        <v>405</v>
      </c>
      <c r="C463" s="98"/>
      <c r="D463" s="101" t="s">
        <v>91</v>
      </c>
      <c r="E463" s="79"/>
      <c r="F463" s="192">
        <v>2</v>
      </c>
      <c r="G463" s="193"/>
      <c r="H463" s="132">
        <v>6.04</v>
      </c>
      <c r="I463" s="78">
        <f t="shared" si="8"/>
        <v>12.08</v>
      </c>
      <c r="J463" s="119" t="s">
        <v>988</v>
      </c>
      <c r="K463" s="130" t="s">
        <v>229</v>
      </c>
      <c r="L463" s="131"/>
      <c r="M463" s="149" t="s">
        <v>260</v>
      </c>
      <c r="N463" s="135" t="s">
        <v>651</v>
      </c>
      <c r="O463" s="152" t="s">
        <v>658</v>
      </c>
    </row>
    <row r="464" spans="1:15" ht="15" customHeight="1">
      <c r="A464" s="70"/>
      <c r="B464" s="97" t="s">
        <v>405</v>
      </c>
      <c r="C464" s="77"/>
      <c r="D464" s="101" t="s">
        <v>349</v>
      </c>
      <c r="E464" s="79"/>
      <c r="F464" s="192">
        <v>6</v>
      </c>
      <c r="G464" s="193"/>
      <c r="H464" s="132">
        <v>15.59</v>
      </c>
      <c r="I464" s="78">
        <f t="shared" si="8"/>
        <v>93.539999999999992</v>
      </c>
      <c r="J464" s="119" t="s">
        <v>988</v>
      </c>
      <c r="K464" s="130" t="s">
        <v>229</v>
      </c>
      <c r="L464" s="131"/>
      <c r="M464" s="149" t="s">
        <v>386</v>
      </c>
      <c r="N464" s="135" t="s">
        <v>833</v>
      </c>
      <c r="O464" s="152" t="s">
        <v>866</v>
      </c>
    </row>
    <row r="465" spans="1:15" ht="15" customHeight="1">
      <c r="A465" s="70"/>
      <c r="B465" s="97" t="s">
        <v>405</v>
      </c>
      <c r="C465" s="77"/>
      <c r="D465" s="101" t="s">
        <v>154</v>
      </c>
      <c r="E465" s="79"/>
      <c r="F465" s="192">
        <v>2</v>
      </c>
      <c r="G465" s="193"/>
      <c r="H465" s="132">
        <v>27.23</v>
      </c>
      <c r="I465" s="78">
        <f t="shared" ref="I465:I474" si="9">F465*H465</f>
        <v>54.46</v>
      </c>
      <c r="J465" s="119" t="s">
        <v>988</v>
      </c>
      <c r="K465" s="130" t="s">
        <v>226</v>
      </c>
      <c r="L465" s="131"/>
      <c r="M465" s="149" t="s">
        <v>291</v>
      </c>
      <c r="N465" s="135" t="s">
        <v>593</v>
      </c>
      <c r="O465" s="152" t="s">
        <v>734</v>
      </c>
    </row>
    <row r="466" spans="1:15" ht="15" customHeight="1">
      <c r="A466" s="70"/>
      <c r="B466" s="97" t="s">
        <v>405</v>
      </c>
      <c r="C466" s="98"/>
      <c r="D466" s="101" t="s">
        <v>153</v>
      </c>
      <c r="E466" s="79"/>
      <c r="F466" s="192">
        <v>2</v>
      </c>
      <c r="G466" s="193"/>
      <c r="H466" s="132">
        <v>6.79</v>
      </c>
      <c r="I466" s="78">
        <f t="shared" si="9"/>
        <v>13.58</v>
      </c>
      <c r="J466" s="119" t="s">
        <v>988</v>
      </c>
      <c r="K466" s="130" t="s">
        <v>226</v>
      </c>
      <c r="L466" s="131"/>
      <c r="M466" s="149" t="s">
        <v>395</v>
      </c>
      <c r="N466" s="135" t="s">
        <v>732</v>
      </c>
      <c r="O466" s="152" t="s">
        <v>733</v>
      </c>
    </row>
    <row r="467" spans="1:15" ht="15" customHeight="1">
      <c r="A467" s="70"/>
      <c r="B467" s="97" t="s">
        <v>405</v>
      </c>
      <c r="C467" s="77"/>
      <c r="D467" s="101" t="s">
        <v>190</v>
      </c>
      <c r="E467" s="79"/>
      <c r="F467" s="192">
        <v>12</v>
      </c>
      <c r="G467" s="193"/>
      <c r="H467" s="132">
        <v>0.66</v>
      </c>
      <c r="I467" s="78">
        <f t="shared" si="9"/>
        <v>7.92</v>
      </c>
      <c r="J467" s="119" t="s">
        <v>988</v>
      </c>
      <c r="K467" s="130" t="s">
        <v>226</v>
      </c>
      <c r="L467" s="131"/>
      <c r="M467" s="149" t="s">
        <v>311</v>
      </c>
      <c r="N467" s="135" t="s">
        <v>779</v>
      </c>
      <c r="O467" s="152" t="s">
        <v>780</v>
      </c>
    </row>
    <row r="468" spans="1:15" ht="15" customHeight="1">
      <c r="A468" s="70"/>
      <c r="B468" s="97" t="s">
        <v>405</v>
      </c>
      <c r="C468" s="98"/>
      <c r="D468" s="101" t="s">
        <v>361</v>
      </c>
      <c r="E468" s="79"/>
      <c r="F468" s="192">
        <v>4</v>
      </c>
      <c r="G468" s="193"/>
      <c r="H468" s="132">
        <v>12.05</v>
      </c>
      <c r="I468" s="78">
        <f t="shared" si="9"/>
        <v>48.2</v>
      </c>
      <c r="J468" s="119" t="s">
        <v>988</v>
      </c>
      <c r="K468" s="130" t="s">
        <v>226</v>
      </c>
      <c r="L468" s="131"/>
      <c r="M468" s="149" t="s">
        <v>324</v>
      </c>
      <c r="N468" s="135" t="s">
        <v>607</v>
      </c>
      <c r="O468" s="154" t="s">
        <v>846</v>
      </c>
    </row>
    <row r="469" spans="1:15" ht="15" customHeight="1">
      <c r="A469" s="70"/>
      <c r="B469" s="97" t="s">
        <v>405</v>
      </c>
      <c r="C469" s="77"/>
      <c r="D469" s="101" t="s">
        <v>362</v>
      </c>
      <c r="E469" s="79"/>
      <c r="F469" s="192">
        <v>1</v>
      </c>
      <c r="G469" s="193"/>
      <c r="H469" s="132">
        <v>12.08</v>
      </c>
      <c r="I469" s="78">
        <f t="shared" si="9"/>
        <v>12.08</v>
      </c>
      <c r="J469" s="119" t="s">
        <v>988</v>
      </c>
      <c r="K469" s="130" t="s">
        <v>227</v>
      </c>
      <c r="L469" s="131"/>
      <c r="M469" s="149" t="s">
        <v>409</v>
      </c>
      <c r="N469" s="135" t="s">
        <v>762</v>
      </c>
      <c r="O469" s="152" t="s">
        <v>847</v>
      </c>
    </row>
    <row r="470" spans="1:15" ht="15" customHeight="1">
      <c r="A470" s="70"/>
      <c r="B470" s="97" t="s">
        <v>405</v>
      </c>
      <c r="C470" s="98"/>
      <c r="D470" s="101" t="s">
        <v>363</v>
      </c>
      <c r="E470" s="79"/>
      <c r="F470" s="192">
        <v>1</v>
      </c>
      <c r="G470" s="193"/>
      <c r="H470" s="132">
        <v>1.42</v>
      </c>
      <c r="I470" s="78">
        <f t="shared" si="9"/>
        <v>1.42</v>
      </c>
      <c r="J470" s="119" t="s">
        <v>988</v>
      </c>
      <c r="K470" s="130" t="s">
        <v>227</v>
      </c>
      <c r="L470" s="131"/>
      <c r="M470" s="149" t="s">
        <v>398</v>
      </c>
      <c r="N470" s="135" t="s">
        <v>848</v>
      </c>
      <c r="O470" s="152" t="s">
        <v>849</v>
      </c>
    </row>
    <row r="471" spans="1:15" ht="15" customHeight="1">
      <c r="A471" s="70"/>
      <c r="B471" s="97" t="s">
        <v>405</v>
      </c>
      <c r="C471" s="77"/>
      <c r="D471" s="101" t="s">
        <v>220</v>
      </c>
      <c r="E471" s="79"/>
      <c r="F471" s="192">
        <v>2</v>
      </c>
      <c r="G471" s="193"/>
      <c r="H471" s="132">
        <v>3.6</v>
      </c>
      <c r="I471" s="78">
        <f t="shared" si="9"/>
        <v>7.2</v>
      </c>
      <c r="J471" s="119" t="s">
        <v>988</v>
      </c>
      <c r="K471" s="130" t="s">
        <v>227</v>
      </c>
      <c r="L471" s="131"/>
      <c r="M471" s="149" t="s">
        <v>399</v>
      </c>
      <c r="N471" s="135" t="s">
        <v>809</v>
      </c>
      <c r="O471" s="152" t="s">
        <v>810</v>
      </c>
    </row>
    <row r="472" spans="1:15" ht="15" customHeight="1">
      <c r="A472" s="70"/>
      <c r="B472" s="97" t="s">
        <v>405</v>
      </c>
      <c r="C472" s="77"/>
      <c r="D472" s="101" t="s">
        <v>406</v>
      </c>
      <c r="E472" s="79"/>
      <c r="F472" s="192">
        <v>1</v>
      </c>
      <c r="G472" s="193"/>
      <c r="H472" s="132">
        <v>9.49</v>
      </c>
      <c r="I472" s="78">
        <f t="shared" si="9"/>
        <v>9.49</v>
      </c>
      <c r="J472" s="119" t="s">
        <v>988</v>
      </c>
      <c r="K472" s="130" t="s">
        <v>227</v>
      </c>
      <c r="L472" s="131"/>
      <c r="M472" s="149" t="s">
        <v>397</v>
      </c>
      <c r="N472" s="135" t="s">
        <v>765</v>
      </c>
      <c r="O472" s="152" t="s">
        <v>867</v>
      </c>
    </row>
    <row r="473" spans="1:15" ht="15" customHeight="1">
      <c r="A473" s="70"/>
      <c r="B473" s="97" t="s">
        <v>405</v>
      </c>
      <c r="C473" s="98"/>
      <c r="D473" s="101" t="s">
        <v>407</v>
      </c>
      <c r="E473" s="79"/>
      <c r="F473" s="192">
        <v>1</v>
      </c>
      <c r="G473" s="193"/>
      <c r="H473" s="132">
        <v>9.41</v>
      </c>
      <c r="I473" s="78">
        <f t="shared" si="9"/>
        <v>9.41</v>
      </c>
      <c r="J473" s="119" t="s">
        <v>988</v>
      </c>
      <c r="K473" s="130" t="s">
        <v>227</v>
      </c>
      <c r="L473" s="131"/>
      <c r="M473" s="149" t="s">
        <v>397</v>
      </c>
      <c r="N473" s="135" t="s">
        <v>765</v>
      </c>
      <c r="O473" s="152" t="s">
        <v>867</v>
      </c>
    </row>
    <row r="474" spans="1:15" ht="15" customHeight="1">
      <c r="A474" s="70"/>
      <c r="B474" s="97" t="s">
        <v>405</v>
      </c>
      <c r="C474" s="77"/>
      <c r="D474" s="101" t="s">
        <v>364</v>
      </c>
      <c r="E474" s="79"/>
      <c r="F474" s="192">
        <v>2</v>
      </c>
      <c r="G474" s="193"/>
      <c r="H474" s="132">
        <v>3.13</v>
      </c>
      <c r="I474" s="78">
        <f t="shared" si="9"/>
        <v>6.26</v>
      </c>
      <c r="J474" s="119" t="s">
        <v>988</v>
      </c>
      <c r="K474" s="130" t="s">
        <v>227</v>
      </c>
      <c r="L474" s="131"/>
      <c r="M474" s="149" t="s">
        <v>400</v>
      </c>
      <c r="N474" s="135" t="s">
        <v>638</v>
      </c>
      <c r="O474" s="152" t="s">
        <v>850</v>
      </c>
    </row>
    <row r="475" spans="1:15" ht="15" customHeight="1">
      <c r="A475" s="70"/>
      <c r="B475" s="97" t="s">
        <v>405</v>
      </c>
      <c r="C475" s="77"/>
      <c r="D475" s="101" t="s">
        <v>365</v>
      </c>
      <c r="E475" s="79"/>
      <c r="F475" s="192">
        <v>1</v>
      </c>
      <c r="G475" s="193"/>
      <c r="H475" s="132">
        <v>4.79</v>
      </c>
      <c r="I475" s="78">
        <f t="shared" ref="I475:I479" si="10">F475*H475</f>
        <v>4.79</v>
      </c>
      <c r="J475" s="119" t="s">
        <v>988</v>
      </c>
      <c r="K475" s="130" t="s">
        <v>227</v>
      </c>
      <c r="L475" s="131"/>
      <c r="M475" s="149" t="s">
        <v>321</v>
      </c>
      <c r="N475" s="135" t="s">
        <v>607</v>
      </c>
      <c r="O475" s="152" t="s">
        <v>851</v>
      </c>
    </row>
    <row r="476" spans="1:15" ht="15" customHeight="1">
      <c r="A476" s="70"/>
      <c r="B476" s="97" t="s">
        <v>405</v>
      </c>
      <c r="C476" s="77"/>
      <c r="D476" s="101" t="s">
        <v>366</v>
      </c>
      <c r="E476" s="79"/>
      <c r="F476" s="192">
        <v>4</v>
      </c>
      <c r="G476" s="193"/>
      <c r="H476" s="132">
        <v>2.77</v>
      </c>
      <c r="I476" s="78">
        <f t="shared" si="10"/>
        <v>11.08</v>
      </c>
      <c r="J476" s="119" t="s">
        <v>988</v>
      </c>
      <c r="K476" s="130" t="s">
        <v>227</v>
      </c>
      <c r="L476" s="131"/>
      <c r="M476" s="149" t="s">
        <v>401</v>
      </c>
      <c r="N476" s="135" t="s">
        <v>638</v>
      </c>
      <c r="O476" s="152" t="s">
        <v>852</v>
      </c>
    </row>
    <row r="477" spans="1:15" ht="15" customHeight="1">
      <c r="A477" s="70"/>
      <c r="B477" s="97" t="s">
        <v>405</v>
      </c>
      <c r="C477" s="77"/>
      <c r="D477" s="101" t="s">
        <v>367</v>
      </c>
      <c r="E477" s="79"/>
      <c r="F477" s="192">
        <v>4</v>
      </c>
      <c r="G477" s="193"/>
      <c r="H477" s="132">
        <v>7.93</v>
      </c>
      <c r="I477" s="78">
        <f t="shared" si="10"/>
        <v>31.72</v>
      </c>
      <c r="J477" s="119" t="s">
        <v>988</v>
      </c>
      <c r="K477" s="130" t="s">
        <v>227</v>
      </c>
      <c r="L477" s="131"/>
      <c r="M477" s="149" t="s">
        <v>322</v>
      </c>
      <c r="N477" s="135" t="s">
        <v>753</v>
      </c>
      <c r="O477" s="152" t="s">
        <v>854</v>
      </c>
    </row>
    <row r="478" spans="1:15" ht="15" customHeight="1">
      <c r="A478" s="70"/>
      <c r="B478" s="97" t="s">
        <v>405</v>
      </c>
      <c r="C478" s="77"/>
      <c r="D478" s="101" t="s">
        <v>369</v>
      </c>
      <c r="E478" s="79"/>
      <c r="F478" s="192">
        <v>2</v>
      </c>
      <c r="G478" s="193"/>
      <c r="H478" s="132">
        <v>0.53</v>
      </c>
      <c r="I478" s="78">
        <f t="shared" si="10"/>
        <v>1.06</v>
      </c>
      <c r="J478" s="119" t="s">
        <v>988</v>
      </c>
      <c r="K478" s="130" t="s">
        <v>227</v>
      </c>
      <c r="L478" s="131"/>
      <c r="M478" s="149" t="s">
        <v>403</v>
      </c>
      <c r="N478" s="135" t="s">
        <v>856</v>
      </c>
      <c r="O478" s="152" t="s">
        <v>857</v>
      </c>
    </row>
    <row r="479" spans="1:15" ht="15" customHeight="1">
      <c r="A479" s="70"/>
      <c r="B479" s="97" t="s">
        <v>405</v>
      </c>
      <c r="C479" s="77"/>
      <c r="D479" s="101" t="s">
        <v>370</v>
      </c>
      <c r="E479" s="79"/>
      <c r="F479" s="192">
        <v>2</v>
      </c>
      <c r="G479" s="193"/>
      <c r="H479" s="132">
        <v>23.46</v>
      </c>
      <c r="I479" s="78">
        <f t="shared" si="10"/>
        <v>46.92</v>
      </c>
      <c r="J479" s="119" t="s">
        <v>988</v>
      </c>
      <c r="K479" s="130" t="s">
        <v>227</v>
      </c>
      <c r="L479" s="131"/>
      <c r="M479" s="155" t="s">
        <v>404</v>
      </c>
      <c r="N479" s="156" t="s">
        <v>858</v>
      </c>
      <c r="O479" s="157" t="s">
        <v>859</v>
      </c>
    </row>
    <row r="480" spans="1:15" ht="15" customHeight="1">
      <c r="A480" s="70"/>
      <c r="B480" s="97" t="s">
        <v>405</v>
      </c>
      <c r="C480" s="98"/>
      <c r="D480" s="101" t="s">
        <v>371</v>
      </c>
      <c r="E480" s="79"/>
      <c r="F480" s="192">
        <v>3</v>
      </c>
      <c r="G480" s="193"/>
      <c r="H480" s="132">
        <v>3.58</v>
      </c>
      <c r="I480" s="78">
        <f>F480*H480</f>
        <v>10.74</v>
      </c>
      <c r="J480" s="119" t="s">
        <v>988</v>
      </c>
      <c r="K480" s="130" t="s">
        <v>227</v>
      </c>
      <c r="L480" s="131"/>
      <c r="M480" s="149" t="s">
        <v>400</v>
      </c>
      <c r="N480" s="136" t="s">
        <v>638</v>
      </c>
      <c r="O480" s="152" t="s">
        <v>860</v>
      </c>
    </row>
    <row r="481" spans="1:15" s="180" customFormat="1" ht="15" customHeight="1" thickBot="1">
      <c r="A481" s="168"/>
      <c r="B481" s="82" t="s">
        <v>405</v>
      </c>
      <c r="C481" s="169"/>
      <c r="D481" s="170" t="s">
        <v>368</v>
      </c>
      <c r="E481" s="171"/>
      <c r="F481" s="239">
        <v>3</v>
      </c>
      <c r="G481" s="240"/>
      <c r="H481" s="172">
        <v>22.28</v>
      </c>
      <c r="I481" s="173">
        <f>F481*H481</f>
        <v>66.84</v>
      </c>
      <c r="J481" s="174" t="s">
        <v>988</v>
      </c>
      <c r="K481" s="175" t="s">
        <v>227</v>
      </c>
      <c r="L481" s="176"/>
      <c r="M481" s="177" t="s">
        <v>402</v>
      </c>
      <c r="N481" s="178" t="s">
        <v>607</v>
      </c>
      <c r="O481" s="179" t="s">
        <v>855</v>
      </c>
    </row>
    <row r="482" spans="1:15" ht="15" customHeight="1" thickTop="1">
      <c r="A482" s="128"/>
      <c r="B482" s="97" t="s">
        <v>411</v>
      </c>
      <c r="C482" s="98"/>
      <c r="D482" s="99" t="s">
        <v>55</v>
      </c>
      <c r="E482" s="100"/>
      <c r="F482" s="241">
        <v>2</v>
      </c>
      <c r="G482" s="242"/>
      <c r="H482" s="129">
        <v>12.64</v>
      </c>
      <c r="I482" s="80">
        <f t="shared" si="0"/>
        <v>25.28</v>
      </c>
      <c r="J482" s="119" t="s">
        <v>991</v>
      </c>
      <c r="K482" s="145" t="s">
        <v>228</v>
      </c>
      <c r="L482" s="146"/>
      <c r="M482" s="148" t="s">
        <v>387</v>
      </c>
      <c r="N482" s="136" t="s">
        <v>600</v>
      </c>
      <c r="O482" s="153" t="s">
        <v>602</v>
      </c>
    </row>
    <row r="483" spans="1:15" ht="15" customHeight="1">
      <c r="A483" s="70"/>
      <c r="B483" s="97" t="s">
        <v>410</v>
      </c>
      <c r="C483" s="77"/>
      <c r="D483" s="101" t="s">
        <v>412</v>
      </c>
      <c r="E483" s="79"/>
      <c r="F483" s="192">
        <v>2</v>
      </c>
      <c r="G483" s="193"/>
      <c r="H483" s="132">
        <v>1.76</v>
      </c>
      <c r="I483" s="78">
        <f t="shared" si="0"/>
        <v>3.52</v>
      </c>
      <c r="J483" s="119" t="s">
        <v>991</v>
      </c>
      <c r="K483" s="130" t="s">
        <v>226</v>
      </c>
      <c r="L483" s="131"/>
      <c r="M483" s="149" t="s">
        <v>460</v>
      </c>
      <c r="N483" s="135" t="s">
        <v>607</v>
      </c>
      <c r="O483" s="152" t="s">
        <v>868</v>
      </c>
    </row>
    <row r="484" spans="1:15" ht="15" customHeight="1">
      <c r="A484" s="70"/>
      <c r="B484" s="97" t="s">
        <v>410</v>
      </c>
      <c r="C484" s="77"/>
      <c r="D484" s="101" t="s">
        <v>58</v>
      </c>
      <c r="E484" s="79"/>
      <c r="F484" s="192">
        <v>2</v>
      </c>
      <c r="G484" s="193"/>
      <c r="H484" s="132">
        <v>0.31</v>
      </c>
      <c r="I484" s="78">
        <f t="shared" si="0"/>
        <v>0.62</v>
      </c>
      <c r="J484" s="119" t="s">
        <v>991</v>
      </c>
      <c r="K484" s="130" t="s">
        <v>226</v>
      </c>
      <c r="L484" s="131"/>
      <c r="M484" s="149" t="s">
        <v>461</v>
      </c>
      <c r="N484" s="135" t="s">
        <v>607</v>
      </c>
      <c r="O484" s="152" t="s">
        <v>608</v>
      </c>
    </row>
    <row r="485" spans="1:15" ht="15" customHeight="1">
      <c r="A485" s="70"/>
      <c r="B485" s="97" t="s">
        <v>410</v>
      </c>
      <c r="C485" s="98"/>
      <c r="D485" s="101" t="s">
        <v>76</v>
      </c>
      <c r="E485" s="79"/>
      <c r="F485" s="192">
        <v>4</v>
      </c>
      <c r="G485" s="193"/>
      <c r="H485" s="132">
        <v>25.75</v>
      </c>
      <c r="I485" s="78">
        <f t="shared" si="0"/>
        <v>103</v>
      </c>
      <c r="J485" s="119" t="s">
        <v>991</v>
      </c>
      <c r="K485" s="130" t="s">
        <v>229</v>
      </c>
      <c r="L485" s="131"/>
      <c r="M485" s="149" t="s">
        <v>249</v>
      </c>
      <c r="N485" s="135" t="s">
        <v>634</v>
      </c>
      <c r="O485" s="152" t="s">
        <v>635</v>
      </c>
    </row>
    <row r="486" spans="1:15" ht="15" customHeight="1">
      <c r="A486" s="70"/>
      <c r="B486" s="97" t="s">
        <v>410</v>
      </c>
      <c r="C486" s="77"/>
      <c r="D486" s="101" t="s">
        <v>50</v>
      </c>
      <c r="E486" s="79"/>
      <c r="F486" s="192">
        <v>2</v>
      </c>
      <c r="G486" s="193"/>
      <c r="H486" s="132">
        <v>9.83</v>
      </c>
      <c r="I486" s="78">
        <f t="shared" si="0"/>
        <v>19.66</v>
      </c>
      <c r="J486" s="119" t="s">
        <v>991</v>
      </c>
      <c r="K486" s="130" t="s">
        <v>226</v>
      </c>
      <c r="L486" s="131"/>
      <c r="M486" s="149" t="s">
        <v>233</v>
      </c>
      <c r="N486" s="135" t="s">
        <v>593</v>
      </c>
      <c r="O486" s="154" t="s">
        <v>594</v>
      </c>
    </row>
    <row r="487" spans="1:15" ht="15" customHeight="1">
      <c r="A487" s="70"/>
      <c r="B487" s="97" t="s">
        <v>410</v>
      </c>
      <c r="C487" s="77"/>
      <c r="D487" s="101" t="s">
        <v>413</v>
      </c>
      <c r="E487" s="79"/>
      <c r="F487" s="192">
        <v>1</v>
      </c>
      <c r="G487" s="193"/>
      <c r="H487" s="132">
        <v>13.81</v>
      </c>
      <c r="I487" s="78">
        <f t="shared" si="0"/>
        <v>13.81</v>
      </c>
      <c r="J487" s="119" t="s">
        <v>991</v>
      </c>
      <c r="K487" s="130" t="s">
        <v>226</v>
      </c>
      <c r="L487" s="131"/>
      <c r="M487" s="149" t="s">
        <v>235</v>
      </c>
      <c r="N487" s="135" t="s">
        <v>597</v>
      </c>
      <c r="O487" s="152" t="s">
        <v>869</v>
      </c>
    </row>
    <row r="488" spans="1:15" ht="15" customHeight="1">
      <c r="A488" s="70"/>
      <c r="B488" s="97" t="s">
        <v>410</v>
      </c>
      <c r="C488" s="98"/>
      <c r="D488" s="101" t="s">
        <v>414</v>
      </c>
      <c r="E488" s="79"/>
      <c r="F488" s="192">
        <v>1</v>
      </c>
      <c r="G488" s="193"/>
      <c r="H488" s="132">
        <v>9.52</v>
      </c>
      <c r="I488" s="78">
        <f t="shared" si="0"/>
        <v>9.52</v>
      </c>
      <c r="J488" s="119" t="s">
        <v>991</v>
      </c>
      <c r="K488" s="130" t="s">
        <v>226</v>
      </c>
      <c r="L488" s="131"/>
      <c r="M488" s="149" t="s">
        <v>377</v>
      </c>
      <c r="N488" s="135" t="s">
        <v>597</v>
      </c>
      <c r="O488" s="152" t="s">
        <v>870</v>
      </c>
    </row>
    <row r="489" spans="1:15" ht="15" customHeight="1">
      <c r="A489" s="70"/>
      <c r="B489" s="97" t="s">
        <v>410</v>
      </c>
      <c r="C489" s="77"/>
      <c r="D489" s="101" t="s">
        <v>415</v>
      </c>
      <c r="E489" s="79"/>
      <c r="F489" s="192">
        <v>2</v>
      </c>
      <c r="G489" s="193"/>
      <c r="H489" s="132">
        <v>9.52</v>
      </c>
      <c r="I489" s="78">
        <f t="shared" si="0"/>
        <v>19.04</v>
      </c>
      <c r="J489" s="119" t="s">
        <v>991</v>
      </c>
      <c r="K489" s="130" t="s">
        <v>226</v>
      </c>
      <c r="L489" s="131"/>
      <c r="M489" s="149" t="s">
        <v>377</v>
      </c>
      <c r="N489" s="135" t="s">
        <v>597</v>
      </c>
      <c r="O489" s="152" t="s">
        <v>871</v>
      </c>
    </row>
    <row r="490" spans="1:15" ht="15" customHeight="1">
      <c r="A490" s="70"/>
      <c r="B490" s="97" t="s">
        <v>410</v>
      </c>
      <c r="C490" s="77"/>
      <c r="D490" s="101" t="s">
        <v>416</v>
      </c>
      <c r="E490" s="79"/>
      <c r="F490" s="192">
        <v>1</v>
      </c>
      <c r="G490" s="193"/>
      <c r="H490" s="132">
        <v>9.52</v>
      </c>
      <c r="I490" s="78">
        <f t="shared" si="0"/>
        <v>9.52</v>
      </c>
      <c r="J490" s="119" t="s">
        <v>991</v>
      </c>
      <c r="K490" s="130" t="s">
        <v>226</v>
      </c>
      <c r="L490" s="131"/>
      <c r="M490" s="149" t="s">
        <v>377</v>
      </c>
      <c r="N490" s="135" t="s">
        <v>597</v>
      </c>
      <c r="O490" s="152" t="s">
        <v>872</v>
      </c>
    </row>
    <row r="491" spans="1:15" ht="15" customHeight="1">
      <c r="A491" s="70"/>
      <c r="B491" s="97" t="s">
        <v>410</v>
      </c>
      <c r="C491" s="98"/>
      <c r="D491" s="101" t="s">
        <v>61</v>
      </c>
      <c r="E491" s="79"/>
      <c r="F491" s="192">
        <v>2</v>
      </c>
      <c r="G491" s="193"/>
      <c r="H491" s="132">
        <v>8.19</v>
      </c>
      <c r="I491" s="78">
        <f t="shared" si="0"/>
        <v>16.38</v>
      </c>
      <c r="J491" s="119" t="s">
        <v>991</v>
      </c>
      <c r="K491" s="130" t="s">
        <v>229</v>
      </c>
      <c r="L491" s="131"/>
      <c r="M491" s="149" t="s">
        <v>241</v>
      </c>
      <c r="N491" s="135" t="s">
        <v>593</v>
      </c>
      <c r="O491" s="152" t="s">
        <v>612</v>
      </c>
    </row>
    <row r="492" spans="1:15" ht="15" customHeight="1">
      <c r="A492" s="70"/>
      <c r="B492" s="97" t="s">
        <v>410</v>
      </c>
      <c r="C492" s="77"/>
      <c r="D492" s="101" t="s">
        <v>63</v>
      </c>
      <c r="E492" s="79"/>
      <c r="F492" s="192">
        <v>1</v>
      </c>
      <c r="G492" s="193"/>
      <c r="H492" s="132">
        <v>287.14</v>
      </c>
      <c r="I492" s="78">
        <f t="shared" si="0"/>
        <v>287.14</v>
      </c>
      <c r="J492" s="119" t="s">
        <v>991</v>
      </c>
      <c r="K492" s="130" t="s">
        <v>229</v>
      </c>
      <c r="L492" s="131"/>
      <c r="M492" s="149" t="s">
        <v>243</v>
      </c>
      <c r="N492" s="135" t="s">
        <v>615</v>
      </c>
      <c r="O492" s="152" t="s">
        <v>616</v>
      </c>
    </row>
    <row r="493" spans="1:15" ht="15" customHeight="1">
      <c r="A493" s="70"/>
      <c r="B493" s="97" t="s">
        <v>410</v>
      </c>
      <c r="C493" s="77"/>
      <c r="D493" s="101" t="s">
        <v>62</v>
      </c>
      <c r="E493" s="79"/>
      <c r="F493" s="192">
        <v>2</v>
      </c>
      <c r="G493" s="193"/>
      <c r="H493" s="132">
        <v>8.27</v>
      </c>
      <c r="I493" s="78">
        <f t="shared" si="0"/>
        <v>16.54</v>
      </c>
      <c r="J493" s="119" t="s">
        <v>991</v>
      </c>
      <c r="K493" s="130" t="s">
        <v>229</v>
      </c>
      <c r="L493" s="131"/>
      <c r="M493" s="155" t="s">
        <v>242</v>
      </c>
      <c r="N493" s="156" t="s">
        <v>613</v>
      </c>
      <c r="O493" s="157" t="s">
        <v>614</v>
      </c>
    </row>
    <row r="494" spans="1:15" ht="15" customHeight="1">
      <c r="A494" s="70"/>
      <c r="B494" s="97" t="s">
        <v>410</v>
      </c>
      <c r="C494" s="98"/>
      <c r="D494" s="101" t="s">
        <v>67</v>
      </c>
      <c r="E494" s="79"/>
      <c r="F494" s="192">
        <v>2</v>
      </c>
      <c r="G494" s="193"/>
      <c r="H494" s="132">
        <v>18.73</v>
      </c>
      <c r="I494" s="78">
        <f t="shared" si="0"/>
        <v>37.46</v>
      </c>
      <c r="J494" s="119" t="s">
        <v>991</v>
      </c>
      <c r="K494" s="130" t="s">
        <v>230</v>
      </c>
      <c r="L494" s="131"/>
      <c r="M494" s="149" t="s">
        <v>246</v>
      </c>
      <c r="N494" s="136" t="s">
        <v>597</v>
      </c>
      <c r="O494" s="152" t="s">
        <v>621</v>
      </c>
    </row>
    <row r="495" spans="1:15" ht="15" customHeight="1">
      <c r="A495" s="70"/>
      <c r="B495" s="97" t="s">
        <v>410</v>
      </c>
      <c r="C495" s="77"/>
      <c r="D495" s="101" t="s">
        <v>66</v>
      </c>
      <c r="E495" s="79"/>
      <c r="F495" s="192">
        <v>1</v>
      </c>
      <c r="G495" s="193"/>
      <c r="H495" s="132">
        <v>20.29</v>
      </c>
      <c r="I495" s="78">
        <f t="shared" si="0"/>
        <v>20.29</v>
      </c>
      <c r="J495" s="119" t="s">
        <v>991</v>
      </c>
      <c r="K495" s="130" t="s">
        <v>230</v>
      </c>
      <c r="L495" s="131"/>
      <c r="M495" s="149" t="s">
        <v>245</v>
      </c>
      <c r="N495" s="135" t="s">
        <v>618</v>
      </c>
      <c r="O495" s="152" t="s">
        <v>620</v>
      </c>
    </row>
    <row r="496" spans="1:15" ht="15" customHeight="1">
      <c r="A496" s="70"/>
      <c r="B496" s="97" t="s">
        <v>410</v>
      </c>
      <c r="C496" s="77"/>
      <c r="D496" s="101" t="s">
        <v>335</v>
      </c>
      <c r="E496" s="79"/>
      <c r="F496" s="192">
        <v>1</v>
      </c>
      <c r="G496" s="193"/>
      <c r="H496" s="132">
        <v>11.7</v>
      </c>
      <c r="I496" s="78">
        <f t="shared" si="0"/>
        <v>11.7</v>
      </c>
      <c r="J496" s="119" t="s">
        <v>991</v>
      </c>
      <c r="K496" s="130" t="s">
        <v>230</v>
      </c>
      <c r="L496" s="131"/>
      <c r="M496" s="149" t="s">
        <v>245</v>
      </c>
      <c r="N496" s="135" t="s">
        <v>618</v>
      </c>
      <c r="O496" s="152" t="s">
        <v>821</v>
      </c>
    </row>
    <row r="497" spans="1:15" ht="15" customHeight="1">
      <c r="A497" s="70"/>
      <c r="B497" s="97" t="s">
        <v>410</v>
      </c>
      <c r="C497" s="98"/>
      <c r="D497" s="101" t="s">
        <v>72</v>
      </c>
      <c r="E497" s="79"/>
      <c r="F497" s="192">
        <v>1</v>
      </c>
      <c r="G497" s="193"/>
      <c r="H497" s="132">
        <v>4.72</v>
      </c>
      <c r="I497" s="78">
        <f t="shared" si="0"/>
        <v>4.72</v>
      </c>
      <c r="J497" s="119" t="s">
        <v>991</v>
      </c>
      <c r="K497" s="130" t="s">
        <v>226</v>
      </c>
      <c r="L497" s="131"/>
      <c r="M497" s="149" t="s">
        <v>248</v>
      </c>
      <c r="N497" s="135" t="s">
        <v>626</v>
      </c>
      <c r="O497" s="152" t="s">
        <v>628</v>
      </c>
    </row>
    <row r="498" spans="1:15" ht="15" customHeight="1">
      <c r="A498" s="70"/>
      <c r="B498" s="97" t="s">
        <v>410</v>
      </c>
      <c r="C498" s="77"/>
      <c r="D498" s="101" t="s">
        <v>73</v>
      </c>
      <c r="E498" s="79"/>
      <c r="F498" s="192">
        <v>2</v>
      </c>
      <c r="G498" s="193"/>
      <c r="H498" s="132">
        <v>15.45</v>
      </c>
      <c r="I498" s="78">
        <f t="shared" si="0"/>
        <v>30.9</v>
      </c>
      <c r="J498" s="119" t="s">
        <v>991</v>
      </c>
      <c r="K498" s="130" t="s">
        <v>226</v>
      </c>
      <c r="L498" s="131"/>
      <c r="M498" s="149" t="s">
        <v>248</v>
      </c>
      <c r="N498" s="135" t="s">
        <v>626</v>
      </c>
      <c r="O498" s="152" t="s">
        <v>629</v>
      </c>
    </row>
    <row r="499" spans="1:15" ht="15" customHeight="1">
      <c r="A499" s="70"/>
      <c r="B499" s="97" t="s">
        <v>410</v>
      </c>
      <c r="C499" s="77"/>
      <c r="D499" s="101" t="s">
        <v>69</v>
      </c>
      <c r="E499" s="79"/>
      <c r="F499" s="192">
        <v>2</v>
      </c>
      <c r="G499" s="193"/>
      <c r="H499" s="132">
        <v>7.02</v>
      </c>
      <c r="I499" s="78">
        <f t="shared" si="0"/>
        <v>14.04</v>
      </c>
      <c r="J499" s="119" t="s">
        <v>991</v>
      </c>
      <c r="K499" s="130" t="s">
        <v>230</v>
      </c>
      <c r="L499" s="131"/>
      <c r="M499" s="149" t="s">
        <v>247</v>
      </c>
      <c r="N499" s="135" t="s">
        <v>623</v>
      </c>
      <c r="O499" s="152" t="s">
        <v>624</v>
      </c>
    </row>
    <row r="500" spans="1:15" ht="15" customHeight="1">
      <c r="A500" s="70"/>
      <c r="B500" s="97" t="s">
        <v>410</v>
      </c>
      <c r="C500" s="98"/>
      <c r="D500" s="101" t="s">
        <v>59</v>
      </c>
      <c r="E500" s="79"/>
      <c r="F500" s="192">
        <v>1</v>
      </c>
      <c r="G500" s="193"/>
      <c r="H500" s="132">
        <v>31.06</v>
      </c>
      <c r="I500" s="78">
        <f t="shared" si="0"/>
        <v>31.06</v>
      </c>
      <c r="J500" s="119" t="s">
        <v>991</v>
      </c>
      <c r="K500" s="130" t="s">
        <v>226</v>
      </c>
      <c r="L500" s="131"/>
      <c r="M500" s="149" t="s">
        <v>376</v>
      </c>
      <c r="N500" s="135" t="s">
        <v>609</v>
      </c>
      <c r="O500" s="152" t="s">
        <v>610</v>
      </c>
    </row>
    <row r="501" spans="1:15" ht="15" customHeight="1">
      <c r="A501" s="70"/>
      <c r="B501" s="97" t="s">
        <v>410</v>
      </c>
      <c r="C501" s="77"/>
      <c r="D501" s="101" t="s">
        <v>60</v>
      </c>
      <c r="E501" s="79"/>
      <c r="F501" s="192">
        <v>1</v>
      </c>
      <c r="G501" s="193"/>
      <c r="H501" s="132">
        <v>42.76</v>
      </c>
      <c r="I501" s="78">
        <f t="shared" si="0"/>
        <v>42.76</v>
      </c>
      <c r="J501" s="119" t="s">
        <v>991</v>
      </c>
      <c r="K501" s="130" t="s">
        <v>226</v>
      </c>
      <c r="L501" s="131"/>
      <c r="M501" s="149" t="s">
        <v>462</v>
      </c>
      <c r="N501" s="135" t="s">
        <v>609</v>
      </c>
      <c r="O501" s="152" t="s">
        <v>611</v>
      </c>
    </row>
    <row r="502" spans="1:15" ht="15" customHeight="1">
      <c r="A502" s="70"/>
      <c r="B502" s="97" t="s">
        <v>410</v>
      </c>
      <c r="C502" s="77"/>
      <c r="D502" s="101" t="s">
        <v>77</v>
      </c>
      <c r="E502" s="79"/>
      <c r="F502" s="192">
        <v>1</v>
      </c>
      <c r="G502" s="193"/>
      <c r="H502" s="132">
        <v>46.82</v>
      </c>
      <c r="I502" s="78">
        <f t="shared" si="0"/>
        <v>46.82</v>
      </c>
      <c r="J502" s="119" t="s">
        <v>991</v>
      </c>
      <c r="K502" s="130" t="s">
        <v>372</v>
      </c>
      <c r="L502" s="131"/>
      <c r="M502" s="149" t="s">
        <v>380</v>
      </c>
      <c r="N502" s="135" t="s">
        <v>636</v>
      </c>
      <c r="O502" s="152" t="s">
        <v>637</v>
      </c>
    </row>
    <row r="503" spans="1:15" ht="15" customHeight="1">
      <c r="A503" s="70"/>
      <c r="B503" s="97" t="s">
        <v>410</v>
      </c>
      <c r="C503" s="98"/>
      <c r="D503" s="101" t="s">
        <v>417</v>
      </c>
      <c r="E503" s="79"/>
      <c r="F503" s="192">
        <v>3</v>
      </c>
      <c r="G503" s="193"/>
      <c r="H503" s="132">
        <v>218.58</v>
      </c>
      <c r="I503" s="78">
        <f t="shared" ref="I503:I562" si="11">F503*H503</f>
        <v>655.74</v>
      </c>
      <c r="J503" s="119" t="s">
        <v>991</v>
      </c>
      <c r="K503" s="130" t="s">
        <v>229</v>
      </c>
      <c r="L503" s="131"/>
      <c r="M503" s="149" t="s">
        <v>463</v>
      </c>
      <c r="N503" s="135" t="s">
        <v>873</v>
      </c>
      <c r="O503" s="152" t="s">
        <v>874</v>
      </c>
    </row>
    <row r="504" spans="1:15" ht="15" customHeight="1">
      <c r="A504" s="70"/>
      <c r="B504" s="97" t="s">
        <v>410</v>
      </c>
      <c r="C504" s="77"/>
      <c r="D504" s="101" t="s">
        <v>137</v>
      </c>
      <c r="E504" s="79"/>
      <c r="F504" s="192">
        <v>2</v>
      </c>
      <c r="G504" s="193"/>
      <c r="H504" s="132">
        <v>4.37</v>
      </c>
      <c r="I504" s="78">
        <f t="shared" si="11"/>
        <v>8.74</v>
      </c>
      <c r="J504" s="119" t="s">
        <v>991</v>
      </c>
      <c r="K504" s="130" t="s">
        <v>226</v>
      </c>
      <c r="L504" s="131"/>
      <c r="M504" s="149" t="s">
        <v>280</v>
      </c>
      <c r="N504" s="135" t="s">
        <v>713</v>
      </c>
      <c r="O504" s="152" t="s">
        <v>714</v>
      </c>
    </row>
    <row r="505" spans="1:15" ht="15" customHeight="1">
      <c r="A505" s="70"/>
      <c r="B505" s="97" t="s">
        <v>410</v>
      </c>
      <c r="C505" s="77"/>
      <c r="D505" s="101" t="s">
        <v>418</v>
      </c>
      <c r="E505" s="79"/>
      <c r="F505" s="192">
        <v>12</v>
      </c>
      <c r="G505" s="193"/>
      <c r="H505" s="132">
        <v>0.08</v>
      </c>
      <c r="I505" s="78">
        <f t="shared" si="11"/>
        <v>0.96</v>
      </c>
      <c r="J505" s="119" t="s">
        <v>991</v>
      </c>
      <c r="K505" s="130" t="s">
        <v>226</v>
      </c>
      <c r="L505" s="131"/>
      <c r="M505" s="149" t="s">
        <v>464</v>
      </c>
      <c r="N505" s="135" t="s">
        <v>875</v>
      </c>
      <c r="O505" s="152" t="s">
        <v>876</v>
      </c>
    </row>
    <row r="506" spans="1:15" ht="15" customHeight="1">
      <c r="A506" s="70"/>
      <c r="B506" s="97" t="s">
        <v>410</v>
      </c>
      <c r="C506" s="98"/>
      <c r="D506" s="101" t="s">
        <v>419</v>
      </c>
      <c r="E506" s="79"/>
      <c r="F506" s="192">
        <v>12</v>
      </c>
      <c r="G506" s="193"/>
      <c r="H506" s="132">
        <v>0.08</v>
      </c>
      <c r="I506" s="78">
        <f t="shared" si="11"/>
        <v>0.96</v>
      </c>
      <c r="J506" s="119" t="s">
        <v>991</v>
      </c>
      <c r="K506" s="130" t="s">
        <v>226</v>
      </c>
      <c r="L506" s="131"/>
      <c r="M506" s="149" t="s">
        <v>465</v>
      </c>
      <c r="N506" s="135" t="s">
        <v>856</v>
      </c>
      <c r="O506" s="152" t="s">
        <v>877</v>
      </c>
    </row>
    <row r="507" spans="1:15" ht="15" customHeight="1">
      <c r="A507" s="70"/>
      <c r="B507" s="97" t="s">
        <v>410</v>
      </c>
      <c r="C507" s="77"/>
      <c r="D507" s="101" t="s">
        <v>420</v>
      </c>
      <c r="E507" s="79"/>
      <c r="F507" s="192">
        <v>6</v>
      </c>
      <c r="G507" s="193"/>
      <c r="H507" s="132">
        <v>5.28</v>
      </c>
      <c r="I507" s="78">
        <f t="shared" si="11"/>
        <v>31.68</v>
      </c>
      <c r="J507" s="119" t="s">
        <v>991</v>
      </c>
      <c r="K507" s="130" t="s">
        <v>229</v>
      </c>
      <c r="L507" s="131"/>
      <c r="M507" s="149" t="s">
        <v>466</v>
      </c>
      <c r="N507" s="135" t="s">
        <v>651</v>
      </c>
      <c r="O507" s="152" t="s">
        <v>878</v>
      </c>
    </row>
    <row r="508" spans="1:15" ht="15" customHeight="1">
      <c r="A508" s="70"/>
      <c r="B508" s="97" t="s">
        <v>410</v>
      </c>
      <c r="C508" s="77"/>
      <c r="D508" s="101" t="s">
        <v>421</v>
      </c>
      <c r="E508" s="79"/>
      <c r="F508" s="192">
        <v>3</v>
      </c>
      <c r="G508" s="193"/>
      <c r="H508" s="132">
        <v>259.83</v>
      </c>
      <c r="I508" s="78">
        <f t="shared" si="11"/>
        <v>779.49</v>
      </c>
      <c r="J508" s="119" t="s">
        <v>991</v>
      </c>
      <c r="K508" s="130" t="s">
        <v>229</v>
      </c>
      <c r="L508" s="131"/>
      <c r="M508" s="149" t="s">
        <v>467</v>
      </c>
      <c r="N508" s="135" t="s">
        <v>653</v>
      </c>
      <c r="O508" s="152" t="s">
        <v>879</v>
      </c>
    </row>
    <row r="509" spans="1:15" ht="15" customHeight="1">
      <c r="A509" s="70"/>
      <c r="B509" s="97" t="s">
        <v>410</v>
      </c>
      <c r="C509" s="98"/>
      <c r="D509" s="101" t="s">
        <v>86</v>
      </c>
      <c r="E509" s="79"/>
      <c r="F509" s="192">
        <v>20</v>
      </c>
      <c r="G509" s="193"/>
      <c r="H509" s="132">
        <v>3.93</v>
      </c>
      <c r="I509" s="78">
        <f t="shared" si="11"/>
        <v>78.600000000000009</v>
      </c>
      <c r="J509" s="119" t="s">
        <v>991</v>
      </c>
      <c r="K509" s="130" t="s">
        <v>229</v>
      </c>
      <c r="L509" s="131"/>
      <c r="M509" s="149" t="s">
        <v>466</v>
      </c>
      <c r="N509" s="135" t="s">
        <v>651</v>
      </c>
      <c r="O509" s="152" t="s">
        <v>652</v>
      </c>
    </row>
    <row r="510" spans="1:15" ht="15" customHeight="1">
      <c r="A510" s="70"/>
      <c r="B510" s="97" t="s">
        <v>410</v>
      </c>
      <c r="C510" s="77"/>
      <c r="D510" s="101" t="s">
        <v>422</v>
      </c>
      <c r="E510" s="79"/>
      <c r="F510" s="192">
        <v>6</v>
      </c>
      <c r="G510" s="193"/>
      <c r="H510" s="132">
        <v>35.4</v>
      </c>
      <c r="I510" s="78">
        <f t="shared" si="11"/>
        <v>212.39999999999998</v>
      </c>
      <c r="J510" s="119" t="s">
        <v>991</v>
      </c>
      <c r="K510" s="130" t="s">
        <v>229</v>
      </c>
      <c r="L510" s="131"/>
      <c r="M510" s="149" t="s">
        <v>261</v>
      </c>
      <c r="N510" s="135" t="s">
        <v>653</v>
      </c>
      <c r="O510" s="152" t="s">
        <v>880</v>
      </c>
    </row>
    <row r="511" spans="1:15" ht="15" customHeight="1">
      <c r="A511" s="70"/>
      <c r="B511" s="97" t="s">
        <v>410</v>
      </c>
      <c r="C511" s="77"/>
      <c r="D511" s="101" t="s">
        <v>423</v>
      </c>
      <c r="E511" s="79"/>
      <c r="F511" s="192">
        <v>6</v>
      </c>
      <c r="G511" s="193"/>
      <c r="H511" s="132">
        <v>5.67</v>
      </c>
      <c r="I511" s="78">
        <f t="shared" si="11"/>
        <v>34.019999999999996</v>
      </c>
      <c r="J511" s="119" t="s">
        <v>991</v>
      </c>
      <c r="K511" s="130" t="s">
        <v>229</v>
      </c>
      <c r="L511" s="131"/>
      <c r="M511" s="149" t="s">
        <v>466</v>
      </c>
      <c r="N511" s="135" t="s">
        <v>651</v>
      </c>
      <c r="O511" s="152" t="s">
        <v>881</v>
      </c>
    </row>
    <row r="512" spans="1:15" ht="15" customHeight="1">
      <c r="A512" s="70"/>
      <c r="B512" s="97" t="s">
        <v>410</v>
      </c>
      <c r="C512" s="98"/>
      <c r="D512" s="101" t="s">
        <v>424</v>
      </c>
      <c r="E512" s="79"/>
      <c r="F512" s="192">
        <v>3</v>
      </c>
      <c r="G512" s="193"/>
      <c r="H512" s="132">
        <v>65.41</v>
      </c>
      <c r="I512" s="78">
        <f t="shared" si="11"/>
        <v>196.23</v>
      </c>
      <c r="J512" s="119" t="s">
        <v>991</v>
      </c>
      <c r="K512" s="130" t="s">
        <v>229</v>
      </c>
      <c r="L512" s="131"/>
      <c r="M512" s="149" t="s">
        <v>261</v>
      </c>
      <c r="N512" s="135" t="s">
        <v>653</v>
      </c>
      <c r="O512" s="152" t="s">
        <v>882</v>
      </c>
    </row>
    <row r="513" spans="1:15" ht="15" customHeight="1">
      <c r="A513" s="70"/>
      <c r="B513" s="97" t="s">
        <v>410</v>
      </c>
      <c r="C513" s="77"/>
      <c r="D513" s="101" t="s">
        <v>121</v>
      </c>
      <c r="E513" s="79"/>
      <c r="F513" s="192">
        <v>13</v>
      </c>
      <c r="G513" s="193"/>
      <c r="H513" s="132">
        <v>4.03</v>
      </c>
      <c r="I513" s="78">
        <f t="shared" si="11"/>
        <v>52.39</v>
      </c>
      <c r="J513" s="119" t="s">
        <v>991</v>
      </c>
      <c r="K513" s="130" t="s">
        <v>229</v>
      </c>
      <c r="L513" s="131"/>
      <c r="M513" s="149" t="s">
        <v>468</v>
      </c>
      <c r="N513" s="135" t="s">
        <v>607</v>
      </c>
      <c r="O513" s="152" t="s">
        <v>692</v>
      </c>
    </row>
    <row r="514" spans="1:15" ht="15" customHeight="1">
      <c r="A514" s="70"/>
      <c r="B514" s="97" t="s">
        <v>410</v>
      </c>
      <c r="C514" s="77"/>
      <c r="D514" s="101" t="s">
        <v>130</v>
      </c>
      <c r="E514" s="79"/>
      <c r="F514" s="192">
        <v>8</v>
      </c>
      <c r="G514" s="193"/>
      <c r="H514" s="132">
        <v>2.1800000000000002</v>
      </c>
      <c r="I514" s="78">
        <f t="shared" si="11"/>
        <v>17.440000000000001</v>
      </c>
      <c r="J514" s="119" t="s">
        <v>991</v>
      </c>
      <c r="K514" s="130" t="s">
        <v>226</v>
      </c>
      <c r="L514" s="131"/>
      <c r="M514" s="149" t="s">
        <v>273</v>
      </c>
      <c r="N514" s="135" t="s">
        <v>701</v>
      </c>
      <c r="O514" s="152" t="s">
        <v>883</v>
      </c>
    </row>
    <row r="515" spans="1:15" ht="15" customHeight="1">
      <c r="A515" s="70"/>
      <c r="B515" s="97" t="s">
        <v>410</v>
      </c>
      <c r="C515" s="98"/>
      <c r="D515" s="101" t="s">
        <v>425</v>
      </c>
      <c r="E515" s="79"/>
      <c r="F515" s="192">
        <v>1</v>
      </c>
      <c r="G515" s="193"/>
      <c r="H515" s="132">
        <v>1.98</v>
      </c>
      <c r="I515" s="78">
        <f t="shared" si="11"/>
        <v>1.98</v>
      </c>
      <c r="J515" s="119" t="s">
        <v>991</v>
      </c>
      <c r="K515" s="130" t="s">
        <v>229</v>
      </c>
      <c r="L515" s="131"/>
      <c r="M515" s="149" t="s">
        <v>469</v>
      </c>
      <c r="N515" s="135" t="s">
        <v>607</v>
      </c>
      <c r="O515" s="152" t="s">
        <v>884</v>
      </c>
    </row>
    <row r="516" spans="1:15" ht="15" customHeight="1">
      <c r="A516" s="70"/>
      <c r="B516" s="97" t="s">
        <v>410</v>
      </c>
      <c r="C516" s="77"/>
      <c r="D516" s="101" t="s">
        <v>341</v>
      </c>
      <c r="E516" s="79"/>
      <c r="F516" s="192">
        <v>1</v>
      </c>
      <c r="G516" s="193"/>
      <c r="H516" s="132">
        <v>19.940000000000001</v>
      </c>
      <c r="I516" s="78">
        <f t="shared" si="11"/>
        <v>19.940000000000001</v>
      </c>
      <c r="J516" s="119" t="s">
        <v>991</v>
      </c>
      <c r="K516" s="130" t="s">
        <v>229</v>
      </c>
      <c r="L516" s="131"/>
      <c r="M516" s="149" t="s">
        <v>265</v>
      </c>
      <c r="N516" s="135" t="s">
        <v>672</v>
      </c>
      <c r="O516" s="152" t="s">
        <v>827</v>
      </c>
    </row>
    <row r="517" spans="1:15" ht="15" customHeight="1">
      <c r="A517" s="70"/>
      <c r="B517" s="97" t="s">
        <v>410</v>
      </c>
      <c r="C517" s="77"/>
      <c r="D517" s="101" t="s">
        <v>102</v>
      </c>
      <c r="E517" s="79"/>
      <c r="F517" s="192">
        <v>1</v>
      </c>
      <c r="G517" s="193"/>
      <c r="H517" s="132">
        <v>13.28</v>
      </c>
      <c r="I517" s="78">
        <f t="shared" si="11"/>
        <v>13.28</v>
      </c>
      <c r="J517" s="119" t="s">
        <v>991</v>
      </c>
      <c r="K517" s="130" t="s">
        <v>229</v>
      </c>
      <c r="L517" s="131"/>
      <c r="M517" s="149" t="s">
        <v>470</v>
      </c>
      <c r="N517" s="135" t="s">
        <v>670</v>
      </c>
      <c r="O517" s="152" t="s">
        <v>671</v>
      </c>
    </row>
    <row r="518" spans="1:15" ht="15" customHeight="1">
      <c r="A518" s="70"/>
      <c r="B518" s="97" t="s">
        <v>410</v>
      </c>
      <c r="C518" s="98"/>
      <c r="D518" s="101" t="s">
        <v>103</v>
      </c>
      <c r="E518" s="79"/>
      <c r="F518" s="192">
        <v>1</v>
      </c>
      <c r="G518" s="193"/>
      <c r="H518" s="132">
        <v>25</v>
      </c>
      <c r="I518" s="78">
        <f t="shared" si="11"/>
        <v>25</v>
      </c>
      <c r="J518" s="119" t="s">
        <v>991</v>
      </c>
      <c r="K518" s="130" t="s">
        <v>229</v>
      </c>
      <c r="L518" s="131"/>
      <c r="M518" s="149" t="s">
        <v>265</v>
      </c>
      <c r="N518" s="135" t="s">
        <v>672</v>
      </c>
      <c r="O518" s="152" t="s">
        <v>673</v>
      </c>
    </row>
    <row r="519" spans="1:15" ht="15" customHeight="1">
      <c r="A519" s="70"/>
      <c r="B519" s="97" t="s">
        <v>410</v>
      </c>
      <c r="C519" s="77"/>
      <c r="D519" s="101" t="s">
        <v>426</v>
      </c>
      <c r="E519" s="79"/>
      <c r="F519" s="192">
        <v>3</v>
      </c>
      <c r="G519" s="193"/>
      <c r="H519" s="132">
        <v>4.03</v>
      </c>
      <c r="I519" s="78">
        <f t="shared" si="11"/>
        <v>12.09</v>
      </c>
      <c r="J519" s="119" t="s">
        <v>991</v>
      </c>
      <c r="K519" s="130" t="s">
        <v>229</v>
      </c>
      <c r="L519" s="131"/>
      <c r="M519" s="149" t="s">
        <v>263</v>
      </c>
      <c r="N519" s="135" t="s">
        <v>607</v>
      </c>
      <c r="O519" s="152" t="s">
        <v>885</v>
      </c>
    </row>
    <row r="520" spans="1:15" ht="15" customHeight="1">
      <c r="A520" s="70"/>
      <c r="B520" s="97" t="s">
        <v>410</v>
      </c>
      <c r="C520" s="77"/>
      <c r="D520" s="101" t="s">
        <v>132</v>
      </c>
      <c r="E520" s="79"/>
      <c r="F520" s="192">
        <v>16</v>
      </c>
      <c r="G520" s="193"/>
      <c r="H520" s="132">
        <v>2.57</v>
      </c>
      <c r="I520" s="78">
        <f t="shared" si="11"/>
        <v>41.12</v>
      </c>
      <c r="J520" s="119" t="s">
        <v>991</v>
      </c>
      <c r="K520" s="130" t="s">
        <v>226</v>
      </c>
      <c r="L520" s="131"/>
      <c r="M520" s="149" t="s">
        <v>471</v>
      </c>
      <c r="N520" s="135" t="s">
        <v>705</v>
      </c>
      <c r="O520" s="152" t="s">
        <v>706</v>
      </c>
    </row>
    <row r="521" spans="1:15" ht="15" customHeight="1">
      <c r="A521" s="70"/>
      <c r="B521" s="97" t="s">
        <v>410</v>
      </c>
      <c r="C521" s="98"/>
      <c r="D521" s="101" t="s">
        <v>427</v>
      </c>
      <c r="E521" s="79"/>
      <c r="F521" s="192">
        <v>2</v>
      </c>
      <c r="G521" s="193"/>
      <c r="H521" s="132">
        <v>19.23</v>
      </c>
      <c r="I521" s="78">
        <f t="shared" si="11"/>
        <v>38.46</v>
      </c>
      <c r="J521" s="119" t="s">
        <v>991</v>
      </c>
      <c r="K521" s="130" t="s">
        <v>229</v>
      </c>
      <c r="L521" s="131"/>
      <c r="M521" s="149" t="s">
        <v>267</v>
      </c>
      <c r="N521" s="135" t="s">
        <v>638</v>
      </c>
      <c r="O521" s="152" t="s">
        <v>886</v>
      </c>
    </row>
    <row r="522" spans="1:15" ht="15" customHeight="1">
      <c r="A522" s="70"/>
      <c r="B522" s="97" t="s">
        <v>410</v>
      </c>
      <c r="C522" s="77"/>
      <c r="D522" s="101" t="s">
        <v>428</v>
      </c>
      <c r="E522" s="79"/>
      <c r="F522" s="192">
        <v>9</v>
      </c>
      <c r="G522" s="193"/>
      <c r="H522" s="132">
        <v>29.36</v>
      </c>
      <c r="I522" s="78">
        <f t="shared" si="11"/>
        <v>264.24</v>
      </c>
      <c r="J522" s="119" t="s">
        <v>991</v>
      </c>
      <c r="K522" s="130" t="s">
        <v>229</v>
      </c>
      <c r="L522" s="131"/>
      <c r="M522" s="149" t="s">
        <v>268</v>
      </c>
      <c r="N522" s="135" t="s">
        <v>651</v>
      </c>
      <c r="O522" s="152" t="s">
        <v>887</v>
      </c>
    </row>
    <row r="523" spans="1:15" ht="15" customHeight="1">
      <c r="A523" s="70"/>
      <c r="B523" s="97" t="s">
        <v>410</v>
      </c>
      <c r="C523" s="77"/>
      <c r="D523" s="101" t="s">
        <v>429</v>
      </c>
      <c r="E523" s="79"/>
      <c r="F523" s="192">
        <v>1</v>
      </c>
      <c r="G523" s="193"/>
      <c r="H523" s="132">
        <v>10.17</v>
      </c>
      <c r="I523" s="78">
        <f t="shared" si="11"/>
        <v>10.17</v>
      </c>
      <c r="J523" s="119" t="s">
        <v>991</v>
      </c>
      <c r="K523" s="130" t="s">
        <v>229</v>
      </c>
      <c r="L523" s="131"/>
      <c r="M523" s="149" t="s">
        <v>267</v>
      </c>
      <c r="N523" s="135" t="s">
        <v>638</v>
      </c>
      <c r="O523" s="152" t="s">
        <v>888</v>
      </c>
    </row>
    <row r="524" spans="1:15" ht="15" customHeight="1">
      <c r="A524" s="70"/>
      <c r="B524" s="97" t="s">
        <v>410</v>
      </c>
      <c r="C524" s="98"/>
      <c r="D524" s="101" t="s">
        <v>430</v>
      </c>
      <c r="E524" s="79"/>
      <c r="F524" s="192">
        <v>4</v>
      </c>
      <c r="G524" s="193"/>
      <c r="H524" s="132">
        <v>1.75</v>
      </c>
      <c r="I524" s="78">
        <f t="shared" si="11"/>
        <v>7</v>
      </c>
      <c r="J524" s="119" t="s">
        <v>991</v>
      </c>
      <c r="K524" s="130" t="s">
        <v>229</v>
      </c>
      <c r="L524" s="131"/>
      <c r="M524" s="149" t="s">
        <v>472</v>
      </c>
      <c r="N524" s="135" t="s">
        <v>651</v>
      </c>
      <c r="O524" s="152" t="s">
        <v>889</v>
      </c>
    </row>
    <row r="525" spans="1:15" ht="15" customHeight="1">
      <c r="A525" s="70"/>
      <c r="B525" s="97" t="s">
        <v>410</v>
      </c>
      <c r="C525" s="77"/>
      <c r="D525" s="101" t="s">
        <v>431</v>
      </c>
      <c r="E525" s="79"/>
      <c r="F525" s="192">
        <v>3</v>
      </c>
      <c r="G525" s="193"/>
      <c r="H525" s="132">
        <v>29.36</v>
      </c>
      <c r="I525" s="78">
        <f t="shared" si="11"/>
        <v>88.08</v>
      </c>
      <c r="J525" s="119" t="s">
        <v>991</v>
      </c>
      <c r="K525" s="130" t="s">
        <v>229</v>
      </c>
      <c r="L525" s="131"/>
      <c r="M525" s="149" t="s">
        <v>268</v>
      </c>
      <c r="N525" s="135" t="s">
        <v>651</v>
      </c>
      <c r="O525" s="152" t="s">
        <v>890</v>
      </c>
    </row>
    <row r="526" spans="1:15" ht="15" customHeight="1">
      <c r="A526" s="70"/>
      <c r="B526" s="97" t="s">
        <v>410</v>
      </c>
      <c r="C526" s="77"/>
      <c r="D526" s="101" t="s">
        <v>432</v>
      </c>
      <c r="E526" s="79"/>
      <c r="F526" s="192">
        <v>3</v>
      </c>
      <c r="G526" s="193"/>
      <c r="H526" s="132">
        <v>31.66</v>
      </c>
      <c r="I526" s="78">
        <f t="shared" si="11"/>
        <v>94.98</v>
      </c>
      <c r="J526" s="119" t="s">
        <v>991</v>
      </c>
      <c r="K526" s="130" t="s">
        <v>229</v>
      </c>
      <c r="L526" s="131"/>
      <c r="M526" s="149" t="s">
        <v>268</v>
      </c>
      <c r="N526" s="135" t="s">
        <v>651</v>
      </c>
      <c r="O526" s="152" t="s">
        <v>891</v>
      </c>
    </row>
    <row r="527" spans="1:15" ht="15" customHeight="1">
      <c r="A527" s="70"/>
      <c r="B527" s="97" t="s">
        <v>410</v>
      </c>
      <c r="C527" s="98"/>
      <c r="D527" s="101" t="s">
        <v>91</v>
      </c>
      <c r="E527" s="79"/>
      <c r="F527" s="192">
        <v>4</v>
      </c>
      <c r="G527" s="193"/>
      <c r="H527" s="132">
        <v>6.04</v>
      </c>
      <c r="I527" s="78">
        <f t="shared" si="11"/>
        <v>24.16</v>
      </c>
      <c r="J527" s="119" t="s">
        <v>991</v>
      </c>
      <c r="K527" s="130" t="s">
        <v>229</v>
      </c>
      <c r="L527" s="131"/>
      <c r="M527" s="149" t="s">
        <v>466</v>
      </c>
      <c r="N527" s="135" t="s">
        <v>651</v>
      </c>
      <c r="O527" s="152" t="s">
        <v>658</v>
      </c>
    </row>
    <row r="528" spans="1:15" ht="15" customHeight="1">
      <c r="A528" s="70"/>
      <c r="B528" s="97" t="s">
        <v>410</v>
      </c>
      <c r="C528" s="77"/>
      <c r="D528" s="101" t="s">
        <v>433</v>
      </c>
      <c r="E528" s="79"/>
      <c r="F528" s="192">
        <v>2</v>
      </c>
      <c r="G528" s="193"/>
      <c r="H528" s="132">
        <v>168.64</v>
      </c>
      <c r="I528" s="78">
        <f t="shared" si="11"/>
        <v>337.28</v>
      </c>
      <c r="J528" s="119" t="s">
        <v>991</v>
      </c>
      <c r="K528" s="130" t="s">
        <v>229</v>
      </c>
      <c r="L528" s="131"/>
      <c r="M528" s="149" t="s">
        <v>261</v>
      </c>
      <c r="N528" s="135" t="s">
        <v>653</v>
      </c>
      <c r="O528" s="152" t="s">
        <v>892</v>
      </c>
    </row>
    <row r="529" spans="1:15" ht="15" customHeight="1">
      <c r="A529" s="70"/>
      <c r="B529" s="97" t="s">
        <v>410</v>
      </c>
      <c r="C529" s="77"/>
      <c r="D529" s="101" t="s">
        <v>434</v>
      </c>
      <c r="E529" s="79"/>
      <c r="F529" s="192">
        <v>2</v>
      </c>
      <c r="G529" s="193"/>
      <c r="H529" s="132">
        <v>170.48</v>
      </c>
      <c r="I529" s="78">
        <f t="shared" si="11"/>
        <v>340.96</v>
      </c>
      <c r="J529" s="119" t="s">
        <v>991</v>
      </c>
      <c r="K529" s="130" t="s">
        <v>229</v>
      </c>
      <c r="L529" s="131"/>
      <c r="M529" s="149" t="s">
        <v>261</v>
      </c>
      <c r="N529" s="135" t="s">
        <v>653</v>
      </c>
      <c r="O529" s="152" t="s">
        <v>893</v>
      </c>
    </row>
    <row r="530" spans="1:15" ht="15" customHeight="1">
      <c r="A530" s="70"/>
      <c r="B530" s="97" t="s">
        <v>410</v>
      </c>
      <c r="C530" s="98"/>
      <c r="D530" s="101" t="s">
        <v>435</v>
      </c>
      <c r="E530" s="79"/>
      <c r="F530" s="192">
        <v>1</v>
      </c>
      <c r="G530" s="193"/>
      <c r="H530" s="132">
        <v>206.21</v>
      </c>
      <c r="I530" s="78">
        <f t="shared" si="11"/>
        <v>206.21</v>
      </c>
      <c r="J530" s="119" t="s">
        <v>991</v>
      </c>
      <c r="K530" s="130" t="s">
        <v>229</v>
      </c>
      <c r="L530" s="131"/>
      <c r="M530" s="149" t="s">
        <v>261</v>
      </c>
      <c r="N530" s="135" t="s">
        <v>653</v>
      </c>
      <c r="O530" s="152" t="s">
        <v>894</v>
      </c>
    </row>
    <row r="531" spans="1:15" ht="15" customHeight="1">
      <c r="A531" s="70"/>
      <c r="B531" s="97" t="s">
        <v>410</v>
      </c>
      <c r="C531" s="77"/>
      <c r="D531" s="101" t="s">
        <v>131</v>
      </c>
      <c r="E531" s="79"/>
      <c r="F531" s="192">
        <v>17</v>
      </c>
      <c r="G531" s="193"/>
      <c r="H531" s="132">
        <v>2.1800000000000002</v>
      </c>
      <c r="I531" s="78">
        <f t="shared" si="11"/>
        <v>37.06</v>
      </c>
      <c r="J531" s="119" t="s">
        <v>991</v>
      </c>
      <c r="K531" s="130" t="s">
        <v>226</v>
      </c>
      <c r="L531" s="131"/>
      <c r="M531" s="149" t="s">
        <v>274</v>
      </c>
      <c r="N531" s="135" t="s">
        <v>703</v>
      </c>
      <c r="O531" s="152" t="s">
        <v>895</v>
      </c>
    </row>
    <row r="532" spans="1:15" ht="15" customHeight="1">
      <c r="A532" s="70"/>
      <c r="B532" s="97" t="s">
        <v>410</v>
      </c>
      <c r="C532" s="77"/>
      <c r="D532" s="101" t="s">
        <v>134</v>
      </c>
      <c r="E532" s="79"/>
      <c r="F532" s="192">
        <v>4</v>
      </c>
      <c r="G532" s="193"/>
      <c r="H532" s="132">
        <v>5.46</v>
      </c>
      <c r="I532" s="78">
        <f t="shared" si="11"/>
        <v>21.84</v>
      </c>
      <c r="J532" s="119" t="s">
        <v>991</v>
      </c>
      <c r="K532" s="130" t="s">
        <v>226</v>
      </c>
      <c r="L532" s="131"/>
      <c r="M532" s="149" t="s">
        <v>389</v>
      </c>
      <c r="N532" s="135" t="s">
        <v>707</v>
      </c>
      <c r="O532" s="152" t="s">
        <v>708</v>
      </c>
    </row>
    <row r="533" spans="1:15" ht="15" customHeight="1">
      <c r="A533" s="70"/>
      <c r="B533" s="97" t="s">
        <v>410</v>
      </c>
      <c r="C533" s="98"/>
      <c r="D533" s="101" t="s">
        <v>436</v>
      </c>
      <c r="E533" s="79"/>
      <c r="F533" s="192">
        <v>1</v>
      </c>
      <c r="G533" s="193"/>
      <c r="H533" s="132">
        <v>0.18</v>
      </c>
      <c r="I533" s="78">
        <f t="shared" si="11"/>
        <v>0.18</v>
      </c>
      <c r="J533" s="119" t="s">
        <v>991</v>
      </c>
      <c r="K533" s="130" t="s">
        <v>226</v>
      </c>
      <c r="L533" s="131"/>
      <c r="M533" s="149" t="s">
        <v>390</v>
      </c>
      <c r="N533" s="135" t="s">
        <v>603</v>
      </c>
      <c r="O533" s="152" t="s">
        <v>896</v>
      </c>
    </row>
    <row r="534" spans="1:15" ht="15" customHeight="1">
      <c r="A534" s="70"/>
      <c r="B534" s="97" t="s">
        <v>410</v>
      </c>
      <c r="C534" s="77"/>
      <c r="D534" s="101" t="s">
        <v>142</v>
      </c>
      <c r="E534" s="79"/>
      <c r="F534" s="192">
        <v>4</v>
      </c>
      <c r="G534" s="193"/>
      <c r="H534" s="132">
        <v>10.53</v>
      </c>
      <c r="I534" s="78">
        <f t="shared" si="11"/>
        <v>42.12</v>
      </c>
      <c r="J534" s="119" t="s">
        <v>991</v>
      </c>
      <c r="K534" s="130" t="s">
        <v>226</v>
      </c>
      <c r="L534" s="131"/>
      <c r="M534" s="149" t="s">
        <v>388</v>
      </c>
      <c r="N534" s="135" t="s">
        <v>719</v>
      </c>
      <c r="O534" s="152" t="s">
        <v>720</v>
      </c>
    </row>
    <row r="535" spans="1:15" ht="15" customHeight="1">
      <c r="A535" s="70"/>
      <c r="B535" s="97" t="s">
        <v>410</v>
      </c>
      <c r="C535" s="77"/>
      <c r="D535" s="101" t="s">
        <v>129</v>
      </c>
      <c r="E535" s="79"/>
      <c r="F535" s="192">
        <v>4</v>
      </c>
      <c r="G535" s="193"/>
      <c r="H535" s="132">
        <v>0.23</v>
      </c>
      <c r="I535" s="78">
        <f t="shared" si="11"/>
        <v>0.92</v>
      </c>
      <c r="J535" s="119" t="s">
        <v>991</v>
      </c>
      <c r="K535" s="130" t="s">
        <v>226</v>
      </c>
      <c r="L535" s="131"/>
      <c r="M535" s="149" t="s">
        <v>272</v>
      </c>
      <c r="N535" s="135" t="s">
        <v>607</v>
      </c>
      <c r="O535" s="152" t="s">
        <v>700</v>
      </c>
    </row>
    <row r="536" spans="1:15" ht="15" customHeight="1">
      <c r="A536" s="70"/>
      <c r="B536" s="97" t="s">
        <v>410</v>
      </c>
      <c r="C536" s="98"/>
      <c r="D536" s="101" t="s">
        <v>437</v>
      </c>
      <c r="E536" s="79"/>
      <c r="F536" s="192">
        <v>1</v>
      </c>
      <c r="G536" s="193"/>
      <c r="H536" s="132">
        <v>207.91</v>
      </c>
      <c r="I536" s="78">
        <f t="shared" si="11"/>
        <v>207.91</v>
      </c>
      <c r="J536" s="119" t="s">
        <v>991</v>
      </c>
      <c r="K536" s="130" t="s">
        <v>229</v>
      </c>
      <c r="L536" s="131"/>
      <c r="M536" s="149" t="s">
        <v>261</v>
      </c>
      <c r="N536" s="135" t="s">
        <v>653</v>
      </c>
      <c r="O536" s="152" t="s">
        <v>897</v>
      </c>
    </row>
    <row r="537" spans="1:15" ht="15" customHeight="1">
      <c r="A537" s="70"/>
      <c r="B537" s="97" t="s">
        <v>410</v>
      </c>
      <c r="C537" s="77"/>
      <c r="D537" s="101" t="s">
        <v>438</v>
      </c>
      <c r="E537" s="79"/>
      <c r="F537" s="192">
        <v>1</v>
      </c>
      <c r="G537" s="193"/>
      <c r="H537" s="132">
        <v>4.74</v>
      </c>
      <c r="I537" s="78">
        <f t="shared" si="11"/>
        <v>4.74</v>
      </c>
      <c r="J537" s="119" t="s">
        <v>991</v>
      </c>
      <c r="K537" s="130" t="s">
        <v>226</v>
      </c>
      <c r="L537" s="131"/>
      <c r="M537" s="149" t="s">
        <v>473</v>
      </c>
      <c r="N537" s="135" t="s">
        <v>873</v>
      </c>
      <c r="O537" s="152" t="s">
        <v>898</v>
      </c>
    </row>
    <row r="538" spans="1:15" ht="15" customHeight="1">
      <c r="A538" s="70"/>
      <c r="B538" s="97" t="s">
        <v>410</v>
      </c>
      <c r="C538" s="77"/>
      <c r="D538" s="101" t="s">
        <v>439</v>
      </c>
      <c r="E538" s="79"/>
      <c r="F538" s="192">
        <v>1</v>
      </c>
      <c r="G538" s="193"/>
      <c r="H538" s="132">
        <v>0.62</v>
      </c>
      <c r="I538" s="78">
        <f t="shared" si="11"/>
        <v>0.62</v>
      </c>
      <c r="J538" s="119" t="s">
        <v>991</v>
      </c>
      <c r="K538" s="130" t="s">
        <v>226</v>
      </c>
      <c r="L538" s="131"/>
      <c r="M538" s="149" t="s">
        <v>262</v>
      </c>
      <c r="N538" s="135" t="s">
        <v>660</v>
      </c>
      <c r="O538" s="152" t="s">
        <v>899</v>
      </c>
    </row>
    <row r="539" spans="1:15" ht="15" customHeight="1">
      <c r="A539" s="70"/>
      <c r="B539" s="97" t="s">
        <v>410</v>
      </c>
      <c r="C539" s="98"/>
      <c r="D539" s="101" t="s">
        <v>440</v>
      </c>
      <c r="E539" s="79"/>
      <c r="F539" s="192">
        <v>1</v>
      </c>
      <c r="G539" s="193"/>
      <c r="H539" s="132">
        <v>4.45</v>
      </c>
      <c r="I539" s="78">
        <f t="shared" si="11"/>
        <v>4.45</v>
      </c>
      <c r="J539" s="119" t="s">
        <v>991</v>
      </c>
      <c r="K539" s="130" t="s">
        <v>226</v>
      </c>
      <c r="L539" s="131"/>
      <c r="M539" s="149" t="s">
        <v>262</v>
      </c>
      <c r="N539" s="135" t="s">
        <v>660</v>
      </c>
      <c r="O539" s="152" t="s">
        <v>900</v>
      </c>
    </row>
    <row r="540" spans="1:15" ht="15" customHeight="1">
      <c r="A540" s="70"/>
      <c r="B540" s="97" t="s">
        <v>410</v>
      </c>
      <c r="C540" s="77"/>
      <c r="D540" s="101" t="s">
        <v>441</v>
      </c>
      <c r="E540" s="79"/>
      <c r="F540" s="192">
        <v>14</v>
      </c>
      <c r="G540" s="193"/>
      <c r="H540" s="132">
        <v>0.48</v>
      </c>
      <c r="I540" s="78">
        <f t="shared" si="11"/>
        <v>6.72</v>
      </c>
      <c r="J540" s="119" t="s">
        <v>991</v>
      </c>
      <c r="K540" s="130" t="s">
        <v>226</v>
      </c>
      <c r="L540" s="131"/>
      <c r="M540" s="149" t="s">
        <v>262</v>
      </c>
      <c r="N540" s="135" t="s">
        <v>660</v>
      </c>
      <c r="O540" s="152" t="s">
        <v>901</v>
      </c>
    </row>
    <row r="541" spans="1:15" ht="15" customHeight="1">
      <c r="A541" s="70"/>
      <c r="B541" s="97" t="s">
        <v>410</v>
      </c>
      <c r="C541" s="77"/>
      <c r="D541" s="101" t="s">
        <v>442</v>
      </c>
      <c r="E541" s="79"/>
      <c r="F541" s="192">
        <v>6</v>
      </c>
      <c r="G541" s="193"/>
      <c r="H541" s="132">
        <v>0.41</v>
      </c>
      <c r="I541" s="78">
        <f t="shared" si="11"/>
        <v>2.46</v>
      </c>
      <c r="J541" s="119" t="s">
        <v>991</v>
      </c>
      <c r="K541" s="130" t="s">
        <v>226</v>
      </c>
      <c r="L541" s="131"/>
      <c r="M541" s="149" t="s">
        <v>262</v>
      </c>
      <c r="N541" s="135" t="s">
        <v>660</v>
      </c>
      <c r="O541" s="152" t="s">
        <v>902</v>
      </c>
    </row>
    <row r="542" spans="1:15" ht="15" customHeight="1">
      <c r="A542" s="70"/>
      <c r="B542" s="97" t="s">
        <v>410</v>
      </c>
      <c r="C542" s="98"/>
      <c r="D542" s="101" t="s">
        <v>148</v>
      </c>
      <c r="E542" s="79"/>
      <c r="F542" s="192">
        <v>2</v>
      </c>
      <c r="G542" s="193"/>
      <c r="H542" s="132">
        <v>5.7</v>
      </c>
      <c r="I542" s="78">
        <f t="shared" si="11"/>
        <v>11.4</v>
      </c>
      <c r="J542" s="119" t="s">
        <v>991</v>
      </c>
      <c r="K542" s="130" t="s">
        <v>226</v>
      </c>
      <c r="L542" s="131"/>
      <c r="M542" s="149" t="s">
        <v>474</v>
      </c>
      <c r="N542" s="135" t="s">
        <v>634</v>
      </c>
      <c r="O542" s="152" t="s">
        <v>726</v>
      </c>
    </row>
    <row r="543" spans="1:15" ht="15" customHeight="1">
      <c r="A543" s="70"/>
      <c r="B543" s="97" t="s">
        <v>410</v>
      </c>
      <c r="C543" s="77"/>
      <c r="D543" s="101" t="s">
        <v>139</v>
      </c>
      <c r="E543" s="79"/>
      <c r="F543" s="192">
        <v>2</v>
      </c>
      <c r="G543" s="193"/>
      <c r="H543" s="132">
        <v>5.23</v>
      </c>
      <c r="I543" s="78">
        <f t="shared" si="11"/>
        <v>10.46</v>
      </c>
      <c r="J543" s="119" t="s">
        <v>991</v>
      </c>
      <c r="K543" s="130" t="s">
        <v>226</v>
      </c>
      <c r="L543" s="131"/>
      <c r="M543" s="149" t="s">
        <v>475</v>
      </c>
      <c r="N543" s="135" t="s">
        <v>634</v>
      </c>
      <c r="O543" s="152" t="s">
        <v>716</v>
      </c>
    </row>
    <row r="544" spans="1:15" ht="15" customHeight="1">
      <c r="A544" s="70"/>
      <c r="B544" s="97" t="s">
        <v>410</v>
      </c>
      <c r="C544" s="77"/>
      <c r="D544" s="101" t="s">
        <v>138</v>
      </c>
      <c r="E544" s="79"/>
      <c r="F544" s="192">
        <v>2</v>
      </c>
      <c r="G544" s="193"/>
      <c r="H544" s="132">
        <v>5.23</v>
      </c>
      <c r="I544" s="78">
        <f t="shared" si="11"/>
        <v>10.46</v>
      </c>
      <c r="J544" s="119" t="s">
        <v>991</v>
      </c>
      <c r="K544" s="130" t="s">
        <v>226</v>
      </c>
      <c r="L544" s="131"/>
      <c r="M544" s="149" t="s">
        <v>475</v>
      </c>
      <c r="N544" s="135" t="s">
        <v>634</v>
      </c>
      <c r="O544" s="152" t="s">
        <v>715</v>
      </c>
    </row>
    <row r="545" spans="1:15" ht="15" customHeight="1">
      <c r="A545" s="70"/>
      <c r="B545" s="97" t="s">
        <v>410</v>
      </c>
      <c r="C545" s="98"/>
      <c r="D545" s="101" t="s">
        <v>350</v>
      </c>
      <c r="E545" s="79"/>
      <c r="F545" s="192">
        <v>2</v>
      </c>
      <c r="G545" s="193"/>
      <c r="H545" s="132">
        <v>5.77</v>
      </c>
      <c r="I545" s="78">
        <f t="shared" si="11"/>
        <v>11.54</v>
      </c>
      <c r="J545" s="119" t="s">
        <v>991</v>
      </c>
      <c r="K545" s="130" t="s">
        <v>226</v>
      </c>
      <c r="L545" s="131"/>
      <c r="M545" s="149" t="s">
        <v>475</v>
      </c>
      <c r="N545" s="135" t="s">
        <v>634</v>
      </c>
      <c r="O545" s="152" t="s">
        <v>835</v>
      </c>
    </row>
    <row r="546" spans="1:15" ht="15" customHeight="1">
      <c r="A546" s="70"/>
      <c r="B546" s="97" t="s">
        <v>410</v>
      </c>
      <c r="C546" s="77"/>
      <c r="D546" s="101" t="s">
        <v>135</v>
      </c>
      <c r="E546" s="79"/>
      <c r="F546" s="192">
        <v>1</v>
      </c>
      <c r="G546" s="193"/>
      <c r="H546" s="132">
        <v>16.78</v>
      </c>
      <c r="I546" s="78">
        <f t="shared" si="11"/>
        <v>16.78</v>
      </c>
      <c r="J546" s="119" t="s">
        <v>991</v>
      </c>
      <c r="K546" s="130" t="s">
        <v>226</v>
      </c>
      <c r="L546" s="131"/>
      <c r="M546" s="149" t="s">
        <v>476</v>
      </c>
      <c r="N546" s="135" t="s">
        <v>709</v>
      </c>
      <c r="O546" s="152" t="s">
        <v>710</v>
      </c>
    </row>
    <row r="547" spans="1:15" ht="15" customHeight="1">
      <c r="A547" s="70"/>
      <c r="B547" s="97" t="s">
        <v>410</v>
      </c>
      <c r="C547" s="98"/>
      <c r="D547" s="101" t="s">
        <v>136</v>
      </c>
      <c r="E547" s="79"/>
      <c r="F547" s="192">
        <v>1</v>
      </c>
      <c r="G547" s="193"/>
      <c r="H547" s="132">
        <v>23.25</v>
      </c>
      <c r="I547" s="78">
        <f t="shared" si="11"/>
        <v>23.25</v>
      </c>
      <c r="J547" s="119" t="s">
        <v>991</v>
      </c>
      <c r="K547" s="130" t="s">
        <v>226</v>
      </c>
      <c r="L547" s="131"/>
      <c r="M547" s="149" t="s">
        <v>279</v>
      </c>
      <c r="N547" s="135" t="s">
        <v>711</v>
      </c>
      <c r="O547" s="152" t="s">
        <v>712</v>
      </c>
    </row>
    <row r="548" spans="1:15" ht="15" customHeight="1">
      <c r="A548" s="70"/>
      <c r="B548" s="97" t="s">
        <v>410</v>
      </c>
      <c r="C548" s="77"/>
      <c r="D548" s="101" t="s">
        <v>443</v>
      </c>
      <c r="E548" s="79"/>
      <c r="F548" s="192">
        <v>1</v>
      </c>
      <c r="G548" s="193"/>
      <c r="H548" s="132">
        <v>5.77</v>
      </c>
      <c r="I548" s="78">
        <f t="shared" si="11"/>
        <v>5.77</v>
      </c>
      <c r="J548" s="119" t="s">
        <v>991</v>
      </c>
      <c r="K548" s="130" t="s">
        <v>226</v>
      </c>
      <c r="L548" s="131"/>
      <c r="M548" s="149" t="s">
        <v>477</v>
      </c>
      <c r="N548" s="135" t="s">
        <v>632</v>
      </c>
      <c r="O548" s="152" t="s">
        <v>903</v>
      </c>
    </row>
    <row r="549" spans="1:15" ht="15" customHeight="1">
      <c r="A549" s="70"/>
      <c r="B549" s="97" t="s">
        <v>410</v>
      </c>
      <c r="C549" s="77"/>
      <c r="D549" s="101" t="s">
        <v>85</v>
      </c>
      <c r="E549" s="79"/>
      <c r="F549" s="192">
        <v>1</v>
      </c>
      <c r="G549" s="193"/>
      <c r="H549" s="132">
        <v>5.07</v>
      </c>
      <c r="I549" s="78">
        <f t="shared" si="11"/>
        <v>5.07</v>
      </c>
      <c r="J549" s="119" t="s">
        <v>991</v>
      </c>
      <c r="K549" s="130" t="s">
        <v>226</v>
      </c>
      <c r="L549" s="131"/>
      <c r="M549" s="149" t="s">
        <v>259</v>
      </c>
      <c r="N549" s="135" t="s">
        <v>649</v>
      </c>
      <c r="O549" s="152" t="s">
        <v>650</v>
      </c>
    </row>
    <row r="550" spans="1:15" ht="15" customHeight="1">
      <c r="A550" s="70"/>
      <c r="B550" s="97" t="s">
        <v>410</v>
      </c>
      <c r="C550" s="98"/>
      <c r="D550" s="101" t="s">
        <v>84</v>
      </c>
      <c r="E550" s="79"/>
      <c r="F550" s="192">
        <v>1</v>
      </c>
      <c r="G550" s="193"/>
      <c r="H550" s="132">
        <v>0.18</v>
      </c>
      <c r="I550" s="78">
        <f t="shared" si="11"/>
        <v>0.18</v>
      </c>
      <c r="J550" s="119" t="s">
        <v>991</v>
      </c>
      <c r="K550" s="130" t="s">
        <v>226</v>
      </c>
      <c r="L550" s="131"/>
      <c r="M550" s="149" t="s">
        <v>258</v>
      </c>
      <c r="N550" s="135" t="s">
        <v>603</v>
      </c>
      <c r="O550" s="152" t="s">
        <v>648</v>
      </c>
    </row>
    <row r="551" spans="1:15" ht="15" customHeight="1">
      <c r="A551" s="70"/>
      <c r="B551" s="97" t="s">
        <v>410</v>
      </c>
      <c r="C551" s="77"/>
      <c r="D551" s="101" t="s">
        <v>458</v>
      </c>
      <c r="E551" s="79"/>
      <c r="F551" s="192">
        <v>1</v>
      </c>
      <c r="G551" s="193"/>
      <c r="H551" s="132">
        <v>24.97</v>
      </c>
      <c r="I551" s="78">
        <f t="shared" si="11"/>
        <v>24.97</v>
      </c>
      <c r="J551" s="119" t="s">
        <v>991</v>
      </c>
      <c r="K551" s="130" t="s">
        <v>226</v>
      </c>
      <c r="L551" s="131"/>
      <c r="M551" s="149" t="s">
        <v>255</v>
      </c>
      <c r="N551" s="135" t="s">
        <v>643</v>
      </c>
      <c r="O551" s="152" t="s">
        <v>904</v>
      </c>
    </row>
    <row r="552" spans="1:15" ht="15" customHeight="1">
      <c r="A552" s="70"/>
      <c r="B552" s="97" t="s">
        <v>410</v>
      </c>
      <c r="C552" s="77"/>
      <c r="D552" s="101" t="s">
        <v>82</v>
      </c>
      <c r="E552" s="79"/>
      <c r="F552" s="192">
        <v>10</v>
      </c>
      <c r="G552" s="193"/>
      <c r="H552" s="132">
        <v>0.12</v>
      </c>
      <c r="I552" s="78">
        <f t="shared" si="11"/>
        <v>1.2</v>
      </c>
      <c r="J552" s="119" t="s">
        <v>991</v>
      </c>
      <c r="K552" s="130" t="s">
        <v>226</v>
      </c>
      <c r="L552" s="131"/>
      <c r="M552" s="149" t="s">
        <v>256</v>
      </c>
      <c r="N552" s="135" t="s">
        <v>607</v>
      </c>
      <c r="O552" s="152" t="s">
        <v>645</v>
      </c>
    </row>
    <row r="553" spans="1:15" ht="15" customHeight="1">
      <c r="A553" s="70"/>
      <c r="B553" s="97" t="s">
        <v>410</v>
      </c>
      <c r="C553" s="98"/>
      <c r="D553" s="101" t="s">
        <v>444</v>
      </c>
      <c r="E553" s="79"/>
      <c r="F553" s="192">
        <v>2</v>
      </c>
      <c r="G553" s="193"/>
      <c r="H553" s="132">
        <v>1.95</v>
      </c>
      <c r="I553" s="78">
        <f t="shared" si="11"/>
        <v>3.9</v>
      </c>
      <c r="J553" s="119" t="s">
        <v>991</v>
      </c>
      <c r="K553" s="130" t="s">
        <v>226</v>
      </c>
      <c r="L553" s="131"/>
      <c r="M553" s="149" t="s">
        <v>244</v>
      </c>
      <c r="N553" s="135" t="s">
        <v>613</v>
      </c>
      <c r="O553" s="152" t="s">
        <v>905</v>
      </c>
    </row>
    <row r="554" spans="1:15" ht="15" customHeight="1">
      <c r="A554" s="70"/>
      <c r="B554" s="97" t="s">
        <v>410</v>
      </c>
      <c r="C554" s="77"/>
      <c r="D554" s="101" t="s">
        <v>80</v>
      </c>
      <c r="E554" s="79"/>
      <c r="F554" s="192">
        <v>1</v>
      </c>
      <c r="G554" s="193"/>
      <c r="H554" s="132">
        <v>1.56</v>
      </c>
      <c r="I554" s="78">
        <f t="shared" si="11"/>
        <v>1.56</v>
      </c>
      <c r="J554" s="119" t="s">
        <v>991</v>
      </c>
      <c r="K554" s="130" t="s">
        <v>227</v>
      </c>
      <c r="L554" s="131"/>
      <c r="M554" s="149" t="s">
        <v>254</v>
      </c>
      <c r="N554" s="135" t="s">
        <v>632</v>
      </c>
      <c r="O554" s="152" t="s">
        <v>642</v>
      </c>
    </row>
    <row r="555" spans="1:15" ht="15" customHeight="1">
      <c r="A555" s="70"/>
      <c r="B555" s="97" t="s">
        <v>410</v>
      </c>
      <c r="C555" s="77"/>
      <c r="D555" s="101" t="s">
        <v>79</v>
      </c>
      <c r="E555" s="79"/>
      <c r="F555" s="192">
        <v>1</v>
      </c>
      <c r="G555" s="193"/>
      <c r="H555" s="132">
        <v>7.8</v>
      </c>
      <c r="I555" s="78">
        <f t="shared" si="11"/>
        <v>7.8</v>
      </c>
      <c r="J555" s="119" t="s">
        <v>991</v>
      </c>
      <c r="K555" s="130" t="s">
        <v>232</v>
      </c>
      <c r="L555" s="131"/>
      <c r="M555" s="149" t="s">
        <v>253</v>
      </c>
      <c r="N555" s="135" t="s">
        <v>640</v>
      </c>
      <c r="O555" s="152" t="s">
        <v>641</v>
      </c>
    </row>
    <row r="556" spans="1:15" ht="15" customHeight="1">
      <c r="A556" s="70"/>
      <c r="B556" s="97" t="s">
        <v>410</v>
      </c>
      <c r="C556" s="98"/>
      <c r="D556" s="101" t="s">
        <v>152</v>
      </c>
      <c r="E556" s="79"/>
      <c r="F556" s="192">
        <v>1</v>
      </c>
      <c r="G556" s="193"/>
      <c r="H556" s="132">
        <v>60.86</v>
      </c>
      <c r="I556" s="78">
        <f t="shared" si="11"/>
        <v>60.86</v>
      </c>
      <c r="J556" s="119" t="s">
        <v>991</v>
      </c>
      <c r="K556" s="130" t="s">
        <v>226</v>
      </c>
      <c r="L556" s="131"/>
      <c r="M556" s="149" t="s">
        <v>289</v>
      </c>
      <c r="N556" s="135" t="s">
        <v>728</v>
      </c>
      <c r="O556" s="152" t="s">
        <v>731</v>
      </c>
    </row>
    <row r="557" spans="1:15" ht="15" customHeight="1">
      <c r="A557" s="70"/>
      <c r="B557" s="97" t="s">
        <v>410</v>
      </c>
      <c r="C557" s="77"/>
      <c r="D557" s="101" t="s">
        <v>150</v>
      </c>
      <c r="E557" s="79"/>
      <c r="F557" s="192">
        <v>5</v>
      </c>
      <c r="G557" s="193"/>
      <c r="H557" s="132">
        <v>41.36</v>
      </c>
      <c r="I557" s="78">
        <f t="shared" si="11"/>
        <v>206.8</v>
      </c>
      <c r="J557" s="119" t="s">
        <v>991</v>
      </c>
      <c r="K557" s="130" t="s">
        <v>226</v>
      </c>
      <c r="L557" s="131"/>
      <c r="M557" s="149" t="s">
        <v>287</v>
      </c>
      <c r="N557" s="135" t="s">
        <v>728</v>
      </c>
      <c r="O557" s="152" t="s">
        <v>729</v>
      </c>
    </row>
    <row r="558" spans="1:15" ht="15" customHeight="1">
      <c r="A558" s="70"/>
      <c r="B558" s="97" t="s">
        <v>410</v>
      </c>
      <c r="C558" s="77"/>
      <c r="D558" s="101" t="s">
        <v>151</v>
      </c>
      <c r="E558" s="79"/>
      <c r="F558" s="192">
        <v>5</v>
      </c>
      <c r="G558" s="193"/>
      <c r="H558" s="132">
        <v>46.04</v>
      </c>
      <c r="I558" s="78">
        <f t="shared" si="11"/>
        <v>230.2</v>
      </c>
      <c r="J558" s="119" t="s">
        <v>991</v>
      </c>
      <c r="K558" s="130" t="s">
        <v>226</v>
      </c>
      <c r="L558" s="131"/>
      <c r="M558" s="149" t="s">
        <v>288</v>
      </c>
      <c r="N558" s="135" t="s">
        <v>728</v>
      </c>
      <c r="O558" s="152" t="s">
        <v>730</v>
      </c>
    </row>
    <row r="559" spans="1:15" ht="15" customHeight="1">
      <c r="A559" s="70"/>
      <c r="B559" s="97" t="s">
        <v>410</v>
      </c>
      <c r="C559" s="98"/>
      <c r="D559" s="101" t="s">
        <v>156</v>
      </c>
      <c r="E559" s="79"/>
      <c r="F559" s="192">
        <v>8</v>
      </c>
      <c r="G559" s="193"/>
      <c r="H559" s="132">
        <v>26.53</v>
      </c>
      <c r="I559" s="78">
        <f t="shared" si="11"/>
        <v>212.24</v>
      </c>
      <c r="J559" s="119" t="s">
        <v>991</v>
      </c>
      <c r="K559" s="130" t="s">
        <v>229</v>
      </c>
      <c r="L559" s="131"/>
      <c r="M559" s="149" t="s">
        <v>249</v>
      </c>
      <c r="N559" s="135" t="s">
        <v>630</v>
      </c>
      <c r="O559" s="152" t="s">
        <v>736</v>
      </c>
    </row>
    <row r="560" spans="1:15" ht="15" customHeight="1">
      <c r="A560" s="70"/>
      <c r="B560" s="97" t="s">
        <v>410</v>
      </c>
      <c r="C560" s="77"/>
      <c r="D560" s="101" t="s">
        <v>153</v>
      </c>
      <c r="E560" s="79"/>
      <c r="F560" s="192">
        <v>5</v>
      </c>
      <c r="G560" s="193"/>
      <c r="H560" s="132">
        <v>6.79</v>
      </c>
      <c r="I560" s="78">
        <f t="shared" si="11"/>
        <v>33.950000000000003</v>
      </c>
      <c r="J560" s="119" t="s">
        <v>991</v>
      </c>
      <c r="K560" s="130" t="s">
        <v>226</v>
      </c>
      <c r="L560" s="131"/>
      <c r="M560" s="149" t="s">
        <v>290</v>
      </c>
      <c r="N560" s="135" t="s">
        <v>732</v>
      </c>
      <c r="O560" s="152" t="s">
        <v>733</v>
      </c>
    </row>
    <row r="561" spans="1:15" ht="15" customHeight="1">
      <c r="A561" s="70"/>
      <c r="B561" s="97" t="s">
        <v>410</v>
      </c>
      <c r="C561" s="77"/>
      <c r="D561" s="101" t="s">
        <v>154</v>
      </c>
      <c r="E561" s="79"/>
      <c r="F561" s="192">
        <v>3</v>
      </c>
      <c r="G561" s="193"/>
      <c r="H561" s="132">
        <v>27.23</v>
      </c>
      <c r="I561" s="78">
        <f t="shared" si="11"/>
        <v>81.69</v>
      </c>
      <c r="J561" s="119" t="s">
        <v>991</v>
      </c>
      <c r="K561" s="130" t="s">
        <v>226</v>
      </c>
      <c r="L561" s="131"/>
      <c r="M561" s="149" t="s">
        <v>291</v>
      </c>
      <c r="N561" s="135" t="s">
        <v>593</v>
      </c>
      <c r="O561" s="152" t="s">
        <v>734</v>
      </c>
    </row>
    <row r="562" spans="1:15" ht="15" customHeight="1">
      <c r="A562" s="70"/>
      <c r="B562" s="97" t="s">
        <v>410</v>
      </c>
      <c r="C562" s="98"/>
      <c r="D562" s="101" t="s">
        <v>155</v>
      </c>
      <c r="E562" s="79"/>
      <c r="F562" s="192">
        <v>2</v>
      </c>
      <c r="G562" s="193"/>
      <c r="H562" s="132">
        <v>16.07</v>
      </c>
      <c r="I562" s="78">
        <f t="shared" si="11"/>
        <v>32.14</v>
      </c>
      <c r="J562" s="119" t="s">
        <v>991</v>
      </c>
      <c r="K562" s="130" t="s">
        <v>226</v>
      </c>
      <c r="L562" s="131"/>
      <c r="M562" s="149" t="s">
        <v>292</v>
      </c>
      <c r="N562" s="135" t="s">
        <v>603</v>
      </c>
      <c r="O562" s="152" t="s">
        <v>735</v>
      </c>
    </row>
    <row r="563" spans="1:15" ht="15" customHeight="1">
      <c r="A563" s="70"/>
      <c r="B563" s="97" t="s">
        <v>410</v>
      </c>
      <c r="C563" s="77"/>
      <c r="D563" s="101" t="s">
        <v>445</v>
      </c>
      <c r="E563" s="79"/>
      <c r="F563" s="192">
        <v>2</v>
      </c>
      <c r="G563" s="193"/>
      <c r="H563" s="132">
        <v>59.3</v>
      </c>
      <c r="I563" s="78">
        <f t="shared" ref="I563:I583" si="12">F563*H563</f>
        <v>118.6</v>
      </c>
      <c r="J563" s="119" t="s">
        <v>991</v>
      </c>
      <c r="K563" s="130" t="s">
        <v>226</v>
      </c>
      <c r="L563" s="131"/>
      <c r="M563" s="149" t="s">
        <v>297</v>
      </c>
      <c r="N563" s="135" t="s">
        <v>747</v>
      </c>
      <c r="O563" s="152" t="s">
        <v>906</v>
      </c>
    </row>
    <row r="564" spans="1:15" ht="15" customHeight="1">
      <c r="A564" s="70"/>
      <c r="B564" s="97" t="s">
        <v>410</v>
      </c>
      <c r="C564" s="77"/>
      <c r="D564" s="101" t="s">
        <v>174</v>
      </c>
      <c r="E564" s="79"/>
      <c r="F564" s="192">
        <v>1</v>
      </c>
      <c r="G564" s="193"/>
      <c r="H564" s="132">
        <v>1779.05</v>
      </c>
      <c r="I564" s="78">
        <f t="shared" si="12"/>
        <v>1779.05</v>
      </c>
      <c r="J564" s="119" t="s">
        <v>991</v>
      </c>
      <c r="K564" s="130" t="s">
        <v>226</v>
      </c>
      <c r="L564" s="131"/>
      <c r="M564" s="149" t="s">
        <v>300</v>
      </c>
      <c r="N564" s="135" t="s">
        <v>756</v>
      </c>
      <c r="O564" s="152" t="s">
        <v>757</v>
      </c>
    </row>
    <row r="565" spans="1:15" ht="15" customHeight="1">
      <c r="A565" s="70"/>
      <c r="B565" s="97" t="s">
        <v>410</v>
      </c>
      <c r="C565" s="77"/>
      <c r="D565" s="101" t="s">
        <v>175</v>
      </c>
      <c r="E565" s="79"/>
      <c r="F565" s="192">
        <v>2</v>
      </c>
      <c r="G565" s="193"/>
      <c r="H565" s="132">
        <v>75.69</v>
      </c>
      <c r="I565" s="78">
        <f t="shared" si="12"/>
        <v>151.38</v>
      </c>
      <c r="J565" s="119" t="s">
        <v>991</v>
      </c>
      <c r="K565" s="130" t="s">
        <v>226</v>
      </c>
      <c r="L565" s="131"/>
      <c r="M565" s="149" t="s">
        <v>301</v>
      </c>
      <c r="N565" s="135" t="s">
        <v>660</v>
      </c>
      <c r="O565" s="152" t="s">
        <v>758</v>
      </c>
    </row>
    <row r="566" spans="1:15" ht="15" customHeight="1">
      <c r="A566" s="70"/>
      <c r="B566" s="97" t="s">
        <v>410</v>
      </c>
      <c r="C566" s="77"/>
      <c r="D566" s="101">
        <v>10472</v>
      </c>
      <c r="E566" s="79"/>
      <c r="F566" s="192">
        <v>2</v>
      </c>
      <c r="G566" s="193"/>
      <c r="H566" s="132">
        <v>58.52</v>
      </c>
      <c r="I566" s="78">
        <f t="shared" si="12"/>
        <v>117.04</v>
      </c>
      <c r="J566" s="119" t="s">
        <v>991</v>
      </c>
      <c r="K566" s="130" t="s">
        <v>485</v>
      </c>
      <c r="L566" s="131"/>
      <c r="M566" s="149" t="s">
        <v>308</v>
      </c>
      <c r="N566" s="135" t="s">
        <v>843</v>
      </c>
      <c r="O566" s="152" t="s">
        <v>907</v>
      </c>
    </row>
    <row r="567" spans="1:15" ht="15" customHeight="1">
      <c r="A567" s="70"/>
      <c r="B567" s="97" t="s">
        <v>410</v>
      </c>
      <c r="C567" s="98"/>
      <c r="D567" s="101" t="s">
        <v>177</v>
      </c>
      <c r="E567" s="79"/>
      <c r="F567" s="192">
        <v>1</v>
      </c>
      <c r="G567" s="193"/>
      <c r="H567" s="132">
        <v>2.4300000000000002</v>
      </c>
      <c r="I567" s="78">
        <f t="shared" si="12"/>
        <v>2.4300000000000002</v>
      </c>
      <c r="J567" s="119" t="s">
        <v>991</v>
      </c>
      <c r="K567" s="130" t="s">
        <v>229</v>
      </c>
      <c r="L567" s="131"/>
      <c r="M567" s="149" t="s">
        <v>303</v>
      </c>
      <c r="N567" s="135" t="s">
        <v>595</v>
      </c>
      <c r="O567" s="152" t="s">
        <v>761</v>
      </c>
    </row>
    <row r="568" spans="1:15" ht="15" customHeight="1">
      <c r="A568" s="70"/>
      <c r="B568" s="97" t="s">
        <v>410</v>
      </c>
      <c r="C568" s="77"/>
      <c r="D568" s="101" t="s">
        <v>446</v>
      </c>
      <c r="E568" s="79"/>
      <c r="F568" s="192">
        <v>1</v>
      </c>
      <c r="G568" s="193"/>
      <c r="H568" s="132">
        <v>34.880000000000003</v>
      </c>
      <c r="I568" s="78">
        <f t="shared" si="12"/>
        <v>34.880000000000003</v>
      </c>
      <c r="J568" s="119" t="s">
        <v>991</v>
      </c>
      <c r="K568" s="130" t="s">
        <v>229</v>
      </c>
      <c r="L568" s="131"/>
      <c r="M568" s="149" t="s">
        <v>302</v>
      </c>
      <c r="N568" s="135" t="s">
        <v>759</v>
      </c>
      <c r="O568" s="152" t="s">
        <v>908</v>
      </c>
    </row>
    <row r="569" spans="1:15" ht="15" customHeight="1">
      <c r="A569" s="70"/>
      <c r="B569" s="97" t="s">
        <v>410</v>
      </c>
      <c r="C569" s="77"/>
      <c r="D569" s="101" t="s">
        <v>447</v>
      </c>
      <c r="E569" s="79"/>
      <c r="F569" s="192">
        <v>1</v>
      </c>
      <c r="G569" s="193"/>
      <c r="H569" s="132">
        <v>18.73</v>
      </c>
      <c r="I569" s="78">
        <f t="shared" si="12"/>
        <v>18.73</v>
      </c>
      <c r="J569" s="119" t="s">
        <v>991</v>
      </c>
      <c r="K569" s="130" t="s">
        <v>229</v>
      </c>
      <c r="L569" s="131"/>
      <c r="M569" s="149" t="s">
        <v>301</v>
      </c>
      <c r="N569" s="135" t="s">
        <v>772</v>
      </c>
      <c r="O569" s="152" t="s">
        <v>773</v>
      </c>
    </row>
    <row r="570" spans="1:15" ht="15" customHeight="1">
      <c r="A570" s="70"/>
      <c r="B570" s="97" t="s">
        <v>410</v>
      </c>
      <c r="C570" s="98"/>
      <c r="D570" s="101" t="s">
        <v>448</v>
      </c>
      <c r="E570" s="79"/>
      <c r="F570" s="192">
        <v>1</v>
      </c>
      <c r="G570" s="193"/>
      <c r="H570" s="132">
        <v>19.899999999999999</v>
      </c>
      <c r="I570" s="78">
        <f t="shared" si="12"/>
        <v>19.899999999999999</v>
      </c>
      <c r="J570" s="119" t="s">
        <v>991</v>
      </c>
      <c r="K570" s="130" t="s">
        <v>229</v>
      </c>
      <c r="L570" s="131"/>
      <c r="M570" s="149" t="s">
        <v>301</v>
      </c>
      <c r="N570" s="135" t="s">
        <v>772</v>
      </c>
      <c r="O570" s="152" t="s">
        <v>909</v>
      </c>
    </row>
    <row r="571" spans="1:15" ht="15" customHeight="1">
      <c r="A571" s="70"/>
      <c r="B571" s="97" t="s">
        <v>410</v>
      </c>
      <c r="C571" s="77"/>
      <c r="D571" s="101" t="s">
        <v>449</v>
      </c>
      <c r="E571" s="79"/>
      <c r="F571" s="192">
        <v>1</v>
      </c>
      <c r="G571" s="193"/>
      <c r="H571" s="132">
        <v>21.85</v>
      </c>
      <c r="I571" s="78">
        <f t="shared" si="12"/>
        <v>21.85</v>
      </c>
      <c r="J571" s="119" t="s">
        <v>991</v>
      </c>
      <c r="K571" s="130" t="s">
        <v>228</v>
      </c>
      <c r="L571" s="131"/>
      <c r="M571" s="149" t="s">
        <v>309</v>
      </c>
      <c r="N571" s="135" t="s">
        <v>649</v>
      </c>
      <c r="O571" s="152" t="s">
        <v>910</v>
      </c>
    </row>
    <row r="572" spans="1:15" ht="15" customHeight="1">
      <c r="A572" s="70"/>
      <c r="B572" s="97" t="s">
        <v>410</v>
      </c>
      <c r="C572" s="77"/>
      <c r="D572" s="101" t="s">
        <v>187</v>
      </c>
      <c r="E572" s="79"/>
      <c r="F572" s="192">
        <v>1</v>
      </c>
      <c r="G572" s="193"/>
      <c r="H572" s="132">
        <v>37.450000000000003</v>
      </c>
      <c r="I572" s="78">
        <f t="shared" si="12"/>
        <v>37.450000000000003</v>
      </c>
      <c r="J572" s="119" t="s">
        <v>991</v>
      </c>
      <c r="K572" s="130" t="s">
        <v>228</v>
      </c>
      <c r="L572" s="131"/>
      <c r="M572" s="149" t="s">
        <v>309</v>
      </c>
      <c r="N572" s="135" t="s">
        <v>649</v>
      </c>
      <c r="O572" s="152" t="s">
        <v>776</v>
      </c>
    </row>
    <row r="573" spans="1:15" ht="15" customHeight="1">
      <c r="A573" s="70"/>
      <c r="B573" s="97" t="s">
        <v>410</v>
      </c>
      <c r="C573" s="77"/>
      <c r="D573" s="101" t="s">
        <v>208</v>
      </c>
      <c r="E573" s="79"/>
      <c r="F573" s="192">
        <v>2</v>
      </c>
      <c r="G573" s="193"/>
      <c r="H573" s="132">
        <v>25.44</v>
      </c>
      <c r="I573" s="78">
        <f t="shared" si="12"/>
        <v>50.88</v>
      </c>
      <c r="J573" s="119" t="s">
        <v>991</v>
      </c>
      <c r="K573" s="130" t="s">
        <v>226</v>
      </c>
      <c r="L573" s="131"/>
      <c r="M573" s="149" t="s">
        <v>478</v>
      </c>
      <c r="N573" s="135" t="s">
        <v>795</v>
      </c>
      <c r="O573" s="152" t="s">
        <v>796</v>
      </c>
    </row>
    <row r="574" spans="1:15" ht="15" customHeight="1">
      <c r="A574" s="70"/>
      <c r="B574" s="97" t="s">
        <v>410</v>
      </c>
      <c r="C574" s="77"/>
      <c r="D574" s="101" t="s">
        <v>356</v>
      </c>
      <c r="E574" s="79"/>
      <c r="F574" s="192">
        <v>2</v>
      </c>
      <c r="G574" s="193"/>
      <c r="H574" s="132">
        <v>24.19</v>
      </c>
      <c r="I574" s="78">
        <f t="shared" si="12"/>
        <v>48.38</v>
      </c>
      <c r="J574" s="119" t="s">
        <v>991</v>
      </c>
      <c r="K574" s="130" t="s">
        <v>226</v>
      </c>
      <c r="L574" s="131"/>
      <c r="M574" s="149" t="s">
        <v>316</v>
      </c>
      <c r="N574" s="135" t="s">
        <v>753</v>
      </c>
      <c r="O574" s="152" t="s">
        <v>841</v>
      </c>
    </row>
    <row r="575" spans="1:15" ht="15" customHeight="1">
      <c r="A575" s="70"/>
      <c r="B575" s="97" t="s">
        <v>410</v>
      </c>
      <c r="C575" s="77"/>
      <c r="D575" s="101" t="s">
        <v>450</v>
      </c>
      <c r="E575" s="79"/>
      <c r="F575" s="192">
        <v>4</v>
      </c>
      <c r="G575" s="193"/>
      <c r="H575" s="132">
        <v>10.99</v>
      </c>
      <c r="I575" s="78">
        <f t="shared" si="12"/>
        <v>43.96</v>
      </c>
      <c r="J575" s="119" t="s">
        <v>991</v>
      </c>
      <c r="K575" s="130" t="s">
        <v>226</v>
      </c>
      <c r="L575" s="131"/>
      <c r="M575" s="149" t="s">
        <v>479</v>
      </c>
      <c r="N575" s="135" t="s">
        <v>607</v>
      </c>
      <c r="O575" s="152" t="s">
        <v>911</v>
      </c>
    </row>
    <row r="576" spans="1:15" ht="15" customHeight="1">
      <c r="A576" s="70"/>
      <c r="B576" s="97" t="s">
        <v>410</v>
      </c>
      <c r="C576" s="98"/>
      <c r="D576" s="101" t="s">
        <v>451</v>
      </c>
      <c r="E576" s="79"/>
      <c r="F576" s="192">
        <v>12</v>
      </c>
      <c r="G576" s="193"/>
      <c r="H576" s="132">
        <v>3.97</v>
      </c>
      <c r="I576" s="78">
        <f t="shared" si="12"/>
        <v>47.64</v>
      </c>
      <c r="J576" s="119" t="s">
        <v>991</v>
      </c>
      <c r="K576" s="130" t="s">
        <v>227</v>
      </c>
      <c r="L576" s="131"/>
      <c r="M576" s="149" t="s">
        <v>480</v>
      </c>
      <c r="N576" s="135" t="s">
        <v>912</v>
      </c>
      <c r="O576" s="152" t="s">
        <v>913</v>
      </c>
    </row>
    <row r="577" spans="1:15" ht="15" customHeight="1">
      <c r="A577" s="70"/>
      <c r="B577" s="97" t="s">
        <v>410</v>
      </c>
      <c r="C577" s="77"/>
      <c r="D577" s="101" t="s">
        <v>459</v>
      </c>
      <c r="E577" s="79"/>
      <c r="F577" s="192">
        <v>12</v>
      </c>
      <c r="G577" s="193"/>
      <c r="H577" s="132">
        <v>13.71</v>
      </c>
      <c r="I577" s="78">
        <f t="shared" si="12"/>
        <v>164.52</v>
      </c>
      <c r="J577" s="119" t="s">
        <v>991</v>
      </c>
      <c r="K577" s="130" t="s">
        <v>227</v>
      </c>
      <c r="L577" s="131"/>
      <c r="M577" s="149" t="s">
        <v>481</v>
      </c>
      <c r="N577" s="135" t="s">
        <v>914</v>
      </c>
      <c r="O577" s="152" t="s">
        <v>915</v>
      </c>
    </row>
    <row r="578" spans="1:15" ht="15" customHeight="1">
      <c r="A578" s="70"/>
      <c r="B578" s="97" t="s">
        <v>410</v>
      </c>
      <c r="C578" s="77"/>
      <c r="D578" s="101" t="s">
        <v>452</v>
      </c>
      <c r="E578" s="79"/>
      <c r="F578" s="192">
        <v>3</v>
      </c>
      <c r="G578" s="193"/>
      <c r="H578" s="132">
        <v>4.66</v>
      </c>
      <c r="I578" s="78">
        <f t="shared" si="12"/>
        <v>13.98</v>
      </c>
      <c r="J578" s="119" t="s">
        <v>991</v>
      </c>
      <c r="K578" s="130" t="s">
        <v>227</v>
      </c>
      <c r="L578" s="131"/>
      <c r="M578" s="149" t="s">
        <v>482</v>
      </c>
      <c r="N578" s="135" t="s">
        <v>638</v>
      </c>
      <c r="O578" s="152" t="s">
        <v>916</v>
      </c>
    </row>
    <row r="579" spans="1:15" ht="15" customHeight="1">
      <c r="A579" s="70"/>
      <c r="B579" s="97" t="s">
        <v>410</v>
      </c>
      <c r="C579" s="98"/>
      <c r="D579" s="101" t="s">
        <v>453</v>
      </c>
      <c r="E579" s="79"/>
      <c r="F579" s="192">
        <v>2</v>
      </c>
      <c r="G579" s="193"/>
      <c r="H579" s="132">
        <v>1.56</v>
      </c>
      <c r="I579" s="78">
        <f t="shared" si="12"/>
        <v>3.12</v>
      </c>
      <c r="J579" s="119" t="s">
        <v>991</v>
      </c>
      <c r="K579" s="130" t="s">
        <v>227</v>
      </c>
      <c r="L579" s="131"/>
      <c r="M579" s="149" t="s">
        <v>305</v>
      </c>
      <c r="N579" s="135" t="s">
        <v>765</v>
      </c>
      <c r="O579" s="152" t="s">
        <v>867</v>
      </c>
    </row>
    <row r="580" spans="1:15" ht="15" customHeight="1">
      <c r="A580" s="70"/>
      <c r="B580" s="97" t="s">
        <v>410</v>
      </c>
      <c r="C580" s="77"/>
      <c r="D580" s="101" t="s">
        <v>454</v>
      </c>
      <c r="E580" s="79"/>
      <c r="F580" s="192">
        <v>4</v>
      </c>
      <c r="G580" s="193"/>
      <c r="H580" s="132">
        <v>5.26</v>
      </c>
      <c r="I580" s="78">
        <f t="shared" si="12"/>
        <v>21.04</v>
      </c>
      <c r="J580" s="119" t="s">
        <v>991</v>
      </c>
      <c r="K580" s="130" t="s">
        <v>227</v>
      </c>
      <c r="L580" s="131"/>
      <c r="M580" s="149" t="s">
        <v>483</v>
      </c>
      <c r="N580" s="135" t="s">
        <v>762</v>
      </c>
      <c r="O580" s="152" t="s">
        <v>853</v>
      </c>
    </row>
    <row r="581" spans="1:15" ht="15" customHeight="1">
      <c r="A581" s="70"/>
      <c r="B581" s="97" t="s">
        <v>410</v>
      </c>
      <c r="C581" s="77"/>
      <c r="D581" s="101" t="s">
        <v>455</v>
      </c>
      <c r="E581" s="79"/>
      <c r="F581" s="192">
        <v>4</v>
      </c>
      <c r="G581" s="193"/>
      <c r="H581" s="132">
        <v>0.28999999999999998</v>
      </c>
      <c r="I581" s="78">
        <f t="shared" si="12"/>
        <v>1.1599999999999999</v>
      </c>
      <c r="J581" s="119" t="s">
        <v>991</v>
      </c>
      <c r="K581" s="130" t="s">
        <v>227</v>
      </c>
      <c r="L581" s="131"/>
      <c r="M581" s="149" t="s">
        <v>484</v>
      </c>
      <c r="N581" s="135" t="s">
        <v>848</v>
      </c>
      <c r="O581" s="152" t="s">
        <v>917</v>
      </c>
    </row>
    <row r="582" spans="1:15" ht="15" customHeight="1">
      <c r="A582" s="70"/>
      <c r="B582" s="97" t="s">
        <v>410</v>
      </c>
      <c r="C582" s="98"/>
      <c r="D582" s="101" t="s">
        <v>456</v>
      </c>
      <c r="E582" s="79"/>
      <c r="F582" s="192">
        <v>9</v>
      </c>
      <c r="G582" s="193"/>
      <c r="H582" s="132">
        <v>2.88</v>
      </c>
      <c r="I582" s="78">
        <f t="shared" si="12"/>
        <v>25.919999999999998</v>
      </c>
      <c r="J582" s="119" t="s">
        <v>991</v>
      </c>
      <c r="K582" s="130" t="s">
        <v>227</v>
      </c>
      <c r="L582" s="131"/>
      <c r="M582" s="149" t="s">
        <v>266</v>
      </c>
      <c r="N582" s="135" t="s">
        <v>607</v>
      </c>
      <c r="O582" s="152" t="s">
        <v>918</v>
      </c>
    </row>
    <row r="583" spans="1:15" s="180" customFormat="1" ht="15" customHeight="1" thickBot="1">
      <c r="A583" s="168"/>
      <c r="B583" s="82" t="s">
        <v>410</v>
      </c>
      <c r="C583" s="169"/>
      <c r="D583" s="170" t="s">
        <v>457</v>
      </c>
      <c r="E583" s="171"/>
      <c r="F583" s="239">
        <v>4</v>
      </c>
      <c r="G583" s="240"/>
      <c r="H583" s="172">
        <v>0.56999999999999995</v>
      </c>
      <c r="I583" s="173">
        <f t="shared" si="12"/>
        <v>2.2799999999999998</v>
      </c>
      <c r="J583" s="174" t="s">
        <v>991</v>
      </c>
      <c r="K583" s="175" t="s">
        <v>227</v>
      </c>
      <c r="L583" s="176"/>
      <c r="M583" s="177" t="s">
        <v>403</v>
      </c>
      <c r="N583" s="178" t="s">
        <v>856</v>
      </c>
      <c r="O583" s="179" t="s">
        <v>919</v>
      </c>
    </row>
    <row r="584" spans="1:15" ht="15" customHeight="1" thickTop="1">
      <c r="A584" s="128"/>
      <c r="B584" s="97" t="s">
        <v>486</v>
      </c>
      <c r="C584" s="98"/>
      <c r="D584" s="99" t="s">
        <v>55</v>
      </c>
      <c r="E584" s="100"/>
      <c r="F584" s="241">
        <v>4</v>
      </c>
      <c r="G584" s="242"/>
      <c r="H584" s="129">
        <v>12.64</v>
      </c>
      <c r="I584" s="80">
        <f t="shared" ref="I584:I621" si="13">F584*H584</f>
        <v>50.56</v>
      </c>
      <c r="J584" s="119" t="s">
        <v>993</v>
      </c>
      <c r="K584" s="145" t="s">
        <v>228</v>
      </c>
      <c r="L584" s="146"/>
      <c r="M584" s="148" t="s">
        <v>236</v>
      </c>
      <c r="N584" s="136" t="s">
        <v>600</v>
      </c>
      <c r="O584" s="153" t="s">
        <v>602</v>
      </c>
    </row>
    <row r="585" spans="1:15" ht="15" customHeight="1">
      <c r="A585" s="70"/>
      <c r="B585" s="97" t="s">
        <v>486</v>
      </c>
      <c r="C585" s="77"/>
      <c r="D585" s="101" t="s">
        <v>332</v>
      </c>
      <c r="E585" s="79"/>
      <c r="F585" s="192">
        <v>26</v>
      </c>
      <c r="G585" s="193"/>
      <c r="H585" s="132">
        <v>25.75</v>
      </c>
      <c r="I585" s="78">
        <f t="shared" si="13"/>
        <v>669.5</v>
      </c>
      <c r="J585" s="119" t="s">
        <v>992</v>
      </c>
      <c r="K585" s="130" t="s">
        <v>229</v>
      </c>
      <c r="L585" s="131"/>
      <c r="M585" s="149" t="s">
        <v>373</v>
      </c>
      <c r="N585" s="135" t="s">
        <v>634</v>
      </c>
      <c r="O585" s="152" t="s">
        <v>818</v>
      </c>
    </row>
    <row r="586" spans="1:15" ht="15" customHeight="1">
      <c r="A586" s="70"/>
      <c r="B586" s="97" t="s">
        <v>486</v>
      </c>
      <c r="C586" s="77"/>
      <c r="D586" s="101" t="s">
        <v>333</v>
      </c>
      <c r="E586" s="79"/>
      <c r="F586" s="192">
        <v>2</v>
      </c>
      <c r="G586" s="193"/>
      <c r="H586" s="132">
        <v>17.170000000000002</v>
      </c>
      <c r="I586" s="78">
        <f t="shared" si="13"/>
        <v>34.340000000000003</v>
      </c>
      <c r="J586" s="119" t="s">
        <v>992</v>
      </c>
      <c r="K586" s="130" t="s">
        <v>226</v>
      </c>
      <c r="L586" s="131"/>
      <c r="M586" s="149" t="s">
        <v>567</v>
      </c>
      <c r="N586" s="135" t="s">
        <v>630</v>
      </c>
      <c r="O586" s="152" t="s">
        <v>819</v>
      </c>
    </row>
    <row r="587" spans="1:15" ht="15" customHeight="1">
      <c r="A587" s="70"/>
      <c r="B587" s="97" t="s">
        <v>486</v>
      </c>
      <c r="C587" s="98"/>
      <c r="D587" s="101" t="s">
        <v>487</v>
      </c>
      <c r="E587" s="79"/>
      <c r="F587" s="192">
        <v>16</v>
      </c>
      <c r="G587" s="193"/>
      <c r="H587" s="132">
        <v>4.53</v>
      </c>
      <c r="I587" s="78">
        <f t="shared" si="13"/>
        <v>72.48</v>
      </c>
      <c r="J587" s="119" t="s">
        <v>992</v>
      </c>
      <c r="K587" s="130" t="s">
        <v>226</v>
      </c>
      <c r="L587" s="131"/>
      <c r="M587" s="149" t="s">
        <v>567</v>
      </c>
      <c r="N587" s="135" t="s">
        <v>630</v>
      </c>
      <c r="O587" s="152" t="s">
        <v>920</v>
      </c>
    </row>
    <row r="588" spans="1:15" ht="15" customHeight="1">
      <c r="A588" s="70"/>
      <c r="B588" s="97" t="s">
        <v>486</v>
      </c>
      <c r="C588" s="77"/>
      <c r="D588" s="101" t="s">
        <v>50</v>
      </c>
      <c r="E588" s="79"/>
      <c r="F588" s="192">
        <v>6</v>
      </c>
      <c r="G588" s="193"/>
      <c r="H588" s="132">
        <v>9.83</v>
      </c>
      <c r="I588" s="78">
        <f t="shared" si="13"/>
        <v>58.980000000000004</v>
      </c>
      <c r="J588" s="119" t="s">
        <v>992</v>
      </c>
      <c r="K588" s="130" t="s">
        <v>226</v>
      </c>
      <c r="L588" s="131"/>
      <c r="M588" s="149" t="s">
        <v>233</v>
      </c>
      <c r="N588" s="135" t="s">
        <v>593</v>
      </c>
      <c r="O588" s="152" t="s">
        <v>594</v>
      </c>
    </row>
    <row r="589" spans="1:15" ht="15" customHeight="1">
      <c r="A589" s="70"/>
      <c r="B589" s="97" t="s">
        <v>486</v>
      </c>
      <c r="C589" s="77"/>
      <c r="D589" s="101" t="s">
        <v>65</v>
      </c>
      <c r="E589" s="79"/>
      <c r="F589" s="192">
        <v>2</v>
      </c>
      <c r="G589" s="193"/>
      <c r="H589" s="132">
        <v>10.14</v>
      </c>
      <c r="I589" s="78">
        <f t="shared" si="13"/>
        <v>20.28</v>
      </c>
      <c r="J589" s="119" t="s">
        <v>992</v>
      </c>
      <c r="K589" s="130" t="s">
        <v>230</v>
      </c>
      <c r="L589" s="131"/>
      <c r="M589" s="149" t="s">
        <v>245</v>
      </c>
      <c r="N589" s="135" t="s">
        <v>618</v>
      </c>
      <c r="O589" s="152" t="s">
        <v>619</v>
      </c>
    </row>
    <row r="590" spans="1:15" ht="15" customHeight="1">
      <c r="A590" s="70"/>
      <c r="B590" s="97" t="s">
        <v>486</v>
      </c>
      <c r="C590" s="98"/>
      <c r="D590" s="101" t="s">
        <v>66</v>
      </c>
      <c r="E590" s="79"/>
      <c r="F590" s="192">
        <v>2</v>
      </c>
      <c r="G590" s="193"/>
      <c r="H590" s="132">
        <v>20.29</v>
      </c>
      <c r="I590" s="78">
        <f t="shared" si="13"/>
        <v>40.58</v>
      </c>
      <c r="J590" s="119" t="s">
        <v>992</v>
      </c>
      <c r="K590" s="130" t="s">
        <v>230</v>
      </c>
      <c r="L590" s="131"/>
      <c r="M590" s="149" t="s">
        <v>245</v>
      </c>
      <c r="N590" s="135" t="s">
        <v>618</v>
      </c>
      <c r="O590" s="152" t="s">
        <v>620</v>
      </c>
    </row>
    <row r="591" spans="1:15" ht="15" customHeight="1">
      <c r="A591" s="70"/>
      <c r="B591" s="97" t="s">
        <v>486</v>
      </c>
      <c r="C591" s="77"/>
      <c r="D591" s="101" t="s">
        <v>415</v>
      </c>
      <c r="E591" s="79"/>
      <c r="F591" s="192">
        <v>4</v>
      </c>
      <c r="G591" s="193"/>
      <c r="H591" s="132">
        <v>9.52</v>
      </c>
      <c r="I591" s="78">
        <f t="shared" si="13"/>
        <v>38.08</v>
      </c>
      <c r="J591" s="119" t="s">
        <v>992</v>
      </c>
      <c r="K591" s="130" t="s">
        <v>226</v>
      </c>
      <c r="L591" s="131"/>
      <c r="M591" s="149" t="s">
        <v>377</v>
      </c>
      <c r="N591" s="135" t="s">
        <v>597</v>
      </c>
      <c r="O591" s="152" t="s">
        <v>871</v>
      </c>
    </row>
    <row r="592" spans="1:15" ht="15" customHeight="1">
      <c r="A592" s="70"/>
      <c r="B592" s="97" t="s">
        <v>486</v>
      </c>
      <c r="C592" s="77"/>
      <c r="D592" s="101" t="s">
        <v>414</v>
      </c>
      <c r="E592" s="79"/>
      <c r="F592" s="192">
        <v>2</v>
      </c>
      <c r="G592" s="193"/>
      <c r="H592" s="132">
        <v>9.52</v>
      </c>
      <c r="I592" s="78">
        <f t="shared" si="13"/>
        <v>19.04</v>
      </c>
      <c r="J592" s="119" t="s">
        <v>992</v>
      </c>
      <c r="K592" s="130" t="s">
        <v>226</v>
      </c>
      <c r="L592" s="131"/>
      <c r="M592" s="149" t="s">
        <v>377</v>
      </c>
      <c r="N592" s="135" t="s">
        <v>597</v>
      </c>
      <c r="O592" s="152" t="s">
        <v>870</v>
      </c>
    </row>
    <row r="593" spans="1:15" ht="15" customHeight="1">
      <c r="A593" s="70"/>
      <c r="B593" s="97" t="s">
        <v>486</v>
      </c>
      <c r="C593" s="98"/>
      <c r="D593" s="101" t="s">
        <v>337</v>
      </c>
      <c r="E593" s="79"/>
      <c r="F593" s="192">
        <v>2</v>
      </c>
      <c r="G593" s="193"/>
      <c r="H593" s="132">
        <v>304.31</v>
      </c>
      <c r="I593" s="78">
        <f t="shared" si="13"/>
        <v>608.62</v>
      </c>
      <c r="J593" s="119" t="s">
        <v>992</v>
      </c>
      <c r="K593" s="130" t="s">
        <v>229</v>
      </c>
      <c r="L593" s="131"/>
      <c r="M593" s="149" t="s">
        <v>243</v>
      </c>
      <c r="N593" s="135" t="s">
        <v>615</v>
      </c>
      <c r="O593" s="152" t="s">
        <v>824</v>
      </c>
    </row>
    <row r="594" spans="1:15" ht="15" customHeight="1">
      <c r="A594" s="70"/>
      <c r="B594" s="97" t="s">
        <v>486</v>
      </c>
      <c r="C594" s="77"/>
      <c r="D594" s="101" t="s">
        <v>61</v>
      </c>
      <c r="E594" s="79"/>
      <c r="F594" s="192">
        <v>12</v>
      </c>
      <c r="G594" s="193"/>
      <c r="H594" s="132">
        <v>8.19</v>
      </c>
      <c r="I594" s="78">
        <f t="shared" si="13"/>
        <v>98.28</v>
      </c>
      <c r="J594" s="119" t="s">
        <v>992</v>
      </c>
      <c r="K594" s="130" t="s">
        <v>229</v>
      </c>
      <c r="L594" s="131"/>
      <c r="M594" s="149" t="s">
        <v>241</v>
      </c>
      <c r="N594" s="135" t="s">
        <v>593</v>
      </c>
      <c r="O594" s="152" t="s">
        <v>612</v>
      </c>
    </row>
    <row r="595" spans="1:15" ht="15" customHeight="1">
      <c r="A595" s="70"/>
      <c r="B595" s="97" t="s">
        <v>486</v>
      </c>
      <c r="C595" s="77"/>
      <c r="D595" s="101" t="s">
        <v>62</v>
      </c>
      <c r="E595" s="79"/>
      <c r="F595" s="192">
        <v>12</v>
      </c>
      <c r="G595" s="193"/>
      <c r="H595" s="132">
        <v>8.27</v>
      </c>
      <c r="I595" s="78">
        <f t="shared" si="13"/>
        <v>99.24</v>
      </c>
      <c r="J595" s="119" t="s">
        <v>992</v>
      </c>
      <c r="K595" s="130" t="s">
        <v>229</v>
      </c>
      <c r="L595" s="131"/>
      <c r="M595" s="149" t="s">
        <v>242</v>
      </c>
      <c r="N595" s="135" t="s">
        <v>613</v>
      </c>
      <c r="O595" s="152" t="s">
        <v>614</v>
      </c>
    </row>
    <row r="596" spans="1:15" ht="15" customHeight="1">
      <c r="A596" s="70"/>
      <c r="B596" s="97" t="s">
        <v>486</v>
      </c>
      <c r="C596" s="98"/>
      <c r="D596" s="101" t="s">
        <v>488</v>
      </c>
      <c r="E596" s="79"/>
      <c r="F596" s="192">
        <v>6</v>
      </c>
      <c r="G596" s="193"/>
      <c r="H596" s="132">
        <v>15.45</v>
      </c>
      <c r="I596" s="78">
        <f t="shared" si="13"/>
        <v>92.699999999999989</v>
      </c>
      <c r="J596" s="119" t="s">
        <v>992</v>
      </c>
      <c r="K596" s="130" t="s">
        <v>226</v>
      </c>
      <c r="L596" s="131"/>
      <c r="M596" s="149" t="s">
        <v>248</v>
      </c>
      <c r="N596" s="135" t="s">
        <v>626</v>
      </c>
      <c r="O596" s="152" t="s">
        <v>921</v>
      </c>
    </row>
    <row r="597" spans="1:15" ht="15" customHeight="1">
      <c r="A597" s="70"/>
      <c r="B597" s="97" t="s">
        <v>486</v>
      </c>
      <c r="C597" s="77"/>
      <c r="D597" s="101" t="s">
        <v>489</v>
      </c>
      <c r="E597" s="79"/>
      <c r="F597" s="192">
        <v>20</v>
      </c>
      <c r="G597" s="193"/>
      <c r="H597" s="132">
        <v>0.33</v>
      </c>
      <c r="I597" s="78">
        <f t="shared" si="13"/>
        <v>6.6000000000000005</v>
      </c>
      <c r="J597" s="119" t="s">
        <v>992</v>
      </c>
      <c r="K597" s="130" t="s">
        <v>232</v>
      </c>
      <c r="L597" s="131"/>
      <c r="M597" s="149" t="s">
        <v>568</v>
      </c>
      <c r="N597" s="135" t="s">
        <v>922</v>
      </c>
      <c r="O597" s="152" t="s">
        <v>923</v>
      </c>
    </row>
    <row r="598" spans="1:15" ht="15" customHeight="1">
      <c r="A598" s="70"/>
      <c r="B598" s="97" t="s">
        <v>486</v>
      </c>
      <c r="C598" s="77"/>
      <c r="D598" s="101" t="s">
        <v>490</v>
      </c>
      <c r="E598" s="79"/>
      <c r="F598" s="192">
        <v>4</v>
      </c>
      <c r="G598" s="193"/>
      <c r="H598" s="132">
        <v>60.08</v>
      </c>
      <c r="I598" s="78">
        <f t="shared" si="13"/>
        <v>240.32</v>
      </c>
      <c r="J598" s="119" t="s">
        <v>992</v>
      </c>
      <c r="K598" s="130" t="s">
        <v>230</v>
      </c>
      <c r="L598" s="131"/>
      <c r="M598" s="149" t="s">
        <v>246</v>
      </c>
      <c r="N598" s="135" t="s">
        <v>597</v>
      </c>
      <c r="O598" s="152" t="s">
        <v>924</v>
      </c>
    </row>
    <row r="599" spans="1:15" ht="15" customHeight="1">
      <c r="A599" s="70"/>
      <c r="B599" s="97" t="s">
        <v>486</v>
      </c>
      <c r="C599" s="98"/>
      <c r="D599" s="101" t="s">
        <v>69</v>
      </c>
      <c r="E599" s="79"/>
      <c r="F599" s="192">
        <v>4</v>
      </c>
      <c r="G599" s="193"/>
      <c r="H599" s="132">
        <v>7.02</v>
      </c>
      <c r="I599" s="78">
        <f t="shared" si="13"/>
        <v>28.08</v>
      </c>
      <c r="J599" s="119" t="s">
        <v>992</v>
      </c>
      <c r="K599" s="130" t="s">
        <v>230</v>
      </c>
      <c r="L599" s="131"/>
      <c r="M599" s="149" t="s">
        <v>569</v>
      </c>
      <c r="N599" s="135" t="s">
        <v>623</v>
      </c>
      <c r="O599" s="152" t="s">
        <v>624</v>
      </c>
    </row>
    <row r="600" spans="1:15" ht="15" customHeight="1">
      <c r="A600" s="70"/>
      <c r="B600" s="97" t="s">
        <v>486</v>
      </c>
      <c r="C600" s="77"/>
      <c r="D600" s="101" t="s">
        <v>491</v>
      </c>
      <c r="E600" s="79"/>
      <c r="F600" s="192">
        <v>2</v>
      </c>
      <c r="G600" s="193"/>
      <c r="H600" s="132">
        <v>4.72</v>
      </c>
      <c r="I600" s="78">
        <f t="shared" si="13"/>
        <v>9.44</v>
      </c>
      <c r="J600" s="119" t="s">
        <v>992</v>
      </c>
      <c r="K600" s="130" t="s">
        <v>226</v>
      </c>
      <c r="L600" s="131"/>
      <c r="M600" s="149" t="s">
        <v>248</v>
      </c>
      <c r="N600" s="135" t="s">
        <v>626</v>
      </c>
      <c r="O600" s="152" t="s">
        <v>925</v>
      </c>
    </row>
    <row r="601" spans="1:15" ht="15" customHeight="1">
      <c r="A601" s="70"/>
      <c r="B601" s="97" t="s">
        <v>486</v>
      </c>
      <c r="C601" s="77"/>
      <c r="D601" s="101" t="s">
        <v>52</v>
      </c>
      <c r="E601" s="79"/>
      <c r="F601" s="192">
        <v>16</v>
      </c>
      <c r="G601" s="193"/>
      <c r="H601" s="132">
        <v>13.81</v>
      </c>
      <c r="I601" s="78">
        <f t="shared" si="13"/>
        <v>220.96</v>
      </c>
      <c r="J601" s="119" t="s">
        <v>992</v>
      </c>
      <c r="K601" s="130" t="s">
        <v>226</v>
      </c>
      <c r="L601" s="131"/>
      <c r="M601" s="149" t="s">
        <v>235</v>
      </c>
      <c r="N601" s="135" t="s">
        <v>597</v>
      </c>
      <c r="O601" s="152" t="s">
        <v>598</v>
      </c>
    </row>
    <row r="602" spans="1:15" ht="15" customHeight="1">
      <c r="A602" s="70"/>
      <c r="B602" s="97" t="s">
        <v>486</v>
      </c>
      <c r="C602" s="98"/>
      <c r="D602" s="101" t="s">
        <v>59</v>
      </c>
      <c r="E602" s="79"/>
      <c r="F602" s="192">
        <v>2</v>
      </c>
      <c r="G602" s="193"/>
      <c r="H602" s="132">
        <v>31.06</v>
      </c>
      <c r="I602" s="78">
        <f t="shared" si="13"/>
        <v>62.12</v>
      </c>
      <c r="J602" s="119" t="s">
        <v>992</v>
      </c>
      <c r="K602" s="130" t="s">
        <v>226</v>
      </c>
      <c r="L602" s="131"/>
      <c r="M602" s="149" t="s">
        <v>376</v>
      </c>
      <c r="N602" s="135" t="s">
        <v>609</v>
      </c>
      <c r="O602" s="152" t="s">
        <v>610</v>
      </c>
    </row>
    <row r="603" spans="1:15" ht="15" customHeight="1">
      <c r="A603" s="70"/>
      <c r="B603" s="97" t="s">
        <v>486</v>
      </c>
      <c r="C603" s="77"/>
      <c r="D603" s="101" t="s">
        <v>60</v>
      </c>
      <c r="E603" s="79"/>
      <c r="F603" s="192">
        <v>2</v>
      </c>
      <c r="G603" s="193"/>
      <c r="H603" s="132">
        <v>42.76</v>
      </c>
      <c r="I603" s="78">
        <f t="shared" si="13"/>
        <v>85.52</v>
      </c>
      <c r="J603" s="119" t="s">
        <v>992</v>
      </c>
      <c r="K603" s="130" t="s">
        <v>226</v>
      </c>
      <c r="L603" s="131"/>
      <c r="M603" s="149" t="s">
        <v>462</v>
      </c>
      <c r="N603" s="135" t="s">
        <v>609</v>
      </c>
      <c r="O603" s="152" t="s">
        <v>611</v>
      </c>
    </row>
    <row r="604" spans="1:15" ht="15" customHeight="1">
      <c r="A604" s="70"/>
      <c r="B604" s="97" t="s">
        <v>486</v>
      </c>
      <c r="C604" s="98"/>
      <c r="D604" s="101" t="s">
        <v>77</v>
      </c>
      <c r="E604" s="79"/>
      <c r="F604" s="192">
        <v>2</v>
      </c>
      <c r="G604" s="193"/>
      <c r="H604" s="132">
        <v>46.82</v>
      </c>
      <c r="I604" s="78">
        <f t="shared" si="13"/>
        <v>93.64</v>
      </c>
      <c r="J604" s="119" t="s">
        <v>992</v>
      </c>
      <c r="K604" s="130" t="s">
        <v>566</v>
      </c>
      <c r="L604" s="131"/>
      <c r="M604" s="149" t="s">
        <v>380</v>
      </c>
      <c r="N604" s="135" t="s">
        <v>636</v>
      </c>
      <c r="O604" s="152" t="s">
        <v>637</v>
      </c>
    </row>
    <row r="605" spans="1:15" ht="15" customHeight="1">
      <c r="A605" s="70"/>
      <c r="B605" s="97" t="s">
        <v>486</v>
      </c>
      <c r="C605" s="77"/>
      <c r="D605" s="101" t="s">
        <v>492</v>
      </c>
      <c r="E605" s="79"/>
      <c r="F605" s="192">
        <v>4</v>
      </c>
      <c r="G605" s="193"/>
      <c r="H605" s="132">
        <v>419.01</v>
      </c>
      <c r="I605" s="78">
        <f t="shared" si="13"/>
        <v>1676.04</v>
      </c>
      <c r="J605" s="119" t="s">
        <v>992</v>
      </c>
      <c r="K605" s="130" t="s">
        <v>228</v>
      </c>
      <c r="L605" s="131"/>
      <c r="M605" s="149" t="s">
        <v>570</v>
      </c>
      <c r="N605" s="135" t="s">
        <v>926</v>
      </c>
      <c r="O605" s="152" t="s">
        <v>927</v>
      </c>
    </row>
    <row r="606" spans="1:15" ht="15" customHeight="1">
      <c r="A606" s="70"/>
      <c r="B606" s="97" t="s">
        <v>486</v>
      </c>
      <c r="C606" s="77"/>
      <c r="D606" s="101" t="s">
        <v>493</v>
      </c>
      <c r="E606" s="79"/>
      <c r="F606" s="192">
        <v>26</v>
      </c>
      <c r="G606" s="193"/>
      <c r="H606" s="132">
        <v>2.1800000000000002</v>
      </c>
      <c r="I606" s="78">
        <f t="shared" si="13"/>
        <v>56.680000000000007</v>
      </c>
      <c r="J606" s="119" t="s">
        <v>992</v>
      </c>
      <c r="K606" s="130" t="s">
        <v>226</v>
      </c>
      <c r="L606" s="131"/>
      <c r="M606" s="149" t="s">
        <v>273</v>
      </c>
      <c r="N606" s="135" t="s">
        <v>701</v>
      </c>
      <c r="O606" s="152" t="s">
        <v>928</v>
      </c>
    </row>
    <row r="607" spans="1:15" ht="15" customHeight="1">
      <c r="A607" s="70"/>
      <c r="B607" s="97" t="s">
        <v>486</v>
      </c>
      <c r="C607" s="98"/>
      <c r="D607" s="101" t="s">
        <v>132</v>
      </c>
      <c r="E607" s="79"/>
      <c r="F607" s="192">
        <v>52</v>
      </c>
      <c r="G607" s="193"/>
      <c r="H607" s="132">
        <v>2.57</v>
      </c>
      <c r="I607" s="78">
        <f t="shared" si="13"/>
        <v>133.63999999999999</v>
      </c>
      <c r="J607" s="119" t="s">
        <v>992</v>
      </c>
      <c r="K607" s="130" t="s">
        <v>226</v>
      </c>
      <c r="L607" s="131"/>
      <c r="M607" s="149" t="s">
        <v>275</v>
      </c>
      <c r="N607" s="135" t="s">
        <v>705</v>
      </c>
      <c r="O607" s="152" t="s">
        <v>706</v>
      </c>
    </row>
    <row r="608" spans="1:15" ht="15" customHeight="1">
      <c r="A608" s="70"/>
      <c r="B608" s="97" t="s">
        <v>486</v>
      </c>
      <c r="C608" s="77"/>
      <c r="D608" s="101" t="s">
        <v>494</v>
      </c>
      <c r="E608" s="79"/>
      <c r="F608" s="192">
        <v>8</v>
      </c>
      <c r="G608" s="193"/>
      <c r="H608" s="132">
        <v>1.95</v>
      </c>
      <c r="I608" s="78">
        <f t="shared" si="13"/>
        <v>15.6</v>
      </c>
      <c r="J608" s="119" t="s">
        <v>992</v>
      </c>
      <c r="K608" s="130" t="s">
        <v>226</v>
      </c>
      <c r="L608" s="131"/>
      <c r="M608" s="149" t="s">
        <v>571</v>
      </c>
      <c r="N608" s="135" t="s">
        <v>703</v>
      </c>
      <c r="O608" s="152" t="s">
        <v>929</v>
      </c>
    </row>
    <row r="609" spans="1:15" ht="15" customHeight="1">
      <c r="A609" s="70"/>
      <c r="B609" s="97" t="s">
        <v>486</v>
      </c>
      <c r="C609" s="77"/>
      <c r="D609" s="101" t="s">
        <v>495</v>
      </c>
      <c r="E609" s="79"/>
      <c r="F609" s="192">
        <v>52</v>
      </c>
      <c r="G609" s="193"/>
      <c r="H609" s="132">
        <v>2.1800000000000002</v>
      </c>
      <c r="I609" s="78">
        <f t="shared" si="13"/>
        <v>113.36000000000001</v>
      </c>
      <c r="J609" s="119" t="s">
        <v>992</v>
      </c>
      <c r="K609" s="130" t="s">
        <v>226</v>
      </c>
      <c r="L609" s="131"/>
      <c r="M609" s="149" t="s">
        <v>274</v>
      </c>
      <c r="N609" s="135" t="s">
        <v>703</v>
      </c>
      <c r="O609" s="152" t="s">
        <v>930</v>
      </c>
    </row>
    <row r="610" spans="1:15" ht="15" customHeight="1">
      <c r="A610" s="70"/>
      <c r="B610" s="97" t="s">
        <v>486</v>
      </c>
      <c r="C610" s="98"/>
      <c r="D610" s="101" t="s">
        <v>134</v>
      </c>
      <c r="E610" s="79"/>
      <c r="F610" s="192">
        <v>14</v>
      </c>
      <c r="G610" s="193"/>
      <c r="H610" s="132">
        <v>5.46</v>
      </c>
      <c r="I610" s="78">
        <f t="shared" si="13"/>
        <v>76.44</v>
      </c>
      <c r="J610" s="119" t="s">
        <v>992</v>
      </c>
      <c r="K610" s="130" t="s">
        <v>226</v>
      </c>
      <c r="L610" s="131"/>
      <c r="M610" s="149" t="s">
        <v>277</v>
      </c>
      <c r="N610" s="135" t="s">
        <v>707</v>
      </c>
      <c r="O610" s="152" t="s">
        <v>708</v>
      </c>
    </row>
    <row r="611" spans="1:15" ht="15" customHeight="1">
      <c r="A611" s="70"/>
      <c r="B611" s="97" t="s">
        <v>486</v>
      </c>
      <c r="C611" s="77"/>
      <c r="D611" s="101" t="s">
        <v>133</v>
      </c>
      <c r="E611" s="79"/>
      <c r="F611" s="192">
        <v>4</v>
      </c>
      <c r="G611" s="193"/>
      <c r="H611" s="132">
        <v>0.18</v>
      </c>
      <c r="I611" s="78">
        <f t="shared" si="13"/>
        <v>0.72</v>
      </c>
      <c r="J611" s="119" t="s">
        <v>992</v>
      </c>
      <c r="K611" s="130" t="s">
        <v>226</v>
      </c>
      <c r="L611" s="131"/>
      <c r="M611" s="149" t="s">
        <v>276</v>
      </c>
      <c r="N611" s="135" t="s">
        <v>603</v>
      </c>
      <c r="O611" s="152" t="s">
        <v>648</v>
      </c>
    </row>
    <row r="612" spans="1:15" ht="15" customHeight="1">
      <c r="A612" s="70"/>
      <c r="B612" s="97" t="s">
        <v>486</v>
      </c>
      <c r="C612" s="77"/>
      <c r="D612" s="101" t="s">
        <v>496</v>
      </c>
      <c r="E612" s="79"/>
      <c r="F612" s="192">
        <v>1</v>
      </c>
      <c r="G612" s="193"/>
      <c r="H612" s="132">
        <v>6.09</v>
      </c>
      <c r="I612" s="78">
        <f t="shared" si="13"/>
        <v>6.09</v>
      </c>
      <c r="J612" s="119" t="s">
        <v>992</v>
      </c>
      <c r="K612" s="130" t="s">
        <v>226</v>
      </c>
      <c r="L612" s="131"/>
      <c r="M612" s="149" t="s">
        <v>572</v>
      </c>
      <c r="N612" s="135" t="s">
        <v>701</v>
      </c>
      <c r="O612" s="152" t="s">
        <v>931</v>
      </c>
    </row>
    <row r="613" spans="1:15" ht="15" customHeight="1">
      <c r="A613" s="70"/>
      <c r="B613" s="97" t="s">
        <v>486</v>
      </c>
      <c r="C613" s="98"/>
      <c r="D613" s="101" t="s">
        <v>138</v>
      </c>
      <c r="E613" s="79"/>
      <c r="F613" s="192">
        <v>8</v>
      </c>
      <c r="G613" s="193"/>
      <c r="H613" s="132">
        <v>5.23</v>
      </c>
      <c r="I613" s="78">
        <f t="shared" si="13"/>
        <v>41.84</v>
      </c>
      <c r="J613" s="119" t="s">
        <v>992</v>
      </c>
      <c r="K613" s="130" t="s">
        <v>226</v>
      </c>
      <c r="L613" s="131"/>
      <c r="M613" s="149" t="s">
        <v>281</v>
      </c>
      <c r="N613" s="135" t="s">
        <v>634</v>
      </c>
      <c r="O613" s="152" t="s">
        <v>715</v>
      </c>
    </row>
    <row r="614" spans="1:15" ht="15" customHeight="1">
      <c r="A614" s="70"/>
      <c r="B614" s="97" t="s">
        <v>486</v>
      </c>
      <c r="C614" s="77"/>
      <c r="D614" s="101" t="s">
        <v>142</v>
      </c>
      <c r="E614" s="79"/>
      <c r="F614" s="192">
        <v>8</v>
      </c>
      <c r="G614" s="193"/>
      <c r="H614" s="132">
        <v>10.53</v>
      </c>
      <c r="I614" s="78">
        <f t="shared" si="13"/>
        <v>84.24</v>
      </c>
      <c r="J614" s="119" t="s">
        <v>992</v>
      </c>
      <c r="K614" s="130" t="s">
        <v>226</v>
      </c>
      <c r="L614" s="131"/>
      <c r="M614" s="149" t="s">
        <v>285</v>
      </c>
      <c r="N614" s="135" t="s">
        <v>719</v>
      </c>
      <c r="O614" s="152" t="s">
        <v>720</v>
      </c>
    </row>
    <row r="615" spans="1:15" ht="15" customHeight="1">
      <c r="A615" s="70"/>
      <c r="B615" s="97" t="s">
        <v>486</v>
      </c>
      <c r="C615" s="77"/>
      <c r="D615" s="101" t="s">
        <v>497</v>
      </c>
      <c r="E615" s="79"/>
      <c r="F615" s="192">
        <v>2</v>
      </c>
      <c r="G615" s="193"/>
      <c r="H615" s="132">
        <v>28.87</v>
      </c>
      <c r="I615" s="78">
        <f t="shared" si="13"/>
        <v>57.74</v>
      </c>
      <c r="J615" s="119" t="s">
        <v>992</v>
      </c>
      <c r="K615" s="130" t="s">
        <v>229</v>
      </c>
      <c r="L615" s="131"/>
      <c r="M615" s="149" t="s">
        <v>302</v>
      </c>
      <c r="N615" s="135" t="s">
        <v>597</v>
      </c>
      <c r="O615" s="152" t="s">
        <v>932</v>
      </c>
    </row>
    <row r="616" spans="1:15" ht="15" customHeight="1">
      <c r="A616" s="70"/>
      <c r="B616" s="97" t="s">
        <v>486</v>
      </c>
      <c r="C616" s="98"/>
      <c r="D616" s="101" t="s">
        <v>498</v>
      </c>
      <c r="E616" s="79"/>
      <c r="F616" s="192">
        <v>2</v>
      </c>
      <c r="G616" s="193"/>
      <c r="H616" s="132">
        <v>5.46</v>
      </c>
      <c r="I616" s="78">
        <f t="shared" si="13"/>
        <v>10.92</v>
      </c>
      <c r="J616" s="119" t="s">
        <v>992</v>
      </c>
      <c r="K616" s="130" t="s">
        <v>226</v>
      </c>
      <c r="L616" s="131"/>
      <c r="M616" s="149" t="s">
        <v>573</v>
      </c>
      <c r="N616" s="135" t="s">
        <v>640</v>
      </c>
      <c r="O616" s="152" t="s">
        <v>933</v>
      </c>
    </row>
    <row r="617" spans="1:15" ht="15" customHeight="1">
      <c r="A617" s="70"/>
      <c r="B617" s="97" t="s">
        <v>486</v>
      </c>
      <c r="C617" s="77"/>
      <c r="D617" s="101" t="s">
        <v>499</v>
      </c>
      <c r="E617" s="79"/>
      <c r="F617" s="192">
        <v>2</v>
      </c>
      <c r="G617" s="193"/>
      <c r="H617" s="132">
        <v>5.77</v>
      </c>
      <c r="I617" s="78">
        <f t="shared" si="13"/>
        <v>11.54</v>
      </c>
      <c r="J617" s="119" t="s">
        <v>992</v>
      </c>
      <c r="K617" s="130" t="s">
        <v>226</v>
      </c>
      <c r="L617" s="131"/>
      <c r="M617" s="149" t="s">
        <v>477</v>
      </c>
      <c r="N617" s="135" t="s">
        <v>632</v>
      </c>
      <c r="O617" s="152" t="s">
        <v>934</v>
      </c>
    </row>
    <row r="618" spans="1:15" ht="15" customHeight="1">
      <c r="A618" s="70"/>
      <c r="B618" s="97" t="s">
        <v>486</v>
      </c>
      <c r="C618" s="77"/>
      <c r="D618" s="101" t="s">
        <v>500</v>
      </c>
      <c r="E618" s="79"/>
      <c r="F618" s="192">
        <v>2</v>
      </c>
      <c r="G618" s="193"/>
      <c r="H618" s="132">
        <v>29.65</v>
      </c>
      <c r="I618" s="78">
        <f t="shared" si="13"/>
        <v>59.3</v>
      </c>
      <c r="J618" s="119" t="s">
        <v>992</v>
      </c>
      <c r="K618" s="130" t="s">
        <v>226</v>
      </c>
      <c r="L618" s="131"/>
      <c r="M618" s="149" t="s">
        <v>255</v>
      </c>
      <c r="N618" s="135" t="s">
        <v>643</v>
      </c>
      <c r="O618" s="152" t="s">
        <v>644</v>
      </c>
    </row>
    <row r="619" spans="1:15" ht="15" customHeight="1">
      <c r="A619" s="70"/>
      <c r="B619" s="97" t="s">
        <v>486</v>
      </c>
      <c r="C619" s="98"/>
      <c r="D619" s="101" t="s">
        <v>501</v>
      </c>
      <c r="E619" s="79"/>
      <c r="F619" s="192">
        <v>4</v>
      </c>
      <c r="G619" s="193"/>
      <c r="H619" s="132">
        <v>4.37</v>
      </c>
      <c r="I619" s="78">
        <f t="shared" si="13"/>
        <v>17.48</v>
      </c>
      <c r="J619" s="119" t="s">
        <v>992</v>
      </c>
      <c r="K619" s="130" t="s">
        <v>226</v>
      </c>
      <c r="L619" s="131"/>
      <c r="M619" s="149" t="s">
        <v>280</v>
      </c>
      <c r="N619" s="135" t="s">
        <v>713</v>
      </c>
      <c r="O619" s="152" t="s">
        <v>714</v>
      </c>
    </row>
    <row r="620" spans="1:15" ht="15" customHeight="1">
      <c r="A620" s="70"/>
      <c r="B620" s="97" t="s">
        <v>486</v>
      </c>
      <c r="C620" s="77"/>
      <c r="D620" s="101" t="s">
        <v>148</v>
      </c>
      <c r="E620" s="79"/>
      <c r="F620" s="192">
        <v>4</v>
      </c>
      <c r="G620" s="193"/>
      <c r="H620" s="132">
        <v>5.7</v>
      </c>
      <c r="I620" s="78">
        <f t="shared" si="13"/>
        <v>22.8</v>
      </c>
      <c r="J620" s="119" t="s">
        <v>992</v>
      </c>
      <c r="K620" s="130" t="s">
        <v>226</v>
      </c>
      <c r="L620" s="131"/>
      <c r="M620" s="149" t="s">
        <v>286</v>
      </c>
      <c r="N620" s="135" t="s">
        <v>634</v>
      </c>
      <c r="O620" s="152" t="s">
        <v>726</v>
      </c>
    </row>
    <row r="621" spans="1:15" ht="15" customHeight="1">
      <c r="A621" s="70"/>
      <c r="B621" s="97" t="s">
        <v>486</v>
      </c>
      <c r="C621" s="77"/>
      <c r="D621" s="101" t="s">
        <v>502</v>
      </c>
      <c r="E621" s="79"/>
      <c r="F621" s="192">
        <v>4</v>
      </c>
      <c r="G621" s="193"/>
      <c r="H621" s="132">
        <v>5.23</v>
      </c>
      <c r="I621" s="78">
        <f t="shared" si="13"/>
        <v>20.92</v>
      </c>
      <c r="J621" s="119" t="s">
        <v>992</v>
      </c>
      <c r="K621" s="130" t="s">
        <v>226</v>
      </c>
      <c r="L621" s="131"/>
      <c r="M621" s="149" t="s">
        <v>574</v>
      </c>
      <c r="N621" s="135" t="s">
        <v>634</v>
      </c>
      <c r="O621" s="152" t="s">
        <v>935</v>
      </c>
    </row>
    <row r="622" spans="1:15" ht="15" customHeight="1">
      <c r="A622" s="70"/>
      <c r="B622" s="97" t="s">
        <v>486</v>
      </c>
      <c r="C622" s="98"/>
      <c r="D622" s="101" t="s">
        <v>350</v>
      </c>
      <c r="E622" s="79"/>
      <c r="F622" s="192">
        <v>4</v>
      </c>
      <c r="G622" s="193"/>
      <c r="H622" s="132">
        <v>5.77</v>
      </c>
      <c r="I622" s="78">
        <f t="shared" ref="I622:I680" si="14">F622*H622</f>
        <v>23.08</v>
      </c>
      <c r="J622" s="119" t="s">
        <v>992</v>
      </c>
      <c r="K622" s="130" t="s">
        <v>226</v>
      </c>
      <c r="L622" s="131"/>
      <c r="M622" s="149" t="s">
        <v>283</v>
      </c>
      <c r="N622" s="135" t="s">
        <v>634</v>
      </c>
      <c r="O622" s="152" t="s">
        <v>835</v>
      </c>
    </row>
    <row r="623" spans="1:15" ht="15" customHeight="1">
      <c r="A623" s="70"/>
      <c r="B623" s="97" t="s">
        <v>486</v>
      </c>
      <c r="C623" s="77"/>
      <c r="D623" s="101" t="s">
        <v>135</v>
      </c>
      <c r="E623" s="79"/>
      <c r="F623" s="192">
        <v>2</v>
      </c>
      <c r="G623" s="193"/>
      <c r="H623" s="132">
        <v>16.78</v>
      </c>
      <c r="I623" s="78">
        <f t="shared" si="14"/>
        <v>33.56</v>
      </c>
      <c r="J623" s="119" t="s">
        <v>992</v>
      </c>
      <c r="K623" s="130" t="s">
        <v>226</v>
      </c>
      <c r="L623" s="131"/>
      <c r="M623" s="149" t="s">
        <v>278</v>
      </c>
      <c r="N623" s="135" t="s">
        <v>709</v>
      </c>
      <c r="O623" s="152" t="s">
        <v>710</v>
      </c>
    </row>
    <row r="624" spans="1:15" ht="15" customHeight="1">
      <c r="A624" s="70"/>
      <c r="B624" s="97" t="s">
        <v>486</v>
      </c>
      <c r="C624" s="98"/>
      <c r="D624" s="101" t="s">
        <v>136</v>
      </c>
      <c r="E624" s="79"/>
      <c r="F624" s="192">
        <v>2</v>
      </c>
      <c r="G624" s="193"/>
      <c r="H624" s="132">
        <v>23.25</v>
      </c>
      <c r="I624" s="78">
        <f t="shared" si="14"/>
        <v>46.5</v>
      </c>
      <c r="J624" s="119" t="s">
        <v>992</v>
      </c>
      <c r="K624" s="130" t="s">
        <v>226</v>
      </c>
      <c r="L624" s="131"/>
      <c r="M624" s="149" t="s">
        <v>279</v>
      </c>
      <c r="N624" s="135" t="s">
        <v>711</v>
      </c>
      <c r="O624" s="152" t="s">
        <v>712</v>
      </c>
    </row>
    <row r="625" spans="1:15" ht="15" customHeight="1">
      <c r="A625" s="70"/>
      <c r="B625" s="97" t="s">
        <v>486</v>
      </c>
      <c r="C625" s="77"/>
      <c r="D625" s="101" t="s">
        <v>177</v>
      </c>
      <c r="E625" s="79"/>
      <c r="F625" s="192">
        <v>2</v>
      </c>
      <c r="G625" s="193"/>
      <c r="H625" s="132">
        <v>2.0299999999999998</v>
      </c>
      <c r="I625" s="78">
        <f t="shared" si="14"/>
        <v>4.0599999999999996</v>
      </c>
      <c r="J625" s="119" t="s">
        <v>992</v>
      </c>
      <c r="K625" s="130" t="s">
        <v>229</v>
      </c>
      <c r="L625" s="131"/>
      <c r="M625" s="149" t="s">
        <v>303</v>
      </c>
      <c r="N625" s="135" t="s">
        <v>595</v>
      </c>
      <c r="O625" s="152" t="s">
        <v>761</v>
      </c>
    </row>
    <row r="626" spans="1:15" ht="15" customHeight="1">
      <c r="A626" s="70"/>
      <c r="B626" s="97" t="s">
        <v>486</v>
      </c>
      <c r="C626" s="77"/>
      <c r="D626" s="101" t="s">
        <v>503</v>
      </c>
      <c r="E626" s="79"/>
      <c r="F626" s="192">
        <v>6</v>
      </c>
      <c r="G626" s="193"/>
      <c r="H626" s="132">
        <v>1.95</v>
      </c>
      <c r="I626" s="78">
        <f t="shared" si="14"/>
        <v>11.7</v>
      </c>
      <c r="J626" s="119" t="s">
        <v>992</v>
      </c>
      <c r="K626" s="130" t="s">
        <v>226</v>
      </c>
      <c r="L626" s="131"/>
      <c r="M626" s="149" t="s">
        <v>244</v>
      </c>
      <c r="N626" s="135" t="s">
        <v>613</v>
      </c>
      <c r="O626" s="152" t="s">
        <v>936</v>
      </c>
    </row>
    <row r="627" spans="1:15" ht="15" customHeight="1">
      <c r="A627" s="70"/>
      <c r="B627" s="97" t="s">
        <v>486</v>
      </c>
      <c r="C627" s="98"/>
      <c r="D627" s="101" t="s">
        <v>504</v>
      </c>
      <c r="E627" s="79"/>
      <c r="F627" s="192">
        <v>2</v>
      </c>
      <c r="G627" s="193"/>
      <c r="H627" s="132">
        <v>1.56</v>
      </c>
      <c r="I627" s="78">
        <f t="shared" si="14"/>
        <v>3.12</v>
      </c>
      <c r="J627" s="119" t="s">
        <v>992</v>
      </c>
      <c r="K627" s="130" t="s">
        <v>226</v>
      </c>
      <c r="L627" s="131"/>
      <c r="M627" s="149" t="s">
        <v>575</v>
      </c>
      <c r="N627" s="135" t="s">
        <v>640</v>
      </c>
      <c r="O627" s="152" t="s">
        <v>937</v>
      </c>
    </row>
    <row r="628" spans="1:15" ht="15" customHeight="1">
      <c r="A628" s="70"/>
      <c r="B628" s="97" t="s">
        <v>486</v>
      </c>
      <c r="C628" s="77"/>
      <c r="D628" s="101" t="s">
        <v>82</v>
      </c>
      <c r="E628" s="79"/>
      <c r="F628" s="192">
        <v>34</v>
      </c>
      <c r="G628" s="193"/>
      <c r="H628" s="132">
        <v>0.12</v>
      </c>
      <c r="I628" s="78">
        <f t="shared" si="14"/>
        <v>4.08</v>
      </c>
      <c r="J628" s="119" t="s">
        <v>992</v>
      </c>
      <c r="K628" s="130" t="s">
        <v>226</v>
      </c>
      <c r="L628" s="131"/>
      <c r="M628" s="149" t="s">
        <v>256</v>
      </c>
      <c r="N628" s="135" t="s">
        <v>607</v>
      </c>
      <c r="O628" s="152" t="s">
        <v>645</v>
      </c>
    </row>
    <row r="629" spans="1:15" ht="15" customHeight="1">
      <c r="A629" s="70"/>
      <c r="B629" s="97" t="s">
        <v>486</v>
      </c>
      <c r="C629" s="77"/>
      <c r="D629" s="101" t="s">
        <v>505</v>
      </c>
      <c r="E629" s="79"/>
      <c r="F629" s="192">
        <v>2</v>
      </c>
      <c r="G629" s="193"/>
      <c r="H629" s="132">
        <v>49.56</v>
      </c>
      <c r="I629" s="78">
        <f t="shared" si="14"/>
        <v>99.12</v>
      </c>
      <c r="J629" s="119" t="s">
        <v>992</v>
      </c>
      <c r="K629" s="130" t="s">
        <v>229</v>
      </c>
      <c r="L629" s="131"/>
      <c r="M629" s="149" t="s">
        <v>265</v>
      </c>
      <c r="N629" s="135" t="s">
        <v>605</v>
      </c>
      <c r="O629" s="152" t="s">
        <v>938</v>
      </c>
    </row>
    <row r="630" spans="1:15" ht="15" customHeight="1">
      <c r="A630" s="70"/>
      <c r="B630" s="97" t="s">
        <v>486</v>
      </c>
      <c r="C630" s="98"/>
      <c r="D630" s="101" t="s">
        <v>106</v>
      </c>
      <c r="E630" s="79"/>
      <c r="F630" s="192">
        <v>12</v>
      </c>
      <c r="G630" s="193"/>
      <c r="H630" s="132">
        <v>1.3</v>
      </c>
      <c r="I630" s="78">
        <f t="shared" si="14"/>
        <v>15.600000000000001</v>
      </c>
      <c r="J630" s="119" t="s">
        <v>992</v>
      </c>
      <c r="K630" s="130" t="s">
        <v>229</v>
      </c>
      <c r="L630" s="131"/>
      <c r="M630" s="149" t="s">
        <v>263</v>
      </c>
      <c r="N630" s="135" t="s">
        <v>607</v>
      </c>
      <c r="O630" s="152" t="s">
        <v>677</v>
      </c>
    </row>
    <row r="631" spans="1:15" ht="15" customHeight="1">
      <c r="A631" s="70"/>
      <c r="B631" s="97" t="s">
        <v>486</v>
      </c>
      <c r="C631" s="77"/>
      <c r="D631" s="101" t="s">
        <v>506</v>
      </c>
      <c r="E631" s="79"/>
      <c r="F631" s="192">
        <v>4</v>
      </c>
      <c r="G631" s="193"/>
      <c r="H631" s="132">
        <v>1.93</v>
      </c>
      <c r="I631" s="78">
        <f t="shared" si="14"/>
        <v>7.72</v>
      </c>
      <c r="J631" s="119" t="s">
        <v>992</v>
      </c>
      <c r="K631" s="130" t="s">
        <v>229</v>
      </c>
      <c r="L631" s="131"/>
      <c r="M631" s="149" t="s">
        <v>263</v>
      </c>
      <c r="N631" s="135" t="s">
        <v>595</v>
      </c>
      <c r="O631" s="152" t="s">
        <v>939</v>
      </c>
    </row>
    <row r="632" spans="1:15" ht="15" customHeight="1">
      <c r="A632" s="70"/>
      <c r="B632" s="97" t="s">
        <v>486</v>
      </c>
      <c r="C632" s="77"/>
      <c r="D632" s="101" t="s">
        <v>341</v>
      </c>
      <c r="E632" s="79"/>
      <c r="F632" s="192">
        <v>4</v>
      </c>
      <c r="G632" s="193"/>
      <c r="H632" s="132">
        <v>19.940000000000001</v>
      </c>
      <c r="I632" s="78">
        <f t="shared" si="14"/>
        <v>79.760000000000005</v>
      </c>
      <c r="J632" s="119" t="s">
        <v>992</v>
      </c>
      <c r="K632" s="130" t="s">
        <v>229</v>
      </c>
      <c r="L632" s="131"/>
      <c r="M632" s="149" t="s">
        <v>265</v>
      </c>
      <c r="N632" s="135" t="s">
        <v>672</v>
      </c>
      <c r="O632" s="152" t="s">
        <v>827</v>
      </c>
    </row>
    <row r="633" spans="1:15" ht="15" customHeight="1">
      <c r="A633" s="70"/>
      <c r="B633" s="97" t="s">
        <v>486</v>
      </c>
      <c r="C633" s="98"/>
      <c r="D633" s="101" t="s">
        <v>111</v>
      </c>
      <c r="E633" s="79"/>
      <c r="F633" s="192">
        <v>6</v>
      </c>
      <c r="G633" s="193"/>
      <c r="H633" s="132">
        <v>0.23</v>
      </c>
      <c r="I633" s="78">
        <f t="shared" si="14"/>
        <v>1.3800000000000001</v>
      </c>
      <c r="J633" s="119" t="s">
        <v>992</v>
      </c>
      <c r="K633" s="130" t="s">
        <v>229</v>
      </c>
      <c r="L633" s="131"/>
      <c r="M633" s="149" t="s">
        <v>266</v>
      </c>
      <c r="N633" s="135" t="s">
        <v>607</v>
      </c>
      <c r="O633" s="152" t="s">
        <v>682</v>
      </c>
    </row>
    <row r="634" spans="1:15" ht="15" customHeight="1">
      <c r="A634" s="70"/>
      <c r="B634" s="97" t="s">
        <v>486</v>
      </c>
      <c r="C634" s="77"/>
      <c r="D634" s="101" t="s">
        <v>107</v>
      </c>
      <c r="E634" s="79"/>
      <c r="F634" s="192">
        <v>18</v>
      </c>
      <c r="G634" s="193"/>
      <c r="H634" s="132">
        <v>0.23</v>
      </c>
      <c r="I634" s="78">
        <f t="shared" si="14"/>
        <v>4.1400000000000006</v>
      </c>
      <c r="J634" s="119" t="s">
        <v>992</v>
      </c>
      <c r="K634" s="130" t="s">
        <v>229</v>
      </c>
      <c r="L634" s="131"/>
      <c r="M634" s="149" t="s">
        <v>266</v>
      </c>
      <c r="N634" s="135" t="s">
        <v>607</v>
      </c>
      <c r="O634" s="152" t="s">
        <v>678</v>
      </c>
    </row>
    <row r="635" spans="1:15" ht="15" customHeight="1">
      <c r="A635" s="70"/>
      <c r="B635" s="97" t="s">
        <v>486</v>
      </c>
      <c r="C635" s="77"/>
      <c r="D635" s="101" t="s">
        <v>507</v>
      </c>
      <c r="E635" s="79"/>
      <c r="F635" s="192">
        <v>10</v>
      </c>
      <c r="G635" s="193"/>
      <c r="H635" s="132">
        <v>1.43</v>
      </c>
      <c r="I635" s="78">
        <f t="shared" si="14"/>
        <v>14.299999999999999</v>
      </c>
      <c r="J635" s="119" t="s">
        <v>992</v>
      </c>
      <c r="K635" s="130" t="s">
        <v>229</v>
      </c>
      <c r="L635" s="131"/>
      <c r="M635" s="149" t="s">
        <v>262</v>
      </c>
      <c r="N635" s="135" t="s">
        <v>675</v>
      </c>
      <c r="O635" s="152" t="s">
        <v>940</v>
      </c>
    </row>
    <row r="636" spans="1:15" ht="15" customHeight="1">
      <c r="A636" s="70"/>
      <c r="B636" s="97" t="s">
        <v>486</v>
      </c>
      <c r="C636" s="98"/>
      <c r="D636" s="101" t="s">
        <v>508</v>
      </c>
      <c r="E636" s="79"/>
      <c r="F636" s="192">
        <v>10</v>
      </c>
      <c r="G636" s="193"/>
      <c r="H636" s="132">
        <v>1.19</v>
      </c>
      <c r="I636" s="78">
        <f t="shared" si="14"/>
        <v>11.899999999999999</v>
      </c>
      <c r="J636" s="119" t="s">
        <v>992</v>
      </c>
      <c r="K636" s="130" t="s">
        <v>229</v>
      </c>
      <c r="L636" s="131"/>
      <c r="M636" s="149" t="s">
        <v>262</v>
      </c>
      <c r="N636" s="135" t="s">
        <v>675</v>
      </c>
      <c r="O636" s="152" t="s">
        <v>941</v>
      </c>
    </row>
    <row r="637" spans="1:15" ht="15" customHeight="1">
      <c r="A637" s="70"/>
      <c r="B637" s="97" t="s">
        <v>486</v>
      </c>
      <c r="C637" s="77"/>
      <c r="D637" s="101" t="s">
        <v>509</v>
      </c>
      <c r="E637" s="79"/>
      <c r="F637" s="192">
        <v>22</v>
      </c>
      <c r="G637" s="193"/>
      <c r="H637" s="132">
        <v>1.23</v>
      </c>
      <c r="I637" s="78">
        <f t="shared" si="14"/>
        <v>27.06</v>
      </c>
      <c r="J637" s="119" t="s">
        <v>992</v>
      </c>
      <c r="K637" s="130" t="s">
        <v>229</v>
      </c>
      <c r="L637" s="131"/>
      <c r="M637" s="149" t="s">
        <v>262</v>
      </c>
      <c r="N637" s="135" t="s">
        <v>660</v>
      </c>
      <c r="O637" s="152" t="s">
        <v>942</v>
      </c>
    </row>
    <row r="638" spans="1:15" ht="15" customHeight="1">
      <c r="A638" s="70"/>
      <c r="B638" s="97" t="s">
        <v>486</v>
      </c>
      <c r="C638" s="77"/>
      <c r="D638" s="101" t="s">
        <v>122</v>
      </c>
      <c r="E638" s="79"/>
      <c r="F638" s="192">
        <v>16</v>
      </c>
      <c r="G638" s="193"/>
      <c r="H638" s="132">
        <v>1.23</v>
      </c>
      <c r="I638" s="78">
        <f t="shared" si="14"/>
        <v>19.68</v>
      </c>
      <c r="J638" s="119" t="s">
        <v>992</v>
      </c>
      <c r="K638" s="130" t="s">
        <v>229</v>
      </c>
      <c r="L638" s="131"/>
      <c r="M638" s="149" t="s">
        <v>262</v>
      </c>
      <c r="N638" s="135" t="s">
        <v>660</v>
      </c>
      <c r="O638" s="152" t="s">
        <v>693</v>
      </c>
    </row>
    <row r="639" spans="1:15" ht="15" customHeight="1">
      <c r="A639" s="70"/>
      <c r="B639" s="97" t="s">
        <v>486</v>
      </c>
      <c r="C639" s="98"/>
      <c r="D639" s="101" t="s">
        <v>510</v>
      </c>
      <c r="E639" s="79"/>
      <c r="F639" s="192">
        <v>8</v>
      </c>
      <c r="G639" s="193"/>
      <c r="H639" s="132">
        <v>1.58</v>
      </c>
      <c r="I639" s="78">
        <f t="shared" si="14"/>
        <v>12.64</v>
      </c>
      <c r="J639" s="119" t="s">
        <v>992</v>
      </c>
      <c r="K639" s="130" t="s">
        <v>229</v>
      </c>
      <c r="L639" s="131"/>
      <c r="M639" s="149" t="s">
        <v>262</v>
      </c>
      <c r="N639" s="135" t="s">
        <v>660</v>
      </c>
      <c r="O639" s="152" t="s">
        <v>943</v>
      </c>
    </row>
    <row r="640" spans="1:15" ht="15" customHeight="1">
      <c r="A640" s="70"/>
      <c r="B640" s="97" t="s">
        <v>486</v>
      </c>
      <c r="C640" s="77"/>
      <c r="D640" s="101" t="s">
        <v>511</v>
      </c>
      <c r="E640" s="79"/>
      <c r="F640" s="192">
        <v>2</v>
      </c>
      <c r="G640" s="193"/>
      <c r="H640" s="132">
        <v>1.51</v>
      </c>
      <c r="I640" s="78">
        <f t="shared" si="14"/>
        <v>3.02</v>
      </c>
      <c r="J640" s="119" t="s">
        <v>992</v>
      </c>
      <c r="K640" s="130" t="s">
        <v>229</v>
      </c>
      <c r="L640" s="131"/>
      <c r="M640" s="149" t="s">
        <v>262</v>
      </c>
      <c r="N640" s="135" t="s">
        <v>675</v>
      </c>
      <c r="O640" s="152" t="s">
        <v>944</v>
      </c>
    </row>
    <row r="641" spans="1:15" ht="15" customHeight="1">
      <c r="A641" s="70"/>
      <c r="B641" s="97" t="s">
        <v>486</v>
      </c>
      <c r="C641" s="77"/>
      <c r="D641" s="101" t="s">
        <v>119</v>
      </c>
      <c r="E641" s="79"/>
      <c r="F641" s="192">
        <v>30</v>
      </c>
      <c r="G641" s="193"/>
      <c r="H641" s="132">
        <v>1.47</v>
      </c>
      <c r="I641" s="78">
        <f t="shared" si="14"/>
        <v>44.1</v>
      </c>
      <c r="J641" s="119" t="s">
        <v>992</v>
      </c>
      <c r="K641" s="130" t="s">
        <v>229</v>
      </c>
      <c r="L641" s="131"/>
      <c r="M641" s="149" t="s">
        <v>262</v>
      </c>
      <c r="N641" s="135" t="s">
        <v>660</v>
      </c>
      <c r="O641" s="152" t="s">
        <v>690</v>
      </c>
    </row>
    <row r="642" spans="1:15" ht="15" customHeight="1">
      <c r="A642" s="70"/>
      <c r="B642" s="97" t="s">
        <v>486</v>
      </c>
      <c r="C642" s="98"/>
      <c r="D642" s="101" t="s">
        <v>512</v>
      </c>
      <c r="E642" s="79"/>
      <c r="F642" s="192">
        <v>2</v>
      </c>
      <c r="G642" s="193"/>
      <c r="H642" s="132">
        <v>1.77</v>
      </c>
      <c r="I642" s="78">
        <f t="shared" si="14"/>
        <v>3.54</v>
      </c>
      <c r="J642" s="119" t="s">
        <v>992</v>
      </c>
      <c r="K642" s="130" t="s">
        <v>229</v>
      </c>
      <c r="L642" s="131"/>
      <c r="M642" s="149" t="s">
        <v>262</v>
      </c>
      <c r="N642" s="135" t="s">
        <v>660</v>
      </c>
      <c r="O642" s="152" t="s">
        <v>945</v>
      </c>
    </row>
    <row r="643" spans="1:15" ht="15" customHeight="1">
      <c r="A643" s="70"/>
      <c r="B643" s="97" t="s">
        <v>486</v>
      </c>
      <c r="C643" s="77"/>
      <c r="D643" s="101" t="s">
        <v>513</v>
      </c>
      <c r="E643" s="79"/>
      <c r="F643" s="192">
        <v>2</v>
      </c>
      <c r="G643" s="193"/>
      <c r="H643" s="132">
        <v>1.92</v>
      </c>
      <c r="I643" s="78">
        <f t="shared" si="14"/>
        <v>3.84</v>
      </c>
      <c r="J643" s="119" t="s">
        <v>992</v>
      </c>
      <c r="K643" s="130" t="s">
        <v>229</v>
      </c>
      <c r="L643" s="131"/>
      <c r="M643" s="149" t="s">
        <v>262</v>
      </c>
      <c r="N643" s="135" t="s">
        <v>660</v>
      </c>
      <c r="O643" s="152" t="s">
        <v>946</v>
      </c>
    </row>
    <row r="644" spans="1:15" ht="15" customHeight="1">
      <c r="A644" s="70"/>
      <c r="B644" s="97" t="s">
        <v>486</v>
      </c>
      <c r="C644" s="77"/>
      <c r="D644" s="101" t="s">
        <v>514</v>
      </c>
      <c r="E644" s="79"/>
      <c r="F644" s="192">
        <v>10</v>
      </c>
      <c r="G644" s="193"/>
      <c r="H644" s="132">
        <v>1.88</v>
      </c>
      <c r="I644" s="78">
        <f t="shared" si="14"/>
        <v>18.799999999999997</v>
      </c>
      <c r="J644" s="119" t="s">
        <v>992</v>
      </c>
      <c r="K644" s="130" t="s">
        <v>229</v>
      </c>
      <c r="L644" s="131"/>
      <c r="M644" s="149" t="s">
        <v>262</v>
      </c>
      <c r="N644" s="135" t="s">
        <v>675</v>
      </c>
      <c r="O644" s="152" t="s">
        <v>947</v>
      </c>
    </row>
    <row r="645" spans="1:15" ht="15" customHeight="1">
      <c r="A645" s="70"/>
      <c r="B645" s="97" t="s">
        <v>486</v>
      </c>
      <c r="C645" s="98"/>
      <c r="D645" s="101" t="s">
        <v>515</v>
      </c>
      <c r="E645" s="79"/>
      <c r="F645" s="192">
        <v>2</v>
      </c>
      <c r="G645" s="193"/>
      <c r="H645" s="132">
        <v>2.37</v>
      </c>
      <c r="I645" s="78">
        <f t="shared" si="14"/>
        <v>4.74</v>
      </c>
      <c r="J645" s="119" t="s">
        <v>992</v>
      </c>
      <c r="K645" s="130" t="s">
        <v>229</v>
      </c>
      <c r="L645" s="131"/>
      <c r="M645" s="149" t="s">
        <v>262</v>
      </c>
      <c r="N645" s="135" t="s">
        <v>675</v>
      </c>
      <c r="O645" s="152" t="s">
        <v>948</v>
      </c>
    </row>
    <row r="646" spans="1:15" ht="15" customHeight="1">
      <c r="A646" s="70"/>
      <c r="B646" s="97" t="s">
        <v>486</v>
      </c>
      <c r="C646" s="77"/>
      <c r="D646" s="101" t="s">
        <v>516</v>
      </c>
      <c r="E646" s="79"/>
      <c r="F646" s="192">
        <v>2</v>
      </c>
      <c r="G646" s="193"/>
      <c r="H646" s="132">
        <v>2.57</v>
      </c>
      <c r="I646" s="78">
        <f t="shared" si="14"/>
        <v>5.14</v>
      </c>
      <c r="J646" s="119" t="s">
        <v>992</v>
      </c>
      <c r="K646" s="130" t="s">
        <v>229</v>
      </c>
      <c r="L646" s="131"/>
      <c r="M646" s="149" t="s">
        <v>262</v>
      </c>
      <c r="N646" s="135" t="s">
        <v>675</v>
      </c>
      <c r="O646" s="152" t="s">
        <v>949</v>
      </c>
    </row>
    <row r="647" spans="1:15" ht="15" customHeight="1">
      <c r="A647" s="70"/>
      <c r="B647" s="97" t="s">
        <v>486</v>
      </c>
      <c r="C647" s="77"/>
      <c r="D647" s="101" t="s">
        <v>517</v>
      </c>
      <c r="E647" s="79"/>
      <c r="F647" s="192">
        <v>2</v>
      </c>
      <c r="G647" s="193"/>
      <c r="H647" s="132">
        <v>3.67</v>
      </c>
      <c r="I647" s="78">
        <f t="shared" si="14"/>
        <v>7.34</v>
      </c>
      <c r="J647" s="119" t="s">
        <v>992</v>
      </c>
      <c r="K647" s="130" t="s">
        <v>229</v>
      </c>
      <c r="L647" s="131"/>
      <c r="M647" s="149" t="s">
        <v>262</v>
      </c>
      <c r="N647" s="135" t="s">
        <v>675</v>
      </c>
      <c r="O647" s="152" t="s">
        <v>950</v>
      </c>
    </row>
    <row r="648" spans="1:15" ht="15" customHeight="1">
      <c r="A648" s="70"/>
      <c r="B648" s="97" t="s">
        <v>486</v>
      </c>
      <c r="C648" s="98"/>
      <c r="D648" s="101" t="s">
        <v>518</v>
      </c>
      <c r="E648" s="79"/>
      <c r="F648" s="192">
        <v>2</v>
      </c>
      <c r="G648" s="193"/>
      <c r="H648" s="132">
        <v>7.48</v>
      </c>
      <c r="I648" s="78">
        <f t="shared" si="14"/>
        <v>14.96</v>
      </c>
      <c r="J648" s="119" t="s">
        <v>992</v>
      </c>
      <c r="K648" s="130" t="s">
        <v>229</v>
      </c>
      <c r="L648" s="131"/>
      <c r="M648" s="149" t="s">
        <v>262</v>
      </c>
      <c r="N648" s="135" t="s">
        <v>951</v>
      </c>
      <c r="O648" s="152" t="s">
        <v>952</v>
      </c>
    </row>
    <row r="649" spans="1:15" ht="15" customHeight="1">
      <c r="A649" s="70"/>
      <c r="B649" s="97" t="s">
        <v>486</v>
      </c>
      <c r="C649" s="77"/>
      <c r="D649" s="101" t="s">
        <v>115</v>
      </c>
      <c r="E649" s="79"/>
      <c r="F649" s="192">
        <v>4</v>
      </c>
      <c r="G649" s="193"/>
      <c r="H649" s="132">
        <v>9</v>
      </c>
      <c r="I649" s="78">
        <f t="shared" si="14"/>
        <v>36</v>
      </c>
      <c r="J649" s="119" t="s">
        <v>992</v>
      </c>
      <c r="K649" s="130" t="s">
        <v>229</v>
      </c>
      <c r="L649" s="131"/>
      <c r="M649" s="149" t="s">
        <v>267</v>
      </c>
      <c r="N649" s="135" t="s">
        <v>638</v>
      </c>
      <c r="O649" s="152" t="s">
        <v>686</v>
      </c>
    </row>
    <row r="650" spans="1:15" ht="15" customHeight="1">
      <c r="A650" s="70"/>
      <c r="B650" s="97" t="s">
        <v>486</v>
      </c>
      <c r="C650" s="77"/>
      <c r="D650" s="101" t="s">
        <v>519</v>
      </c>
      <c r="E650" s="79"/>
      <c r="F650" s="192">
        <v>6</v>
      </c>
      <c r="G650" s="193"/>
      <c r="H650" s="132">
        <v>11.12</v>
      </c>
      <c r="I650" s="78">
        <f t="shared" si="14"/>
        <v>66.72</v>
      </c>
      <c r="J650" s="119" t="s">
        <v>992</v>
      </c>
      <c r="K650" s="130" t="s">
        <v>229</v>
      </c>
      <c r="L650" s="131"/>
      <c r="M650" s="149" t="s">
        <v>267</v>
      </c>
      <c r="N650" s="135" t="s">
        <v>638</v>
      </c>
      <c r="O650" s="152" t="s">
        <v>953</v>
      </c>
    </row>
    <row r="651" spans="1:15" ht="15" customHeight="1">
      <c r="A651" s="70"/>
      <c r="B651" s="97" t="s">
        <v>486</v>
      </c>
      <c r="C651" s="98"/>
      <c r="D651" s="101" t="s">
        <v>109</v>
      </c>
      <c r="E651" s="79"/>
      <c r="F651" s="192">
        <v>2</v>
      </c>
      <c r="G651" s="193"/>
      <c r="H651" s="132">
        <v>6.41</v>
      </c>
      <c r="I651" s="78">
        <f t="shared" si="14"/>
        <v>12.82</v>
      </c>
      <c r="J651" s="119" t="s">
        <v>992</v>
      </c>
      <c r="K651" s="130" t="s">
        <v>229</v>
      </c>
      <c r="L651" s="131"/>
      <c r="M651" s="149" t="s">
        <v>267</v>
      </c>
      <c r="N651" s="135" t="s">
        <v>638</v>
      </c>
      <c r="O651" s="152" t="s">
        <v>680</v>
      </c>
    </row>
    <row r="652" spans="1:15" ht="15" customHeight="1">
      <c r="A652" s="70"/>
      <c r="B652" s="97" t="s">
        <v>486</v>
      </c>
      <c r="C652" s="77"/>
      <c r="D652" s="101" t="s">
        <v>520</v>
      </c>
      <c r="E652" s="79"/>
      <c r="F652" s="192">
        <v>2</v>
      </c>
      <c r="G652" s="193"/>
      <c r="H652" s="132">
        <v>1</v>
      </c>
      <c r="I652" s="78">
        <f t="shared" si="14"/>
        <v>2</v>
      </c>
      <c r="J652" s="119" t="s">
        <v>992</v>
      </c>
      <c r="K652" s="130" t="s">
        <v>229</v>
      </c>
      <c r="L652" s="131"/>
      <c r="M652" s="149" t="s">
        <v>576</v>
      </c>
      <c r="N652" s="135" t="s">
        <v>638</v>
      </c>
      <c r="O652" s="152" t="s">
        <v>954</v>
      </c>
    </row>
    <row r="653" spans="1:15" ht="15" customHeight="1">
      <c r="A653" s="70"/>
      <c r="B653" s="97" t="s">
        <v>486</v>
      </c>
      <c r="C653" s="77"/>
      <c r="D653" s="101" t="s">
        <v>112</v>
      </c>
      <c r="E653" s="79"/>
      <c r="F653" s="192">
        <v>28</v>
      </c>
      <c r="G653" s="193"/>
      <c r="H653" s="132">
        <v>20.65</v>
      </c>
      <c r="I653" s="78">
        <f t="shared" si="14"/>
        <v>578.19999999999993</v>
      </c>
      <c r="J653" s="119" t="s">
        <v>992</v>
      </c>
      <c r="K653" s="130" t="s">
        <v>229</v>
      </c>
      <c r="L653" s="131"/>
      <c r="M653" s="149" t="s">
        <v>577</v>
      </c>
      <c r="N653" s="135" t="s">
        <v>651</v>
      </c>
      <c r="O653" s="152" t="s">
        <v>683</v>
      </c>
    </row>
    <row r="654" spans="1:15" ht="15" customHeight="1">
      <c r="A654" s="70"/>
      <c r="B654" s="97" t="s">
        <v>486</v>
      </c>
      <c r="C654" s="98"/>
      <c r="D654" s="101" t="s">
        <v>113</v>
      </c>
      <c r="E654" s="79"/>
      <c r="F654" s="192">
        <v>6</v>
      </c>
      <c r="G654" s="193"/>
      <c r="H654" s="132">
        <v>20.65</v>
      </c>
      <c r="I654" s="78">
        <f t="shared" si="14"/>
        <v>123.89999999999999</v>
      </c>
      <c r="J654" s="119" t="s">
        <v>992</v>
      </c>
      <c r="K654" s="130" t="s">
        <v>229</v>
      </c>
      <c r="L654" s="131"/>
      <c r="M654" s="149" t="s">
        <v>577</v>
      </c>
      <c r="N654" s="135" t="s">
        <v>651</v>
      </c>
      <c r="O654" s="152" t="s">
        <v>684</v>
      </c>
    </row>
    <row r="655" spans="1:15" ht="15" customHeight="1">
      <c r="A655" s="70"/>
      <c r="B655" s="97" t="s">
        <v>486</v>
      </c>
      <c r="C655" s="77"/>
      <c r="D655" s="101" t="s">
        <v>521</v>
      </c>
      <c r="E655" s="79"/>
      <c r="F655" s="192">
        <v>8</v>
      </c>
      <c r="G655" s="193"/>
      <c r="H655" s="132">
        <v>35.69</v>
      </c>
      <c r="I655" s="78">
        <f t="shared" si="14"/>
        <v>285.52</v>
      </c>
      <c r="J655" s="119" t="s">
        <v>992</v>
      </c>
      <c r="K655" s="130" t="s">
        <v>229</v>
      </c>
      <c r="L655" s="131"/>
      <c r="M655" s="149" t="s">
        <v>577</v>
      </c>
      <c r="N655" s="135" t="s">
        <v>651</v>
      </c>
      <c r="O655" s="152" t="s">
        <v>955</v>
      </c>
    </row>
    <row r="656" spans="1:15" ht="15" customHeight="1">
      <c r="A656" s="70"/>
      <c r="B656" s="97" t="s">
        <v>486</v>
      </c>
      <c r="C656" s="77"/>
      <c r="D656" s="101" t="s">
        <v>114</v>
      </c>
      <c r="E656" s="79"/>
      <c r="F656" s="192">
        <v>4</v>
      </c>
      <c r="G656" s="193"/>
      <c r="H656" s="132">
        <v>23.86</v>
      </c>
      <c r="I656" s="78">
        <f t="shared" si="14"/>
        <v>95.44</v>
      </c>
      <c r="J656" s="119" t="s">
        <v>992</v>
      </c>
      <c r="K656" s="130" t="s">
        <v>229</v>
      </c>
      <c r="L656" s="131"/>
      <c r="M656" s="149" t="s">
        <v>577</v>
      </c>
      <c r="N656" s="135" t="s">
        <v>651</v>
      </c>
      <c r="O656" s="152" t="s">
        <v>685</v>
      </c>
    </row>
    <row r="657" spans="1:15" ht="15" customHeight="1">
      <c r="A657" s="70"/>
      <c r="B657" s="97" t="s">
        <v>486</v>
      </c>
      <c r="C657" s="98"/>
      <c r="D657" s="101" t="s">
        <v>339</v>
      </c>
      <c r="E657" s="79"/>
      <c r="F657" s="192">
        <v>2</v>
      </c>
      <c r="G657" s="193"/>
      <c r="H657" s="132">
        <v>13.28</v>
      </c>
      <c r="I657" s="78">
        <f t="shared" si="14"/>
        <v>26.56</v>
      </c>
      <c r="J657" s="119" t="s">
        <v>992</v>
      </c>
      <c r="K657" s="130" t="s">
        <v>229</v>
      </c>
      <c r="L657" s="131"/>
      <c r="M657" s="149" t="s">
        <v>578</v>
      </c>
      <c r="N657" s="135" t="s">
        <v>670</v>
      </c>
      <c r="O657" s="152" t="s">
        <v>825</v>
      </c>
    </row>
    <row r="658" spans="1:15" ht="15" customHeight="1">
      <c r="A658" s="70"/>
      <c r="B658" s="97" t="s">
        <v>486</v>
      </c>
      <c r="C658" s="77"/>
      <c r="D658" s="101" t="s">
        <v>522</v>
      </c>
      <c r="E658" s="79"/>
      <c r="F658" s="192">
        <v>10</v>
      </c>
      <c r="G658" s="193"/>
      <c r="H658" s="132">
        <v>6.94</v>
      </c>
      <c r="I658" s="78">
        <f t="shared" si="14"/>
        <v>69.400000000000006</v>
      </c>
      <c r="J658" s="119" t="s">
        <v>992</v>
      </c>
      <c r="K658" s="130" t="s">
        <v>229</v>
      </c>
      <c r="L658" s="131"/>
      <c r="M658" s="149" t="s">
        <v>577</v>
      </c>
      <c r="N658" s="135" t="s">
        <v>651</v>
      </c>
      <c r="O658" s="152" t="s">
        <v>956</v>
      </c>
    </row>
    <row r="659" spans="1:15" ht="15" customHeight="1">
      <c r="A659" s="70"/>
      <c r="B659" s="97" t="s">
        <v>486</v>
      </c>
      <c r="C659" s="77"/>
      <c r="D659" s="101" t="s">
        <v>120</v>
      </c>
      <c r="E659" s="79"/>
      <c r="F659" s="192">
        <v>2</v>
      </c>
      <c r="G659" s="193"/>
      <c r="H659" s="132">
        <v>2.4500000000000002</v>
      </c>
      <c r="I659" s="78">
        <f t="shared" si="14"/>
        <v>4.9000000000000004</v>
      </c>
      <c r="J659" s="119" t="s">
        <v>992</v>
      </c>
      <c r="K659" s="130" t="s">
        <v>229</v>
      </c>
      <c r="L659" s="131"/>
      <c r="M659" s="149" t="s">
        <v>579</v>
      </c>
      <c r="N659" s="135" t="s">
        <v>607</v>
      </c>
      <c r="O659" s="152" t="s">
        <v>691</v>
      </c>
    </row>
    <row r="660" spans="1:15" ht="15" customHeight="1">
      <c r="A660" s="70"/>
      <c r="B660" s="97" t="s">
        <v>486</v>
      </c>
      <c r="C660" s="77"/>
      <c r="D660" s="101" t="s">
        <v>86</v>
      </c>
      <c r="E660" s="79"/>
      <c r="F660" s="192">
        <v>52</v>
      </c>
      <c r="G660" s="193"/>
      <c r="H660" s="132">
        <v>3.93</v>
      </c>
      <c r="I660" s="78">
        <f t="shared" si="14"/>
        <v>204.36</v>
      </c>
      <c r="J660" s="119" t="s">
        <v>992</v>
      </c>
      <c r="K660" s="130" t="s">
        <v>229</v>
      </c>
      <c r="L660" s="131"/>
      <c r="M660" s="149" t="s">
        <v>260</v>
      </c>
      <c r="N660" s="135" t="s">
        <v>651</v>
      </c>
      <c r="O660" s="152" t="s">
        <v>652</v>
      </c>
    </row>
    <row r="661" spans="1:15" ht="15" customHeight="1">
      <c r="A661" s="70"/>
      <c r="B661" s="97" t="s">
        <v>486</v>
      </c>
      <c r="C661" s="77"/>
      <c r="D661" s="101" t="s">
        <v>523</v>
      </c>
      <c r="E661" s="79"/>
      <c r="F661" s="192">
        <v>12</v>
      </c>
      <c r="G661" s="193"/>
      <c r="H661" s="132">
        <v>145.11000000000001</v>
      </c>
      <c r="I661" s="78">
        <f t="shared" si="14"/>
        <v>1741.3200000000002</v>
      </c>
      <c r="J661" s="119" t="s">
        <v>992</v>
      </c>
      <c r="K661" s="130" t="s">
        <v>229</v>
      </c>
      <c r="L661" s="131"/>
      <c r="M661" s="149" t="s">
        <v>261</v>
      </c>
      <c r="N661" s="135" t="s">
        <v>653</v>
      </c>
      <c r="O661" s="152" t="s">
        <v>957</v>
      </c>
    </row>
    <row r="662" spans="1:15" ht="15" customHeight="1">
      <c r="A662" s="70"/>
      <c r="B662" s="97" t="s">
        <v>486</v>
      </c>
      <c r="C662" s="98"/>
      <c r="D662" s="101" t="s">
        <v>524</v>
      </c>
      <c r="E662" s="79"/>
      <c r="F662" s="192">
        <v>16</v>
      </c>
      <c r="G662" s="193"/>
      <c r="H662" s="132">
        <v>5.28</v>
      </c>
      <c r="I662" s="78">
        <f t="shared" si="14"/>
        <v>84.48</v>
      </c>
      <c r="J662" s="119" t="s">
        <v>992</v>
      </c>
      <c r="K662" s="130" t="s">
        <v>229</v>
      </c>
      <c r="L662" s="131"/>
      <c r="M662" s="149" t="s">
        <v>260</v>
      </c>
      <c r="N662" s="135" t="s">
        <v>651</v>
      </c>
      <c r="O662" s="152" t="s">
        <v>958</v>
      </c>
    </row>
    <row r="663" spans="1:15" ht="15" customHeight="1">
      <c r="A663" s="70"/>
      <c r="B663" s="97" t="s">
        <v>486</v>
      </c>
      <c r="C663" s="77"/>
      <c r="D663" s="101" t="s">
        <v>434</v>
      </c>
      <c r="E663" s="79"/>
      <c r="F663" s="192">
        <v>4</v>
      </c>
      <c r="G663" s="193"/>
      <c r="H663" s="132">
        <v>170.48</v>
      </c>
      <c r="I663" s="78">
        <f t="shared" si="14"/>
        <v>681.92</v>
      </c>
      <c r="J663" s="119" t="s">
        <v>992</v>
      </c>
      <c r="K663" s="130" t="s">
        <v>229</v>
      </c>
      <c r="L663" s="131"/>
      <c r="M663" s="149" t="s">
        <v>261</v>
      </c>
      <c r="N663" s="135" t="s">
        <v>653</v>
      </c>
      <c r="O663" s="152" t="s">
        <v>893</v>
      </c>
    </row>
    <row r="664" spans="1:15" ht="15" customHeight="1">
      <c r="A664" s="70"/>
      <c r="B664" s="97" t="s">
        <v>486</v>
      </c>
      <c r="C664" s="77"/>
      <c r="D664" s="101" t="s">
        <v>525</v>
      </c>
      <c r="E664" s="79"/>
      <c r="F664" s="192">
        <v>2</v>
      </c>
      <c r="G664" s="193"/>
      <c r="H664" s="132">
        <v>118.34</v>
      </c>
      <c r="I664" s="78">
        <f t="shared" si="14"/>
        <v>236.68</v>
      </c>
      <c r="J664" s="119" t="s">
        <v>992</v>
      </c>
      <c r="K664" s="130" t="s">
        <v>229</v>
      </c>
      <c r="L664" s="131"/>
      <c r="M664" s="149" t="s">
        <v>261</v>
      </c>
      <c r="N664" s="135" t="s">
        <v>653</v>
      </c>
      <c r="O664" s="152" t="s">
        <v>865</v>
      </c>
    </row>
    <row r="665" spans="1:15" ht="15" customHeight="1">
      <c r="A665" s="70"/>
      <c r="B665" s="97" t="s">
        <v>486</v>
      </c>
      <c r="C665" s="98"/>
      <c r="D665" s="101" t="s">
        <v>526</v>
      </c>
      <c r="E665" s="79"/>
      <c r="F665" s="192">
        <v>2</v>
      </c>
      <c r="G665" s="193"/>
      <c r="H665" s="132">
        <v>119.48</v>
      </c>
      <c r="I665" s="78">
        <f t="shared" si="14"/>
        <v>238.96</v>
      </c>
      <c r="J665" s="119" t="s">
        <v>992</v>
      </c>
      <c r="K665" s="130" t="s">
        <v>229</v>
      </c>
      <c r="L665" s="131"/>
      <c r="M665" s="149" t="s">
        <v>261</v>
      </c>
      <c r="N665" s="135" t="s">
        <v>653</v>
      </c>
      <c r="O665" s="152" t="s">
        <v>865</v>
      </c>
    </row>
    <row r="666" spans="1:15" ht="15" customHeight="1">
      <c r="A666" s="70"/>
      <c r="B666" s="97" t="s">
        <v>486</v>
      </c>
      <c r="C666" s="77"/>
      <c r="D666" s="101" t="s">
        <v>527</v>
      </c>
      <c r="E666" s="79"/>
      <c r="F666" s="192">
        <v>2</v>
      </c>
      <c r="G666" s="193"/>
      <c r="H666" s="132">
        <v>89.52</v>
      </c>
      <c r="I666" s="78">
        <f t="shared" si="14"/>
        <v>179.04</v>
      </c>
      <c r="J666" s="119" t="s">
        <v>992</v>
      </c>
      <c r="K666" s="130" t="s">
        <v>229</v>
      </c>
      <c r="L666" s="131"/>
      <c r="M666" s="149" t="s">
        <v>261</v>
      </c>
      <c r="N666" s="135" t="s">
        <v>653</v>
      </c>
      <c r="O666" s="152" t="s">
        <v>865</v>
      </c>
    </row>
    <row r="667" spans="1:15" ht="15" customHeight="1">
      <c r="A667" s="70"/>
      <c r="B667" s="97" t="s">
        <v>486</v>
      </c>
      <c r="C667" s="77"/>
      <c r="D667" s="101" t="s">
        <v>528</v>
      </c>
      <c r="E667" s="79"/>
      <c r="F667" s="192">
        <v>2</v>
      </c>
      <c r="G667" s="193"/>
      <c r="H667" s="132">
        <v>69.510000000000005</v>
      </c>
      <c r="I667" s="78">
        <f t="shared" si="14"/>
        <v>139.02000000000001</v>
      </c>
      <c r="J667" s="119" t="s">
        <v>992</v>
      </c>
      <c r="K667" s="130" t="s">
        <v>229</v>
      </c>
      <c r="L667" s="131"/>
      <c r="M667" s="149" t="s">
        <v>261</v>
      </c>
      <c r="N667" s="135" t="s">
        <v>653</v>
      </c>
      <c r="O667" s="152" t="s">
        <v>865</v>
      </c>
    </row>
    <row r="668" spans="1:15" ht="15" customHeight="1">
      <c r="A668" s="70"/>
      <c r="B668" s="97" t="s">
        <v>486</v>
      </c>
      <c r="C668" s="98"/>
      <c r="D668" s="101" t="s">
        <v>529</v>
      </c>
      <c r="E668" s="79"/>
      <c r="F668" s="192">
        <v>2</v>
      </c>
      <c r="G668" s="193"/>
      <c r="H668" s="132">
        <v>81.09</v>
      </c>
      <c r="I668" s="78">
        <f t="shared" si="14"/>
        <v>162.18</v>
      </c>
      <c r="J668" s="119" t="s">
        <v>992</v>
      </c>
      <c r="K668" s="130" t="s">
        <v>229</v>
      </c>
      <c r="L668" s="131"/>
      <c r="M668" s="149" t="s">
        <v>261</v>
      </c>
      <c r="N668" s="135" t="s">
        <v>653</v>
      </c>
      <c r="O668" s="152" t="s">
        <v>865</v>
      </c>
    </row>
    <row r="669" spans="1:15" ht="15" customHeight="1">
      <c r="A669" s="70"/>
      <c r="B669" s="97" t="s">
        <v>486</v>
      </c>
      <c r="C669" s="77"/>
      <c r="D669" s="101" t="s">
        <v>530</v>
      </c>
      <c r="E669" s="79"/>
      <c r="F669" s="192">
        <v>2</v>
      </c>
      <c r="G669" s="193"/>
      <c r="H669" s="132">
        <v>84.25</v>
      </c>
      <c r="I669" s="78">
        <f t="shared" si="14"/>
        <v>168.5</v>
      </c>
      <c r="J669" s="119" t="s">
        <v>992</v>
      </c>
      <c r="K669" s="130" t="s">
        <v>229</v>
      </c>
      <c r="L669" s="131"/>
      <c r="M669" s="149" t="s">
        <v>261</v>
      </c>
      <c r="N669" s="135" t="s">
        <v>653</v>
      </c>
      <c r="O669" s="152" t="s">
        <v>865</v>
      </c>
    </row>
    <row r="670" spans="1:15" ht="15" customHeight="1">
      <c r="A670" s="70"/>
      <c r="B670" s="97" t="s">
        <v>486</v>
      </c>
      <c r="C670" s="77"/>
      <c r="D670" s="101" t="s">
        <v>531</v>
      </c>
      <c r="E670" s="79"/>
      <c r="F670" s="192">
        <v>2</v>
      </c>
      <c r="G670" s="193"/>
      <c r="H670" s="132">
        <v>115.06</v>
      </c>
      <c r="I670" s="78">
        <f t="shared" si="14"/>
        <v>230.12</v>
      </c>
      <c r="J670" s="119" t="s">
        <v>992</v>
      </c>
      <c r="K670" s="130" t="s">
        <v>229</v>
      </c>
      <c r="L670" s="131"/>
      <c r="M670" s="149" t="s">
        <v>261</v>
      </c>
      <c r="N670" s="135" t="s">
        <v>653</v>
      </c>
      <c r="O670" s="152" t="s">
        <v>865</v>
      </c>
    </row>
    <row r="671" spans="1:15" ht="15" customHeight="1">
      <c r="A671" s="70"/>
      <c r="B671" s="97" t="s">
        <v>486</v>
      </c>
      <c r="C671" s="98"/>
      <c r="D671" s="101" t="s">
        <v>532</v>
      </c>
      <c r="E671" s="79"/>
      <c r="F671" s="192">
        <v>2</v>
      </c>
      <c r="G671" s="193"/>
      <c r="H671" s="132">
        <v>182.96</v>
      </c>
      <c r="I671" s="78">
        <f t="shared" si="14"/>
        <v>365.92</v>
      </c>
      <c r="J671" s="119" t="s">
        <v>992</v>
      </c>
      <c r="K671" s="130" t="s">
        <v>229</v>
      </c>
      <c r="L671" s="131"/>
      <c r="M671" s="149" t="s">
        <v>261</v>
      </c>
      <c r="N671" s="135" t="s">
        <v>653</v>
      </c>
      <c r="O671" s="152" t="s">
        <v>865</v>
      </c>
    </row>
    <row r="672" spans="1:15" ht="15" customHeight="1">
      <c r="A672" s="70"/>
      <c r="B672" s="97" t="s">
        <v>486</v>
      </c>
      <c r="C672" s="77"/>
      <c r="D672" s="101" t="s">
        <v>533</v>
      </c>
      <c r="E672" s="79"/>
      <c r="F672" s="192">
        <v>8</v>
      </c>
      <c r="G672" s="193"/>
      <c r="H672" s="132">
        <v>20.329999999999998</v>
      </c>
      <c r="I672" s="78">
        <f t="shared" si="14"/>
        <v>162.63999999999999</v>
      </c>
      <c r="J672" s="119" t="s">
        <v>992</v>
      </c>
      <c r="K672" s="130" t="s">
        <v>229</v>
      </c>
      <c r="L672" s="131"/>
      <c r="M672" s="149" t="s">
        <v>580</v>
      </c>
      <c r="N672" s="135" t="s">
        <v>607</v>
      </c>
      <c r="O672" s="152" t="s">
        <v>959</v>
      </c>
    </row>
    <row r="673" spans="1:15" ht="15" customHeight="1">
      <c r="A673" s="70"/>
      <c r="B673" s="97" t="s">
        <v>486</v>
      </c>
      <c r="C673" s="98"/>
      <c r="D673" s="101" t="s">
        <v>420</v>
      </c>
      <c r="E673" s="79"/>
      <c r="F673" s="192">
        <v>12</v>
      </c>
      <c r="G673" s="193"/>
      <c r="H673" s="132">
        <v>5.28</v>
      </c>
      <c r="I673" s="78">
        <f t="shared" si="14"/>
        <v>63.36</v>
      </c>
      <c r="J673" s="119" t="s">
        <v>992</v>
      </c>
      <c r="K673" s="130" t="s">
        <v>229</v>
      </c>
      <c r="L673" s="131"/>
      <c r="M673" s="149" t="s">
        <v>260</v>
      </c>
      <c r="N673" s="135" t="s">
        <v>651</v>
      </c>
      <c r="O673" s="152" t="s">
        <v>878</v>
      </c>
    </row>
    <row r="674" spans="1:15" ht="15" customHeight="1">
      <c r="A674" s="70"/>
      <c r="B674" s="97" t="s">
        <v>486</v>
      </c>
      <c r="C674" s="77"/>
      <c r="D674" s="101" t="s">
        <v>91</v>
      </c>
      <c r="E674" s="79"/>
      <c r="F674" s="192">
        <v>8</v>
      </c>
      <c r="G674" s="193"/>
      <c r="H674" s="132">
        <v>6.04</v>
      </c>
      <c r="I674" s="78">
        <f t="shared" si="14"/>
        <v>48.32</v>
      </c>
      <c r="J674" s="119" t="s">
        <v>992</v>
      </c>
      <c r="K674" s="130" t="s">
        <v>229</v>
      </c>
      <c r="L674" s="131"/>
      <c r="M674" s="149" t="s">
        <v>260</v>
      </c>
      <c r="N674" s="135" t="s">
        <v>651</v>
      </c>
      <c r="O674" s="152" t="s">
        <v>658</v>
      </c>
    </row>
    <row r="675" spans="1:15" ht="15" customHeight="1">
      <c r="A675" s="70"/>
      <c r="B675" s="97" t="s">
        <v>486</v>
      </c>
      <c r="C675" s="77"/>
      <c r="D675" s="101" t="s">
        <v>534</v>
      </c>
      <c r="E675" s="79"/>
      <c r="F675" s="192">
        <v>2</v>
      </c>
      <c r="G675" s="193"/>
      <c r="H675" s="132">
        <v>7.54</v>
      </c>
      <c r="I675" s="78">
        <f t="shared" si="14"/>
        <v>15.08</v>
      </c>
      <c r="J675" s="119" t="s">
        <v>992</v>
      </c>
      <c r="K675" s="130" t="s">
        <v>229</v>
      </c>
      <c r="L675" s="131"/>
      <c r="M675" s="149" t="s">
        <v>261</v>
      </c>
      <c r="N675" s="135" t="s">
        <v>653</v>
      </c>
      <c r="O675" s="152" t="s">
        <v>960</v>
      </c>
    </row>
    <row r="676" spans="1:15" ht="15" customHeight="1">
      <c r="A676" s="70"/>
      <c r="B676" s="97" t="s">
        <v>486</v>
      </c>
      <c r="C676" s="98"/>
      <c r="D676" s="101" t="s">
        <v>343</v>
      </c>
      <c r="E676" s="79"/>
      <c r="F676" s="192">
        <v>4</v>
      </c>
      <c r="G676" s="193"/>
      <c r="H676" s="132">
        <v>2.36</v>
      </c>
      <c r="I676" s="78">
        <f t="shared" si="14"/>
        <v>9.44</v>
      </c>
      <c r="J676" s="119" t="s">
        <v>992</v>
      </c>
      <c r="K676" s="130" t="s">
        <v>229</v>
      </c>
      <c r="L676" s="131"/>
      <c r="M676" s="149" t="s">
        <v>262</v>
      </c>
      <c r="N676" s="135" t="s">
        <v>660</v>
      </c>
      <c r="O676" s="152" t="s">
        <v>829</v>
      </c>
    </row>
    <row r="677" spans="1:15" ht="15" customHeight="1">
      <c r="A677" s="70"/>
      <c r="B677" s="97" t="s">
        <v>486</v>
      </c>
      <c r="C677" s="77"/>
      <c r="D677" s="101" t="s">
        <v>535</v>
      </c>
      <c r="E677" s="79"/>
      <c r="F677" s="192">
        <v>2</v>
      </c>
      <c r="G677" s="193"/>
      <c r="H677" s="132">
        <v>217.67</v>
      </c>
      <c r="I677" s="78">
        <f t="shared" si="14"/>
        <v>435.34</v>
      </c>
      <c r="J677" s="119" t="s">
        <v>992</v>
      </c>
      <c r="K677" s="130" t="s">
        <v>229</v>
      </c>
      <c r="L677" s="131"/>
      <c r="M677" s="149" t="s">
        <v>261</v>
      </c>
      <c r="N677" s="135" t="s">
        <v>653</v>
      </c>
      <c r="O677" s="152" t="s">
        <v>961</v>
      </c>
    </row>
    <row r="678" spans="1:15" ht="15" customHeight="1">
      <c r="A678" s="70"/>
      <c r="B678" s="97" t="s">
        <v>486</v>
      </c>
      <c r="C678" s="77"/>
      <c r="D678" s="101" t="s">
        <v>152</v>
      </c>
      <c r="E678" s="79"/>
      <c r="F678" s="192">
        <v>2</v>
      </c>
      <c r="G678" s="193"/>
      <c r="H678" s="132">
        <v>60.86</v>
      </c>
      <c r="I678" s="78">
        <f t="shared" si="14"/>
        <v>121.72</v>
      </c>
      <c r="J678" s="119" t="s">
        <v>992</v>
      </c>
      <c r="K678" s="130" t="s">
        <v>226</v>
      </c>
      <c r="L678" s="131"/>
      <c r="M678" s="149" t="s">
        <v>289</v>
      </c>
      <c r="N678" s="135" t="s">
        <v>728</v>
      </c>
      <c r="O678" s="152" t="s">
        <v>731</v>
      </c>
    </row>
    <row r="679" spans="1:15" ht="15" customHeight="1">
      <c r="A679" s="70"/>
      <c r="B679" s="97" t="s">
        <v>486</v>
      </c>
      <c r="C679" s="77"/>
      <c r="D679" s="101" t="s">
        <v>150</v>
      </c>
      <c r="E679" s="79"/>
      <c r="F679" s="192">
        <v>10</v>
      </c>
      <c r="G679" s="193"/>
      <c r="H679" s="132">
        <v>41.36</v>
      </c>
      <c r="I679" s="78">
        <f t="shared" si="14"/>
        <v>413.6</v>
      </c>
      <c r="J679" s="119" t="s">
        <v>992</v>
      </c>
      <c r="K679" s="130" t="s">
        <v>226</v>
      </c>
      <c r="L679" s="131"/>
      <c r="M679" s="149" t="s">
        <v>287</v>
      </c>
      <c r="N679" s="135" t="s">
        <v>728</v>
      </c>
      <c r="O679" s="152" t="s">
        <v>729</v>
      </c>
    </row>
    <row r="680" spans="1:15" ht="15" customHeight="1">
      <c r="A680" s="70"/>
      <c r="B680" s="97" t="s">
        <v>486</v>
      </c>
      <c r="C680" s="98"/>
      <c r="D680" s="101" t="s">
        <v>151</v>
      </c>
      <c r="E680" s="79"/>
      <c r="F680" s="192">
        <v>10</v>
      </c>
      <c r="G680" s="193"/>
      <c r="H680" s="132">
        <v>46.04</v>
      </c>
      <c r="I680" s="78">
        <f t="shared" si="14"/>
        <v>460.4</v>
      </c>
      <c r="J680" s="119" t="s">
        <v>992</v>
      </c>
      <c r="K680" s="130" t="s">
        <v>226</v>
      </c>
      <c r="L680" s="131"/>
      <c r="M680" s="149" t="s">
        <v>288</v>
      </c>
      <c r="N680" s="135" t="s">
        <v>728</v>
      </c>
      <c r="O680" s="152" t="s">
        <v>730</v>
      </c>
    </row>
    <row r="681" spans="1:15" ht="15" customHeight="1">
      <c r="A681" s="70"/>
      <c r="B681" s="97" t="s">
        <v>486</v>
      </c>
      <c r="C681" s="77"/>
      <c r="D681" s="101" t="s">
        <v>536</v>
      </c>
      <c r="E681" s="79"/>
      <c r="F681" s="192">
        <v>4</v>
      </c>
      <c r="G681" s="193"/>
      <c r="H681" s="132">
        <v>154.5</v>
      </c>
      <c r="I681" s="78">
        <f t="shared" ref="I681:I697" si="15">F681*H681</f>
        <v>618</v>
      </c>
      <c r="J681" s="119" t="s">
        <v>992</v>
      </c>
      <c r="K681" s="130" t="s">
        <v>226</v>
      </c>
      <c r="L681" s="131"/>
      <c r="M681" s="149" t="s">
        <v>581</v>
      </c>
      <c r="N681" s="135" t="s">
        <v>753</v>
      </c>
      <c r="O681" s="152" t="s">
        <v>962</v>
      </c>
    </row>
    <row r="682" spans="1:15" ht="15" customHeight="1">
      <c r="A682" s="70"/>
      <c r="B682" s="97" t="s">
        <v>486</v>
      </c>
      <c r="C682" s="77"/>
      <c r="D682" s="101" t="s">
        <v>537</v>
      </c>
      <c r="E682" s="79"/>
      <c r="F682" s="192">
        <v>6</v>
      </c>
      <c r="G682" s="193"/>
      <c r="H682" s="132">
        <v>154.5</v>
      </c>
      <c r="I682" s="78">
        <f t="shared" si="15"/>
        <v>927</v>
      </c>
      <c r="J682" s="119" t="s">
        <v>992</v>
      </c>
      <c r="K682" s="130" t="s">
        <v>226</v>
      </c>
      <c r="L682" s="131"/>
      <c r="M682" s="149" t="s">
        <v>581</v>
      </c>
      <c r="N682" s="135" t="s">
        <v>753</v>
      </c>
      <c r="O682" s="152" t="s">
        <v>963</v>
      </c>
    </row>
    <row r="683" spans="1:15" ht="15" customHeight="1">
      <c r="A683" s="70"/>
      <c r="B683" s="97" t="s">
        <v>486</v>
      </c>
      <c r="C683" s="98"/>
      <c r="D683" s="101" t="s">
        <v>538</v>
      </c>
      <c r="E683" s="79"/>
      <c r="F683" s="192">
        <v>4</v>
      </c>
      <c r="G683" s="193"/>
      <c r="H683" s="132">
        <v>42.92</v>
      </c>
      <c r="I683" s="78">
        <f t="shared" si="15"/>
        <v>171.68</v>
      </c>
      <c r="J683" s="119" t="s">
        <v>992</v>
      </c>
      <c r="K683" s="130" t="s">
        <v>229</v>
      </c>
      <c r="L683" s="131"/>
      <c r="M683" s="149" t="s">
        <v>249</v>
      </c>
      <c r="N683" s="135" t="s">
        <v>630</v>
      </c>
      <c r="O683" s="152" t="s">
        <v>964</v>
      </c>
    </row>
    <row r="684" spans="1:15" ht="15" customHeight="1">
      <c r="A684" s="70"/>
      <c r="B684" s="97" t="s">
        <v>486</v>
      </c>
      <c r="C684" s="77"/>
      <c r="D684" s="101" t="s">
        <v>539</v>
      </c>
      <c r="E684" s="79"/>
      <c r="F684" s="192">
        <v>11</v>
      </c>
      <c r="G684" s="193"/>
      <c r="H684" s="132">
        <v>21.85</v>
      </c>
      <c r="I684" s="78">
        <f t="shared" si="15"/>
        <v>240.35000000000002</v>
      </c>
      <c r="J684" s="119" t="s">
        <v>992</v>
      </c>
      <c r="K684" s="130" t="s">
        <v>226</v>
      </c>
      <c r="L684" s="131"/>
      <c r="M684" s="149" t="s">
        <v>582</v>
      </c>
      <c r="N684" s="135" t="s">
        <v>632</v>
      </c>
      <c r="O684" s="152" t="s">
        <v>965</v>
      </c>
    </row>
    <row r="685" spans="1:15" ht="15" customHeight="1">
      <c r="A685" s="70"/>
      <c r="B685" s="97" t="s">
        <v>486</v>
      </c>
      <c r="C685" s="77"/>
      <c r="D685" s="101" t="s">
        <v>540</v>
      </c>
      <c r="E685" s="79"/>
      <c r="F685" s="192">
        <v>14</v>
      </c>
      <c r="G685" s="193"/>
      <c r="H685" s="132">
        <v>25.75</v>
      </c>
      <c r="I685" s="78">
        <f t="shared" si="15"/>
        <v>360.5</v>
      </c>
      <c r="J685" s="119" t="s">
        <v>992</v>
      </c>
      <c r="K685" s="130" t="s">
        <v>226</v>
      </c>
      <c r="L685" s="131"/>
      <c r="M685" s="149" t="s">
        <v>583</v>
      </c>
      <c r="N685" s="135" t="s">
        <v>632</v>
      </c>
      <c r="O685" s="152" t="s">
        <v>966</v>
      </c>
    </row>
    <row r="686" spans="1:15" ht="15" customHeight="1">
      <c r="A686" s="70"/>
      <c r="B686" s="97" t="s">
        <v>486</v>
      </c>
      <c r="C686" s="98"/>
      <c r="D686" s="101" t="s">
        <v>541</v>
      </c>
      <c r="E686" s="79"/>
      <c r="F686" s="192">
        <v>5</v>
      </c>
      <c r="G686" s="193"/>
      <c r="H686" s="132">
        <v>14.98</v>
      </c>
      <c r="I686" s="78">
        <f t="shared" si="15"/>
        <v>74.900000000000006</v>
      </c>
      <c r="J686" s="119" t="s">
        <v>992</v>
      </c>
      <c r="K686" s="130" t="s">
        <v>226</v>
      </c>
      <c r="L686" s="131"/>
      <c r="M686" s="149" t="s">
        <v>584</v>
      </c>
      <c r="N686" s="135" t="s">
        <v>632</v>
      </c>
      <c r="O686" s="152" t="s">
        <v>967</v>
      </c>
    </row>
    <row r="687" spans="1:15" ht="15" customHeight="1">
      <c r="A687" s="70"/>
      <c r="B687" s="97" t="s">
        <v>486</v>
      </c>
      <c r="C687" s="77"/>
      <c r="D687" s="101" t="s">
        <v>162</v>
      </c>
      <c r="E687" s="79"/>
      <c r="F687" s="192">
        <v>2</v>
      </c>
      <c r="G687" s="193"/>
      <c r="H687" s="132">
        <v>3.67</v>
      </c>
      <c r="I687" s="78">
        <f t="shared" si="15"/>
        <v>7.34</v>
      </c>
      <c r="J687" s="119" t="s">
        <v>992</v>
      </c>
      <c r="K687" s="130" t="s">
        <v>226</v>
      </c>
      <c r="L687" s="131"/>
      <c r="M687" s="149" t="s">
        <v>250</v>
      </c>
      <c r="N687" s="135" t="s">
        <v>632</v>
      </c>
      <c r="O687" s="152" t="s">
        <v>742</v>
      </c>
    </row>
    <row r="688" spans="1:15" ht="15" customHeight="1">
      <c r="A688" s="70"/>
      <c r="B688" s="97" t="s">
        <v>486</v>
      </c>
      <c r="C688" s="77"/>
      <c r="D688" s="101" t="s">
        <v>154</v>
      </c>
      <c r="E688" s="79"/>
      <c r="F688" s="192">
        <v>4</v>
      </c>
      <c r="G688" s="193"/>
      <c r="H688" s="132">
        <v>27.23</v>
      </c>
      <c r="I688" s="78">
        <f t="shared" si="15"/>
        <v>108.92</v>
      </c>
      <c r="J688" s="119" t="s">
        <v>992</v>
      </c>
      <c r="K688" s="130" t="s">
        <v>226</v>
      </c>
      <c r="L688" s="131"/>
      <c r="M688" s="149" t="s">
        <v>291</v>
      </c>
      <c r="N688" s="135" t="s">
        <v>593</v>
      </c>
      <c r="O688" s="152" t="s">
        <v>734</v>
      </c>
    </row>
    <row r="689" spans="1:15" ht="15" customHeight="1">
      <c r="A689" s="70"/>
      <c r="B689" s="97" t="s">
        <v>486</v>
      </c>
      <c r="C689" s="98"/>
      <c r="D689" s="101" t="s">
        <v>153</v>
      </c>
      <c r="E689" s="79"/>
      <c r="F689" s="192">
        <v>10</v>
      </c>
      <c r="G689" s="193"/>
      <c r="H689" s="132">
        <v>6.79</v>
      </c>
      <c r="I689" s="78">
        <f t="shared" si="15"/>
        <v>67.900000000000006</v>
      </c>
      <c r="J689" s="119" t="s">
        <v>992</v>
      </c>
      <c r="K689" s="130" t="s">
        <v>226</v>
      </c>
      <c r="L689" s="131"/>
      <c r="M689" s="149" t="s">
        <v>290</v>
      </c>
      <c r="N689" s="135" t="s">
        <v>732</v>
      </c>
      <c r="O689" s="152" t="s">
        <v>733</v>
      </c>
    </row>
    <row r="690" spans="1:15" ht="15" customHeight="1">
      <c r="A690" s="70"/>
      <c r="B690" s="97" t="s">
        <v>486</v>
      </c>
      <c r="C690" s="77"/>
      <c r="D690" s="101" t="s">
        <v>542</v>
      </c>
      <c r="E690" s="79"/>
      <c r="F690" s="192">
        <v>2</v>
      </c>
      <c r="G690" s="193"/>
      <c r="H690" s="132">
        <v>6.55</v>
      </c>
      <c r="I690" s="78">
        <f t="shared" si="15"/>
        <v>13.1</v>
      </c>
      <c r="J690" s="119" t="s">
        <v>992</v>
      </c>
      <c r="K690" s="130" t="s">
        <v>226</v>
      </c>
      <c r="L690" s="131"/>
      <c r="M690" s="149" t="s">
        <v>585</v>
      </c>
      <c r="N690" s="135" t="s">
        <v>747</v>
      </c>
      <c r="O690" s="152" t="s">
        <v>968</v>
      </c>
    </row>
    <row r="691" spans="1:15" ht="15" customHeight="1">
      <c r="A691" s="70"/>
      <c r="B691" s="97" t="s">
        <v>486</v>
      </c>
      <c r="C691" s="77"/>
      <c r="D691" s="101" t="s">
        <v>543</v>
      </c>
      <c r="E691" s="79"/>
      <c r="F691" s="192">
        <v>2</v>
      </c>
      <c r="G691" s="193"/>
      <c r="H691" s="132">
        <v>14.44</v>
      </c>
      <c r="I691" s="78">
        <f t="shared" si="15"/>
        <v>28.88</v>
      </c>
      <c r="J691" s="119" t="s">
        <v>992</v>
      </c>
      <c r="K691" s="130" t="s">
        <v>226</v>
      </c>
      <c r="L691" s="131"/>
      <c r="M691" s="149" t="s">
        <v>585</v>
      </c>
      <c r="N691" s="135" t="s">
        <v>747</v>
      </c>
      <c r="O691" s="152" t="s">
        <v>968</v>
      </c>
    </row>
    <row r="692" spans="1:15" ht="15" customHeight="1">
      <c r="A692" s="70"/>
      <c r="B692" s="97" t="s">
        <v>486</v>
      </c>
      <c r="C692" s="98"/>
      <c r="D692" s="101" t="s">
        <v>544</v>
      </c>
      <c r="E692" s="79"/>
      <c r="F692" s="192">
        <v>2</v>
      </c>
      <c r="G692" s="193"/>
      <c r="H692" s="132">
        <v>6.55</v>
      </c>
      <c r="I692" s="78">
        <f t="shared" si="15"/>
        <v>13.1</v>
      </c>
      <c r="J692" s="119" t="s">
        <v>992</v>
      </c>
      <c r="K692" s="130" t="s">
        <v>226</v>
      </c>
      <c r="L692" s="131"/>
      <c r="M692" s="149" t="s">
        <v>585</v>
      </c>
      <c r="N692" s="135" t="s">
        <v>747</v>
      </c>
      <c r="O692" s="152" t="s">
        <v>969</v>
      </c>
    </row>
    <row r="693" spans="1:15" ht="15" customHeight="1">
      <c r="A693" s="70"/>
      <c r="B693" s="97" t="s">
        <v>486</v>
      </c>
      <c r="C693" s="77"/>
      <c r="D693" s="101" t="s">
        <v>545</v>
      </c>
      <c r="E693" s="79"/>
      <c r="F693" s="192">
        <v>2</v>
      </c>
      <c r="G693" s="193"/>
      <c r="H693" s="132">
        <v>17.559999999999999</v>
      </c>
      <c r="I693" s="78">
        <f t="shared" si="15"/>
        <v>35.119999999999997</v>
      </c>
      <c r="J693" s="119" t="s">
        <v>992</v>
      </c>
      <c r="K693" s="130" t="s">
        <v>226</v>
      </c>
      <c r="L693" s="131"/>
      <c r="M693" s="149" t="s">
        <v>585</v>
      </c>
      <c r="N693" s="135" t="s">
        <v>747</v>
      </c>
      <c r="O693" s="152" t="s">
        <v>970</v>
      </c>
    </row>
    <row r="694" spans="1:15" ht="15" customHeight="1">
      <c r="A694" s="70"/>
      <c r="B694" s="97" t="s">
        <v>486</v>
      </c>
      <c r="C694" s="77"/>
      <c r="D694" s="101" t="s">
        <v>546</v>
      </c>
      <c r="E694" s="79"/>
      <c r="F694" s="192">
        <v>2</v>
      </c>
      <c r="G694" s="193"/>
      <c r="H694" s="132">
        <v>21.46</v>
      </c>
      <c r="I694" s="78">
        <f t="shared" si="15"/>
        <v>42.92</v>
      </c>
      <c r="J694" s="119" t="s">
        <v>992</v>
      </c>
      <c r="K694" s="130" t="s">
        <v>226</v>
      </c>
      <c r="L694" s="131"/>
      <c r="M694" s="149" t="s">
        <v>585</v>
      </c>
      <c r="N694" s="135" t="s">
        <v>747</v>
      </c>
      <c r="O694" s="152" t="s">
        <v>971</v>
      </c>
    </row>
    <row r="695" spans="1:15" ht="15" customHeight="1">
      <c r="A695" s="70"/>
      <c r="B695" s="97" t="s">
        <v>486</v>
      </c>
      <c r="C695" s="98"/>
      <c r="D695" s="101" t="s">
        <v>547</v>
      </c>
      <c r="E695" s="79"/>
      <c r="F695" s="192">
        <v>4</v>
      </c>
      <c r="G695" s="193"/>
      <c r="H695" s="132">
        <v>7.8</v>
      </c>
      <c r="I695" s="78">
        <f t="shared" si="15"/>
        <v>31.2</v>
      </c>
      <c r="J695" s="119" t="s">
        <v>992</v>
      </c>
      <c r="K695" s="130" t="s">
        <v>226</v>
      </c>
      <c r="L695" s="131"/>
      <c r="M695" s="149" t="s">
        <v>585</v>
      </c>
      <c r="N695" s="135" t="s">
        <v>747</v>
      </c>
      <c r="O695" s="152" t="s">
        <v>972</v>
      </c>
    </row>
    <row r="696" spans="1:15" ht="15" customHeight="1">
      <c r="A696" s="70"/>
      <c r="B696" s="97" t="s">
        <v>486</v>
      </c>
      <c r="C696" s="77"/>
      <c r="D696" s="101" t="s">
        <v>548</v>
      </c>
      <c r="E696" s="79"/>
      <c r="F696" s="192">
        <v>2</v>
      </c>
      <c r="G696" s="193"/>
      <c r="H696" s="132">
        <v>10.92</v>
      </c>
      <c r="I696" s="78">
        <f t="shared" si="15"/>
        <v>21.84</v>
      </c>
      <c r="J696" s="119" t="s">
        <v>992</v>
      </c>
      <c r="K696" s="130" t="s">
        <v>226</v>
      </c>
      <c r="L696" s="131"/>
      <c r="M696" s="149" t="s">
        <v>585</v>
      </c>
      <c r="N696" s="135" t="s">
        <v>747</v>
      </c>
      <c r="O696" s="152" t="s">
        <v>973</v>
      </c>
    </row>
    <row r="697" spans="1:15" ht="15" customHeight="1">
      <c r="A697" s="70"/>
      <c r="B697" s="97" t="s">
        <v>486</v>
      </c>
      <c r="C697" s="77"/>
      <c r="D697" s="101" t="s">
        <v>174</v>
      </c>
      <c r="E697" s="79"/>
      <c r="F697" s="192">
        <v>2</v>
      </c>
      <c r="G697" s="193"/>
      <c r="H697" s="132">
        <v>1779.05</v>
      </c>
      <c r="I697" s="78">
        <f t="shared" si="15"/>
        <v>3558.1</v>
      </c>
      <c r="J697" s="119" t="s">
        <v>992</v>
      </c>
      <c r="K697" s="130" t="s">
        <v>226</v>
      </c>
      <c r="L697" s="131"/>
      <c r="M697" s="149" t="s">
        <v>300</v>
      </c>
      <c r="N697" s="135" t="s">
        <v>756</v>
      </c>
      <c r="O697" s="152" t="s">
        <v>757</v>
      </c>
    </row>
    <row r="698" spans="1:15" ht="15" customHeight="1">
      <c r="A698" s="70"/>
      <c r="B698" s="97" t="s">
        <v>486</v>
      </c>
      <c r="C698" s="77"/>
      <c r="D698" s="101" t="s">
        <v>175</v>
      </c>
      <c r="E698" s="79"/>
      <c r="F698" s="192">
        <v>14</v>
      </c>
      <c r="G698" s="193"/>
      <c r="H698" s="132">
        <v>75.69</v>
      </c>
      <c r="I698" s="78">
        <f t="shared" ref="I698:I729" si="16">F698*H698</f>
        <v>1059.6599999999999</v>
      </c>
      <c r="J698" s="119" t="s">
        <v>992</v>
      </c>
      <c r="K698" s="130" t="s">
        <v>226</v>
      </c>
      <c r="L698" s="131"/>
      <c r="M698" s="149" t="s">
        <v>301</v>
      </c>
      <c r="N698" s="135" t="s">
        <v>660</v>
      </c>
      <c r="O698" s="152" t="s">
        <v>758</v>
      </c>
    </row>
    <row r="699" spans="1:15" ht="15" customHeight="1">
      <c r="A699" s="70"/>
      <c r="B699" s="97" t="s">
        <v>486</v>
      </c>
      <c r="C699" s="77"/>
      <c r="D699" s="101" t="s">
        <v>549</v>
      </c>
      <c r="E699" s="79"/>
      <c r="F699" s="192">
        <v>2</v>
      </c>
      <c r="G699" s="193"/>
      <c r="H699" s="132">
        <v>15.14</v>
      </c>
      <c r="I699" s="78">
        <f t="shared" si="16"/>
        <v>30.28</v>
      </c>
      <c r="J699" s="119" t="s">
        <v>992</v>
      </c>
      <c r="K699" s="130" t="s">
        <v>228</v>
      </c>
      <c r="L699" s="131"/>
      <c r="M699" s="149" t="s">
        <v>312</v>
      </c>
      <c r="N699" s="135">
        <v>73269099</v>
      </c>
      <c r="O699" s="152" t="s">
        <v>781</v>
      </c>
    </row>
    <row r="700" spans="1:15" ht="15" customHeight="1">
      <c r="A700" s="70"/>
      <c r="B700" s="97" t="s">
        <v>486</v>
      </c>
      <c r="C700" s="98"/>
      <c r="D700" s="101" t="s">
        <v>550</v>
      </c>
      <c r="E700" s="79"/>
      <c r="F700" s="192">
        <v>2</v>
      </c>
      <c r="G700" s="193"/>
      <c r="H700" s="132">
        <v>63.05</v>
      </c>
      <c r="I700" s="78">
        <f t="shared" si="16"/>
        <v>126.1</v>
      </c>
      <c r="J700" s="119" t="s">
        <v>992</v>
      </c>
      <c r="K700" s="130" t="s">
        <v>228</v>
      </c>
      <c r="L700" s="131"/>
      <c r="M700" s="149" t="s">
        <v>312</v>
      </c>
      <c r="N700" s="135" t="s">
        <v>607</v>
      </c>
      <c r="O700" s="152" t="s">
        <v>781</v>
      </c>
    </row>
    <row r="701" spans="1:15" ht="15" customHeight="1">
      <c r="A701" s="70"/>
      <c r="B701" s="97" t="s">
        <v>486</v>
      </c>
      <c r="C701" s="77"/>
      <c r="D701" s="101" t="s">
        <v>551</v>
      </c>
      <c r="E701" s="79"/>
      <c r="F701" s="192">
        <v>2</v>
      </c>
      <c r="G701" s="193"/>
      <c r="H701" s="132">
        <v>33.630000000000003</v>
      </c>
      <c r="I701" s="78">
        <f t="shared" si="16"/>
        <v>67.260000000000005</v>
      </c>
      <c r="J701" s="119" t="s">
        <v>992</v>
      </c>
      <c r="K701" s="130" t="s">
        <v>228</v>
      </c>
      <c r="L701" s="131"/>
      <c r="M701" s="149" t="s">
        <v>312</v>
      </c>
      <c r="N701" s="135" t="s">
        <v>607</v>
      </c>
      <c r="O701" s="152" t="s">
        <v>781</v>
      </c>
    </row>
    <row r="702" spans="1:15" ht="15" customHeight="1">
      <c r="A702" s="70"/>
      <c r="B702" s="97" t="s">
        <v>486</v>
      </c>
      <c r="C702" s="77"/>
      <c r="D702" s="101" t="s">
        <v>552</v>
      </c>
      <c r="E702" s="79"/>
      <c r="F702" s="192">
        <v>2</v>
      </c>
      <c r="G702" s="193"/>
      <c r="H702" s="132">
        <v>37.92</v>
      </c>
      <c r="I702" s="78">
        <f t="shared" si="16"/>
        <v>75.84</v>
      </c>
      <c r="J702" s="119" t="s">
        <v>992</v>
      </c>
      <c r="K702" s="130" t="s">
        <v>228</v>
      </c>
      <c r="L702" s="131"/>
      <c r="M702" s="149" t="s">
        <v>312</v>
      </c>
      <c r="N702" s="135" t="s">
        <v>607</v>
      </c>
      <c r="O702" s="152" t="s">
        <v>781</v>
      </c>
    </row>
    <row r="703" spans="1:15" ht="15" customHeight="1">
      <c r="A703" s="70"/>
      <c r="B703" s="97" t="s">
        <v>486</v>
      </c>
      <c r="C703" s="98"/>
      <c r="D703" s="101" t="s">
        <v>553</v>
      </c>
      <c r="E703" s="79"/>
      <c r="F703" s="192">
        <v>2</v>
      </c>
      <c r="G703" s="193"/>
      <c r="H703" s="132">
        <v>21.85</v>
      </c>
      <c r="I703" s="78">
        <f t="shared" si="16"/>
        <v>43.7</v>
      </c>
      <c r="J703" s="119" t="s">
        <v>992</v>
      </c>
      <c r="K703" s="130" t="s">
        <v>228</v>
      </c>
      <c r="L703" s="131"/>
      <c r="M703" s="149" t="s">
        <v>312</v>
      </c>
      <c r="N703" s="135" t="s">
        <v>607</v>
      </c>
      <c r="O703" s="152" t="s">
        <v>974</v>
      </c>
    </row>
    <row r="704" spans="1:15" ht="15" customHeight="1">
      <c r="A704" s="70"/>
      <c r="B704" s="97" t="s">
        <v>486</v>
      </c>
      <c r="C704" s="77"/>
      <c r="D704" s="101" t="s">
        <v>554</v>
      </c>
      <c r="E704" s="79"/>
      <c r="F704" s="192">
        <v>4</v>
      </c>
      <c r="G704" s="193"/>
      <c r="H704" s="132">
        <v>35.03</v>
      </c>
      <c r="I704" s="78">
        <f t="shared" si="16"/>
        <v>140.12</v>
      </c>
      <c r="J704" s="119" t="s">
        <v>992</v>
      </c>
      <c r="K704" s="130" t="s">
        <v>228</v>
      </c>
      <c r="L704" s="131"/>
      <c r="M704" s="149" t="s">
        <v>312</v>
      </c>
      <c r="N704" s="135" t="s">
        <v>607</v>
      </c>
      <c r="O704" s="152" t="s">
        <v>781</v>
      </c>
    </row>
    <row r="705" spans="1:15" ht="15" customHeight="1">
      <c r="A705" s="70"/>
      <c r="B705" s="97" t="s">
        <v>486</v>
      </c>
      <c r="C705" s="77"/>
      <c r="D705" s="101" t="s">
        <v>555</v>
      </c>
      <c r="E705" s="79"/>
      <c r="F705" s="192">
        <v>2</v>
      </c>
      <c r="G705" s="193"/>
      <c r="H705" s="132">
        <v>31.76</v>
      </c>
      <c r="I705" s="78">
        <f t="shared" si="16"/>
        <v>63.52</v>
      </c>
      <c r="J705" s="119" t="s">
        <v>992</v>
      </c>
      <c r="K705" s="130" t="s">
        <v>228</v>
      </c>
      <c r="L705" s="131"/>
      <c r="M705" s="149" t="s">
        <v>312</v>
      </c>
      <c r="N705" s="135" t="s">
        <v>607</v>
      </c>
      <c r="O705" s="152" t="s">
        <v>781</v>
      </c>
    </row>
    <row r="706" spans="1:15" ht="15" customHeight="1">
      <c r="A706" s="70"/>
      <c r="B706" s="97" t="s">
        <v>486</v>
      </c>
      <c r="C706" s="98"/>
      <c r="D706" s="101" t="s">
        <v>556</v>
      </c>
      <c r="E706" s="79"/>
      <c r="F706" s="192">
        <v>2</v>
      </c>
      <c r="G706" s="193"/>
      <c r="H706" s="132">
        <v>8.9</v>
      </c>
      <c r="I706" s="78">
        <f t="shared" si="16"/>
        <v>17.8</v>
      </c>
      <c r="J706" s="119" t="s">
        <v>992</v>
      </c>
      <c r="K706" s="130" t="s">
        <v>228</v>
      </c>
      <c r="L706" s="131"/>
      <c r="M706" s="149" t="s">
        <v>312</v>
      </c>
      <c r="N706" s="135" t="s">
        <v>607</v>
      </c>
      <c r="O706" s="152" t="s">
        <v>781</v>
      </c>
    </row>
    <row r="707" spans="1:15" ht="15" customHeight="1">
      <c r="A707" s="70"/>
      <c r="B707" s="97" t="s">
        <v>486</v>
      </c>
      <c r="C707" s="77"/>
      <c r="D707" s="101" t="s">
        <v>447</v>
      </c>
      <c r="E707" s="79"/>
      <c r="F707" s="192">
        <v>14</v>
      </c>
      <c r="G707" s="193"/>
      <c r="H707" s="132">
        <v>18.73</v>
      </c>
      <c r="I707" s="78">
        <f t="shared" si="16"/>
        <v>262.22000000000003</v>
      </c>
      <c r="J707" s="119" t="s">
        <v>992</v>
      </c>
      <c r="K707" s="130" t="s">
        <v>226</v>
      </c>
      <c r="L707" s="131"/>
      <c r="M707" s="149" t="s">
        <v>308</v>
      </c>
      <c r="N707" s="135" t="s">
        <v>772</v>
      </c>
      <c r="O707" s="152" t="s">
        <v>773</v>
      </c>
    </row>
    <row r="708" spans="1:15" ht="15" customHeight="1">
      <c r="A708" s="70"/>
      <c r="B708" s="97" t="s">
        <v>486</v>
      </c>
      <c r="C708" s="98"/>
      <c r="D708" s="101" t="s">
        <v>185</v>
      </c>
      <c r="E708" s="79"/>
      <c r="F708" s="192">
        <v>2</v>
      </c>
      <c r="G708" s="193"/>
      <c r="H708" s="132">
        <v>38.229999999999997</v>
      </c>
      <c r="I708" s="78">
        <f t="shared" si="16"/>
        <v>76.459999999999994</v>
      </c>
      <c r="J708" s="119" t="s">
        <v>992</v>
      </c>
      <c r="K708" s="130" t="s">
        <v>226</v>
      </c>
      <c r="L708" s="131"/>
      <c r="M708" s="149" t="s">
        <v>301</v>
      </c>
      <c r="N708" s="135" t="s">
        <v>772</v>
      </c>
      <c r="O708" s="152" t="s">
        <v>774</v>
      </c>
    </row>
    <row r="709" spans="1:15" ht="15" customHeight="1">
      <c r="A709" s="70"/>
      <c r="B709" s="97" t="s">
        <v>486</v>
      </c>
      <c r="C709" s="77"/>
      <c r="D709" s="101" t="s">
        <v>186</v>
      </c>
      <c r="E709" s="79"/>
      <c r="F709" s="192">
        <v>2</v>
      </c>
      <c r="G709" s="193"/>
      <c r="H709" s="132">
        <v>66.319999999999993</v>
      </c>
      <c r="I709" s="78">
        <f t="shared" si="16"/>
        <v>132.63999999999999</v>
      </c>
      <c r="J709" s="119" t="s">
        <v>992</v>
      </c>
      <c r="K709" s="130" t="s">
        <v>226</v>
      </c>
      <c r="L709" s="131"/>
      <c r="M709" s="149" t="s">
        <v>301</v>
      </c>
      <c r="N709" s="135" t="s">
        <v>772</v>
      </c>
      <c r="O709" s="152" t="s">
        <v>775</v>
      </c>
    </row>
    <row r="710" spans="1:15" ht="15" customHeight="1">
      <c r="A710" s="70"/>
      <c r="B710" s="97" t="s">
        <v>486</v>
      </c>
      <c r="C710" s="77"/>
      <c r="D710" s="101" t="s">
        <v>449</v>
      </c>
      <c r="E710" s="79"/>
      <c r="F710" s="192">
        <v>2</v>
      </c>
      <c r="G710" s="193"/>
      <c r="H710" s="132">
        <v>21.85</v>
      </c>
      <c r="I710" s="78">
        <f t="shared" si="16"/>
        <v>43.7</v>
      </c>
      <c r="J710" s="119" t="s">
        <v>992</v>
      </c>
      <c r="K710" s="130" t="s">
        <v>228</v>
      </c>
      <c r="L710" s="131"/>
      <c r="M710" s="149" t="s">
        <v>309</v>
      </c>
      <c r="N710" s="135" t="s">
        <v>649</v>
      </c>
      <c r="O710" s="152" t="s">
        <v>910</v>
      </c>
    </row>
    <row r="711" spans="1:15" ht="15" customHeight="1">
      <c r="A711" s="70"/>
      <c r="B711" s="97" t="s">
        <v>486</v>
      </c>
      <c r="C711" s="98"/>
      <c r="D711" s="101" t="s">
        <v>187</v>
      </c>
      <c r="E711" s="79"/>
      <c r="F711" s="192">
        <v>2</v>
      </c>
      <c r="G711" s="193"/>
      <c r="H711" s="132">
        <v>37.450000000000003</v>
      </c>
      <c r="I711" s="78">
        <f t="shared" si="16"/>
        <v>74.900000000000006</v>
      </c>
      <c r="J711" s="119" t="s">
        <v>992</v>
      </c>
      <c r="K711" s="130" t="s">
        <v>228</v>
      </c>
      <c r="L711" s="131"/>
      <c r="M711" s="149" t="s">
        <v>309</v>
      </c>
      <c r="N711" s="135" t="s">
        <v>649</v>
      </c>
      <c r="O711" s="152" t="s">
        <v>776</v>
      </c>
    </row>
    <row r="712" spans="1:15" ht="15" customHeight="1">
      <c r="A712" s="70"/>
      <c r="B712" s="97" t="s">
        <v>486</v>
      </c>
      <c r="C712" s="77"/>
      <c r="D712" s="101" t="s">
        <v>190</v>
      </c>
      <c r="E712" s="79"/>
      <c r="F712" s="192">
        <v>12</v>
      </c>
      <c r="G712" s="193"/>
      <c r="H712" s="132">
        <v>0.66</v>
      </c>
      <c r="I712" s="78">
        <f t="shared" si="16"/>
        <v>7.92</v>
      </c>
      <c r="J712" s="119" t="s">
        <v>992</v>
      </c>
      <c r="K712" s="130" t="s">
        <v>226</v>
      </c>
      <c r="L712" s="131"/>
      <c r="M712" s="149" t="s">
        <v>311</v>
      </c>
      <c r="N712" s="135" t="s">
        <v>779</v>
      </c>
      <c r="O712" s="152" t="s">
        <v>780</v>
      </c>
    </row>
    <row r="713" spans="1:15" ht="15" customHeight="1">
      <c r="A713" s="70"/>
      <c r="B713" s="97" t="s">
        <v>486</v>
      </c>
      <c r="C713" s="98"/>
      <c r="D713" s="101" t="s">
        <v>197</v>
      </c>
      <c r="E713" s="79"/>
      <c r="F713" s="192">
        <v>24</v>
      </c>
      <c r="G713" s="193"/>
      <c r="H713" s="132">
        <v>0.59</v>
      </c>
      <c r="I713" s="78">
        <f t="shared" si="16"/>
        <v>14.16</v>
      </c>
      <c r="J713" s="119" t="s">
        <v>992</v>
      </c>
      <c r="K713" s="130" t="s">
        <v>226</v>
      </c>
      <c r="L713" s="131"/>
      <c r="M713" s="149" t="s">
        <v>311</v>
      </c>
      <c r="N713" s="135" t="s">
        <v>779</v>
      </c>
      <c r="O713" s="152" t="s">
        <v>784</v>
      </c>
    </row>
    <row r="714" spans="1:15" ht="15" customHeight="1">
      <c r="A714" s="70"/>
      <c r="B714" s="97" t="s">
        <v>486</v>
      </c>
      <c r="C714" s="77"/>
      <c r="D714" s="101" t="s">
        <v>203</v>
      </c>
      <c r="E714" s="79"/>
      <c r="F714" s="192">
        <v>10</v>
      </c>
      <c r="G714" s="193"/>
      <c r="H714" s="132">
        <v>197.41</v>
      </c>
      <c r="I714" s="78">
        <f t="shared" si="16"/>
        <v>1974.1</v>
      </c>
      <c r="J714" s="119" t="s">
        <v>992</v>
      </c>
      <c r="K714" s="130" t="s">
        <v>229</v>
      </c>
      <c r="L714" s="131"/>
      <c r="M714" s="149" t="s">
        <v>586</v>
      </c>
      <c r="N714" s="135" t="s">
        <v>615</v>
      </c>
      <c r="O714" s="152" t="s">
        <v>789</v>
      </c>
    </row>
    <row r="715" spans="1:15" ht="15" customHeight="1">
      <c r="A715" s="70"/>
      <c r="B715" s="97" t="s">
        <v>486</v>
      </c>
      <c r="C715" s="77"/>
      <c r="D715" s="101" t="s">
        <v>557</v>
      </c>
      <c r="E715" s="79"/>
      <c r="F715" s="192">
        <v>4</v>
      </c>
      <c r="G715" s="193"/>
      <c r="H715" s="132">
        <v>198.97</v>
      </c>
      <c r="I715" s="78">
        <f t="shared" si="16"/>
        <v>795.88</v>
      </c>
      <c r="J715" s="119" t="s">
        <v>992</v>
      </c>
      <c r="K715" s="130" t="s">
        <v>229</v>
      </c>
      <c r="L715" s="131"/>
      <c r="M715" s="149" t="s">
        <v>313</v>
      </c>
      <c r="N715" s="135" t="s">
        <v>785</v>
      </c>
      <c r="O715" s="152" t="s">
        <v>975</v>
      </c>
    </row>
    <row r="716" spans="1:15" ht="15" customHeight="1">
      <c r="A716" s="70"/>
      <c r="B716" s="97" t="s">
        <v>486</v>
      </c>
      <c r="C716" s="98"/>
      <c r="D716" s="101" t="s">
        <v>202</v>
      </c>
      <c r="E716" s="79"/>
      <c r="F716" s="192">
        <v>6</v>
      </c>
      <c r="G716" s="193"/>
      <c r="H716" s="132">
        <v>113.92</v>
      </c>
      <c r="I716" s="78">
        <f t="shared" si="16"/>
        <v>683.52</v>
      </c>
      <c r="J716" s="119" t="s">
        <v>992</v>
      </c>
      <c r="K716" s="130" t="s">
        <v>229</v>
      </c>
      <c r="L716" s="131"/>
      <c r="M716" s="149" t="s">
        <v>313</v>
      </c>
      <c r="N716" s="135" t="s">
        <v>785</v>
      </c>
      <c r="O716" s="152" t="s">
        <v>788</v>
      </c>
    </row>
    <row r="717" spans="1:15" ht="15" customHeight="1">
      <c r="A717" s="70"/>
      <c r="B717" s="97" t="s">
        <v>486</v>
      </c>
      <c r="C717" s="77"/>
      <c r="D717" s="101" t="s">
        <v>205</v>
      </c>
      <c r="E717" s="79"/>
      <c r="F717" s="192">
        <v>2</v>
      </c>
      <c r="G717" s="193"/>
      <c r="H717" s="132">
        <v>3.51</v>
      </c>
      <c r="I717" s="78">
        <f t="shared" si="16"/>
        <v>7.02</v>
      </c>
      <c r="J717" s="119" t="s">
        <v>992</v>
      </c>
      <c r="K717" s="130" t="s">
        <v>229</v>
      </c>
      <c r="L717" s="131"/>
      <c r="M717" s="149" t="s">
        <v>249</v>
      </c>
      <c r="N717" s="135" t="s">
        <v>630</v>
      </c>
      <c r="O717" s="152" t="s">
        <v>791</v>
      </c>
    </row>
    <row r="718" spans="1:15" ht="15" customHeight="1">
      <c r="A718" s="70"/>
      <c r="B718" s="97" t="s">
        <v>486</v>
      </c>
      <c r="C718" s="77"/>
      <c r="D718" s="101" t="s">
        <v>201</v>
      </c>
      <c r="E718" s="79"/>
      <c r="F718" s="192">
        <v>4</v>
      </c>
      <c r="G718" s="193"/>
      <c r="H718" s="132">
        <v>202.87</v>
      </c>
      <c r="I718" s="78">
        <f t="shared" si="16"/>
        <v>811.48</v>
      </c>
      <c r="J718" s="119" t="s">
        <v>992</v>
      </c>
      <c r="K718" s="130" t="s">
        <v>229</v>
      </c>
      <c r="L718" s="131"/>
      <c r="M718" s="149" t="s">
        <v>586</v>
      </c>
      <c r="N718" s="135" t="s">
        <v>615</v>
      </c>
      <c r="O718" s="152" t="s">
        <v>787</v>
      </c>
    </row>
    <row r="719" spans="1:15" ht="15" customHeight="1">
      <c r="A719" s="70"/>
      <c r="B719" s="97" t="s">
        <v>486</v>
      </c>
      <c r="C719" s="98"/>
      <c r="D719" s="101" t="s">
        <v>200</v>
      </c>
      <c r="E719" s="79"/>
      <c r="F719" s="192">
        <v>4</v>
      </c>
      <c r="G719" s="193"/>
      <c r="H719" s="132">
        <v>201.31</v>
      </c>
      <c r="I719" s="78">
        <f t="shared" si="16"/>
        <v>805.24</v>
      </c>
      <c r="J719" s="119" t="s">
        <v>992</v>
      </c>
      <c r="K719" s="130" t="s">
        <v>229</v>
      </c>
      <c r="L719" s="131"/>
      <c r="M719" s="149" t="s">
        <v>313</v>
      </c>
      <c r="N719" s="135" t="s">
        <v>785</v>
      </c>
      <c r="O719" s="152" t="s">
        <v>786</v>
      </c>
    </row>
    <row r="720" spans="1:15" ht="15" customHeight="1">
      <c r="A720" s="70"/>
      <c r="B720" s="97" t="s">
        <v>486</v>
      </c>
      <c r="C720" s="77"/>
      <c r="D720" s="101" t="s">
        <v>558</v>
      </c>
      <c r="E720" s="79"/>
      <c r="F720" s="192">
        <v>6</v>
      </c>
      <c r="G720" s="193"/>
      <c r="H720" s="132">
        <v>37.840000000000003</v>
      </c>
      <c r="I720" s="78">
        <f t="shared" si="16"/>
        <v>227.04000000000002</v>
      </c>
      <c r="J720" s="119" t="s">
        <v>992</v>
      </c>
      <c r="K720" s="130" t="s">
        <v>226</v>
      </c>
      <c r="L720" s="131"/>
      <c r="M720" s="149" t="s">
        <v>478</v>
      </c>
      <c r="N720" s="135" t="s">
        <v>795</v>
      </c>
      <c r="O720" s="152" t="s">
        <v>976</v>
      </c>
    </row>
    <row r="721" spans="1:15" ht="15" customHeight="1">
      <c r="A721" s="70"/>
      <c r="B721" s="97" t="s">
        <v>486</v>
      </c>
      <c r="C721" s="77"/>
      <c r="D721" s="101" t="s">
        <v>559</v>
      </c>
      <c r="E721" s="79"/>
      <c r="F721" s="192">
        <v>6</v>
      </c>
      <c r="G721" s="193"/>
      <c r="H721" s="132">
        <v>30.82</v>
      </c>
      <c r="I721" s="78">
        <f t="shared" si="16"/>
        <v>184.92000000000002</v>
      </c>
      <c r="J721" s="119" t="s">
        <v>992</v>
      </c>
      <c r="K721" s="130" t="s">
        <v>226</v>
      </c>
      <c r="L721" s="131"/>
      <c r="M721" s="149" t="s">
        <v>316</v>
      </c>
      <c r="N721" s="135" t="s">
        <v>753</v>
      </c>
      <c r="O721" s="152" t="s">
        <v>977</v>
      </c>
    </row>
    <row r="722" spans="1:15" ht="15" customHeight="1">
      <c r="A722" s="70"/>
      <c r="B722" s="97" t="s">
        <v>486</v>
      </c>
      <c r="C722" s="98"/>
      <c r="D722" s="101" t="s">
        <v>560</v>
      </c>
      <c r="E722" s="79"/>
      <c r="F722" s="192">
        <v>12</v>
      </c>
      <c r="G722" s="193"/>
      <c r="H722" s="132">
        <v>11.7</v>
      </c>
      <c r="I722" s="78">
        <f t="shared" si="16"/>
        <v>140.39999999999998</v>
      </c>
      <c r="J722" s="119" t="s">
        <v>992</v>
      </c>
      <c r="K722" s="130" t="s">
        <v>226</v>
      </c>
      <c r="L722" s="131"/>
      <c r="M722" s="149" t="s">
        <v>292</v>
      </c>
      <c r="N722" s="135" t="s">
        <v>632</v>
      </c>
      <c r="O722" s="152" t="s">
        <v>978</v>
      </c>
    </row>
    <row r="723" spans="1:15" ht="15" customHeight="1">
      <c r="A723" s="70"/>
      <c r="B723" s="97" t="s">
        <v>486</v>
      </c>
      <c r="C723" s="77"/>
      <c r="D723" s="101" t="s">
        <v>210</v>
      </c>
      <c r="E723" s="79"/>
      <c r="F723" s="192">
        <v>2</v>
      </c>
      <c r="G723" s="193"/>
      <c r="H723" s="132">
        <v>702.25</v>
      </c>
      <c r="I723" s="78">
        <f t="shared" si="16"/>
        <v>1404.5</v>
      </c>
      <c r="J723" s="119" t="s">
        <v>992</v>
      </c>
      <c r="K723" s="130" t="s">
        <v>226</v>
      </c>
      <c r="L723" s="131"/>
      <c r="M723" s="149" t="s">
        <v>317</v>
      </c>
      <c r="N723" s="135" t="s">
        <v>615</v>
      </c>
      <c r="O723" s="152" t="s">
        <v>798</v>
      </c>
    </row>
    <row r="724" spans="1:15" ht="15" customHeight="1">
      <c r="A724" s="70"/>
      <c r="B724" s="97" t="s">
        <v>486</v>
      </c>
      <c r="C724" s="77"/>
      <c r="D724" s="101" t="s">
        <v>561</v>
      </c>
      <c r="E724" s="79"/>
      <c r="F724" s="192">
        <v>8</v>
      </c>
      <c r="G724" s="193"/>
      <c r="H724" s="132">
        <v>11.57</v>
      </c>
      <c r="I724" s="78">
        <f t="shared" si="16"/>
        <v>92.56</v>
      </c>
      <c r="J724" s="119" t="s">
        <v>992</v>
      </c>
      <c r="K724" s="130" t="s">
        <v>226</v>
      </c>
      <c r="L724" s="131"/>
      <c r="M724" s="149" t="s">
        <v>324</v>
      </c>
      <c r="N724" s="135" t="s">
        <v>607</v>
      </c>
      <c r="O724" s="152" t="s">
        <v>911</v>
      </c>
    </row>
    <row r="725" spans="1:15" ht="15" customHeight="1">
      <c r="A725" s="70"/>
      <c r="B725" s="97" t="s">
        <v>486</v>
      </c>
      <c r="C725" s="98"/>
      <c r="D725" s="101" t="s">
        <v>363</v>
      </c>
      <c r="E725" s="79"/>
      <c r="F725" s="192">
        <v>2</v>
      </c>
      <c r="G725" s="193"/>
      <c r="H725" s="132">
        <v>1.49</v>
      </c>
      <c r="I725" s="78">
        <f t="shared" si="16"/>
        <v>2.98</v>
      </c>
      <c r="J725" s="119" t="s">
        <v>992</v>
      </c>
      <c r="K725" s="130" t="s">
        <v>227</v>
      </c>
      <c r="L725" s="131"/>
      <c r="M725" s="149" t="s">
        <v>587</v>
      </c>
      <c r="N725" s="135" t="s">
        <v>848</v>
      </c>
      <c r="O725" s="152" t="s">
        <v>849</v>
      </c>
    </row>
    <row r="726" spans="1:15" ht="15" customHeight="1">
      <c r="A726" s="70"/>
      <c r="B726" s="97" t="s">
        <v>486</v>
      </c>
      <c r="C726" s="98"/>
      <c r="D726" s="101" t="s">
        <v>364</v>
      </c>
      <c r="E726" s="79"/>
      <c r="F726" s="192">
        <v>4</v>
      </c>
      <c r="G726" s="193"/>
      <c r="H726" s="132">
        <v>3.29</v>
      </c>
      <c r="I726" s="78">
        <f t="shared" si="16"/>
        <v>13.16</v>
      </c>
      <c r="J726" s="119" t="s">
        <v>992</v>
      </c>
      <c r="K726" s="130" t="s">
        <v>227</v>
      </c>
      <c r="L726" s="131"/>
      <c r="M726" s="149" t="s">
        <v>588</v>
      </c>
      <c r="N726" s="135" t="s">
        <v>638</v>
      </c>
      <c r="O726" s="152" t="s">
        <v>850</v>
      </c>
    </row>
    <row r="727" spans="1:15" ht="15" customHeight="1">
      <c r="A727" s="70"/>
      <c r="B727" s="97" t="s">
        <v>486</v>
      </c>
      <c r="C727" s="77"/>
      <c r="D727" s="101" t="s">
        <v>562</v>
      </c>
      <c r="E727" s="79"/>
      <c r="F727" s="192">
        <v>4</v>
      </c>
      <c r="G727" s="193"/>
      <c r="H727" s="132">
        <v>3.77</v>
      </c>
      <c r="I727" s="78">
        <f t="shared" si="16"/>
        <v>15.08</v>
      </c>
      <c r="J727" s="119" t="s">
        <v>992</v>
      </c>
      <c r="K727" s="130" t="s">
        <v>227</v>
      </c>
      <c r="L727" s="131"/>
      <c r="M727" s="149" t="s">
        <v>589</v>
      </c>
      <c r="N727" s="135" t="s">
        <v>638</v>
      </c>
      <c r="O727" s="152" t="s">
        <v>979</v>
      </c>
    </row>
    <row r="728" spans="1:15" ht="15" customHeight="1">
      <c r="A728" s="70"/>
      <c r="B728" s="97" t="s">
        <v>486</v>
      </c>
      <c r="C728" s="77"/>
      <c r="D728" s="101" t="s">
        <v>563</v>
      </c>
      <c r="E728" s="79"/>
      <c r="F728" s="192">
        <v>1</v>
      </c>
      <c r="G728" s="193"/>
      <c r="H728" s="132">
        <v>7.96</v>
      </c>
      <c r="I728" s="78">
        <f t="shared" si="16"/>
        <v>7.96</v>
      </c>
      <c r="J728" s="119" t="s">
        <v>992</v>
      </c>
      <c r="K728" s="130" t="s">
        <v>227</v>
      </c>
      <c r="L728" s="131"/>
      <c r="M728" s="149" t="s">
        <v>590</v>
      </c>
      <c r="N728" s="135" t="s">
        <v>767</v>
      </c>
      <c r="O728" s="152" t="s">
        <v>980</v>
      </c>
    </row>
    <row r="729" spans="1:15" ht="15" customHeight="1">
      <c r="A729" s="70"/>
      <c r="B729" s="97" t="s">
        <v>486</v>
      </c>
      <c r="C729" s="98"/>
      <c r="D729" s="101" t="s">
        <v>564</v>
      </c>
      <c r="E729" s="79"/>
      <c r="F729" s="192">
        <v>4</v>
      </c>
      <c r="G729" s="193"/>
      <c r="H729" s="132">
        <v>16.54</v>
      </c>
      <c r="I729" s="78">
        <f t="shared" si="16"/>
        <v>66.16</v>
      </c>
      <c r="J729" s="119" t="s">
        <v>992</v>
      </c>
      <c r="K729" s="130" t="s">
        <v>227</v>
      </c>
      <c r="L729" s="131"/>
      <c r="M729" s="149" t="s">
        <v>590</v>
      </c>
      <c r="N729" s="135" t="s">
        <v>767</v>
      </c>
      <c r="O729" s="152" t="s">
        <v>981</v>
      </c>
    </row>
    <row r="730" spans="1:15" ht="15" customHeight="1">
      <c r="A730" s="70"/>
      <c r="B730" s="97" t="s">
        <v>486</v>
      </c>
      <c r="C730" s="77"/>
      <c r="D730" s="101" t="s">
        <v>452</v>
      </c>
      <c r="E730" s="79"/>
      <c r="F730" s="192">
        <v>4</v>
      </c>
      <c r="G730" s="193"/>
      <c r="H730" s="132">
        <v>4.9000000000000004</v>
      </c>
      <c r="I730" s="78">
        <f t="shared" ref="I730:I732" si="17">F730*H730</f>
        <v>19.600000000000001</v>
      </c>
      <c r="J730" s="119" t="s">
        <v>992</v>
      </c>
      <c r="K730" s="130" t="s">
        <v>227</v>
      </c>
      <c r="L730" s="131"/>
      <c r="M730" s="149" t="s">
        <v>401</v>
      </c>
      <c r="N730" s="135" t="s">
        <v>638</v>
      </c>
      <c r="O730" s="152" t="s">
        <v>916</v>
      </c>
    </row>
    <row r="731" spans="1:15" ht="15" customHeight="1">
      <c r="A731" s="70"/>
      <c r="B731" s="97" t="s">
        <v>486</v>
      </c>
      <c r="C731" s="98"/>
      <c r="D731" s="101" t="s">
        <v>219</v>
      </c>
      <c r="E731" s="79"/>
      <c r="F731" s="192">
        <v>6</v>
      </c>
      <c r="G731" s="193"/>
      <c r="H731" s="132">
        <v>9.3000000000000007</v>
      </c>
      <c r="I731" s="78">
        <f t="shared" si="17"/>
        <v>55.800000000000004</v>
      </c>
      <c r="J731" s="119" t="s">
        <v>993</v>
      </c>
      <c r="K731" s="130" t="s">
        <v>227</v>
      </c>
      <c r="L731" s="131"/>
      <c r="M731" s="149" t="s">
        <v>322</v>
      </c>
      <c r="N731" s="135" t="s">
        <v>753</v>
      </c>
      <c r="O731" s="152" t="s">
        <v>808</v>
      </c>
    </row>
    <row r="732" spans="1:15" s="180" customFormat="1" ht="15" customHeight="1" thickBot="1">
      <c r="A732" s="168"/>
      <c r="B732" s="82" t="s">
        <v>486</v>
      </c>
      <c r="C732" s="169"/>
      <c r="D732" s="170" t="s">
        <v>565</v>
      </c>
      <c r="E732" s="171"/>
      <c r="F732" s="239">
        <v>6</v>
      </c>
      <c r="G732" s="240"/>
      <c r="H732" s="172">
        <v>9.3000000000000007</v>
      </c>
      <c r="I732" s="173">
        <f t="shared" si="17"/>
        <v>55.800000000000004</v>
      </c>
      <c r="J732" s="174" t="s">
        <v>993</v>
      </c>
      <c r="K732" s="175" t="s">
        <v>227</v>
      </c>
      <c r="L732" s="176"/>
      <c r="M732" s="181" t="s">
        <v>322</v>
      </c>
      <c r="N732" s="182" t="s">
        <v>753</v>
      </c>
      <c r="O732" s="183" t="s">
        <v>982</v>
      </c>
    </row>
    <row r="733" spans="1:15" ht="15" customHeight="1" thickTop="1" thickBot="1">
      <c r="A733" s="158"/>
      <c r="B733" s="82"/>
      <c r="C733" s="159"/>
      <c r="D733" s="160"/>
      <c r="E733" s="161"/>
      <c r="F733" s="212"/>
      <c r="G733" s="213"/>
      <c r="H733" s="162"/>
      <c r="I733" s="102"/>
      <c r="J733" s="103"/>
      <c r="K733" s="163"/>
      <c r="L733" s="164"/>
      <c r="M733" s="165"/>
      <c r="N733" s="165"/>
      <c r="O733" s="166"/>
    </row>
    <row r="734" spans="1:15" ht="15" customHeight="1" thickTop="1">
      <c r="A734" s="214" t="s">
        <v>20</v>
      </c>
      <c r="B734" s="215"/>
      <c r="C734" s="215"/>
      <c r="D734" s="215"/>
      <c r="E734" s="215"/>
      <c r="F734" s="218">
        <f>++SUM(F33:G733)</f>
        <v>3163</v>
      </c>
      <c r="G734" s="218"/>
      <c r="H734" s="167"/>
      <c r="I734" s="208">
        <f>SUM(I33:I733)</f>
        <v>79758.999999999985</v>
      </c>
      <c r="J734" s="104"/>
      <c r="M734" s="105"/>
      <c r="N734" s="137"/>
    </row>
    <row r="735" spans="1:15" ht="15" customHeight="1">
      <c r="A735" s="214"/>
      <c r="B735" s="215"/>
      <c r="C735" s="215"/>
      <c r="D735" s="215"/>
      <c r="E735" s="215"/>
      <c r="F735" s="218"/>
      <c r="G735" s="218"/>
      <c r="H735" s="9"/>
      <c r="I735" s="208"/>
      <c r="J735" s="104"/>
      <c r="M735" s="105"/>
      <c r="N735" s="137"/>
    </row>
    <row r="736" spans="1:15" ht="15" customHeight="1" thickBot="1">
      <c r="A736" s="216"/>
      <c r="B736" s="217"/>
      <c r="C736" s="217"/>
      <c r="D736" s="217"/>
      <c r="E736" s="217"/>
      <c r="F736" s="219"/>
      <c r="G736" s="219"/>
      <c r="H736" s="106"/>
      <c r="I736" s="209"/>
      <c r="J736" s="104"/>
    </row>
    <row r="737" spans="1:10" ht="15" customHeight="1">
      <c r="A737" s="50"/>
      <c r="B737" s="51"/>
      <c r="C737" s="51"/>
      <c r="D737" s="51"/>
      <c r="E737" s="51"/>
      <c r="F737" s="51"/>
      <c r="G737" s="51"/>
      <c r="H737" s="51"/>
      <c r="I737" s="52"/>
      <c r="J737" s="91"/>
    </row>
    <row r="738" spans="1:10" ht="15" customHeight="1">
      <c r="A738" s="26"/>
      <c r="B738" s="3"/>
      <c r="C738" s="4"/>
      <c r="D738" s="4"/>
      <c r="E738" s="4"/>
      <c r="F738" s="53"/>
      <c r="G738" s="53"/>
      <c r="H738" s="11"/>
      <c r="I738" s="107"/>
      <c r="J738" s="108"/>
    </row>
    <row r="739" spans="1:10" ht="15" customHeight="1">
      <c r="A739" s="26"/>
      <c r="B739" s="3"/>
      <c r="C739" s="4"/>
      <c r="D739" s="4"/>
      <c r="E739" s="4"/>
      <c r="F739" s="53"/>
      <c r="G739" s="53"/>
      <c r="H739" s="11"/>
      <c r="I739" s="107"/>
      <c r="J739" s="108"/>
    </row>
    <row r="740" spans="1:10" ht="13.5" customHeight="1">
      <c r="A740" s="26"/>
      <c r="B740" s="210"/>
      <c r="C740" s="210"/>
      <c r="D740" s="210"/>
      <c r="E740" s="210"/>
      <c r="F740" s="211"/>
      <c r="G740" s="211"/>
      <c r="H740" s="11"/>
      <c r="I740" s="23"/>
      <c r="J740" s="91"/>
    </row>
    <row r="741" spans="1:10" ht="13.5" customHeight="1">
      <c r="A741" s="24"/>
      <c r="B741" s="210"/>
      <c r="C741" s="210"/>
      <c r="D741" s="210"/>
      <c r="E741" s="210"/>
      <c r="F741" s="211"/>
      <c r="G741" s="211"/>
      <c r="H741" s="11"/>
      <c r="I741" s="109"/>
      <c r="J741" s="110"/>
    </row>
    <row r="742" spans="1:10" ht="13.5" customHeight="1">
      <c r="A742" s="24"/>
      <c r="B742" s="210"/>
      <c r="C742" s="210"/>
      <c r="D742" s="210"/>
      <c r="E742" s="210"/>
      <c r="F742" s="211"/>
      <c r="G742" s="211"/>
      <c r="H742" s="9"/>
      <c r="I742" s="109"/>
      <c r="J742" s="110"/>
    </row>
    <row r="743" spans="1:10" ht="13.5" customHeight="1">
      <c r="A743" s="24"/>
      <c r="B743" s="68"/>
      <c r="C743" s="68"/>
      <c r="D743" s="68"/>
      <c r="E743" s="68"/>
      <c r="F743" s="10"/>
      <c r="G743" s="10"/>
      <c r="H743" s="9"/>
      <c r="I743" s="109"/>
      <c r="J743" s="110"/>
    </row>
    <row r="744" spans="1:10" ht="13.5" customHeight="1">
      <c r="A744" s="24"/>
      <c r="B744" s="68"/>
      <c r="C744" s="68"/>
      <c r="D744" s="68"/>
      <c r="E744" s="68"/>
      <c r="F744" s="10"/>
      <c r="G744" s="10"/>
      <c r="H744" s="9"/>
      <c r="I744" s="109"/>
      <c r="J744" s="110"/>
    </row>
    <row r="745" spans="1:10" ht="13.5" customHeight="1">
      <c r="A745" s="24"/>
      <c r="B745" s="68"/>
      <c r="C745" s="68"/>
      <c r="D745" s="68"/>
      <c r="E745" s="68"/>
      <c r="F745" s="10"/>
      <c r="G745" s="10"/>
      <c r="H745" s="9"/>
      <c r="I745" s="109"/>
      <c r="J745" s="110"/>
    </row>
    <row r="746" spans="1:10" ht="13.5" customHeight="1">
      <c r="A746" s="24"/>
      <c r="B746" s="2"/>
      <c r="C746" s="2"/>
      <c r="D746" s="2"/>
      <c r="E746" s="2"/>
      <c r="F746" s="2"/>
      <c r="G746" s="2"/>
      <c r="H746" s="8" t="s">
        <v>2</v>
      </c>
      <c r="I746" s="111"/>
      <c r="J746" s="112"/>
    </row>
    <row r="747" spans="1:10" ht="13.5" customHeight="1">
      <c r="A747" s="26" t="s">
        <v>0</v>
      </c>
      <c r="B747" s="3"/>
      <c r="C747" s="3" t="s">
        <v>0</v>
      </c>
      <c r="D747" s="3"/>
      <c r="E747" s="3"/>
      <c r="F747" s="3"/>
      <c r="G747" s="3"/>
      <c r="H747" s="9"/>
      <c r="I747" s="111"/>
      <c r="J747" s="112"/>
    </row>
    <row r="748" spans="1:10" ht="13.5" customHeight="1">
      <c r="A748" s="24"/>
      <c r="B748" s="5" t="s">
        <v>0</v>
      </c>
      <c r="C748" s="3" t="s">
        <v>0</v>
      </c>
      <c r="D748" s="3"/>
      <c r="E748" s="3"/>
      <c r="F748" s="3"/>
      <c r="G748" s="3"/>
      <c r="H748" s="9"/>
      <c r="I748" s="111"/>
      <c r="J748" s="112"/>
    </row>
    <row r="749" spans="1:10" ht="13.5" customHeight="1">
      <c r="A749" s="26" t="s">
        <v>0</v>
      </c>
      <c r="B749" s="3"/>
      <c r="C749" s="3" t="s">
        <v>0</v>
      </c>
      <c r="D749" s="3"/>
      <c r="E749" s="5"/>
      <c r="F749" s="3"/>
      <c r="G749" s="3"/>
      <c r="H749" s="9" t="s">
        <v>0</v>
      </c>
      <c r="I749" s="111"/>
      <c r="J749" s="112"/>
    </row>
    <row r="750" spans="1:10" ht="13.5" customHeight="1">
      <c r="A750" s="26" t="s">
        <v>0</v>
      </c>
      <c r="B750" s="3"/>
      <c r="C750" s="3" t="s">
        <v>0</v>
      </c>
      <c r="D750" s="3"/>
      <c r="E750" s="3"/>
      <c r="F750" s="3"/>
      <c r="G750" s="3"/>
      <c r="H750" s="9" t="s">
        <v>0</v>
      </c>
      <c r="I750" s="111"/>
      <c r="J750" s="112"/>
    </row>
    <row r="751" spans="1:10" ht="13.5" customHeight="1">
      <c r="A751" s="26" t="s">
        <v>0</v>
      </c>
      <c r="B751" s="3"/>
      <c r="C751" s="3" t="s">
        <v>0</v>
      </c>
      <c r="D751" s="3"/>
      <c r="E751" s="3"/>
      <c r="F751" s="3"/>
      <c r="G751" s="3"/>
      <c r="H751" s="9"/>
      <c r="I751" s="111"/>
      <c r="J751" s="112"/>
    </row>
    <row r="752" spans="1:10" ht="13.5" customHeight="1">
      <c r="A752" s="26" t="s">
        <v>0</v>
      </c>
      <c r="B752" s="3"/>
      <c r="C752" s="3" t="s">
        <v>0</v>
      </c>
      <c r="D752" s="3"/>
      <c r="E752" s="3"/>
      <c r="F752" s="3"/>
      <c r="I752" s="111"/>
      <c r="J752" s="112"/>
    </row>
    <row r="753" spans="1:10" ht="13.5" customHeight="1">
      <c r="A753" s="24" t="s">
        <v>0</v>
      </c>
      <c r="B753" s="5" t="s">
        <v>0</v>
      </c>
      <c r="C753" s="3" t="s">
        <v>0</v>
      </c>
      <c r="D753" s="3"/>
      <c r="E753" s="3"/>
      <c r="F753" s="3"/>
      <c r="G753"/>
      <c r="H753" t="s">
        <v>21</v>
      </c>
      <c r="I753" s="113"/>
      <c r="J753" s="114"/>
    </row>
    <row r="754" spans="1:10" ht="13.5" customHeight="1">
      <c r="A754" s="24" t="s">
        <v>0</v>
      </c>
      <c r="B754" s="5" t="s">
        <v>0</v>
      </c>
      <c r="C754" s="3"/>
      <c r="D754" s="13"/>
      <c r="E754" s="13"/>
      <c r="F754" s="13"/>
      <c r="G754" s="3"/>
      <c r="H754" s="3"/>
      <c r="I754" s="21"/>
      <c r="J754" s="115"/>
    </row>
    <row r="755" spans="1:10" ht="13.5" customHeight="1">
      <c r="A755" s="24" t="s">
        <v>0</v>
      </c>
      <c r="B755" s="8"/>
      <c r="C755" s="3"/>
      <c r="D755" s="13"/>
      <c r="E755" s="13"/>
      <c r="F755" s="13"/>
      <c r="G755" s="13"/>
      <c r="H755" s="2" t="s">
        <v>0</v>
      </c>
      <c r="I755" s="21"/>
      <c r="J755" s="115"/>
    </row>
    <row r="756" spans="1:10" ht="13.5" customHeight="1" thickBot="1">
      <c r="A756" s="29" t="s">
        <v>0</v>
      </c>
      <c r="B756" s="30"/>
      <c r="C756" s="14"/>
      <c r="D756" s="14"/>
      <c r="E756" s="14"/>
      <c r="F756" s="14"/>
      <c r="G756" s="14"/>
      <c r="H756" s="31"/>
      <c r="I756" s="32"/>
      <c r="J756" s="115"/>
    </row>
    <row r="757" spans="1:10" ht="13.5" customHeight="1">
      <c r="A757" s="7" t="s">
        <v>0</v>
      </c>
      <c r="B757" s="7" t="s">
        <v>0</v>
      </c>
      <c r="C757" s="6"/>
      <c r="F757" s="6"/>
      <c r="G757" s="6"/>
      <c r="H757" s="15"/>
      <c r="I757" s="15"/>
      <c r="J757" s="116"/>
    </row>
    <row r="758" spans="1:10" ht="13.5" customHeight="1">
      <c r="A758" s="235" t="s">
        <v>0</v>
      </c>
      <c r="B758" s="235"/>
      <c r="C758" s="15"/>
      <c r="D758" s="15"/>
      <c r="E758" s="15"/>
      <c r="F758" s="15"/>
      <c r="G758" s="15"/>
      <c r="H758" s="15"/>
      <c r="I758" s="15"/>
      <c r="J758" s="116"/>
    </row>
    <row r="759" spans="1:10" ht="15" customHeight="1">
      <c r="H759" s="16"/>
      <c r="I759" s="16"/>
      <c r="J759" s="117"/>
    </row>
    <row r="760" spans="1:10" ht="13.5" customHeight="1">
      <c r="B760" s="7" t="s">
        <v>0</v>
      </c>
      <c r="C760" s="7"/>
    </row>
    <row r="761" spans="1:10" ht="13.5" customHeight="1">
      <c r="B761" s="235" t="s">
        <v>0</v>
      </c>
      <c r="C761" s="235"/>
    </row>
    <row r="762" spans="1:10" ht="13.5" customHeight="1">
      <c r="B762" s="235" t="s">
        <v>0</v>
      </c>
      <c r="C762" s="235"/>
    </row>
    <row r="763" spans="1:10" ht="13.5" customHeight="1">
      <c r="B763" s="235" t="s">
        <v>0</v>
      </c>
      <c r="C763" s="235"/>
    </row>
    <row r="764" spans="1:10" ht="13.5" customHeight="1">
      <c r="B764" s="7" t="s">
        <v>1</v>
      </c>
      <c r="C764" s="7"/>
    </row>
    <row r="765" spans="1:10" ht="13.5" customHeight="1">
      <c r="B765" s="235" t="s">
        <v>0</v>
      </c>
      <c r="C765" s="235"/>
    </row>
    <row r="766" spans="1:10" ht="13.5" customHeight="1">
      <c r="B766" s="235" t="s">
        <v>0</v>
      </c>
      <c r="C766" s="235"/>
    </row>
    <row r="767" spans="1:10" ht="13.5" customHeight="1">
      <c r="B767" s="235" t="s">
        <v>0</v>
      </c>
      <c r="C767" s="235"/>
    </row>
    <row r="768" spans="1:10" ht="13.5" customHeight="1">
      <c r="B768" s="1" t="s">
        <v>0</v>
      </c>
    </row>
    <row r="769" spans="2:2" ht="13.5" customHeight="1">
      <c r="B769" s="1" t="s">
        <v>0</v>
      </c>
    </row>
    <row r="772" spans="2:2" ht="13.5">
      <c r="B772" s="118"/>
    </row>
    <row r="828" ht="18" customHeight="1"/>
  </sheetData>
  <autoFilter ref="A33:O732" xr:uid="{00000000-0009-0000-0000-000000000000}">
    <filterColumn colId="5" showButton="0"/>
  </autoFilter>
  <mergeCells count="742">
    <mergeCell ref="F729:G729"/>
    <mergeCell ref="F730:G730"/>
    <mergeCell ref="F731:G731"/>
    <mergeCell ref="F707:G707"/>
    <mergeCell ref="F708:G708"/>
    <mergeCell ref="F709:G709"/>
    <mergeCell ref="F710:G710"/>
    <mergeCell ref="F706:G706"/>
    <mergeCell ref="F715:G715"/>
    <mergeCell ref="F716:G716"/>
    <mergeCell ref="F717:G717"/>
    <mergeCell ref="F718:G718"/>
    <mergeCell ref="N31:N32"/>
    <mergeCell ref="O31:O32"/>
    <mergeCell ref="F726:G726"/>
    <mergeCell ref="F727:G727"/>
    <mergeCell ref="F728:G728"/>
    <mergeCell ref="M31:M32"/>
    <mergeCell ref="F719:G719"/>
    <mergeCell ref="F720:G720"/>
    <mergeCell ref="F721:G721"/>
    <mergeCell ref="F722:G722"/>
    <mergeCell ref="F723:G723"/>
    <mergeCell ref="F724:G724"/>
    <mergeCell ref="F725:G725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711:G711"/>
    <mergeCell ref="F712:G712"/>
    <mergeCell ref="F713:G713"/>
    <mergeCell ref="F714:G714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702:G702"/>
    <mergeCell ref="F703:G703"/>
    <mergeCell ref="F704:G704"/>
    <mergeCell ref="F705:G705"/>
    <mergeCell ref="F689:G689"/>
    <mergeCell ref="F690:G690"/>
    <mergeCell ref="F691:G691"/>
    <mergeCell ref="F692:G692"/>
    <mergeCell ref="F693:G693"/>
    <mergeCell ref="F694:G694"/>
    <mergeCell ref="F695:G695"/>
    <mergeCell ref="F684:G684"/>
    <mergeCell ref="F685:G685"/>
    <mergeCell ref="F686:G686"/>
    <mergeCell ref="F687:G687"/>
    <mergeCell ref="F688:G688"/>
    <mergeCell ref="F698:G698"/>
    <mergeCell ref="F699:G699"/>
    <mergeCell ref="F700:G700"/>
    <mergeCell ref="F701:G701"/>
    <mergeCell ref="F640:G640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21:G62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588:G588"/>
    <mergeCell ref="F589:G589"/>
    <mergeCell ref="F641:G641"/>
    <mergeCell ref="F642:G642"/>
    <mergeCell ref="F643:G643"/>
    <mergeCell ref="F644:G644"/>
    <mergeCell ref="F645:G645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57:G657"/>
    <mergeCell ref="F658:G658"/>
    <mergeCell ref="F659:G659"/>
    <mergeCell ref="F696:G696"/>
    <mergeCell ref="F697:G697"/>
    <mergeCell ref="F732:G732"/>
    <mergeCell ref="F538:G538"/>
    <mergeCell ref="F539:G539"/>
    <mergeCell ref="F540:G540"/>
    <mergeCell ref="F541:G541"/>
    <mergeCell ref="F590:G590"/>
    <mergeCell ref="F591:G591"/>
    <mergeCell ref="F592:G592"/>
    <mergeCell ref="F593:G593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94:G594"/>
    <mergeCell ref="F595:G595"/>
    <mergeCell ref="F652:G652"/>
    <mergeCell ref="F653:G653"/>
    <mergeCell ref="F654:G654"/>
    <mergeCell ref="F430:G430"/>
    <mergeCell ref="F562:G562"/>
    <mergeCell ref="F563:G563"/>
    <mergeCell ref="F564:G564"/>
    <mergeCell ref="F655:G655"/>
    <mergeCell ref="F656:G656"/>
    <mergeCell ref="F521:G521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50:G650"/>
    <mergeCell ref="F622:G622"/>
    <mergeCell ref="F646:G646"/>
    <mergeCell ref="F647:G647"/>
    <mergeCell ref="F648:G648"/>
    <mergeCell ref="F649:G649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651:G651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421:G421"/>
    <mergeCell ref="F422:G422"/>
    <mergeCell ref="F542:G542"/>
    <mergeCell ref="F543:G543"/>
    <mergeCell ref="F544:G544"/>
    <mergeCell ref="F545:G545"/>
    <mergeCell ref="F546:G546"/>
    <mergeCell ref="F547:G547"/>
    <mergeCell ref="F548:G548"/>
    <mergeCell ref="F536:G536"/>
    <mergeCell ref="F537:G537"/>
    <mergeCell ref="F423:G423"/>
    <mergeCell ref="F424:G424"/>
    <mergeCell ref="F425:G425"/>
    <mergeCell ref="F426:G426"/>
    <mergeCell ref="F427:G427"/>
    <mergeCell ref="F428:G428"/>
    <mergeCell ref="F429:G429"/>
    <mergeCell ref="F465:G465"/>
    <mergeCell ref="F466:G466"/>
    <mergeCell ref="F437:G437"/>
    <mergeCell ref="F438:G438"/>
    <mergeCell ref="F439:G439"/>
    <mergeCell ref="F440:G440"/>
    <mergeCell ref="F499:G499"/>
    <mergeCell ref="F500:G500"/>
    <mergeCell ref="F501:G501"/>
    <mergeCell ref="F502:G502"/>
    <mergeCell ref="F503:G503"/>
    <mergeCell ref="F467:G467"/>
    <mergeCell ref="F414:G414"/>
    <mergeCell ref="F415:G415"/>
    <mergeCell ref="F416:G416"/>
    <mergeCell ref="F417:G417"/>
    <mergeCell ref="F418:G418"/>
    <mergeCell ref="F433:G433"/>
    <mergeCell ref="F434:G434"/>
    <mergeCell ref="F435:G435"/>
    <mergeCell ref="F436:G436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85:G485"/>
    <mergeCell ref="F486:G486"/>
    <mergeCell ref="F487:G487"/>
    <mergeCell ref="F488:G488"/>
    <mergeCell ref="F489:G489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58:G458"/>
    <mergeCell ref="F459:G459"/>
    <mergeCell ref="F460:G460"/>
    <mergeCell ref="F385:G385"/>
    <mergeCell ref="F386:G386"/>
    <mergeCell ref="F387:G387"/>
    <mergeCell ref="F388:G388"/>
    <mergeCell ref="F480:G480"/>
    <mergeCell ref="F481:G481"/>
    <mergeCell ref="F482:G482"/>
    <mergeCell ref="F483:G483"/>
    <mergeCell ref="F484:G484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461:G461"/>
    <mergeCell ref="F462:G462"/>
    <mergeCell ref="F463:G463"/>
    <mergeCell ref="F464:G464"/>
    <mergeCell ref="F419:G419"/>
    <mergeCell ref="F420:G420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217:G217"/>
    <mergeCell ref="F218:G218"/>
    <mergeCell ref="F219:G219"/>
    <mergeCell ref="F220:G220"/>
    <mergeCell ref="F221:G221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167:G167"/>
    <mergeCell ref="F168:G168"/>
    <mergeCell ref="F169:G169"/>
    <mergeCell ref="F170:G170"/>
    <mergeCell ref="F171:G171"/>
    <mergeCell ref="F172:G172"/>
    <mergeCell ref="F222:G22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204:G204"/>
    <mergeCell ref="F205:G205"/>
    <mergeCell ref="F206:G206"/>
    <mergeCell ref="F207:G207"/>
    <mergeCell ref="F182:G182"/>
    <mergeCell ref="F183:G183"/>
    <mergeCell ref="F184:G184"/>
    <mergeCell ref="F185:G185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L31:L32"/>
    <mergeCell ref="F42:G42"/>
    <mergeCell ref="F43:G43"/>
    <mergeCell ref="F44:G44"/>
    <mergeCell ref="F45:G45"/>
    <mergeCell ref="F46:G46"/>
    <mergeCell ref="F47:G47"/>
    <mergeCell ref="F48:G48"/>
    <mergeCell ref="F49:G49"/>
    <mergeCell ref="K31:K32"/>
    <mergeCell ref="F41:G41"/>
    <mergeCell ref="F76:G76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15:G515"/>
    <mergeCell ref="F516:G516"/>
    <mergeCell ref="F517:G517"/>
    <mergeCell ref="F518:G518"/>
    <mergeCell ref="F519:G519"/>
    <mergeCell ref="F520:G520"/>
    <mergeCell ref="F522:G522"/>
    <mergeCell ref="B767:C767"/>
    <mergeCell ref="A758:B758"/>
    <mergeCell ref="B761:C761"/>
    <mergeCell ref="B762:C762"/>
    <mergeCell ref="B763:C763"/>
    <mergeCell ref="B765:C765"/>
    <mergeCell ref="B766:C766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504:G504"/>
    <mergeCell ref="F505:G505"/>
    <mergeCell ref="F523:G523"/>
    <mergeCell ref="F506:G506"/>
    <mergeCell ref="F507:G507"/>
    <mergeCell ref="I734:I736"/>
    <mergeCell ref="B740:E742"/>
    <mergeCell ref="F740:G740"/>
    <mergeCell ref="F741:G741"/>
    <mergeCell ref="F742:G742"/>
    <mergeCell ref="F733:G733"/>
    <mergeCell ref="A734:E736"/>
    <mergeCell ref="F734:G736"/>
    <mergeCell ref="A1:I1"/>
    <mergeCell ref="A2:E2"/>
    <mergeCell ref="F2:I2"/>
    <mergeCell ref="F7:I7"/>
    <mergeCell ref="A10:E10"/>
    <mergeCell ref="F10:G10"/>
    <mergeCell ref="A25:C27"/>
    <mergeCell ref="D25:E27"/>
    <mergeCell ref="F37:G37"/>
    <mergeCell ref="F13:I13"/>
    <mergeCell ref="A19:E19"/>
    <mergeCell ref="F33:G33"/>
    <mergeCell ref="A28:C28"/>
    <mergeCell ref="D28:E28"/>
    <mergeCell ref="A29:C30"/>
    <mergeCell ref="D29:E30"/>
    <mergeCell ref="A31:C32"/>
    <mergeCell ref="D31:E32"/>
    <mergeCell ref="F34:G34"/>
    <mergeCell ref="F35:G35"/>
    <mergeCell ref="F36:G36"/>
    <mergeCell ref="F431:G431"/>
    <mergeCell ref="F432:G432"/>
    <mergeCell ref="F19:I19"/>
    <mergeCell ref="A24:C24"/>
    <mergeCell ref="D24:E24"/>
    <mergeCell ref="F31:G32"/>
    <mergeCell ref="H31:H32"/>
    <mergeCell ref="I31:I32"/>
    <mergeCell ref="F40:G40"/>
    <mergeCell ref="F38:G38"/>
    <mergeCell ref="F39:G39"/>
    <mergeCell ref="F65:G65"/>
    <mergeCell ref="F66:G66"/>
    <mergeCell ref="F67:G67"/>
    <mergeCell ref="F68:G68"/>
    <mergeCell ref="F69:G69"/>
    <mergeCell ref="F70:G70"/>
    <mergeCell ref="F71:G71"/>
    <mergeCell ref="F60:G60"/>
    <mergeCell ref="F72:G72"/>
    <mergeCell ref="F73:G73"/>
    <mergeCell ref="F74:G74"/>
    <mergeCell ref="F75:G75"/>
    <mergeCell ref="F59:G59"/>
    <mergeCell ref="F556:G556"/>
    <mergeCell ref="F557:G557"/>
    <mergeCell ref="F558:G558"/>
    <mergeCell ref="F559:G559"/>
    <mergeCell ref="F508:G508"/>
    <mergeCell ref="F509:G509"/>
    <mergeCell ref="F510:G510"/>
    <mergeCell ref="F511:G511"/>
    <mergeCell ref="F512:G512"/>
    <mergeCell ref="F513:G513"/>
    <mergeCell ref="F514:G514"/>
    <mergeCell ref="F61:G61"/>
    <mergeCell ref="F62:G62"/>
    <mergeCell ref="F63:G63"/>
    <mergeCell ref="F64:G64"/>
    <mergeCell ref="F533:G533"/>
    <mergeCell ref="F534:G534"/>
    <mergeCell ref="F535:G535"/>
    <mergeCell ref="F524:G524"/>
    <mergeCell ref="F560:G560"/>
    <mergeCell ref="F561:G561"/>
    <mergeCell ref="F549:G549"/>
    <mergeCell ref="F550:G550"/>
    <mergeCell ref="F551:G551"/>
    <mergeCell ref="F552:G552"/>
    <mergeCell ref="F553:G553"/>
    <mergeCell ref="F554:G554"/>
    <mergeCell ref="F555:G555"/>
  </mergeCells>
  <phoneticPr fontId="2" type="noConversion"/>
  <conditionalFormatting sqref="D733">
    <cfRule type="duplicateValues" dxfId="6" priority="39"/>
    <cfRule type="duplicateValues" dxfId="5" priority="40" stopIfTrue="1"/>
  </conditionalFormatting>
  <conditionalFormatting sqref="D829:D1048576 D734:D775 D1:D29 D31:D732">
    <cfRule type="duplicateValues" dxfId="4" priority="75" stopIfTrue="1"/>
  </conditionalFormatting>
  <conditionalFormatting sqref="D829:D1048576 D734:D775 D1:D732">
    <cfRule type="duplicateValues" dxfId="3" priority="80"/>
  </conditionalFormatting>
  <printOptions horizontalCentered="1" verticalCentered="1"/>
  <pageMargins left="0.25" right="0.25" top="0.75" bottom="0.75" header="0.3" footer="0.3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773"/>
  <sheetViews>
    <sheetView showGridLines="0" tabSelected="1" zoomScale="85" zoomScaleNormal="85" workbookViewId="0">
      <selection sqref="A1:J1"/>
    </sheetView>
  </sheetViews>
  <sheetFormatPr defaultColWidth="8.87890625" defaultRowHeight="10.15"/>
  <cols>
    <col min="1" max="1" width="2.3515625" style="1" customWidth="1"/>
    <col min="2" max="2" width="14.76171875" style="1" customWidth="1"/>
    <col min="3" max="3" width="6" style="1" customWidth="1"/>
    <col min="4" max="4" width="31.3515625" style="1" customWidth="1"/>
    <col min="5" max="5" width="18.41015625" style="1" customWidth="1"/>
    <col min="6" max="6" width="2.3515625" style="1" customWidth="1"/>
    <col min="7" max="7" width="10.3515625" style="1" customWidth="1"/>
    <col min="8" max="9" width="11.234375" style="1" customWidth="1"/>
    <col min="10" max="10" width="17.1171875" style="1" customWidth="1"/>
    <col min="11" max="11" width="2.41015625" style="1" customWidth="1"/>
    <col min="12" max="12" width="0" style="1" hidden="1" customWidth="1"/>
    <col min="13" max="13" width="8.87890625" style="1"/>
    <col min="14" max="14" width="18.64453125" style="1" customWidth="1"/>
    <col min="15" max="16384" width="8.87890625" style="1"/>
  </cols>
  <sheetData>
    <row r="1" spans="1:10" ht="51.75" customHeight="1" thickBot="1">
      <c r="A1" s="220" t="s">
        <v>25</v>
      </c>
      <c r="B1" s="221"/>
      <c r="C1" s="221"/>
      <c r="D1" s="221"/>
      <c r="E1" s="221"/>
      <c r="F1" s="221"/>
      <c r="G1" s="221"/>
      <c r="H1" s="221"/>
      <c r="I1" s="221"/>
      <c r="J1" s="258"/>
    </row>
    <row r="2" spans="1:10" ht="15" customHeight="1">
      <c r="A2" s="194" t="s">
        <v>5</v>
      </c>
      <c r="B2" s="195"/>
      <c r="C2" s="195"/>
      <c r="D2" s="195"/>
      <c r="E2" s="196"/>
      <c r="F2" s="194" t="s">
        <v>6</v>
      </c>
      <c r="G2" s="195"/>
      <c r="H2" s="195"/>
      <c r="I2" s="195"/>
      <c r="J2" s="196"/>
    </row>
    <row r="3" spans="1:10" ht="15" customHeight="1">
      <c r="A3" s="26"/>
      <c r="B3" s="3"/>
      <c r="C3" s="3"/>
      <c r="D3" s="3"/>
      <c r="E3" s="3"/>
      <c r="F3" s="26"/>
      <c r="G3" s="3"/>
      <c r="H3" s="3"/>
      <c r="I3" s="3"/>
      <c r="J3" s="23"/>
    </row>
    <row r="4" spans="1:10" ht="15" customHeight="1">
      <c r="A4" s="26"/>
      <c r="B4" s="76" t="s">
        <v>35</v>
      </c>
      <c r="C4" s="76"/>
      <c r="D4" s="76"/>
      <c r="E4" s="76"/>
      <c r="F4" s="26"/>
      <c r="G4" s="3" t="str">
        <f>++INVOICE!G4</f>
        <v>KNK-260402-1</v>
      </c>
      <c r="H4" s="5"/>
      <c r="I4" s="65" t="s">
        <v>26</v>
      </c>
      <c r="J4" s="38">
        <f>++INVOICE!I4</f>
        <v>46114</v>
      </c>
    </row>
    <row r="5" spans="1:10" ht="15" customHeight="1">
      <c r="A5" s="26"/>
      <c r="B5" s="76" t="s">
        <v>36</v>
      </c>
      <c r="C5" s="76"/>
      <c r="D5" s="76"/>
      <c r="E5" s="76"/>
      <c r="F5" s="24"/>
      <c r="G5" s="5"/>
      <c r="H5" s="5"/>
      <c r="I5" s="37"/>
      <c r="J5" s="38"/>
    </row>
    <row r="6" spans="1:10" ht="15" customHeight="1" thickBot="1">
      <c r="A6" s="26"/>
      <c r="B6" s="76" t="s">
        <v>37</v>
      </c>
      <c r="C6" s="76"/>
      <c r="D6" s="76" t="s">
        <v>38</v>
      </c>
      <c r="E6" s="76"/>
      <c r="F6" s="39"/>
      <c r="G6" s="35"/>
      <c r="H6" s="35"/>
      <c r="I6" s="35"/>
      <c r="J6" s="40"/>
    </row>
    <row r="7" spans="1:10" ht="15" customHeight="1">
      <c r="A7" s="26"/>
      <c r="E7" s="16"/>
      <c r="F7" s="194" t="s">
        <v>7</v>
      </c>
      <c r="G7" s="195"/>
      <c r="H7" s="195"/>
      <c r="I7" s="195"/>
      <c r="J7" s="196"/>
    </row>
    <row r="8" spans="1:10" ht="15" customHeight="1">
      <c r="A8" s="26"/>
      <c r="B8" s="16" t="s">
        <v>39</v>
      </c>
      <c r="C8" s="16"/>
      <c r="D8" s="16"/>
      <c r="E8" s="49"/>
      <c r="F8" s="24"/>
      <c r="G8" s="5"/>
      <c r="H8" s="5"/>
      <c r="I8" s="5"/>
      <c r="J8" s="23"/>
    </row>
    <row r="9" spans="1:10" ht="6" customHeight="1" thickBot="1">
      <c r="A9" s="26"/>
      <c r="B9" s="16"/>
      <c r="C9" s="16"/>
      <c r="D9" s="16"/>
      <c r="E9" s="16"/>
      <c r="F9" s="24"/>
      <c r="G9" s="5"/>
      <c r="H9" s="5"/>
      <c r="I9" s="5"/>
      <c r="J9" s="23"/>
    </row>
    <row r="10" spans="1:10" ht="15" customHeight="1">
      <c r="A10" s="194" t="s">
        <v>8</v>
      </c>
      <c r="B10" s="195"/>
      <c r="C10" s="195"/>
      <c r="D10" s="195"/>
      <c r="E10" s="196"/>
      <c r="F10" s="223" t="s">
        <v>3</v>
      </c>
      <c r="G10" s="224"/>
      <c r="H10" s="5"/>
      <c r="I10" s="5"/>
      <c r="J10" s="23"/>
    </row>
    <row r="11" spans="1:10" ht="15" customHeight="1">
      <c r="A11" s="54"/>
      <c r="B11" s="3"/>
      <c r="C11" s="16"/>
      <c r="D11" s="16"/>
      <c r="E11" s="16"/>
      <c r="F11" s="24"/>
      <c r="G11" s="41"/>
      <c r="H11" s="41"/>
      <c r="I11" s="5"/>
      <c r="J11" s="23"/>
    </row>
    <row r="12" spans="1:10" ht="15" customHeight="1" thickBot="1">
      <c r="A12" s="54"/>
      <c r="B12" s="3" t="s">
        <v>23</v>
      </c>
      <c r="F12" s="33"/>
      <c r="G12" s="17"/>
      <c r="H12" s="17"/>
      <c r="I12" s="17"/>
      <c r="J12" s="34"/>
    </row>
    <row r="13" spans="1:10" ht="15" customHeight="1">
      <c r="A13" s="59"/>
      <c r="B13" s="61" t="s">
        <v>42</v>
      </c>
      <c r="C13" s="16"/>
      <c r="D13" s="16"/>
      <c r="E13" s="16"/>
      <c r="F13" s="194" t="s">
        <v>19</v>
      </c>
      <c r="G13" s="195"/>
      <c r="H13" s="195"/>
      <c r="I13" s="195"/>
      <c r="J13" s="196"/>
    </row>
    <row r="14" spans="1:10" ht="15" customHeight="1">
      <c r="A14" s="60"/>
      <c r="B14" s="61" t="s">
        <v>43</v>
      </c>
      <c r="C14" s="43"/>
      <c r="D14" s="43"/>
      <c r="E14" s="43"/>
      <c r="F14" s="44"/>
      <c r="G14" s="5"/>
      <c r="H14" s="5"/>
      <c r="I14" s="5"/>
      <c r="J14" s="23"/>
    </row>
    <row r="15" spans="1:10" ht="15" customHeight="1">
      <c r="A15" s="60"/>
      <c r="B15" s="16"/>
      <c r="C15" s="62"/>
      <c r="D15" s="62"/>
      <c r="E15" s="66"/>
      <c r="F15" s="44"/>
      <c r="G15" s="5"/>
      <c r="H15" s="5"/>
      <c r="I15" s="5"/>
      <c r="J15" s="23"/>
    </row>
    <row r="16" spans="1:10" ht="15" customHeight="1">
      <c r="A16" s="55"/>
      <c r="B16" s="16"/>
      <c r="D16" s="16"/>
      <c r="F16" s="26"/>
      <c r="G16" s="3"/>
      <c r="H16" s="3"/>
      <c r="I16" s="3"/>
      <c r="J16" s="23"/>
    </row>
    <row r="17" spans="1:12" ht="15" customHeight="1">
      <c r="A17" s="26"/>
      <c r="B17" s="16" t="s">
        <v>34</v>
      </c>
      <c r="C17" s="16"/>
      <c r="D17" s="16"/>
      <c r="E17" s="16"/>
      <c r="F17" s="26"/>
      <c r="G17" s="3"/>
      <c r="H17" s="3"/>
      <c r="I17" s="3"/>
      <c r="J17" s="23"/>
    </row>
    <row r="18" spans="1:12" ht="6" customHeight="1" thickBot="1">
      <c r="A18" s="26"/>
      <c r="B18" s="16"/>
      <c r="C18" s="16"/>
      <c r="D18" s="16"/>
      <c r="E18" s="16"/>
      <c r="F18" s="26"/>
      <c r="G18" s="3"/>
      <c r="H18" s="3"/>
      <c r="I18" s="3"/>
      <c r="J18" s="23"/>
    </row>
    <row r="19" spans="1:12" ht="15" customHeight="1">
      <c r="A19" s="194" t="s">
        <v>9</v>
      </c>
      <c r="B19" s="195"/>
      <c r="C19" s="195"/>
      <c r="D19" s="195"/>
      <c r="E19" s="196"/>
      <c r="F19" s="194" t="s">
        <v>10</v>
      </c>
      <c r="G19" s="195"/>
      <c r="H19" s="195"/>
      <c r="I19" s="195"/>
      <c r="J19" s="196"/>
    </row>
    <row r="20" spans="1:12" ht="15" customHeight="1">
      <c r="A20" s="56"/>
      <c r="B20" s="8"/>
      <c r="E20" s="22"/>
      <c r="J20" s="22"/>
    </row>
    <row r="21" spans="1:12" ht="15" customHeight="1">
      <c r="A21" s="54"/>
      <c r="B21" s="3" t="s">
        <v>24</v>
      </c>
      <c r="C21" s="3"/>
      <c r="D21" s="3"/>
      <c r="E21" s="23"/>
      <c r="G21" s="3" t="s">
        <v>41</v>
      </c>
      <c r="H21" s="20"/>
      <c r="I21" s="20"/>
      <c r="J21" s="22"/>
    </row>
    <row r="22" spans="1:12" ht="15" customHeight="1">
      <c r="A22" s="42"/>
      <c r="B22" s="3"/>
      <c r="C22" s="48"/>
      <c r="D22" s="3"/>
      <c r="E22" s="23"/>
      <c r="F22" s="45"/>
      <c r="G22" s="20"/>
      <c r="H22" s="20"/>
      <c r="I22" s="20"/>
      <c r="J22" s="23"/>
    </row>
    <row r="23" spans="1:12" ht="15" customHeight="1">
      <c r="A23" s="57"/>
      <c r="B23" s="3"/>
      <c r="C23" s="48"/>
      <c r="D23" s="3"/>
      <c r="E23" s="23"/>
      <c r="F23" s="45"/>
      <c r="G23" s="20"/>
      <c r="H23" s="20"/>
      <c r="I23" s="20"/>
      <c r="J23" s="23"/>
    </row>
    <row r="24" spans="1:12" ht="15" customHeight="1">
      <c r="A24" s="55"/>
      <c r="C24" s="48"/>
      <c r="D24" s="3"/>
      <c r="E24" s="23"/>
      <c r="F24" s="45"/>
      <c r="G24" s="20"/>
      <c r="J24" s="23"/>
    </row>
    <row r="25" spans="1:12" ht="15" customHeight="1">
      <c r="A25" s="58"/>
      <c r="B25" s="3"/>
      <c r="C25" s="48"/>
      <c r="D25" s="3"/>
      <c r="E25" s="23"/>
      <c r="F25" s="3"/>
      <c r="H25" s="3"/>
      <c r="I25" s="3"/>
      <c r="J25" s="46"/>
      <c r="K25" s="20"/>
    </row>
    <row r="26" spans="1:12" ht="15" customHeight="1">
      <c r="A26" s="26"/>
      <c r="B26" s="16"/>
      <c r="C26" s="3"/>
      <c r="D26" s="3"/>
      <c r="E26" s="23"/>
      <c r="F26" s="3"/>
      <c r="J26" s="47"/>
      <c r="K26" s="19"/>
      <c r="L26" s="7"/>
    </row>
    <row r="27" spans="1:12" ht="6" customHeight="1" thickBot="1">
      <c r="A27" s="26"/>
      <c r="C27" s="3"/>
      <c r="D27" s="3"/>
      <c r="E27" s="23"/>
      <c r="F27" s="3"/>
      <c r="G27" s="20"/>
      <c r="J27" s="47"/>
      <c r="K27" s="19"/>
      <c r="L27" s="7"/>
    </row>
    <row r="28" spans="1:12" ht="15" customHeight="1">
      <c r="A28" s="194" t="s">
        <v>11</v>
      </c>
      <c r="B28" s="195"/>
      <c r="C28" s="196"/>
      <c r="D28" s="200" t="s">
        <v>12</v>
      </c>
      <c r="E28" s="201"/>
      <c r="F28" s="3"/>
      <c r="G28" s="20"/>
      <c r="H28" s="63"/>
      <c r="I28" s="3"/>
      <c r="J28" s="23"/>
    </row>
    <row r="29" spans="1:12" ht="15" customHeight="1">
      <c r="A29" s="223" t="str">
        <f>++INVOICE!A25</f>
        <v>Incheon, Korea</v>
      </c>
      <c r="B29" s="224"/>
      <c r="C29" s="225"/>
      <c r="D29" s="223" t="str">
        <f>++INVOICE!D25</f>
        <v>Hanoi, Vietnam</v>
      </c>
      <c r="E29" s="225"/>
      <c r="F29" s="3"/>
      <c r="G29" s="63"/>
      <c r="H29" s="63"/>
      <c r="I29" s="3"/>
      <c r="J29" s="23"/>
    </row>
    <row r="30" spans="1:12" ht="15" customHeight="1">
      <c r="A30" s="223"/>
      <c r="B30" s="224"/>
      <c r="C30" s="225"/>
      <c r="D30" s="223"/>
      <c r="E30" s="225"/>
      <c r="F30" s="3"/>
      <c r="G30" s="63"/>
      <c r="H30" s="63"/>
      <c r="I30" s="3"/>
      <c r="J30" s="23"/>
      <c r="K30" s="18"/>
      <c r="L30" s="18"/>
    </row>
    <row r="31" spans="1:12" ht="15" customHeight="1" thickBot="1">
      <c r="A31" s="226"/>
      <c r="B31" s="227"/>
      <c r="C31" s="228"/>
      <c r="D31" s="226"/>
      <c r="E31" s="228"/>
      <c r="F31" s="3"/>
      <c r="G31" s="63"/>
      <c r="H31" s="63"/>
      <c r="I31" s="3"/>
      <c r="J31" s="23"/>
    </row>
    <row r="32" spans="1:12" ht="15" customHeight="1">
      <c r="A32" s="194" t="s">
        <v>13</v>
      </c>
      <c r="B32" s="195"/>
      <c r="C32" s="196"/>
      <c r="D32" s="200" t="s">
        <v>14</v>
      </c>
      <c r="E32" s="201"/>
      <c r="F32" s="3"/>
      <c r="H32" s="63"/>
      <c r="I32" s="3"/>
      <c r="J32" s="23"/>
    </row>
    <row r="33" spans="1:16" ht="15" customHeight="1">
      <c r="A33" s="223"/>
      <c r="B33" s="224"/>
      <c r="C33" s="225"/>
      <c r="D33" s="231">
        <f>++INVOICE!D29</f>
        <v>46116</v>
      </c>
      <c r="E33" s="232"/>
      <c r="F33" s="3"/>
      <c r="J33" s="23"/>
      <c r="L33" s="7"/>
      <c r="M33" s="7"/>
      <c r="N33" s="7"/>
      <c r="O33" s="7"/>
      <c r="P33" s="7"/>
    </row>
    <row r="34" spans="1:16" ht="15" customHeight="1" thickBot="1">
      <c r="A34" s="223"/>
      <c r="B34" s="224"/>
      <c r="C34" s="225"/>
      <c r="D34" s="231"/>
      <c r="E34" s="232"/>
      <c r="F34" s="3"/>
      <c r="G34" s="5" t="s">
        <v>0</v>
      </c>
      <c r="H34" s="5"/>
      <c r="I34" s="5"/>
      <c r="J34" s="36"/>
    </row>
    <row r="35" spans="1:16" ht="15" customHeight="1">
      <c r="A35" s="194" t="s">
        <v>15</v>
      </c>
      <c r="B35" s="195"/>
      <c r="C35" s="196"/>
      <c r="D35" s="194" t="s">
        <v>18</v>
      </c>
      <c r="E35" s="196"/>
      <c r="F35" s="194" t="s">
        <v>16</v>
      </c>
      <c r="G35" s="196"/>
      <c r="H35" s="64" t="s">
        <v>27</v>
      </c>
      <c r="I35" s="64" t="s">
        <v>28</v>
      </c>
      <c r="J35" s="247" t="s">
        <v>29</v>
      </c>
      <c r="M35" s="245" t="s">
        <v>45</v>
      </c>
      <c r="N35" s="245" t="s">
        <v>46</v>
      </c>
      <c r="O35" s="245" t="s">
        <v>47</v>
      </c>
    </row>
    <row r="36" spans="1:16" ht="15" customHeight="1" thickBot="1">
      <c r="A36" s="197"/>
      <c r="B36" s="198"/>
      <c r="C36" s="199"/>
      <c r="D36" s="197"/>
      <c r="E36" s="199"/>
      <c r="F36" s="197"/>
      <c r="G36" s="199"/>
      <c r="H36" s="67" t="s">
        <v>30</v>
      </c>
      <c r="I36" s="67" t="s">
        <v>30</v>
      </c>
      <c r="J36" s="248"/>
      <c r="M36" s="246"/>
      <c r="N36" s="246"/>
      <c r="O36" s="246"/>
    </row>
    <row r="37" spans="1:16" ht="15" customHeight="1">
      <c r="A37" s="71"/>
      <c r="B37" s="72"/>
      <c r="C37" s="73"/>
      <c r="D37" s="74"/>
      <c r="E37" s="75"/>
      <c r="F37" s="229"/>
      <c r="G37" s="230"/>
      <c r="H37" s="141"/>
      <c r="I37" s="142"/>
      <c r="J37" s="143"/>
      <c r="M37" s="138">
        <v>1</v>
      </c>
      <c r="N37" s="138" t="s">
        <v>983</v>
      </c>
      <c r="O37" s="138">
        <v>435</v>
      </c>
    </row>
    <row r="38" spans="1:16" ht="15" customHeight="1">
      <c r="A38" s="70"/>
      <c r="B38" s="186" t="s">
        <v>49</v>
      </c>
      <c r="C38" s="77"/>
      <c r="D38" s="101" t="s">
        <v>50</v>
      </c>
      <c r="E38" s="79"/>
      <c r="F38" s="192">
        <v>14</v>
      </c>
      <c r="G38" s="193"/>
      <c r="H38" s="255">
        <f>420+250</f>
        <v>670</v>
      </c>
      <c r="I38" s="252">
        <f>435+260</f>
        <v>695</v>
      </c>
      <c r="J38" s="249">
        <v>2</v>
      </c>
      <c r="M38" s="138">
        <v>2</v>
      </c>
      <c r="N38" s="138" t="s">
        <v>984</v>
      </c>
      <c r="O38" s="138">
        <v>260</v>
      </c>
    </row>
    <row r="39" spans="1:16" ht="15" customHeight="1">
      <c r="A39" s="70"/>
      <c r="B39" s="97" t="s">
        <v>49</v>
      </c>
      <c r="C39" s="77"/>
      <c r="D39" s="101" t="s">
        <v>51</v>
      </c>
      <c r="E39" s="79"/>
      <c r="F39" s="192">
        <v>4</v>
      </c>
      <c r="G39" s="193"/>
      <c r="H39" s="256"/>
      <c r="I39" s="253"/>
      <c r="J39" s="250"/>
      <c r="M39" s="139"/>
      <c r="N39" s="139"/>
      <c r="O39" s="140">
        <f>++SUM(O37:O38)</f>
        <v>695</v>
      </c>
    </row>
    <row r="40" spans="1:16" ht="15" customHeight="1">
      <c r="A40" s="70"/>
      <c r="B40" s="97" t="s">
        <v>49</v>
      </c>
      <c r="C40" s="98"/>
      <c r="D40" s="101" t="s">
        <v>52</v>
      </c>
      <c r="E40" s="79"/>
      <c r="F40" s="192">
        <v>14</v>
      </c>
      <c r="G40" s="193"/>
      <c r="H40" s="256"/>
      <c r="I40" s="253"/>
      <c r="J40" s="250"/>
    </row>
    <row r="41" spans="1:16" ht="15" customHeight="1">
      <c r="A41" s="70"/>
      <c r="B41" s="97" t="s">
        <v>49</v>
      </c>
      <c r="C41" s="77"/>
      <c r="D41" s="101" t="s">
        <v>53</v>
      </c>
      <c r="E41" s="79"/>
      <c r="F41" s="192">
        <v>2</v>
      </c>
      <c r="G41" s="193"/>
      <c r="H41" s="256"/>
      <c r="I41" s="253"/>
      <c r="J41" s="250"/>
    </row>
    <row r="42" spans="1:16" ht="15" customHeight="1">
      <c r="A42" s="70"/>
      <c r="B42" s="97" t="s">
        <v>49</v>
      </c>
      <c r="C42" s="98"/>
      <c r="D42" s="101" t="s">
        <v>54</v>
      </c>
      <c r="E42" s="79"/>
      <c r="F42" s="192">
        <v>2</v>
      </c>
      <c r="G42" s="193"/>
      <c r="H42" s="256"/>
      <c r="I42" s="253"/>
      <c r="J42" s="250"/>
    </row>
    <row r="43" spans="1:16" ht="15" customHeight="1">
      <c r="A43" s="70"/>
      <c r="B43" s="97" t="s">
        <v>49</v>
      </c>
      <c r="C43" s="77"/>
      <c r="D43" s="101" t="s">
        <v>55</v>
      </c>
      <c r="E43" s="79"/>
      <c r="F43" s="192">
        <v>2</v>
      </c>
      <c r="G43" s="193"/>
      <c r="H43" s="256"/>
      <c r="I43" s="253"/>
      <c r="J43" s="250"/>
    </row>
    <row r="44" spans="1:16" ht="15" customHeight="1">
      <c r="A44" s="70"/>
      <c r="B44" s="97" t="s">
        <v>49</v>
      </c>
      <c r="C44" s="98"/>
      <c r="D44" s="101" t="s">
        <v>56</v>
      </c>
      <c r="E44" s="79"/>
      <c r="F44" s="192">
        <v>4</v>
      </c>
      <c r="G44" s="193"/>
      <c r="H44" s="256"/>
      <c r="I44" s="253"/>
      <c r="J44" s="250"/>
    </row>
    <row r="45" spans="1:16" ht="15" customHeight="1">
      <c r="A45" s="70"/>
      <c r="B45" s="97" t="s">
        <v>49</v>
      </c>
      <c r="C45" s="77"/>
      <c r="D45" s="101" t="s">
        <v>57</v>
      </c>
      <c r="E45" s="79"/>
      <c r="F45" s="192">
        <v>4</v>
      </c>
      <c r="G45" s="193"/>
      <c r="H45" s="256"/>
      <c r="I45" s="253"/>
      <c r="J45" s="250"/>
    </row>
    <row r="46" spans="1:16" ht="15" customHeight="1">
      <c r="A46" s="70"/>
      <c r="B46" s="97" t="s">
        <v>49</v>
      </c>
      <c r="C46" s="98"/>
      <c r="D46" s="101" t="s">
        <v>58</v>
      </c>
      <c r="E46" s="79"/>
      <c r="F46" s="192">
        <v>4</v>
      </c>
      <c r="G46" s="193"/>
      <c r="H46" s="256"/>
      <c r="I46" s="253"/>
      <c r="J46" s="250"/>
    </row>
    <row r="47" spans="1:16" ht="15" customHeight="1">
      <c r="A47" s="70"/>
      <c r="B47" s="97" t="s">
        <v>49</v>
      </c>
      <c r="C47" s="77"/>
      <c r="D47" s="101" t="s">
        <v>59</v>
      </c>
      <c r="E47" s="79"/>
      <c r="F47" s="192">
        <v>2</v>
      </c>
      <c r="G47" s="193"/>
      <c r="H47" s="256"/>
      <c r="I47" s="253"/>
      <c r="J47" s="250"/>
    </row>
    <row r="48" spans="1:16" ht="15" customHeight="1">
      <c r="A48" s="70"/>
      <c r="B48" s="97" t="s">
        <v>49</v>
      </c>
      <c r="C48" s="98"/>
      <c r="D48" s="101" t="s">
        <v>60</v>
      </c>
      <c r="E48" s="79"/>
      <c r="F48" s="192">
        <v>2</v>
      </c>
      <c r="G48" s="193"/>
      <c r="H48" s="256"/>
      <c r="I48" s="253"/>
      <c r="J48" s="250"/>
    </row>
    <row r="49" spans="1:10" ht="15" customHeight="1">
      <c r="A49" s="70"/>
      <c r="B49" s="97" t="s">
        <v>49</v>
      </c>
      <c r="C49" s="77"/>
      <c r="D49" s="101" t="s">
        <v>61</v>
      </c>
      <c r="E49" s="79"/>
      <c r="F49" s="192">
        <v>8</v>
      </c>
      <c r="G49" s="193"/>
      <c r="H49" s="256"/>
      <c r="I49" s="253"/>
      <c r="J49" s="250"/>
    </row>
    <row r="50" spans="1:10" ht="15" customHeight="1">
      <c r="A50" s="70"/>
      <c r="B50" s="97" t="s">
        <v>49</v>
      </c>
      <c r="C50" s="98"/>
      <c r="D50" s="101" t="s">
        <v>62</v>
      </c>
      <c r="E50" s="79"/>
      <c r="F50" s="192">
        <v>8</v>
      </c>
      <c r="G50" s="193"/>
      <c r="H50" s="256"/>
      <c r="I50" s="253"/>
      <c r="J50" s="250"/>
    </row>
    <row r="51" spans="1:10" ht="15" customHeight="1">
      <c r="A51" s="70"/>
      <c r="B51" s="97" t="s">
        <v>49</v>
      </c>
      <c r="C51" s="77"/>
      <c r="D51" s="101" t="s">
        <v>63</v>
      </c>
      <c r="E51" s="79"/>
      <c r="F51" s="192">
        <v>2</v>
      </c>
      <c r="G51" s="193"/>
      <c r="H51" s="256"/>
      <c r="I51" s="253"/>
      <c r="J51" s="250"/>
    </row>
    <row r="52" spans="1:10" ht="15" customHeight="1">
      <c r="A52" s="70"/>
      <c r="B52" s="97" t="s">
        <v>49</v>
      </c>
      <c r="C52" s="98"/>
      <c r="D52" s="101" t="s">
        <v>64</v>
      </c>
      <c r="E52" s="79"/>
      <c r="F52" s="192">
        <v>14</v>
      </c>
      <c r="G52" s="193"/>
      <c r="H52" s="256"/>
      <c r="I52" s="253"/>
      <c r="J52" s="250"/>
    </row>
    <row r="53" spans="1:10" ht="15" customHeight="1">
      <c r="A53" s="70"/>
      <c r="B53" s="97" t="s">
        <v>49</v>
      </c>
      <c r="C53" s="77"/>
      <c r="D53" s="101" t="s">
        <v>65</v>
      </c>
      <c r="E53" s="79"/>
      <c r="F53" s="192">
        <v>2</v>
      </c>
      <c r="G53" s="193"/>
      <c r="H53" s="256"/>
      <c r="I53" s="253"/>
      <c r="J53" s="250"/>
    </row>
    <row r="54" spans="1:10" ht="15" customHeight="1">
      <c r="A54" s="70"/>
      <c r="B54" s="97" t="s">
        <v>49</v>
      </c>
      <c r="C54" s="98"/>
      <c r="D54" s="101" t="s">
        <v>66</v>
      </c>
      <c r="E54" s="79"/>
      <c r="F54" s="192">
        <v>2</v>
      </c>
      <c r="G54" s="193"/>
      <c r="H54" s="256"/>
      <c r="I54" s="253"/>
      <c r="J54" s="250"/>
    </row>
    <row r="55" spans="1:10" ht="15" customHeight="1">
      <c r="A55" s="70"/>
      <c r="B55" s="97" t="s">
        <v>49</v>
      </c>
      <c r="C55" s="77"/>
      <c r="D55" s="101" t="s">
        <v>67</v>
      </c>
      <c r="E55" s="79"/>
      <c r="F55" s="192">
        <v>2</v>
      </c>
      <c r="G55" s="193"/>
      <c r="H55" s="256"/>
      <c r="I55" s="253"/>
      <c r="J55" s="250"/>
    </row>
    <row r="56" spans="1:10" ht="15" customHeight="1">
      <c r="A56" s="70"/>
      <c r="B56" s="97" t="s">
        <v>49</v>
      </c>
      <c r="C56" s="98"/>
      <c r="D56" s="101" t="s">
        <v>68</v>
      </c>
      <c r="E56" s="79"/>
      <c r="F56" s="192">
        <v>2</v>
      </c>
      <c r="G56" s="193"/>
      <c r="H56" s="256"/>
      <c r="I56" s="253"/>
      <c r="J56" s="250"/>
    </row>
    <row r="57" spans="1:10" ht="15" customHeight="1">
      <c r="A57" s="70"/>
      <c r="B57" s="97" t="s">
        <v>49</v>
      </c>
      <c r="C57" s="77"/>
      <c r="D57" s="101" t="s">
        <v>69</v>
      </c>
      <c r="E57" s="79"/>
      <c r="F57" s="192">
        <v>8</v>
      </c>
      <c r="G57" s="193"/>
      <c r="H57" s="256"/>
      <c r="I57" s="253"/>
      <c r="J57" s="250"/>
    </row>
    <row r="58" spans="1:10" ht="15" customHeight="1">
      <c r="A58" s="70"/>
      <c r="B58" s="97" t="s">
        <v>49</v>
      </c>
      <c r="C58" s="98"/>
      <c r="D58" s="101" t="s">
        <v>70</v>
      </c>
      <c r="E58" s="79"/>
      <c r="F58" s="192">
        <v>4</v>
      </c>
      <c r="G58" s="193"/>
      <c r="H58" s="256"/>
      <c r="I58" s="253"/>
      <c r="J58" s="250"/>
    </row>
    <row r="59" spans="1:10" ht="15" customHeight="1">
      <c r="A59" s="70"/>
      <c r="B59" s="97" t="s">
        <v>49</v>
      </c>
      <c r="C59" s="77"/>
      <c r="D59" s="101" t="s">
        <v>71</v>
      </c>
      <c r="E59" s="79"/>
      <c r="F59" s="192">
        <v>2</v>
      </c>
      <c r="G59" s="193"/>
      <c r="H59" s="256"/>
      <c r="I59" s="253"/>
      <c r="J59" s="250"/>
    </row>
    <row r="60" spans="1:10" ht="15" customHeight="1">
      <c r="A60" s="70"/>
      <c r="B60" s="97" t="s">
        <v>49</v>
      </c>
      <c r="C60" s="98"/>
      <c r="D60" s="101" t="s">
        <v>72</v>
      </c>
      <c r="E60" s="79"/>
      <c r="F60" s="192">
        <v>2</v>
      </c>
      <c r="G60" s="193"/>
      <c r="H60" s="256"/>
      <c r="I60" s="253"/>
      <c r="J60" s="250"/>
    </row>
    <row r="61" spans="1:10" ht="15" customHeight="1">
      <c r="A61" s="70"/>
      <c r="B61" s="97" t="s">
        <v>49</v>
      </c>
      <c r="C61" s="77"/>
      <c r="D61" s="101" t="s">
        <v>73</v>
      </c>
      <c r="E61" s="79"/>
      <c r="F61" s="192">
        <v>2</v>
      </c>
      <c r="G61" s="193"/>
      <c r="H61" s="256"/>
      <c r="I61" s="253"/>
      <c r="J61" s="250"/>
    </row>
    <row r="62" spans="1:10" ht="15" customHeight="1">
      <c r="A62" s="70"/>
      <c r="B62" s="97" t="s">
        <v>49</v>
      </c>
      <c r="C62" s="98"/>
      <c r="D62" s="101" t="s">
        <v>74</v>
      </c>
      <c r="E62" s="79"/>
      <c r="F62" s="192">
        <v>4</v>
      </c>
      <c r="G62" s="193"/>
      <c r="H62" s="256"/>
      <c r="I62" s="253"/>
      <c r="J62" s="250"/>
    </row>
    <row r="63" spans="1:10" ht="15" customHeight="1">
      <c r="A63" s="70"/>
      <c r="B63" s="97" t="s">
        <v>49</v>
      </c>
      <c r="C63" s="77"/>
      <c r="D63" s="101" t="s">
        <v>75</v>
      </c>
      <c r="E63" s="79"/>
      <c r="F63" s="192">
        <v>4</v>
      </c>
      <c r="G63" s="193"/>
      <c r="H63" s="256"/>
      <c r="I63" s="253"/>
      <c r="J63" s="250"/>
    </row>
    <row r="64" spans="1:10" ht="15" customHeight="1">
      <c r="A64" s="70"/>
      <c r="B64" s="97" t="s">
        <v>49</v>
      </c>
      <c r="C64" s="98"/>
      <c r="D64" s="101" t="s">
        <v>76</v>
      </c>
      <c r="E64" s="79"/>
      <c r="F64" s="192">
        <v>8</v>
      </c>
      <c r="G64" s="193"/>
      <c r="H64" s="256"/>
      <c r="I64" s="253"/>
      <c r="J64" s="250"/>
    </row>
    <row r="65" spans="1:10" ht="15" customHeight="1">
      <c r="A65" s="70"/>
      <c r="B65" s="97" t="s">
        <v>49</v>
      </c>
      <c r="C65" s="77"/>
      <c r="D65" s="101" t="s">
        <v>77</v>
      </c>
      <c r="E65" s="79"/>
      <c r="F65" s="192">
        <v>2</v>
      </c>
      <c r="G65" s="193"/>
      <c r="H65" s="256"/>
      <c r="I65" s="253"/>
      <c r="J65" s="250"/>
    </row>
    <row r="66" spans="1:10" ht="15" customHeight="1">
      <c r="A66" s="70"/>
      <c r="B66" s="97" t="s">
        <v>49</v>
      </c>
      <c r="C66" s="98"/>
      <c r="D66" s="101" t="s">
        <v>78</v>
      </c>
      <c r="E66" s="79"/>
      <c r="F66" s="192">
        <v>2</v>
      </c>
      <c r="G66" s="193"/>
      <c r="H66" s="256"/>
      <c r="I66" s="253"/>
      <c r="J66" s="250"/>
    </row>
    <row r="67" spans="1:10" ht="15" customHeight="1">
      <c r="A67" s="70"/>
      <c r="B67" s="97" t="s">
        <v>49</v>
      </c>
      <c r="C67" s="77"/>
      <c r="D67" s="101" t="s">
        <v>79</v>
      </c>
      <c r="E67" s="79"/>
      <c r="F67" s="192">
        <v>2</v>
      </c>
      <c r="G67" s="193"/>
      <c r="H67" s="256"/>
      <c r="I67" s="253"/>
      <c r="J67" s="250"/>
    </row>
    <row r="68" spans="1:10" ht="15" customHeight="1">
      <c r="A68" s="70"/>
      <c r="B68" s="97" t="s">
        <v>49</v>
      </c>
      <c r="C68" s="98"/>
      <c r="D68" s="101" t="s">
        <v>80</v>
      </c>
      <c r="E68" s="79"/>
      <c r="F68" s="192">
        <v>2</v>
      </c>
      <c r="G68" s="193"/>
      <c r="H68" s="256"/>
      <c r="I68" s="253"/>
      <c r="J68" s="250"/>
    </row>
    <row r="69" spans="1:10" ht="15" customHeight="1">
      <c r="A69" s="70"/>
      <c r="B69" s="97" t="s">
        <v>49</v>
      </c>
      <c r="C69" s="77"/>
      <c r="D69" s="101" t="s">
        <v>81</v>
      </c>
      <c r="E69" s="79"/>
      <c r="F69" s="192">
        <v>2</v>
      </c>
      <c r="G69" s="193"/>
      <c r="H69" s="256"/>
      <c r="I69" s="253"/>
      <c r="J69" s="250"/>
    </row>
    <row r="70" spans="1:10" ht="15" customHeight="1">
      <c r="A70" s="70"/>
      <c r="B70" s="97" t="s">
        <v>49</v>
      </c>
      <c r="C70" s="98"/>
      <c r="D70" s="101" t="s">
        <v>82</v>
      </c>
      <c r="E70" s="79"/>
      <c r="F70" s="192">
        <v>32</v>
      </c>
      <c r="G70" s="193"/>
      <c r="H70" s="256"/>
      <c r="I70" s="253"/>
      <c r="J70" s="250"/>
    </row>
    <row r="71" spans="1:10" ht="15" customHeight="1">
      <c r="A71" s="70"/>
      <c r="B71" s="97" t="s">
        <v>49</v>
      </c>
      <c r="C71" s="77"/>
      <c r="D71" s="101" t="s">
        <v>83</v>
      </c>
      <c r="E71" s="79"/>
      <c r="F71" s="192">
        <v>2</v>
      </c>
      <c r="G71" s="193"/>
      <c r="H71" s="256"/>
      <c r="I71" s="253"/>
      <c r="J71" s="250"/>
    </row>
    <row r="72" spans="1:10" ht="15" customHeight="1">
      <c r="A72" s="70"/>
      <c r="B72" s="97" t="s">
        <v>49</v>
      </c>
      <c r="C72" s="98"/>
      <c r="D72" s="101" t="s">
        <v>84</v>
      </c>
      <c r="E72" s="79"/>
      <c r="F72" s="192">
        <v>2</v>
      </c>
      <c r="G72" s="193"/>
      <c r="H72" s="256"/>
      <c r="I72" s="253"/>
      <c r="J72" s="250"/>
    </row>
    <row r="73" spans="1:10" ht="15" customHeight="1">
      <c r="A73" s="70"/>
      <c r="B73" s="97" t="s">
        <v>49</v>
      </c>
      <c r="C73" s="77"/>
      <c r="D73" s="101" t="s">
        <v>85</v>
      </c>
      <c r="E73" s="79"/>
      <c r="F73" s="192">
        <v>2</v>
      </c>
      <c r="G73" s="193"/>
      <c r="H73" s="256"/>
      <c r="I73" s="253"/>
      <c r="J73" s="250"/>
    </row>
    <row r="74" spans="1:10" ht="15" customHeight="1">
      <c r="A74" s="70"/>
      <c r="B74" s="97" t="s">
        <v>49</v>
      </c>
      <c r="C74" s="98"/>
      <c r="D74" s="101" t="s">
        <v>86</v>
      </c>
      <c r="E74" s="79"/>
      <c r="F74" s="192">
        <v>28</v>
      </c>
      <c r="G74" s="193"/>
      <c r="H74" s="256"/>
      <c r="I74" s="253"/>
      <c r="J74" s="250"/>
    </row>
    <row r="75" spans="1:10" ht="15" customHeight="1">
      <c r="A75" s="70"/>
      <c r="B75" s="97" t="s">
        <v>49</v>
      </c>
      <c r="C75" s="77"/>
      <c r="D75" s="101" t="s">
        <v>87</v>
      </c>
      <c r="E75" s="79"/>
      <c r="F75" s="192">
        <v>2</v>
      </c>
      <c r="G75" s="193"/>
      <c r="H75" s="256"/>
      <c r="I75" s="253"/>
      <c r="J75" s="250"/>
    </row>
    <row r="76" spans="1:10" ht="15" customHeight="1">
      <c r="A76" s="70"/>
      <c r="B76" s="97" t="s">
        <v>49</v>
      </c>
      <c r="C76" s="98"/>
      <c r="D76" s="101" t="s">
        <v>88</v>
      </c>
      <c r="E76" s="79"/>
      <c r="F76" s="192">
        <v>2</v>
      </c>
      <c r="G76" s="193"/>
      <c r="H76" s="256"/>
      <c r="I76" s="253"/>
      <c r="J76" s="250"/>
    </row>
    <row r="77" spans="1:10" ht="15" customHeight="1">
      <c r="A77" s="70"/>
      <c r="B77" s="97" t="s">
        <v>49</v>
      </c>
      <c r="C77" s="77"/>
      <c r="D77" s="101" t="s">
        <v>89</v>
      </c>
      <c r="E77" s="79"/>
      <c r="F77" s="192">
        <v>2</v>
      </c>
      <c r="G77" s="193"/>
      <c r="H77" s="256"/>
      <c r="I77" s="253"/>
      <c r="J77" s="250"/>
    </row>
    <row r="78" spans="1:10" ht="15" customHeight="1">
      <c r="A78" s="70"/>
      <c r="B78" s="97" t="s">
        <v>49</v>
      </c>
      <c r="C78" s="98"/>
      <c r="D78" s="101" t="s">
        <v>90</v>
      </c>
      <c r="E78" s="79"/>
      <c r="F78" s="192">
        <v>4</v>
      </c>
      <c r="G78" s="193"/>
      <c r="H78" s="256"/>
      <c r="I78" s="253"/>
      <c r="J78" s="250"/>
    </row>
    <row r="79" spans="1:10" ht="15" customHeight="1">
      <c r="A79" s="70"/>
      <c r="B79" s="97" t="s">
        <v>49</v>
      </c>
      <c r="C79" s="77"/>
      <c r="D79" s="101" t="s">
        <v>91</v>
      </c>
      <c r="E79" s="79"/>
      <c r="F79" s="192">
        <v>16</v>
      </c>
      <c r="G79" s="193"/>
      <c r="H79" s="256"/>
      <c r="I79" s="253"/>
      <c r="J79" s="250"/>
    </row>
    <row r="80" spans="1:10" ht="15" customHeight="1">
      <c r="A80" s="70"/>
      <c r="B80" s="97" t="s">
        <v>49</v>
      </c>
      <c r="C80" s="98"/>
      <c r="D80" s="101" t="s">
        <v>92</v>
      </c>
      <c r="E80" s="79"/>
      <c r="F80" s="192">
        <v>4</v>
      </c>
      <c r="G80" s="193"/>
      <c r="H80" s="256"/>
      <c r="I80" s="253"/>
      <c r="J80" s="250"/>
    </row>
    <row r="81" spans="1:10" ht="15" customHeight="1">
      <c r="A81" s="70"/>
      <c r="B81" s="97" t="s">
        <v>49</v>
      </c>
      <c r="C81" s="77"/>
      <c r="D81" s="101" t="s">
        <v>93</v>
      </c>
      <c r="E81" s="79"/>
      <c r="F81" s="192">
        <v>10</v>
      </c>
      <c r="G81" s="193"/>
      <c r="H81" s="256"/>
      <c r="I81" s="253"/>
      <c r="J81" s="250"/>
    </row>
    <row r="82" spans="1:10" ht="15" customHeight="1">
      <c r="A82" s="70"/>
      <c r="B82" s="97" t="s">
        <v>49</v>
      </c>
      <c r="C82" s="98"/>
      <c r="D82" s="101" t="s">
        <v>94</v>
      </c>
      <c r="E82" s="79"/>
      <c r="F82" s="192">
        <v>8</v>
      </c>
      <c r="G82" s="193"/>
      <c r="H82" s="256"/>
      <c r="I82" s="253"/>
      <c r="J82" s="250"/>
    </row>
    <row r="83" spans="1:10" ht="15" customHeight="1">
      <c r="A83" s="70"/>
      <c r="B83" s="97" t="s">
        <v>49</v>
      </c>
      <c r="C83" s="77"/>
      <c r="D83" s="101" t="s">
        <v>95</v>
      </c>
      <c r="E83" s="79"/>
      <c r="F83" s="192">
        <v>2</v>
      </c>
      <c r="G83" s="193"/>
      <c r="H83" s="256"/>
      <c r="I83" s="253"/>
      <c r="J83" s="250"/>
    </row>
    <row r="84" spans="1:10" ht="15" customHeight="1">
      <c r="A84" s="70"/>
      <c r="B84" s="97" t="s">
        <v>49</v>
      </c>
      <c r="C84" s="98"/>
      <c r="D84" s="101" t="s">
        <v>96</v>
      </c>
      <c r="E84" s="79"/>
      <c r="F84" s="192">
        <v>32</v>
      </c>
      <c r="G84" s="193"/>
      <c r="H84" s="256"/>
      <c r="I84" s="253"/>
      <c r="J84" s="250"/>
    </row>
    <row r="85" spans="1:10" ht="15" customHeight="1">
      <c r="A85" s="70"/>
      <c r="B85" s="97" t="s">
        <v>49</v>
      </c>
      <c r="C85" s="77"/>
      <c r="D85" s="101" t="s">
        <v>97</v>
      </c>
      <c r="E85" s="79"/>
      <c r="F85" s="192">
        <v>8</v>
      </c>
      <c r="G85" s="193"/>
      <c r="H85" s="256"/>
      <c r="I85" s="253"/>
      <c r="J85" s="250"/>
    </row>
    <row r="86" spans="1:10" ht="15" customHeight="1">
      <c r="A86" s="70"/>
      <c r="B86" s="97" t="s">
        <v>49</v>
      </c>
      <c r="C86" s="98"/>
      <c r="D86" s="101" t="s">
        <v>98</v>
      </c>
      <c r="E86" s="79"/>
      <c r="F86" s="192">
        <v>2</v>
      </c>
      <c r="G86" s="193"/>
      <c r="H86" s="256"/>
      <c r="I86" s="253"/>
      <c r="J86" s="250"/>
    </row>
    <row r="87" spans="1:10" ht="15" customHeight="1">
      <c r="A87" s="70"/>
      <c r="B87" s="97" t="s">
        <v>49</v>
      </c>
      <c r="C87" s="77"/>
      <c r="D87" s="101" t="s">
        <v>99</v>
      </c>
      <c r="E87" s="79"/>
      <c r="F87" s="192">
        <v>2</v>
      </c>
      <c r="G87" s="193"/>
      <c r="H87" s="256"/>
      <c r="I87" s="253"/>
      <c r="J87" s="250"/>
    </row>
    <row r="88" spans="1:10" ht="15" customHeight="1">
      <c r="A88" s="70"/>
      <c r="B88" s="97" t="s">
        <v>49</v>
      </c>
      <c r="C88" s="98"/>
      <c r="D88" s="101" t="s">
        <v>100</v>
      </c>
      <c r="E88" s="79"/>
      <c r="F88" s="192">
        <v>2</v>
      </c>
      <c r="G88" s="193"/>
      <c r="H88" s="256"/>
      <c r="I88" s="253"/>
      <c r="J88" s="250"/>
    </row>
    <row r="89" spans="1:10" ht="15" customHeight="1">
      <c r="A89" s="70"/>
      <c r="B89" s="97" t="s">
        <v>49</v>
      </c>
      <c r="C89" s="77"/>
      <c r="D89" s="101" t="s">
        <v>101</v>
      </c>
      <c r="E89" s="79"/>
      <c r="F89" s="192">
        <v>4</v>
      </c>
      <c r="G89" s="193"/>
      <c r="H89" s="256"/>
      <c r="I89" s="253"/>
      <c r="J89" s="250"/>
    </row>
    <row r="90" spans="1:10" ht="15" customHeight="1">
      <c r="A90" s="70"/>
      <c r="B90" s="97" t="s">
        <v>49</v>
      </c>
      <c r="C90" s="98"/>
      <c r="D90" s="101" t="s">
        <v>102</v>
      </c>
      <c r="E90" s="79"/>
      <c r="F90" s="192">
        <v>2</v>
      </c>
      <c r="G90" s="193"/>
      <c r="H90" s="256"/>
      <c r="I90" s="253"/>
      <c r="J90" s="250"/>
    </row>
    <row r="91" spans="1:10" ht="15" customHeight="1">
      <c r="A91" s="70"/>
      <c r="B91" s="97" t="s">
        <v>49</v>
      </c>
      <c r="C91" s="77"/>
      <c r="D91" s="101" t="s">
        <v>103</v>
      </c>
      <c r="E91" s="79"/>
      <c r="F91" s="192">
        <v>4</v>
      </c>
      <c r="G91" s="193"/>
      <c r="H91" s="256"/>
      <c r="I91" s="253"/>
      <c r="J91" s="250"/>
    </row>
    <row r="92" spans="1:10" ht="15" customHeight="1">
      <c r="A92" s="70"/>
      <c r="B92" s="97" t="s">
        <v>49</v>
      </c>
      <c r="C92" s="98"/>
      <c r="D92" s="101" t="s">
        <v>104</v>
      </c>
      <c r="E92" s="79"/>
      <c r="F92" s="192">
        <v>2</v>
      </c>
      <c r="G92" s="193"/>
      <c r="H92" s="256"/>
      <c r="I92" s="253"/>
      <c r="J92" s="250"/>
    </row>
    <row r="93" spans="1:10" ht="15" customHeight="1">
      <c r="A93" s="70"/>
      <c r="B93" s="97" t="s">
        <v>49</v>
      </c>
      <c r="C93" s="77"/>
      <c r="D93" s="101" t="s">
        <v>105</v>
      </c>
      <c r="E93" s="79"/>
      <c r="F93" s="192">
        <v>8</v>
      </c>
      <c r="G93" s="193"/>
      <c r="H93" s="256"/>
      <c r="I93" s="253"/>
      <c r="J93" s="250"/>
    </row>
    <row r="94" spans="1:10" ht="15" customHeight="1">
      <c r="A94" s="70"/>
      <c r="B94" s="97" t="s">
        <v>49</v>
      </c>
      <c r="C94" s="98"/>
      <c r="D94" s="101" t="s">
        <v>106</v>
      </c>
      <c r="E94" s="79"/>
      <c r="F94" s="192">
        <v>16</v>
      </c>
      <c r="G94" s="193"/>
      <c r="H94" s="256"/>
      <c r="I94" s="253"/>
      <c r="J94" s="250"/>
    </row>
    <row r="95" spans="1:10" ht="15" customHeight="1">
      <c r="A95" s="70"/>
      <c r="B95" s="97" t="s">
        <v>49</v>
      </c>
      <c r="C95" s="77"/>
      <c r="D95" s="101" t="s">
        <v>107</v>
      </c>
      <c r="E95" s="79"/>
      <c r="F95" s="192">
        <v>16</v>
      </c>
      <c r="G95" s="193"/>
      <c r="H95" s="256"/>
      <c r="I95" s="253"/>
      <c r="J95" s="250"/>
    </row>
    <row r="96" spans="1:10" ht="15" customHeight="1">
      <c r="A96" s="70"/>
      <c r="B96" s="97" t="s">
        <v>49</v>
      </c>
      <c r="C96" s="98"/>
      <c r="D96" s="101" t="s">
        <v>108</v>
      </c>
      <c r="E96" s="79"/>
      <c r="F96" s="192">
        <v>2</v>
      </c>
      <c r="G96" s="193"/>
      <c r="H96" s="256"/>
      <c r="I96" s="253"/>
      <c r="J96" s="250"/>
    </row>
    <row r="97" spans="1:10" ht="15" customHeight="1">
      <c r="A97" s="70"/>
      <c r="B97" s="97" t="s">
        <v>49</v>
      </c>
      <c r="C97" s="77"/>
      <c r="D97" s="101" t="s">
        <v>109</v>
      </c>
      <c r="E97" s="79"/>
      <c r="F97" s="192">
        <v>2</v>
      </c>
      <c r="G97" s="193"/>
      <c r="H97" s="256"/>
      <c r="I97" s="253"/>
      <c r="J97" s="250"/>
    </row>
    <row r="98" spans="1:10" ht="15" customHeight="1">
      <c r="A98" s="70"/>
      <c r="B98" s="97" t="s">
        <v>49</v>
      </c>
      <c r="C98" s="98"/>
      <c r="D98" s="101" t="s">
        <v>110</v>
      </c>
      <c r="E98" s="79"/>
      <c r="F98" s="192">
        <v>4</v>
      </c>
      <c r="G98" s="193"/>
      <c r="H98" s="256"/>
      <c r="I98" s="253"/>
      <c r="J98" s="250"/>
    </row>
    <row r="99" spans="1:10" ht="15" customHeight="1">
      <c r="A99" s="70"/>
      <c r="B99" s="97" t="s">
        <v>49</v>
      </c>
      <c r="C99" s="77"/>
      <c r="D99" s="101" t="s">
        <v>111</v>
      </c>
      <c r="E99" s="79"/>
      <c r="F99" s="192">
        <v>6</v>
      </c>
      <c r="G99" s="193"/>
      <c r="H99" s="256"/>
      <c r="I99" s="253"/>
      <c r="J99" s="250"/>
    </row>
    <row r="100" spans="1:10" ht="15" customHeight="1">
      <c r="A100" s="70"/>
      <c r="B100" s="97" t="s">
        <v>49</v>
      </c>
      <c r="C100" s="98"/>
      <c r="D100" s="101" t="s">
        <v>112</v>
      </c>
      <c r="E100" s="79"/>
      <c r="F100" s="192">
        <v>28</v>
      </c>
      <c r="G100" s="193"/>
      <c r="H100" s="256"/>
      <c r="I100" s="253"/>
      <c r="J100" s="250"/>
    </row>
    <row r="101" spans="1:10" ht="15" customHeight="1">
      <c r="A101" s="70"/>
      <c r="B101" s="97" t="s">
        <v>49</v>
      </c>
      <c r="C101" s="77"/>
      <c r="D101" s="101" t="s">
        <v>113</v>
      </c>
      <c r="E101" s="79"/>
      <c r="F101" s="192">
        <v>4</v>
      </c>
      <c r="G101" s="193"/>
      <c r="H101" s="256"/>
      <c r="I101" s="253"/>
      <c r="J101" s="250"/>
    </row>
    <row r="102" spans="1:10" ht="15" customHeight="1">
      <c r="A102" s="70"/>
      <c r="B102" s="97" t="s">
        <v>49</v>
      </c>
      <c r="C102" s="98"/>
      <c r="D102" s="101" t="s">
        <v>114</v>
      </c>
      <c r="E102" s="79"/>
      <c r="F102" s="192">
        <v>4</v>
      </c>
      <c r="G102" s="193"/>
      <c r="H102" s="256"/>
      <c r="I102" s="253"/>
      <c r="J102" s="250"/>
    </row>
    <row r="103" spans="1:10" ht="15" customHeight="1">
      <c r="A103" s="70"/>
      <c r="B103" s="97" t="s">
        <v>49</v>
      </c>
      <c r="C103" s="77"/>
      <c r="D103" s="101" t="s">
        <v>115</v>
      </c>
      <c r="E103" s="79"/>
      <c r="F103" s="192">
        <v>2</v>
      </c>
      <c r="G103" s="193"/>
      <c r="H103" s="256"/>
      <c r="I103" s="253"/>
      <c r="J103" s="250"/>
    </row>
    <row r="104" spans="1:10" ht="15" customHeight="1">
      <c r="A104" s="70"/>
      <c r="B104" s="97" t="s">
        <v>49</v>
      </c>
      <c r="C104" s="98"/>
      <c r="D104" s="101" t="s">
        <v>116</v>
      </c>
      <c r="E104" s="79"/>
      <c r="F104" s="192">
        <v>4</v>
      </c>
      <c r="G104" s="193"/>
      <c r="H104" s="256"/>
      <c r="I104" s="253"/>
      <c r="J104" s="250"/>
    </row>
    <row r="105" spans="1:10" ht="15" customHeight="1">
      <c r="A105" s="70"/>
      <c r="B105" s="97" t="s">
        <v>49</v>
      </c>
      <c r="C105" s="77"/>
      <c r="D105" s="101" t="s">
        <v>117</v>
      </c>
      <c r="E105" s="79"/>
      <c r="F105" s="192">
        <v>12</v>
      </c>
      <c r="G105" s="193"/>
      <c r="H105" s="256"/>
      <c r="I105" s="253"/>
      <c r="J105" s="250"/>
    </row>
    <row r="106" spans="1:10" ht="15" customHeight="1">
      <c r="A106" s="70"/>
      <c r="B106" s="97" t="s">
        <v>49</v>
      </c>
      <c r="C106" s="98"/>
      <c r="D106" s="101" t="s">
        <v>118</v>
      </c>
      <c r="E106" s="79"/>
      <c r="F106" s="192">
        <v>4</v>
      </c>
      <c r="G106" s="193"/>
      <c r="H106" s="256"/>
      <c r="I106" s="253"/>
      <c r="J106" s="250"/>
    </row>
    <row r="107" spans="1:10" ht="15" customHeight="1">
      <c r="A107" s="70"/>
      <c r="B107" s="97" t="s">
        <v>49</v>
      </c>
      <c r="C107" s="77"/>
      <c r="D107" s="101" t="s">
        <v>119</v>
      </c>
      <c r="E107" s="79"/>
      <c r="F107" s="192">
        <v>8</v>
      </c>
      <c r="G107" s="193"/>
      <c r="H107" s="256"/>
      <c r="I107" s="253"/>
      <c r="J107" s="250"/>
    </row>
    <row r="108" spans="1:10" ht="15" customHeight="1">
      <c r="A108" s="70"/>
      <c r="B108" s="97" t="s">
        <v>49</v>
      </c>
      <c r="C108" s="98"/>
      <c r="D108" s="101" t="s">
        <v>120</v>
      </c>
      <c r="E108" s="79"/>
      <c r="F108" s="192">
        <v>2</v>
      </c>
      <c r="G108" s="193"/>
      <c r="H108" s="256"/>
      <c r="I108" s="253"/>
      <c r="J108" s="250"/>
    </row>
    <row r="109" spans="1:10" ht="15" customHeight="1">
      <c r="A109" s="70"/>
      <c r="B109" s="97" t="s">
        <v>49</v>
      </c>
      <c r="C109" s="77"/>
      <c r="D109" s="101" t="s">
        <v>121</v>
      </c>
      <c r="E109" s="79"/>
      <c r="F109" s="192">
        <v>2</v>
      </c>
      <c r="G109" s="193"/>
      <c r="H109" s="256"/>
      <c r="I109" s="253"/>
      <c r="J109" s="250"/>
    </row>
    <row r="110" spans="1:10" ht="15" customHeight="1">
      <c r="A110" s="70"/>
      <c r="B110" s="97" t="s">
        <v>49</v>
      </c>
      <c r="C110" s="98"/>
      <c r="D110" s="101" t="s">
        <v>122</v>
      </c>
      <c r="E110" s="79"/>
      <c r="F110" s="192">
        <v>8</v>
      </c>
      <c r="G110" s="193"/>
      <c r="H110" s="256"/>
      <c r="I110" s="253"/>
      <c r="J110" s="250"/>
    </row>
    <row r="111" spans="1:10" ht="15" customHeight="1">
      <c r="A111" s="70"/>
      <c r="B111" s="97" t="s">
        <v>49</v>
      </c>
      <c r="C111" s="77"/>
      <c r="D111" s="101" t="s">
        <v>123</v>
      </c>
      <c r="E111" s="79"/>
      <c r="F111" s="192">
        <v>8</v>
      </c>
      <c r="G111" s="193"/>
      <c r="H111" s="256"/>
      <c r="I111" s="253"/>
      <c r="J111" s="250"/>
    </row>
    <row r="112" spans="1:10" ht="15" customHeight="1">
      <c r="A112" s="70"/>
      <c r="B112" s="97" t="s">
        <v>49</v>
      </c>
      <c r="C112" s="98"/>
      <c r="D112" s="101" t="s">
        <v>124</v>
      </c>
      <c r="E112" s="79"/>
      <c r="F112" s="192">
        <v>4</v>
      </c>
      <c r="G112" s="193"/>
      <c r="H112" s="256"/>
      <c r="I112" s="253"/>
      <c r="J112" s="250"/>
    </row>
    <row r="113" spans="1:10" ht="15" customHeight="1">
      <c r="A113" s="70"/>
      <c r="B113" s="97" t="s">
        <v>49</v>
      </c>
      <c r="C113" s="77"/>
      <c r="D113" s="101" t="s">
        <v>125</v>
      </c>
      <c r="E113" s="79"/>
      <c r="F113" s="192">
        <v>2</v>
      </c>
      <c r="G113" s="193"/>
      <c r="H113" s="256"/>
      <c r="I113" s="253"/>
      <c r="J113" s="250"/>
    </row>
    <row r="114" spans="1:10" ht="15" customHeight="1">
      <c r="A114" s="70"/>
      <c r="B114" s="97" t="s">
        <v>49</v>
      </c>
      <c r="C114" s="98"/>
      <c r="D114" s="101" t="s">
        <v>126</v>
      </c>
      <c r="E114" s="79"/>
      <c r="F114" s="192">
        <v>4</v>
      </c>
      <c r="G114" s="193"/>
      <c r="H114" s="256"/>
      <c r="I114" s="253"/>
      <c r="J114" s="250"/>
    </row>
    <row r="115" spans="1:10" ht="15" customHeight="1">
      <c r="A115" s="70"/>
      <c r="B115" s="97" t="s">
        <v>49</v>
      </c>
      <c r="C115" s="77"/>
      <c r="D115" s="101" t="s">
        <v>127</v>
      </c>
      <c r="E115" s="79"/>
      <c r="F115" s="192">
        <v>8</v>
      </c>
      <c r="G115" s="193"/>
      <c r="H115" s="256"/>
      <c r="I115" s="253"/>
      <c r="J115" s="250"/>
    </row>
    <row r="116" spans="1:10" ht="15" customHeight="1">
      <c r="A116" s="70"/>
      <c r="B116" s="97" t="s">
        <v>49</v>
      </c>
      <c r="C116" s="98"/>
      <c r="D116" s="101" t="s">
        <v>128</v>
      </c>
      <c r="E116" s="79"/>
      <c r="F116" s="192">
        <v>8</v>
      </c>
      <c r="G116" s="193"/>
      <c r="H116" s="256"/>
      <c r="I116" s="253"/>
      <c r="J116" s="250"/>
    </row>
    <row r="117" spans="1:10" ht="15" customHeight="1">
      <c r="A117" s="70"/>
      <c r="B117" s="97" t="s">
        <v>49</v>
      </c>
      <c r="C117" s="77"/>
      <c r="D117" s="101" t="s">
        <v>129</v>
      </c>
      <c r="E117" s="79"/>
      <c r="F117" s="192">
        <v>12</v>
      </c>
      <c r="G117" s="193"/>
      <c r="H117" s="256"/>
      <c r="I117" s="253"/>
      <c r="J117" s="250"/>
    </row>
    <row r="118" spans="1:10" ht="15" customHeight="1">
      <c r="A118" s="70"/>
      <c r="B118" s="97" t="s">
        <v>49</v>
      </c>
      <c r="C118" s="98"/>
      <c r="D118" s="101" t="s">
        <v>130</v>
      </c>
      <c r="E118" s="79"/>
      <c r="F118" s="192">
        <v>12</v>
      </c>
      <c r="G118" s="193"/>
      <c r="H118" s="256"/>
      <c r="I118" s="253"/>
      <c r="J118" s="250"/>
    </row>
    <row r="119" spans="1:10" ht="15" customHeight="1">
      <c r="A119" s="70"/>
      <c r="B119" s="97" t="s">
        <v>49</v>
      </c>
      <c r="C119" s="77"/>
      <c r="D119" s="101" t="s">
        <v>131</v>
      </c>
      <c r="E119" s="79"/>
      <c r="F119" s="192">
        <v>30</v>
      </c>
      <c r="G119" s="193"/>
      <c r="H119" s="256"/>
      <c r="I119" s="253"/>
      <c r="J119" s="250"/>
    </row>
    <row r="120" spans="1:10" ht="15" customHeight="1">
      <c r="A120" s="70"/>
      <c r="B120" s="97" t="s">
        <v>49</v>
      </c>
      <c r="C120" s="98"/>
      <c r="D120" s="101" t="s">
        <v>132</v>
      </c>
      <c r="E120" s="79"/>
      <c r="F120" s="192">
        <v>24</v>
      </c>
      <c r="G120" s="193"/>
      <c r="H120" s="256"/>
      <c r="I120" s="253"/>
      <c r="J120" s="250"/>
    </row>
    <row r="121" spans="1:10" ht="15" customHeight="1">
      <c r="A121" s="70"/>
      <c r="B121" s="97" t="s">
        <v>49</v>
      </c>
      <c r="C121" s="77"/>
      <c r="D121" s="101" t="s">
        <v>133</v>
      </c>
      <c r="E121" s="79"/>
      <c r="F121" s="192">
        <v>2</v>
      </c>
      <c r="G121" s="193"/>
      <c r="H121" s="256"/>
      <c r="I121" s="253"/>
      <c r="J121" s="250"/>
    </row>
    <row r="122" spans="1:10" ht="15" customHeight="1">
      <c r="A122" s="70"/>
      <c r="B122" s="97" t="s">
        <v>49</v>
      </c>
      <c r="C122" s="98"/>
      <c r="D122" s="101" t="s">
        <v>134</v>
      </c>
      <c r="E122" s="79"/>
      <c r="F122" s="192">
        <v>4</v>
      </c>
      <c r="G122" s="193"/>
      <c r="H122" s="256"/>
      <c r="I122" s="253"/>
      <c r="J122" s="250"/>
    </row>
    <row r="123" spans="1:10" ht="15" customHeight="1">
      <c r="A123" s="70"/>
      <c r="B123" s="97" t="s">
        <v>49</v>
      </c>
      <c r="C123" s="77"/>
      <c r="D123" s="101" t="s">
        <v>135</v>
      </c>
      <c r="E123" s="79"/>
      <c r="F123" s="192">
        <v>2</v>
      </c>
      <c r="G123" s="193"/>
      <c r="H123" s="256"/>
      <c r="I123" s="253"/>
      <c r="J123" s="250"/>
    </row>
    <row r="124" spans="1:10" ht="15" customHeight="1">
      <c r="A124" s="70"/>
      <c r="B124" s="97" t="s">
        <v>49</v>
      </c>
      <c r="C124" s="98"/>
      <c r="D124" s="101" t="s">
        <v>136</v>
      </c>
      <c r="E124" s="79"/>
      <c r="F124" s="192">
        <v>2</v>
      </c>
      <c r="G124" s="193"/>
      <c r="H124" s="256"/>
      <c r="I124" s="253"/>
      <c r="J124" s="250"/>
    </row>
    <row r="125" spans="1:10" ht="15" customHeight="1">
      <c r="A125" s="70"/>
      <c r="B125" s="97" t="s">
        <v>49</v>
      </c>
      <c r="C125" s="77"/>
      <c r="D125" s="101" t="s">
        <v>137</v>
      </c>
      <c r="E125" s="79"/>
      <c r="F125" s="192">
        <v>2</v>
      </c>
      <c r="G125" s="193"/>
      <c r="H125" s="256"/>
      <c r="I125" s="253"/>
      <c r="J125" s="250"/>
    </row>
    <row r="126" spans="1:10" ht="15" customHeight="1">
      <c r="A126" s="70"/>
      <c r="B126" s="97" t="s">
        <v>49</v>
      </c>
      <c r="C126" s="98"/>
      <c r="D126" s="101" t="s">
        <v>138</v>
      </c>
      <c r="E126" s="79"/>
      <c r="F126" s="192">
        <v>2</v>
      </c>
      <c r="G126" s="193"/>
      <c r="H126" s="256"/>
      <c r="I126" s="253"/>
      <c r="J126" s="250"/>
    </row>
    <row r="127" spans="1:10" ht="15" customHeight="1">
      <c r="A127" s="70"/>
      <c r="B127" s="97" t="s">
        <v>49</v>
      </c>
      <c r="C127" s="77"/>
      <c r="D127" s="101" t="s">
        <v>139</v>
      </c>
      <c r="E127" s="79"/>
      <c r="F127" s="192">
        <v>2</v>
      </c>
      <c r="G127" s="193"/>
      <c r="H127" s="256"/>
      <c r="I127" s="253"/>
      <c r="J127" s="250"/>
    </row>
    <row r="128" spans="1:10" ht="15" customHeight="1">
      <c r="A128" s="70"/>
      <c r="B128" s="97" t="s">
        <v>49</v>
      </c>
      <c r="C128" s="98"/>
      <c r="D128" s="101" t="s">
        <v>140</v>
      </c>
      <c r="E128" s="79"/>
      <c r="F128" s="192">
        <v>6</v>
      </c>
      <c r="G128" s="193"/>
      <c r="H128" s="256"/>
      <c r="I128" s="253"/>
      <c r="J128" s="250"/>
    </row>
    <row r="129" spans="1:10" ht="15" customHeight="1">
      <c r="A129" s="70"/>
      <c r="B129" s="97" t="s">
        <v>49</v>
      </c>
      <c r="C129" s="98"/>
      <c r="D129" s="101" t="s">
        <v>142</v>
      </c>
      <c r="E129" s="79"/>
      <c r="F129" s="192">
        <v>8</v>
      </c>
      <c r="G129" s="193"/>
      <c r="H129" s="256"/>
      <c r="I129" s="253"/>
      <c r="J129" s="250"/>
    </row>
    <row r="130" spans="1:10" ht="15" customHeight="1">
      <c r="A130" s="70"/>
      <c r="B130" s="97" t="s">
        <v>49</v>
      </c>
      <c r="C130" s="98"/>
      <c r="D130" s="101" t="s">
        <v>144</v>
      </c>
      <c r="E130" s="79"/>
      <c r="F130" s="192">
        <v>2</v>
      </c>
      <c r="G130" s="193"/>
      <c r="H130" s="256"/>
      <c r="I130" s="253"/>
      <c r="J130" s="250"/>
    </row>
    <row r="131" spans="1:10" ht="15" customHeight="1">
      <c r="A131" s="70"/>
      <c r="B131" s="97" t="s">
        <v>49</v>
      </c>
      <c r="C131" s="77"/>
      <c r="D131" s="101" t="s">
        <v>145</v>
      </c>
      <c r="E131" s="79"/>
      <c r="F131" s="192">
        <v>2</v>
      </c>
      <c r="G131" s="193"/>
      <c r="H131" s="256"/>
      <c r="I131" s="253"/>
      <c r="J131" s="250"/>
    </row>
    <row r="132" spans="1:10" ht="15" customHeight="1">
      <c r="A132" s="70"/>
      <c r="B132" s="97" t="s">
        <v>49</v>
      </c>
      <c r="C132" s="98"/>
      <c r="D132" s="101" t="s">
        <v>146</v>
      </c>
      <c r="E132" s="79"/>
      <c r="F132" s="192">
        <v>2</v>
      </c>
      <c r="G132" s="193"/>
      <c r="H132" s="256"/>
      <c r="I132" s="253"/>
      <c r="J132" s="250"/>
    </row>
    <row r="133" spans="1:10" ht="15" customHeight="1">
      <c r="A133" s="70"/>
      <c r="B133" s="97" t="s">
        <v>49</v>
      </c>
      <c r="C133" s="77"/>
      <c r="D133" s="101" t="s">
        <v>147</v>
      </c>
      <c r="E133" s="79"/>
      <c r="F133" s="192">
        <v>14</v>
      </c>
      <c r="G133" s="193"/>
      <c r="H133" s="256"/>
      <c r="I133" s="253"/>
      <c r="J133" s="250"/>
    </row>
    <row r="134" spans="1:10" ht="15" customHeight="1">
      <c r="A134" s="70"/>
      <c r="B134" s="97" t="s">
        <v>49</v>
      </c>
      <c r="C134" s="98"/>
      <c r="D134" s="101" t="s">
        <v>148</v>
      </c>
      <c r="E134" s="79"/>
      <c r="F134" s="192">
        <v>4</v>
      </c>
      <c r="G134" s="193"/>
      <c r="H134" s="256"/>
      <c r="I134" s="253"/>
      <c r="J134" s="250"/>
    </row>
    <row r="135" spans="1:10" ht="15" customHeight="1">
      <c r="A135" s="70"/>
      <c r="B135" s="97" t="s">
        <v>49</v>
      </c>
      <c r="C135" s="77"/>
      <c r="D135" s="101" t="s">
        <v>149</v>
      </c>
      <c r="E135" s="79"/>
      <c r="F135" s="192">
        <v>12</v>
      </c>
      <c r="G135" s="193"/>
      <c r="H135" s="256"/>
      <c r="I135" s="253"/>
      <c r="J135" s="250"/>
    </row>
    <row r="136" spans="1:10" ht="15" customHeight="1">
      <c r="A136" s="70"/>
      <c r="B136" s="97" t="s">
        <v>49</v>
      </c>
      <c r="C136" s="98"/>
      <c r="D136" s="101" t="s">
        <v>150</v>
      </c>
      <c r="E136" s="79"/>
      <c r="F136" s="192">
        <v>14</v>
      </c>
      <c r="G136" s="193"/>
      <c r="H136" s="256"/>
      <c r="I136" s="253"/>
      <c r="J136" s="250"/>
    </row>
    <row r="137" spans="1:10" ht="15" customHeight="1">
      <c r="A137" s="70"/>
      <c r="B137" s="97" t="s">
        <v>49</v>
      </c>
      <c r="C137" s="77"/>
      <c r="D137" s="101" t="s">
        <v>151</v>
      </c>
      <c r="E137" s="79"/>
      <c r="F137" s="192">
        <v>14</v>
      </c>
      <c r="G137" s="193"/>
      <c r="H137" s="256"/>
      <c r="I137" s="253"/>
      <c r="J137" s="250"/>
    </row>
    <row r="138" spans="1:10" ht="15" customHeight="1">
      <c r="A138" s="70"/>
      <c r="B138" s="97" t="s">
        <v>49</v>
      </c>
      <c r="C138" s="98"/>
      <c r="D138" s="101" t="s">
        <v>152</v>
      </c>
      <c r="E138" s="79"/>
      <c r="F138" s="192">
        <v>2</v>
      </c>
      <c r="G138" s="193"/>
      <c r="H138" s="256"/>
      <c r="I138" s="253"/>
      <c r="J138" s="250"/>
    </row>
    <row r="139" spans="1:10" ht="15" customHeight="1">
      <c r="A139" s="70"/>
      <c r="B139" s="97" t="s">
        <v>49</v>
      </c>
      <c r="C139" s="77"/>
      <c r="D139" s="101" t="s">
        <v>153</v>
      </c>
      <c r="E139" s="79"/>
      <c r="F139" s="192">
        <v>10</v>
      </c>
      <c r="G139" s="193"/>
      <c r="H139" s="256"/>
      <c r="I139" s="253"/>
      <c r="J139" s="250"/>
    </row>
    <row r="140" spans="1:10" ht="15" customHeight="1">
      <c r="A140" s="70"/>
      <c r="B140" s="97" t="s">
        <v>49</v>
      </c>
      <c r="C140" s="98"/>
      <c r="D140" s="101" t="s">
        <v>154</v>
      </c>
      <c r="E140" s="79"/>
      <c r="F140" s="192">
        <v>8</v>
      </c>
      <c r="G140" s="193"/>
      <c r="H140" s="256"/>
      <c r="I140" s="253"/>
      <c r="J140" s="250"/>
    </row>
    <row r="141" spans="1:10" ht="15" customHeight="1">
      <c r="A141" s="70"/>
      <c r="B141" s="97" t="s">
        <v>49</v>
      </c>
      <c r="C141" s="77"/>
      <c r="D141" s="101" t="s">
        <v>155</v>
      </c>
      <c r="E141" s="79"/>
      <c r="F141" s="192">
        <v>10</v>
      </c>
      <c r="G141" s="193"/>
      <c r="H141" s="256"/>
      <c r="I141" s="253"/>
      <c r="J141" s="250"/>
    </row>
    <row r="142" spans="1:10" ht="15" customHeight="1">
      <c r="A142" s="70"/>
      <c r="B142" s="97" t="s">
        <v>49</v>
      </c>
      <c r="C142" s="98"/>
      <c r="D142" s="101" t="s">
        <v>156</v>
      </c>
      <c r="E142" s="79"/>
      <c r="F142" s="192">
        <v>16</v>
      </c>
      <c r="G142" s="193"/>
      <c r="H142" s="256"/>
      <c r="I142" s="253"/>
      <c r="J142" s="250"/>
    </row>
    <row r="143" spans="1:10" ht="15" customHeight="1">
      <c r="A143" s="70"/>
      <c r="B143" s="97" t="s">
        <v>49</v>
      </c>
      <c r="C143" s="77"/>
      <c r="D143" s="101" t="s">
        <v>157</v>
      </c>
      <c r="E143" s="79"/>
      <c r="F143" s="192">
        <v>4</v>
      </c>
      <c r="G143" s="193"/>
      <c r="H143" s="256"/>
      <c r="I143" s="253"/>
      <c r="J143" s="250"/>
    </row>
    <row r="144" spans="1:10" ht="15" customHeight="1">
      <c r="A144" s="70"/>
      <c r="B144" s="97" t="s">
        <v>49</v>
      </c>
      <c r="C144" s="98"/>
      <c r="D144" s="101" t="s">
        <v>158</v>
      </c>
      <c r="E144" s="79"/>
      <c r="F144" s="192">
        <v>4</v>
      </c>
      <c r="G144" s="193"/>
      <c r="H144" s="256"/>
      <c r="I144" s="253"/>
      <c r="J144" s="250"/>
    </row>
    <row r="145" spans="1:10" ht="15" customHeight="1">
      <c r="A145" s="70"/>
      <c r="B145" s="97" t="s">
        <v>49</v>
      </c>
      <c r="C145" s="77"/>
      <c r="D145" s="101" t="s">
        <v>159</v>
      </c>
      <c r="E145" s="79"/>
      <c r="F145" s="192">
        <v>4</v>
      </c>
      <c r="G145" s="193"/>
      <c r="H145" s="256"/>
      <c r="I145" s="253"/>
      <c r="J145" s="250"/>
    </row>
    <row r="146" spans="1:10" ht="15" customHeight="1">
      <c r="A146" s="70"/>
      <c r="B146" s="97" t="s">
        <v>49</v>
      </c>
      <c r="C146" s="98"/>
      <c r="D146" s="101" t="s">
        <v>160</v>
      </c>
      <c r="E146" s="79"/>
      <c r="F146" s="192">
        <v>2</v>
      </c>
      <c r="G146" s="193"/>
      <c r="H146" s="256"/>
      <c r="I146" s="253"/>
      <c r="J146" s="250"/>
    </row>
    <row r="147" spans="1:10" ht="15" customHeight="1">
      <c r="A147" s="70"/>
      <c r="B147" s="97" t="s">
        <v>49</v>
      </c>
      <c r="C147" s="77"/>
      <c r="D147" s="101" t="s">
        <v>161</v>
      </c>
      <c r="E147" s="79"/>
      <c r="F147" s="192">
        <v>2</v>
      </c>
      <c r="G147" s="193"/>
      <c r="H147" s="256"/>
      <c r="I147" s="253"/>
      <c r="J147" s="250"/>
    </row>
    <row r="148" spans="1:10" ht="15" customHeight="1">
      <c r="A148" s="70"/>
      <c r="B148" s="97" t="s">
        <v>49</v>
      </c>
      <c r="C148" s="98"/>
      <c r="D148" s="101" t="s">
        <v>162</v>
      </c>
      <c r="E148" s="79"/>
      <c r="F148" s="192">
        <v>10</v>
      </c>
      <c r="G148" s="193"/>
      <c r="H148" s="256"/>
      <c r="I148" s="253"/>
      <c r="J148" s="250"/>
    </row>
    <row r="149" spans="1:10" ht="15" customHeight="1">
      <c r="A149" s="70"/>
      <c r="B149" s="97" t="s">
        <v>49</v>
      </c>
      <c r="C149" s="77"/>
      <c r="D149" s="101" t="s">
        <v>163</v>
      </c>
      <c r="E149" s="79"/>
      <c r="F149" s="192">
        <v>10</v>
      </c>
      <c r="G149" s="193"/>
      <c r="H149" s="256"/>
      <c r="I149" s="253"/>
      <c r="J149" s="250"/>
    </row>
    <row r="150" spans="1:10" ht="15" customHeight="1">
      <c r="A150" s="70"/>
      <c r="B150" s="97" t="s">
        <v>49</v>
      </c>
      <c r="C150" s="98"/>
      <c r="D150" s="101" t="s">
        <v>164</v>
      </c>
      <c r="E150" s="79"/>
      <c r="F150" s="192">
        <v>2</v>
      </c>
      <c r="G150" s="193"/>
      <c r="H150" s="256"/>
      <c r="I150" s="253"/>
      <c r="J150" s="250"/>
    </row>
    <row r="151" spans="1:10" ht="15" customHeight="1">
      <c r="A151" s="70"/>
      <c r="B151" s="97" t="s">
        <v>49</v>
      </c>
      <c r="C151" s="77"/>
      <c r="D151" s="101" t="s">
        <v>165</v>
      </c>
      <c r="E151" s="79"/>
      <c r="F151" s="192">
        <v>2</v>
      </c>
      <c r="G151" s="193"/>
      <c r="H151" s="256"/>
      <c r="I151" s="253"/>
      <c r="J151" s="250"/>
    </row>
    <row r="152" spans="1:10" ht="15" customHeight="1">
      <c r="A152" s="70"/>
      <c r="B152" s="97" t="s">
        <v>49</v>
      </c>
      <c r="C152" s="98"/>
      <c r="D152" s="101" t="s">
        <v>166</v>
      </c>
      <c r="E152" s="79"/>
      <c r="F152" s="192">
        <v>2</v>
      </c>
      <c r="G152" s="193"/>
      <c r="H152" s="256"/>
      <c r="I152" s="253"/>
      <c r="J152" s="250"/>
    </row>
    <row r="153" spans="1:10" ht="15" customHeight="1">
      <c r="A153" s="70"/>
      <c r="B153" s="97" t="s">
        <v>49</v>
      </c>
      <c r="C153" s="77"/>
      <c r="D153" s="101" t="s">
        <v>167</v>
      </c>
      <c r="E153" s="79"/>
      <c r="F153" s="192">
        <v>4</v>
      </c>
      <c r="G153" s="193"/>
      <c r="H153" s="256"/>
      <c r="I153" s="253"/>
      <c r="J153" s="250"/>
    </row>
    <row r="154" spans="1:10" ht="15" customHeight="1">
      <c r="A154" s="70"/>
      <c r="B154" s="97" t="s">
        <v>49</v>
      </c>
      <c r="C154" s="98"/>
      <c r="D154" s="101" t="s">
        <v>168</v>
      </c>
      <c r="E154" s="79"/>
      <c r="F154" s="192">
        <v>2</v>
      </c>
      <c r="G154" s="193"/>
      <c r="H154" s="256"/>
      <c r="I154" s="253"/>
      <c r="J154" s="250"/>
    </row>
    <row r="155" spans="1:10" ht="15" customHeight="1">
      <c r="A155" s="70"/>
      <c r="B155" s="97" t="s">
        <v>49</v>
      </c>
      <c r="C155" s="77"/>
      <c r="D155" s="101" t="s">
        <v>169</v>
      </c>
      <c r="E155" s="79"/>
      <c r="F155" s="192">
        <v>2</v>
      </c>
      <c r="G155" s="193"/>
      <c r="H155" s="256"/>
      <c r="I155" s="253"/>
      <c r="J155" s="250"/>
    </row>
    <row r="156" spans="1:10" ht="15" customHeight="1">
      <c r="A156" s="70"/>
      <c r="B156" s="97" t="s">
        <v>49</v>
      </c>
      <c r="C156" s="98"/>
      <c r="D156" s="101" t="s">
        <v>170</v>
      </c>
      <c r="E156" s="79"/>
      <c r="F156" s="192">
        <v>2</v>
      </c>
      <c r="G156" s="193"/>
      <c r="H156" s="256"/>
      <c r="I156" s="253"/>
      <c r="J156" s="250"/>
    </row>
    <row r="157" spans="1:10" ht="15" customHeight="1">
      <c r="A157" s="70"/>
      <c r="B157" s="97" t="s">
        <v>49</v>
      </c>
      <c r="C157" s="77"/>
      <c r="D157" s="101" t="s">
        <v>171</v>
      </c>
      <c r="E157" s="79"/>
      <c r="F157" s="192">
        <v>2</v>
      </c>
      <c r="G157" s="193"/>
      <c r="H157" s="256"/>
      <c r="I157" s="253"/>
      <c r="J157" s="250"/>
    </row>
    <row r="158" spans="1:10" ht="15" customHeight="1">
      <c r="A158" s="70"/>
      <c r="B158" s="97" t="s">
        <v>49</v>
      </c>
      <c r="C158" s="98"/>
      <c r="D158" s="101" t="s">
        <v>172</v>
      </c>
      <c r="E158" s="79"/>
      <c r="F158" s="192">
        <v>4</v>
      </c>
      <c r="G158" s="193"/>
      <c r="H158" s="256"/>
      <c r="I158" s="253"/>
      <c r="J158" s="250"/>
    </row>
    <row r="159" spans="1:10" ht="15" customHeight="1">
      <c r="A159" s="70"/>
      <c r="B159" s="97" t="s">
        <v>49</v>
      </c>
      <c r="C159" s="77"/>
      <c r="D159" s="101" t="s">
        <v>173</v>
      </c>
      <c r="E159" s="79"/>
      <c r="F159" s="192">
        <v>2</v>
      </c>
      <c r="G159" s="193"/>
      <c r="H159" s="256"/>
      <c r="I159" s="253"/>
      <c r="J159" s="250"/>
    </row>
    <row r="160" spans="1:10" ht="15" customHeight="1">
      <c r="A160" s="70"/>
      <c r="B160" s="97" t="s">
        <v>49</v>
      </c>
      <c r="C160" s="98"/>
      <c r="D160" s="101" t="s">
        <v>174</v>
      </c>
      <c r="E160" s="79"/>
      <c r="F160" s="192">
        <v>2</v>
      </c>
      <c r="G160" s="193"/>
      <c r="H160" s="256"/>
      <c r="I160" s="253"/>
      <c r="J160" s="250"/>
    </row>
    <row r="161" spans="1:10" ht="15" customHeight="1">
      <c r="A161" s="70"/>
      <c r="B161" s="97" t="s">
        <v>49</v>
      </c>
      <c r="C161" s="77"/>
      <c r="D161" s="101" t="s">
        <v>175</v>
      </c>
      <c r="E161" s="79"/>
      <c r="F161" s="192">
        <v>10</v>
      </c>
      <c r="G161" s="193"/>
      <c r="H161" s="256"/>
      <c r="I161" s="253"/>
      <c r="J161" s="250"/>
    </row>
    <row r="162" spans="1:10" ht="15" customHeight="1">
      <c r="A162" s="70"/>
      <c r="B162" s="97" t="s">
        <v>49</v>
      </c>
      <c r="C162" s="98"/>
      <c r="D162" s="101" t="s">
        <v>176</v>
      </c>
      <c r="E162" s="79"/>
      <c r="F162" s="192">
        <v>2</v>
      </c>
      <c r="G162" s="193"/>
      <c r="H162" s="256"/>
      <c r="I162" s="253"/>
      <c r="J162" s="250"/>
    </row>
    <row r="163" spans="1:10" ht="15" customHeight="1">
      <c r="A163" s="70"/>
      <c r="B163" s="97" t="s">
        <v>49</v>
      </c>
      <c r="C163" s="77"/>
      <c r="D163" s="101" t="s">
        <v>177</v>
      </c>
      <c r="E163" s="79"/>
      <c r="F163" s="192">
        <v>2</v>
      </c>
      <c r="G163" s="193"/>
      <c r="H163" s="256"/>
      <c r="I163" s="253"/>
      <c r="J163" s="250"/>
    </row>
    <row r="164" spans="1:10" ht="15" customHeight="1">
      <c r="A164" s="70"/>
      <c r="B164" s="97" t="s">
        <v>49</v>
      </c>
      <c r="C164" s="98"/>
      <c r="D164" s="101" t="s">
        <v>184</v>
      </c>
      <c r="E164" s="79"/>
      <c r="F164" s="192">
        <v>10</v>
      </c>
      <c r="G164" s="193"/>
      <c r="H164" s="256"/>
      <c r="I164" s="253"/>
      <c r="J164" s="250"/>
    </row>
    <row r="165" spans="1:10" ht="15" customHeight="1">
      <c r="A165" s="70"/>
      <c r="B165" s="97" t="s">
        <v>49</v>
      </c>
      <c r="C165" s="77"/>
      <c r="D165" s="101" t="s">
        <v>185</v>
      </c>
      <c r="E165" s="79"/>
      <c r="F165" s="192">
        <v>2</v>
      </c>
      <c r="G165" s="193"/>
      <c r="H165" s="256"/>
      <c r="I165" s="253"/>
      <c r="J165" s="250"/>
    </row>
    <row r="166" spans="1:10" ht="15" customHeight="1">
      <c r="A166" s="70"/>
      <c r="B166" s="97" t="s">
        <v>49</v>
      </c>
      <c r="C166" s="98"/>
      <c r="D166" s="101" t="s">
        <v>186</v>
      </c>
      <c r="E166" s="79"/>
      <c r="F166" s="192">
        <v>2</v>
      </c>
      <c r="G166" s="193"/>
      <c r="H166" s="256"/>
      <c r="I166" s="253"/>
      <c r="J166" s="250"/>
    </row>
    <row r="167" spans="1:10" ht="15" customHeight="1">
      <c r="A167" s="70"/>
      <c r="B167" s="97" t="s">
        <v>49</v>
      </c>
      <c r="C167" s="77"/>
      <c r="D167" s="101" t="s">
        <v>187</v>
      </c>
      <c r="E167" s="79"/>
      <c r="F167" s="192">
        <v>2</v>
      </c>
      <c r="G167" s="193"/>
      <c r="H167" s="256"/>
      <c r="I167" s="253"/>
      <c r="J167" s="250"/>
    </row>
    <row r="168" spans="1:10" ht="15" customHeight="1">
      <c r="A168" s="70"/>
      <c r="B168" s="97" t="s">
        <v>49</v>
      </c>
      <c r="C168" s="98"/>
      <c r="D168" s="101" t="s">
        <v>188</v>
      </c>
      <c r="E168" s="79"/>
      <c r="F168" s="192">
        <v>4</v>
      </c>
      <c r="G168" s="193"/>
      <c r="H168" s="256"/>
      <c r="I168" s="253"/>
      <c r="J168" s="250"/>
    </row>
    <row r="169" spans="1:10" ht="15" customHeight="1">
      <c r="A169" s="70"/>
      <c r="B169" s="97" t="s">
        <v>49</v>
      </c>
      <c r="C169" s="77"/>
      <c r="D169" s="101" t="s">
        <v>189</v>
      </c>
      <c r="E169" s="79"/>
      <c r="F169" s="192">
        <v>4</v>
      </c>
      <c r="G169" s="193"/>
      <c r="H169" s="256"/>
      <c r="I169" s="253"/>
      <c r="J169" s="250"/>
    </row>
    <row r="170" spans="1:10" ht="15" customHeight="1">
      <c r="A170" s="70"/>
      <c r="B170" s="97" t="s">
        <v>49</v>
      </c>
      <c r="C170" s="98"/>
      <c r="D170" s="101" t="s">
        <v>190</v>
      </c>
      <c r="E170" s="79"/>
      <c r="F170" s="192">
        <v>48</v>
      </c>
      <c r="G170" s="193"/>
      <c r="H170" s="256"/>
      <c r="I170" s="253"/>
      <c r="J170" s="250"/>
    </row>
    <row r="171" spans="1:10" ht="15" customHeight="1">
      <c r="A171" s="70"/>
      <c r="B171" s="97" t="s">
        <v>49</v>
      </c>
      <c r="C171" s="77"/>
      <c r="D171" s="101" t="s">
        <v>191</v>
      </c>
      <c r="E171" s="79"/>
      <c r="F171" s="192">
        <v>8</v>
      </c>
      <c r="G171" s="193"/>
      <c r="H171" s="256"/>
      <c r="I171" s="253"/>
      <c r="J171" s="250"/>
    </row>
    <row r="172" spans="1:10" ht="15" customHeight="1">
      <c r="A172" s="70"/>
      <c r="B172" s="97" t="s">
        <v>49</v>
      </c>
      <c r="C172" s="98"/>
      <c r="D172" s="101" t="s">
        <v>192</v>
      </c>
      <c r="E172" s="79"/>
      <c r="F172" s="192">
        <v>16</v>
      </c>
      <c r="G172" s="193"/>
      <c r="H172" s="256"/>
      <c r="I172" s="253"/>
      <c r="J172" s="250"/>
    </row>
    <row r="173" spans="1:10" ht="15" customHeight="1">
      <c r="A173" s="70"/>
      <c r="B173" s="97" t="s">
        <v>49</v>
      </c>
      <c r="C173" s="77"/>
      <c r="D173" s="101" t="s">
        <v>193</v>
      </c>
      <c r="E173" s="79"/>
      <c r="F173" s="192">
        <v>2</v>
      </c>
      <c r="G173" s="193"/>
      <c r="H173" s="256"/>
      <c r="I173" s="253"/>
      <c r="J173" s="250"/>
    </row>
    <row r="174" spans="1:10" ht="15" customHeight="1">
      <c r="A174" s="70"/>
      <c r="B174" s="97" t="s">
        <v>49</v>
      </c>
      <c r="C174" s="98"/>
      <c r="D174" s="101" t="s">
        <v>194</v>
      </c>
      <c r="E174" s="79"/>
      <c r="F174" s="192">
        <v>2</v>
      </c>
      <c r="G174" s="193"/>
      <c r="H174" s="256"/>
      <c r="I174" s="253"/>
      <c r="J174" s="250"/>
    </row>
    <row r="175" spans="1:10" ht="15" customHeight="1">
      <c r="A175" s="70"/>
      <c r="B175" s="97" t="s">
        <v>49</v>
      </c>
      <c r="C175" s="77"/>
      <c r="D175" s="101" t="s">
        <v>195</v>
      </c>
      <c r="E175" s="79"/>
      <c r="F175" s="192">
        <v>2</v>
      </c>
      <c r="G175" s="193"/>
      <c r="H175" s="256"/>
      <c r="I175" s="253"/>
      <c r="J175" s="250"/>
    </row>
    <row r="176" spans="1:10" ht="15" customHeight="1">
      <c r="A176" s="70"/>
      <c r="B176" s="97" t="s">
        <v>49</v>
      </c>
      <c r="C176" s="98"/>
      <c r="D176" s="101" t="s">
        <v>196</v>
      </c>
      <c r="E176" s="79"/>
      <c r="F176" s="192">
        <v>8</v>
      </c>
      <c r="G176" s="193"/>
      <c r="H176" s="256"/>
      <c r="I176" s="253"/>
      <c r="J176" s="250"/>
    </row>
    <row r="177" spans="1:10" ht="15" customHeight="1">
      <c r="A177" s="70"/>
      <c r="B177" s="97" t="s">
        <v>49</v>
      </c>
      <c r="C177" s="77"/>
      <c r="D177" s="101" t="s">
        <v>197</v>
      </c>
      <c r="E177" s="79"/>
      <c r="F177" s="192">
        <v>16</v>
      </c>
      <c r="G177" s="193"/>
      <c r="H177" s="256"/>
      <c r="I177" s="253"/>
      <c r="J177" s="250"/>
    </row>
    <row r="178" spans="1:10" ht="15" customHeight="1">
      <c r="A178" s="70"/>
      <c r="B178" s="97" t="s">
        <v>49</v>
      </c>
      <c r="C178" s="98"/>
      <c r="D178" s="101" t="s">
        <v>198</v>
      </c>
      <c r="E178" s="79"/>
      <c r="F178" s="192">
        <v>4</v>
      </c>
      <c r="G178" s="193"/>
      <c r="H178" s="256"/>
      <c r="I178" s="253"/>
      <c r="J178" s="250"/>
    </row>
    <row r="179" spans="1:10" ht="15" customHeight="1">
      <c r="A179" s="70"/>
      <c r="B179" s="97" t="s">
        <v>49</v>
      </c>
      <c r="C179" s="77"/>
      <c r="D179" s="101" t="s">
        <v>199</v>
      </c>
      <c r="E179" s="79"/>
      <c r="F179" s="192">
        <v>8</v>
      </c>
      <c r="G179" s="193"/>
      <c r="H179" s="256"/>
      <c r="I179" s="253"/>
      <c r="J179" s="250"/>
    </row>
    <row r="180" spans="1:10" ht="15" customHeight="1">
      <c r="A180" s="70"/>
      <c r="B180" s="97" t="s">
        <v>49</v>
      </c>
      <c r="C180" s="98"/>
      <c r="D180" s="101" t="s">
        <v>200</v>
      </c>
      <c r="E180" s="79"/>
      <c r="F180" s="192">
        <v>4</v>
      </c>
      <c r="G180" s="193"/>
      <c r="H180" s="256"/>
      <c r="I180" s="253"/>
      <c r="J180" s="250"/>
    </row>
    <row r="181" spans="1:10" ht="15" customHeight="1">
      <c r="A181" s="70"/>
      <c r="B181" s="97" t="s">
        <v>49</v>
      </c>
      <c r="C181" s="77"/>
      <c r="D181" s="101" t="s">
        <v>201</v>
      </c>
      <c r="E181" s="79"/>
      <c r="F181" s="192">
        <v>4</v>
      </c>
      <c r="G181" s="193"/>
      <c r="H181" s="256"/>
      <c r="I181" s="253"/>
      <c r="J181" s="250"/>
    </row>
    <row r="182" spans="1:10" ht="15" customHeight="1">
      <c r="A182" s="70"/>
      <c r="B182" s="97" t="s">
        <v>49</v>
      </c>
      <c r="C182" s="98"/>
      <c r="D182" s="101" t="s">
        <v>202</v>
      </c>
      <c r="E182" s="79"/>
      <c r="F182" s="192">
        <v>2</v>
      </c>
      <c r="G182" s="193"/>
      <c r="H182" s="256"/>
      <c r="I182" s="253"/>
      <c r="J182" s="250"/>
    </row>
    <row r="183" spans="1:10" ht="15" customHeight="1">
      <c r="A183" s="70"/>
      <c r="B183" s="97" t="s">
        <v>49</v>
      </c>
      <c r="C183" s="77"/>
      <c r="D183" s="101" t="s">
        <v>203</v>
      </c>
      <c r="E183" s="79"/>
      <c r="F183" s="192">
        <v>2</v>
      </c>
      <c r="G183" s="193"/>
      <c r="H183" s="256"/>
      <c r="I183" s="253"/>
      <c r="J183" s="250"/>
    </row>
    <row r="184" spans="1:10" ht="15" customHeight="1">
      <c r="A184" s="70"/>
      <c r="B184" s="97" t="s">
        <v>49</v>
      </c>
      <c r="C184" s="98"/>
      <c r="D184" s="101" t="s">
        <v>204</v>
      </c>
      <c r="E184" s="79"/>
      <c r="F184" s="192">
        <v>6</v>
      </c>
      <c r="G184" s="193"/>
      <c r="H184" s="256"/>
      <c r="I184" s="253"/>
      <c r="J184" s="250"/>
    </row>
    <row r="185" spans="1:10" ht="15" customHeight="1">
      <c r="A185" s="70"/>
      <c r="B185" s="97" t="s">
        <v>49</v>
      </c>
      <c r="C185" s="77"/>
      <c r="D185" s="101" t="s">
        <v>205</v>
      </c>
      <c r="E185" s="79"/>
      <c r="F185" s="192">
        <v>4</v>
      </c>
      <c r="G185" s="193"/>
      <c r="H185" s="256"/>
      <c r="I185" s="253"/>
      <c r="J185" s="250"/>
    </row>
    <row r="186" spans="1:10" ht="15" customHeight="1">
      <c r="A186" s="70"/>
      <c r="B186" s="97" t="s">
        <v>49</v>
      </c>
      <c r="C186" s="98"/>
      <c r="D186" s="101" t="s">
        <v>206</v>
      </c>
      <c r="E186" s="79"/>
      <c r="F186" s="192">
        <v>14</v>
      </c>
      <c r="G186" s="193"/>
      <c r="H186" s="256"/>
      <c r="I186" s="253"/>
      <c r="J186" s="250"/>
    </row>
    <row r="187" spans="1:10" ht="15" customHeight="1">
      <c r="A187" s="70"/>
      <c r="B187" s="97" t="s">
        <v>49</v>
      </c>
      <c r="C187" s="98"/>
      <c r="D187" s="101" t="s">
        <v>208</v>
      </c>
      <c r="E187" s="79"/>
      <c r="F187" s="192">
        <v>8</v>
      </c>
      <c r="G187" s="193"/>
      <c r="H187" s="256"/>
      <c r="I187" s="253"/>
      <c r="J187" s="250"/>
    </row>
    <row r="188" spans="1:10" ht="15" customHeight="1">
      <c r="A188" s="70"/>
      <c r="B188" s="97" t="s">
        <v>49</v>
      </c>
      <c r="C188" s="77"/>
      <c r="D188" s="101" t="s">
        <v>209</v>
      </c>
      <c r="E188" s="79"/>
      <c r="F188" s="192">
        <v>8</v>
      </c>
      <c r="G188" s="193"/>
      <c r="H188" s="256"/>
      <c r="I188" s="253"/>
      <c r="J188" s="250"/>
    </row>
    <row r="189" spans="1:10" ht="15" customHeight="1" thickBot="1">
      <c r="A189" s="168"/>
      <c r="B189" s="82" t="s">
        <v>49</v>
      </c>
      <c r="C189" s="169"/>
      <c r="D189" s="170" t="s">
        <v>210</v>
      </c>
      <c r="E189" s="171"/>
      <c r="F189" s="239">
        <v>2</v>
      </c>
      <c r="G189" s="240"/>
      <c r="H189" s="256"/>
      <c r="I189" s="253"/>
      <c r="J189" s="250"/>
    </row>
    <row r="190" spans="1:10" ht="15" customHeight="1" thickTop="1">
      <c r="A190" s="128"/>
      <c r="B190" s="97" t="s">
        <v>327</v>
      </c>
      <c r="C190" s="98">
        <v>1</v>
      </c>
      <c r="D190" s="99" t="s">
        <v>74</v>
      </c>
      <c r="E190" s="100"/>
      <c r="F190" s="241">
        <v>2</v>
      </c>
      <c r="G190" s="242"/>
      <c r="H190" s="256"/>
      <c r="I190" s="253"/>
      <c r="J190" s="250"/>
    </row>
    <row r="191" spans="1:10" ht="15" customHeight="1">
      <c r="A191" s="70"/>
      <c r="B191" s="97" t="s">
        <v>327</v>
      </c>
      <c r="C191" s="77">
        <v>2</v>
      </c>
      <c r="D191" s="101" t="s">
        <v>75</v>
      </c>
      <c r="E191" s="79"/>
      <c r="F191" s="192">
        <v>2</v>
      </c>
      <c r="G191" s="193"/>
      <c r="H191" s="256"/>
      <c r="I191" s="253"/>
      <c r="J191" s="250"/>
    </row>
    <row r="192" spans="1:10" ht="15" customHeight="1">
      <c r="A192" s="70"/>
      <c r="B192" s="97" t="s">
        <v>327</v>
      </c>
      <c r="C192" s="77">
        <v>3</v>
      </c>
      <c r="D192" s="101" t="s">
        <v>76</v>
      </c>
      <c r="E192" s="79"/>
      <c r="F192" s="192">
        <v>4</v>
      </c>
      <c r="G192" s="193"/>
      <c r="H192" s="256"/>
      <c r="I192" s="253"/>
      <c r="J192" s="250"/>
    </row>
    <row r="193" spans="1:10" ht="15" customHeight="1">
      <c r="A193" s="70"/>
      <c r="B193" s="97" t="s">
        <v>327</v>
      </c>
      <c r="C193" s="98">
        <v>4</v>
      </c>
      <c r="D193" s="101" t="s">
        <v>50</v>
      </c>
      <c r="E193" s="79"/>
      <c r="F193" s="192">
        <v>7</v>
      </c>
      <c r="G193" s="193"/>
      <c r="H193" s="256"/>
      <c r="I193" s="253"/>
      <c r="J193" s="250"/>
    </row>
    <row r="194" spans="1:10" ht="15" customHeight="1">
      <c r="A194" s="70"/>
      <c r="B194" s="97" t="s">
        <v>327</v>
      </c>
      <c r="C194" s="77">
        <v>5</v>
      </c>
      <c r="D194" s="101" t="s">
        <v>51</v>
      </c>
      <c r="E194" s="79"/>
      <c r="F194" s="192">
        <v>2</v>
      </c>
      <c r="G194" s="193"/>
      <c r="H194" s="256"/>
      <c r="I194" s="253"/>
      <c r="J194" s="250"/>
    </row>
    <row r="195" spans="1:10" ht="15" customHeight="1">
      <c r="A195" s="70"/>
      <c r="B195" s="97" t="s">
        <v>327</v>
      </c>
      <c r="C195" s="77">
        <v>6</v>
      </c>
      <c r="D195" s="101" t="s">
        <v>52</v>
      </c>
      <c r="E195" s="79"/>
      <c r="F195" s="192">
        <v>7</v>
      </c>
      <c r="G195" s="193"/>
      <c r="H195" s="256"/>
      <c r="I195" s="253"/>
      <c r="J195" s="250"/>
    </row>
    <row r="196" spans="1:10" ht="15" customHeight="1">
      <c r="A196" s="70"/>
      <c r="B196" s="97" t="s">
        <v>327</v>
      </c>
      <c r="C196" s="98">
        <v>7</v>
      </c>
      <c r="D196" s="101" t="s">
        <v>53</v>
      </c>
      <c r="E196" s="79"/>
      <c r="F196" s="192">
        <v>1</v>
      </c>
      <c r="G196" s="193"/>
      <c r="H196" s="256"/>
      <c r="I196" s="253"/>
      <c r="J196" s="250"/>
    </row>
    <row r="197" spans="1:10" ht="15" customHeight="1">
      <c r="A197" s="70"/>
      <c r="B197" s="97" t="s">
        <v>327</v>
      </c>
      <c r="C197" s="77">
        <v>8</v>
      </c>
      <c r="D197" s="101" t="s">
        <v>55</v>
      </c>
      <c r="E197" s="79"/>
      <c r="F197" s="192">
        <v>1</v>
      </c>
      <c r="G197" s="193"/>
      <c r="H197" s="256"/>
      <c r="I197" s="253"/>
      <c r="J197" s="250"/>
    </row>
    <row r="198" spans="1:10" ht="15" customHeight="1">
      <c r="A198" s="70"/>
      <c r="B198" s="97" t="s">
        <v>327</v>
      </c>
      <c r="C198" s="77">
        <v>9</v>
      </c>
      <c r="D198" s="101" t="s">
        <v>56</v>
      </c>
      <c r="E198" s="79"/>
      <c r="F198" s="192">
        <v>2</v>
      </c>
      <c r="G198" s="193"/>
      <c r="H198" s="256"/>
      <c r="I198" s="253"/>
      <c r="J198" s="250"/>
    </row>
    <row r="199" spans="1:10" ht="15" customHeight="1">
      <c r="A199" s="70"/>
      <c r="B199" s="97" t="s">
        <v>327</v>
      </c>
      <c r="C199" s="98">
        <v>10</v>
      </c>
      <c r="D199" s="101" t="s">
        <v>57</v>
      </c>
      <c r="E199" s="79"/>
      <c r="F199" s="192">
        <v>2</v>
      </c>
      <c r="G199" s="193"/>
      <c r="H199" s="256"/>
      <c r="I199" s="253"/>
      <c r="J199" s="250"/>
    </row>
    <row r="200" spans="1:10" ht="15" customHeight="1">
      <c r="A200" s="70"/>
      <c r="B200" s="97" t="s">
        <v>327</v>
      </c>
      <c r="C200" s="77">
        <v>11</v>
      </c>
      <c r="D200" s="101" t="s">
        <v>58</v>
      </c>
      <c r="E200" s="79"/>
      <c r="F200" s="192">
        <v>2</v>
      </c>
      <c r="G200" s="193"/>
      <c r="H200" s="256"/>
      <c r="I200" s="253"/>
      <c r="J200" s="250"/>
    </row>
    <row r="201" spans="1:10" ht="15" customHeight="1">
      <c r="A201" s="70"/>
      <c r="B201" s="97" t="s">
        <v>327</v>
      </c>
      <c r="C201" s="77">
        <v>12</v>
      </c>
      <c r="D201" s="101" t="s">
        <v>59</v>
      </c>
      <c r="E201" s="79"/>
      <c r="F201" s="192">
        <v>1</v>
      </c>
      <c r="G201" s="193"/>
      <c r="H201" s="256"/>
      <c r="I201" s="253"/>
      <c r="J201" s="250"/>
    </row>
    <row r="202" spans="1:10" ht="15" customHeight="1">
      <c r="A202" s="70"/>
      <c r="B202" s="97" t="s">
        <v>327</v>
      </c>
      <c r="C202" s="98">
        <v>13</v>
      </c>
      <c r="D202" s="101" t="s">
        <v>60</v>
      </c>
      <c r="E202" s="79"/>
      <c r="F202" s="192">
        <v>1</v>
      </c>
      <c r="G202" s="193"/>
      <c r="H202" s="256"/>
      <c r="I202" s="253"/>
      <c r="J202" s="250"/>
    </row>
    <row r="203" spans="1:10" ht="15" customHeight="1">
      <c r="A203" s="70"/>
      <c r="B203" s="97" t="s">
        <v>327</v>
      </c>
      <c r="C203" s="77">
        <v>14</v>
      </c>
      <c r="D203" s="101" t="s">
        <v>61</v>
      </c>
      <c r="E203" s="79"/>
      <c r="F203" s="192">
        <v>4</v>
      </c>
      <c r="G203" s="193"/>
      <c r="H203" s="256"/>
      <c r="I203" s="253"/>
      <c r="J203" s="250"/>
    </row>
    <row r="204" spans="1:10" ht="15" customHeight="1">
      <c r="A204" s="70"/>
      <c r="B204" s="97" t="s">
        <v>327</v>
      </c>
      <c r="C204" s="77">
        <v>15</v>
      </c>
      <c r="D204" s="101" t="s">
        <v>62</v>
      </c>
      <c r="E204" s="79"/>
      <c r="F204" s="192">
        <v>4</v>
      </c>
      <c r="G204" s="193"/>
      <c r="H204" s="256"/>
      <c r="I204" s="253"/>
      <c r="J204" s="250"/>
    </row>
    <row r="205" spans="1:10" ht="15" customHeight="1">
      <c r="A205" s="70"/>
      <c r="B205" s="97" t="s">
        <v>327</v>
      </c>
      <c r="C205" s="98">
        <v>16</v>
      </c>
      <c r="D205" s="101" t="s">
        <v>63</v>
      </c>
      <c r="E205" s="79"/>
      <c r="F205" s="192">
        <v>1</v>
      </c>
      <c r="G205" s="193"/>
      <c r="H205" s="256"/>
      <c r="I205" s="253"/>
      <c r="J205" s="250"/>
    </row>
    <row r="206" spans="1:10" ht="15" customHeight="1">
      <c r="A206" s="70"/>
      <c r="B206" s="97" t="s">
        <v>327</v>
      </c>
      <c r="C206" s="77">
        <v>17</v>
      </c>
      <c r="D206" s="101" t="s">
        <v>64</v>
      </c>
      <c r="E206" s="79"/>
      <c r="F206" s="192">
        <v>7</v>
      </c>
      <c r="G206" s="193"/>
      <c r="H206" s="256"/>
      <c r="I206" s="253"/>
      <c r="J206" s="250"/>
    </row>
    <row r="207" spans="1:10" ht="15" customHeight="1">
      <c r="A207" s="70"/>
      <c r="B207" s="97" t="s">
        <v>327</v>
      </c>
      <c r="C207" s="77">
        <v>18</v>
      </c>
      <c r="D207" s="101" t="s">
        <v>65</v>
      </c>
      <c r="E207" s="79"/>
      <c r="F207" s="192">
        <v>1</v>
      </c>
      <c r="G207" s="193"/>
      <c r="H207" s="256"/>
      <c r="I207" s="253"/>
      <c r="J207" s="250"/>
    </row>
    <row r="208" spans="1:10" ht="15" customHeight="1">
      <c r="A208" s="70"/>
      <c r="B208" s="97" t="s">
        <v>327</v>
      </c>
      <c r="C208" s="98">
        <v>19</v>
      </c>
      <c r="D208" s="101" t="s">
        <v>66</v>
      </c>
      <c r="E208" s="79"/>
      <c r="F208" s="192">
        <v>1</v>
      </c>
      <c r="G208" s="193"/>
      <c r="H208" s="256"/>
      <c r="I208" s="253"/>
      <c r="J208" s="250"/>
    </row>
    <row r="209" spans="1:10" ht="15" customHeight="1">
      <c r="A209" s="70"/>
      <c r="B209" s="97" t="s">
        <v>327</v>
      </c>
      <c r="C209" s="77">
        <v>20</v>
      </c>
      <c r="D209" s="101" t="s">
        <v>67</v>
      </c>
      <c r="E209" s="79"/>
      <c r="F209" s="192">
        <v>1</v>
      </c>
      <c r="G209" s="193"/>
      <c r="H209" s="256"/>
      <c r="I209" s="253"/>
      <c r="J209" s="250"/>
    </row>
    <row r="210" spans="1:10" ht="15" customHeight="1">
      <c r="A210" s="70"/>
      <c r="B210" s="97" t="s">
        <v>327</v>
      </c>
      <c r="C210" s="77">
        <v>21</v>
      </c>
      <c r="D210" s="101" t="s">
        <v>68</v>
      </c>
      <c r="E210" s="79"/>
      <c r="F210" s="192">
        <v>1</v>
      </c>
      <c r="G210" s="193"/>
      <c r="H210" s="256"/>
      <c r="I210" s="253"/>
      <c r="J210" s="250"/>
    </row>
    <row r="211" spans="1:10" ht="15" customHeight="1">
      <c r="A211" s="70"/>
      <c r="B211" s="97" t="s">
        <v>327</v>
      </c>
      <c r="C211" s="98">
        <v>22</v>
      </c>
      <c r="D211" s="101" t="s">
        <v>69</v>
      </c>
      <c r="E211" s="79"/>
      <c r="F211" s="192">
        <v>4</v>
      </c>
      <c r="G211" s="193"/>
      <c r="H211" s="256"/>
      <c r="I211" s="253"/>
      <c r="J211" s="250"/>
    </row>
    <row r="212" spans="1:10" ht="15" customHeight="1">
      <c r="A212" s="70"/>
      <c r="B212" s="97" t="s">
        <v>327</v>
      </c>
      <c r="C212" s="77">
        <v>23</v>
      </c>
      <c r="D212" s="101" t="s">
        <v>70</v>
      </c>
      <c r="E212" s="79"/>
      <c r="F212" s="192">
        <v>2</v>
      </c>
      <c r="G212" s="193"/>
      <c r="H212" s="256"/>
      <c r="I212" s="253"/>
      <c r="J212" s="250"/>
    </row>
    <row r="213" spans="1:10" ht="15" customHeight="1">
      <c r="A213" s="70"/>
      <c r="B213" s="97" t="s">
        <v>327</v>
      </c>
      <c r="C213" s="77">
        <v>24</v>
      </c>
      <c r="D213" s="101" t="s">
        <v>71</v>
      </c>
      <c r="E213" s="79"/>
      <c r="F213" s="192">
        <v>1</v>
      </c>
      <c r="G213" s="193"/>
      <c r="H213" s="256"/>
      <c r="I213" s="253"/>
      <c r="J213" s="250"/>
    </row>
    <row r="214" spans="1:10" ht="15" customHeight="1">
      <c r="A214" s="70"/>
      <c r="B214" s="97" t="s">
        <v>327</v>
      </c>
      <c r="C214" s="98">
        <v>25</v>
      </c>
      <c r="D214" s="101" t="s">
        <v>72</v>
      </c>
      <c r="E214" s="79"/>
      <c r="F214" s="192">
        <v>1</v>
      </c>
      <c r="G214" s="193"/>
      <c r="H214" s="256"/>
      <c r="I214" s="253"/>
      <c r="J214" s="250"/>
    </row>
    <row r="215" spans="1:10" ht="15" customHeight="1">
      <c r="A215" s="70"/>
      <c r="B215" s="97" t="s">
        <v>327</v>
      </c>
      <c r="C215" s="77">
        <v>26</v>
      </c>
      <c r="D215" s="101" t="s">
        <v>73</v>
      </c>
      <c r="E215" s="79"/>
      <c r="F215" s="192">
        <v>1</v>
      </c>
      <c r="G215" s="193"/>
      <c r="H215" s="256"/>
      <c r="I215" s="253"/>
      <c r="J215" s="250"/>
    </row>
    <row r="216" spans="1:10" ht="15" customHeight="1">
      <c r="A216" s="70"/>
      <c r="B216" s="97" t="s">
        <v>327</v>
      </c>
      <c r="C216" s="77">
        <v>27</v>
      </c>
      <c r="D216" s="101" t="s">
        <v>54</v>
      </c>
      <c r="E216" s="79"/>
      <c r="F216" s="192">
        <v>1</v>
      </c>
      <c r="G216" s="193"/>
      <c r="H216" s="256"/>
      <c r="I216" s="253"/>
      <c r="J216" s="250"/>
    </row>
    <row r="217" spans="1:10" ht="15" customHeight="1">
      <c r="A217" s="70"/>
      <c r="B217" s="97" t="s">
        <v>327</v>
      </c>
      <c r="C217" s="98">
        <v>28</v>
      </c>
      <c r="D217" s="101" t="s">
        <v>77</v>
      </c>
      <c r="E217" s="79"/>
      <c r="F217" s="192">
        <v>1</v>
      </c>
      <c r="G217" s="193"/>
      <c r="H217" s="256"/>
      <c r="I217" s="253"/>
      <c r="J217" s="250"/>
    </row>
    <row r="218" spans="1:10" ht="15" customHeight="1">
      <c r="A218" s="70"/>
      <c r="B218" s="97" t="s">
        <v>327</v>
      </c>
      <c r="C218" s="77">
        <v>29</v>
      </c>
      <c r="D218" s="101" t="s">
        <v>78</v>
      </c>
      <c r="E218" s="79"/>
      <c r="F218" s="192">
        <v>1</v>
      </c>
      <c r="G218" s="193"/>
      <c r="H218" s="256"/>
      <c r="I218" s="253"/>
      <c r="J218" s="250"/>
    </row>
    <row r="219" spans="1:10" ht="15" customHeight="1">
      <c r="A219" s="70"/>
      <c r="B219" s="97" t="s">
        <v>327</v>
      </c>
      <c r="C219" s="77">
        <v>30</v>
      </c>
      <c r="D219" s="101" t="s">
        <v>133</v>
      </c>
      <c r="E219" s="79"/>
      <c r="F219" s="192">
        <v>1</v>
      </c>
      <c r="G219" s="193"/>
      <c r="H219" s="256"/>
      <c r="I219" s="253"/>
      <c r="J219" s="250"/>
    </row>
    <row r="220" spans="1:10" ht="15" customHeight="1">
      <c r="A220" s="70"/>
      <c r="B220" s="97" t="s">
        <v>327</v>
      </c>
      <c r="C220" s="98">
        <v>31</v>
      </c>
      <c r="D220" s="101" t="s">
        <v>83</v>
      </c>
      <c r="E220" s="79"/>
      <c r="F220" s="192">
        <v>1</v>
      </c>
      <c r="G220" s="193"/>
      <c r="H220" s="256"/>
      <c r="I220" s="253"/>
      <c r="J220" s="250"/>
    </row>
    <row r="221" spans="1:10" ht="15" customHeight="1">
      <c r="A221" s="70"/>
      <c r="B221" s="97" t="s">
        <v>327</v>
      </c>
      <c r="C221" s="77">
        <v>32</v>
      </c>
      <c r="D221" s="101" t="s">
        <v>84</v>
      </c>
      <c r="E221" s="79"/>
      <c r="F221" s="192">
        <v>1</v>
      </c>
      <c r="G221" s="193"/>
      <c r="H221" s="256"/>
      <c r="I221" s="253"/>
      <c r="J221" s="250"/>
    </row>
    <row r="222" spans="1:10" ht="15" customHeight="1">
      <c r="A222" s="70"/>
      <c r="B222" s="97" t="s">
        <v>327</v>
      </c>
      <c r="C222" s="77">
        <v>33</v>
      </c>
      <c r="D222" s="101" t="s">
        <v>85</v>
      </c>
      <c r="E222" s="79"/>
      <c r="F222" s="192">
        <v>1</v>
      </c>
      <c r="G222" s="193"/>
      <c r="H222" s="256"/>
      <c r="I222" s="253"/>
      <c r="J222" s="250"/>
    </row>
    <row r="223" spans="1:10" ht="15" customHeight="1">
      <c r="A223" s="70"/>
      <c r="B223" s="97" t="s">
        <v>327</v>
      </c>
      <c r="C223" s="98">
        <v>34</v>
      </c>
      <c r="D223" s="101" t="s">
        <v>137</v>
      </c>
      <c r="E223" s="79"/>
      <c r="F223" s="192">
        <v>1</v>
      </c>
      <c r="G223" s="193"/>
      <c r="H223" s="256"/>
      <c r="I223" s="253"/>
      <c r="J223" s="250"/>
    </row>
    <row r="224" spans="1:10" ht="15" customHeight="1">
      <c r="A224" s="70"/>
      <c r="B224" s="97" t="s">
        <v>327</v>
      </c>
      <c r="C224" s="77">
        <v>35</v>
      </c>
      <c r="D224" s="101" t="s">
        <v>135</v>
      </c>
      <c r="E224" s="79"/>
      <c r="F224" s="192">
        <v>1</v>
      </c>
      <c r="G224" s="193"/>
      <c r="H224" s="256"/>
      <c r="I224" s="253"/>
      <c r="J224" s="250"/>
    </row>
    <row r="225" spans="1:10" ht="15" customHeight="1">
      <c r="A225" s="70"/>
      <c r="B225" s="97" t="s">
        <v>327</v>
      </c>
      <c r="C225" s="77">
        <v>36</v>
      </c>
      <c r="D225" s="101" t="s">
        <v>138</v>
      </c>
      <c r="E225" s="79"/>
      <c r="F225" s="192">
        <v>1</v>
      </c>
      <c r="G225" s="193"/>
      <c r="H225" s="256"/>
      <c r="I225" s="253"/>
      <c r="J225" s="250"/>
    </row>
    <row r="226" spans="1:10" ht="15" customHeight="1">
      <c r="A226" s="70"/>
      <c r="B226" s="97" t="s">
        <v>327</v>
      </c>
      <c r="C226" s="98">
        <v>37</v>
      </c>
      <c r="D226" s="101" t="s">
        <v>139</v>
      </c>
      <c r="E226" s="79"/>
      <c r="F226" s="192">
        <v>1</v>
      </c>
      <c r="G226" s="193"/>
      <c r="H226" s="256"/>
      <c r="I226" s="253"/>
      <c r="J226" s="250"/>
    </row>
    <row r="227" spans="1:10" ht="15" customHeight="1">
      <c r="A227" s="70"/>
      <c r="B227" s="97" t="s">
        <v>327</v>
      </c>
      <c r="C227" s="77">
        <v>38</v>
      </c>
      <c r="D227" s="101" t="s">
        <v>140</v>
      </c>
      <c r="E227" s="79"/>
      <c r="F227" s="192">
        <v>3</v>
      </c>
      <c r="G227" s="193"/>
      <c r="H227" s="256"/>
      <c r="I227" s="253"/>
      <c r="J227" s="250"/>
    </row>
    <row r="228" spans="1:10" ht="15" customHeight="1">
      <c r="A228" s="70"/>
      <c r="B228" s="97" t="s">
        <v>327</v>
      </c>
      <c r="C228" s="77">
        <v>39</v>
      </c>
      <c r="D228" s="101" t="s">
        <v>141</v>
      </c>
      <c r="E228" s="79"/>
      <c r="F228" s="192">
        <v>1</v>
      </c>
      <c r="G228" s="193"/>
      <c r="H228" s="256"/>
      <c r="I228" s="253"/>
      <c r="J228" s="250"/>
    </row>
    <row r="229" spans="1:10" ht="15" customHeight="1">
      <c r="A229" s="70"/>
      <c r="B229" s="97" t="s">
        <v>327</v>
      </c>
      <c r="C229" s="98">
        <v>40</v>
      </c>
      <c r="D229" s="101" t="s">
        <v>147</v>
      </c>
      <c r="E229" s="79"/>
      <c r="F229" s="192">
        <v>7</v>
      </c>
      <c r="G229" s="193"/>
      <c r="H229" s="256"/>
      <c r="I229" s="253"/>
      <c r="J229" s="250"/>
    </row>
    <row r="230" spans="1:10" ht="15" customHeight="1">
      <c r="A230" s="70"/>
      <c r="B230" s="97" t="s">
        <v>327</v>
      </c>
      <c r="C230" s="77">
        <v>41</v>
      </c>
      <c r="D230" s="101" t="s">
        <v>128</v>
      </c>
      <c r="E230" s="79"/>
      <c r="F230" s="192">
        <v>4</v>
      </c>
      <c r="G230" s="193"/>
      <c r="H230" s="256"/>
      <c r="I230" s="253"/>
      <c r="J230" s="250"/>
    </row>
    <row r="231" spans="1:10" ht="15" customHeight="1">
      <c r="A231" s="70"/>
      <c r="B231" s="97" t="s">
        <v>327</v>
      </c>
      <c r="C231" s="77">
        <v>42</v>
      </c>
      <c r="D231" s="101" t="s">
        <v>129</v>
      </c>
      <c r="E231" s="79"/>
      <c r="F231" s="192">
        <v>6</v>
      </c>
      <c r="G231" s="193"/>
      <c r="H231" s="256"/>
      <c r="I231" s="253"/>
      <c r="J231" s="250"/>
    </row>
    <row r="232" spans="1:10" ht="15" customHeight="1">
      <c r="A232" s="70"/>
      <c r="B232" s="97" t="s">
        <v>327</v>
      </c>
      <c r="C232" s="98">
        <v>43</v>
      </c>
      <c r="D232" s="101" t="s">
        <v>149</v>
      </c>
      <c r="E232" s="79"/>
      <c r="F232" s="192">
        <v>6</v>
      </c>
      <c r="G232" s="193"/>
      <c r="H232" s="256"/>
      <c r="I232" s="253"/>
      <c r="J232" s="250"/>
    </row>
    <row r="233" spans="1:10" ht="15" customHeight="1">
      <c r="A233" s="70"/>
      <c r="B233" s="97" t="s">
        <v>327</v>
      </c>
      <c r="C233" s="77">
        <v>44</v>
      </c>
      <c r="D233" s="101" t="s">
        <v>80</v>
      </c>
      <c r="E233" s="79"/>
      <c r="F233" s="192">
        <v>1</v>
      </c>
      <c r="G233" s="193"/>
      <c r="H233" s="256"/>
      <c r="I233" s="253"/>
      <c r="J233" s="250"/>
    </row>
    <row r="234" spans="1:10" ht="15" customHeight="1">
      <c r="A234" s="70"/>
      <c r="B234" s="97" t="s">
        <v>327</v>
      </c>
      <c r="C234" s="77">
        <v>45</v>
      </c>
      <c r="D234" s="101" t="s">
        <v>142</v>
      </c>
      <c r="E234" s="79"/>
      <c r="F234" s="192">
        <v>4</v>
      </c>
      <c r="G234" s="193"/>
      <c r="H234" s="256"/>
      <c r="I234" s="253"/>
      <c r="J234" s="250"/>
    </row>
    <row r="235" spans="1:10" ht="15" customHeight="1">
      <c r="A235" s="70"/>
      <c r="B235" s="97" t="s">
        <v>327</v>
      </c>
      <c r="C235" s="98">
        <v>46</v>
      </c>
      <c r="D235" s="101" t="s">
        <v>79</v>
      </c>
      <c r="E235" s="79"/>
      <c r="F235" s="192">
        <v>1</v>
      </c>
      <c r="G235" s="193"/>
      <c r="H235" s="256"/>
      <c r="I235" s="253"/>
      <c r="J235" s="250"/>
    </row>
    <row r="236" spans="1:10" ht="15" customHeight="1">
      <c r="A236" s="70"/>
      <c r="B236" s="97" t="s">
        <v>327</v>
      </c>
      <c r="C236" s="77">
        <v>47</v>
      </c>
      <c r="D236" s="101" t="s">
        <v>81</v>
      </c>
      <c r="E236" s="79"/>
      <c r="F236" s="192">
        <v>1</v>
      </c>
      <c r="G236" s="193"/>
      <c r="H236" s="256"/>
      <c r="I236" s="253"/>
      <c r="J236" s="250"/>
    </row>
    <row r="237" spans="1:10" ht="15" customHeight="1">
      <c r="A237" s="70"/>
      <c r="B237" s="97" t="s">
        <v>327</v>
      </c>
      <c r="C237" s="77">
        <v>48</v>
      </c>
      <c r="D237" s="101" t="s">
        <v>130</v>
      </c>
      <c r="E237" s="79"/>
      <c r="F237" s="192">
        <v>6</v>
      </c>
      <c r="G237" s="193"/>
      <c r="H237" s="256"/>
      <c r="I237" s="253"/>
      <c r="J237" s="250"/>
    </row>
    <row r="238" spans="1:10" ht="15" customHeight="1">
      <c r="A238" s="70"/>
      <c r="B238" s="97" t="s">
        <v>327</v>
      </c>
      <c r="C238" s="98">
        <v>49</v>
      </c>
      <c r="D238" s="101" t="s">
        <v>131</v>
      </c>
      <c r="E238" s="79"/>
      <c r="F238" s="192">
        <v>12</v>
      </c>
      <c r="G238" s="193"/>
      <c r="H238" s="256"/>
      <c r="I238" s="253"/>
      <c r="J238" s="250"/>
    </row>
    <row r="239" spans="1:10" ht="15" customHeight="1">
      <c r="A239" s="70"/>
      <c r="B239" s="97" t="s">
        <v>327</v>
      </c>
      <c r="C239" s="77">
        <v>50</v>
      </c>
      <c r="D239" s="101" t="s">
        <v>132</v>
      </c>
      <c r="E239" s="79"/>
      <c r="F239" s="192">
        <v>12</v>
      </c>
      <c r="G239" s="193"/>
      <c r="H239" s="256"/>
      <c r="I239" s="253"/>
      <c r="J239" s="250"/>
    </row>
    <row r="240" spans="1:10" ht="15" customHeight="1">
      <c r="A240" s="70"/>
      <c r="B240" s="97" t="s">
        <v>327</v>
      </c>
      <c r="C240" s="77">
        <v>51</v>
      </c>
      <c r="D240" s="101" t="s">
        <v>134</v>
      </c>
      <c r="E240" s="79"/>
      <c r="F240" s="192">
        <v>2</v>
      </c>
      <c r="G240" s="193"/>
      <c r="H240" s="256"/>
      <c r="I240" s="253"/>
      <c r="J240" s="250"/>
    </row>
    <row r="241" spans="1:10" ht="15" customHeight="1">
      <c r="A241" s="70"/>
      <c r="B241" s="97" t="s">
        <v>327</v>
      </c>
      <c r="C241" s="98">
        <v>52</v>
      </c>
      <c r="D241" s="101" t="s">
        <v>143</v>
      </c>
      <c r="E241" s="79"/>
      <c r="F241" s="192">
        <v>4</v>
      </c>
      <c r="G241" s="193"/>
      <c r="H241" s="256"/>
      <c r="I241" s="253"/>
      <c r="J241" s="250"/>
    </row>
    <row r="242" spans="1:10" ht="15" customHeight="1">
      <c r="A242" s="70"/>
      <c r="B242" s="97" t="s">
        <v>327</v>
      </c>
      <c r="C242" s="77">
        <v>53</v>
      </c>
      <c r="D242" s="101" t="s">
        <v>82</v>
      </c>
      <c r="E242" s="79"/>
      <c r="F242" s="192">
        <v>16</v>
      </c>
      <c r="G242" s="193"/>
      <c r="H242" s="256"/>
      <c r="I242" s="253"/>
      <c r="J242" s="250"/>
    </row>
    <row r="243" spans="1:10" ht="15" customHeight="1">
      <c r="A243" s="70"/>
      <c r="B243" s="97" t="s">
        <v>327</v>
      </c>
      <c r="C243" s="77">
        <v>54</v>
      </c>
      <c r="D243" s="101" t="s">
        <v>136</v>
      </c>
      <c r="E243" s="79"/>
      <c r="F243" s="192">
        <v>1</v>
      </c>
      <c r="G243" s="193"/>
      <c r="H243" s="256"/>
      <c r="I243" s="253"/>
      <c r="J243" s="250"/>
    </row>
    <row r="244" spans="1:10" ht="15" customHeight="1">
      <c r="A244" s="70"/>
      <c r="B244" s="97" t="s">
        <v>327</v>
      </c>
      <c r="C244" s="98">
        <v>55</v>
      </c>
      <c r="D244" s="101" t="s">
        <v>86</v>
      </c>
      <c r="E244" s="79"/>
      <c r="F244" s="192">
        <v>14</v>
      </c>
      <c r="G244" s="193"/>
      <c r="H244" s="256"/>
      <c r="I244" s="253"/>
      <c r="J244" s="250"/>
    </row>
    <row r="245" spans="1:10" ht="15" customHeight="1">
      <c r="A245" s="70"/>
      <c r="B245" s="97" t="s">
        <v>327</v>
      </c>
      <c r="C245" s="77">
        <v>56</v>
      </c>
      <c r="D245" s="101" t="s">
        <v>87</v>
      </c>
      <c r="E245" s="79"/>
      <c r="F245" s="192">
        <v>1</v>
      </c>
      <c r="G245" s="193"/>
      <c r="H245" s="256"/>
      <c r="I245" s="253"/>
      <c r="J245" s="250"/>
    </row>
    <row r="246" spans="1:10" ht="15" customHeight="1">
      <c r="A246" s="70"/>
      <c r="B246" s="97" t="s">
        <v>327</v>
      </c>
      <c r="C246" s="77">
        <v>57</v>
      </c>
      <c r="D246" s="101" t="s">
        <v>144</v>
      </c>
      <c r="E246" s="79"/>
      <c r="F246" s="192">
        <v>1</v>
      </c>
      <c r="G246" s="193"/>
      <c r="H246" s="256"/>
      <c r="I246" s="253"/>
      <c r="J246" s="250"/>
    </row>
    <row r="247" spans="1:10" ht="15" customHeight="1">
      <c r="A247" s="70"/>
      <c r="B247" s="97" t="s">
        <v>327</v>
      </c>
      <c r="C247" s="98">
        <v>58</v>
      </c>
      <c r="D247" s="101" t="s">
        <v>88</v>
      </c>
      <c r="E247" s="79"/>
      <c r="F247" s="192">
        <v>1</v>
      </c>
      <c r="G247" s="193"/>
      <c r="H247" s="256"/>
      <c r="I247" s="253"/>
      <c r="J247" s="250"/>
    </row>
    <row r="248" spans="1:10" ht="15" customHeight="1">
      <c r="A248" s="70"/>
      <c r="B248" s="97" t="s">
        <v>327</v>
      </c>
      <c r="C248" s="77">
        <v>59</v>
      </c>
      <c r="D248" s="101" t="s">
        <v>89</v>
      </c>
      <c r="E248" s="79"/>
      <c r="F248" s="192">
        <v>1</v>
      </c>
      <c r="G248" s="193"/>
      <c r="H248" s="256"/>
      <c r="I248" s="253"/>
      <c r="J248" s="250"/>
    </row>
    <row r="249" spans="1:10" ht="15" customHeight="1">
      <c r="A249" s="70"/>
      <c r="B249" s="97" t="s">
        <v>327</v>
      </c>
      <c r="C249" s="77">
        <v>60</v>
      </c>
      <c r="D249" s="101" t="s">
        <v>90</v>
      </c>
      <c r="E249" s="79"/>
      <c r="F249" s="192">
        <v>2</v>
      </c>
      <c r="G249" s="193"/>
      <c r="H249" s="256"/>
      <c r="I249" s="253"/>
      <c r="J249" s="250"/>
    </row>
    <row r="250" spans="1:10" ht="15" customHeight="1">
      <c r="A250" s="70"/>
      <c r="B250" s="97" t="s">
        <v>327</v>
      </c>
      <c r="C250" s="98">
        <v>61</v>
      </c>
      <c r="D250" s="101" t="s">
        <v>91</v>
      </c>
      <c r="E250" s="79"/>
      <c r="F250" s="192">
        <v>8</v>
      </c>
      <c r="G250" s="193"/>
      <c r="H250" s="256"/>
      <c r="I250" s="253"/>
      <c r="J250" s="250"/>
    </row>
    <row r="251" spans="1:10" ht="15" customHeight="1">
      <c r="A251" s="70"/>
      <c r="B251" s="97" t="s">
        <v>327</v>
      </c>
      <c r="C251" s="77">
        <v>62</v>
      </c>
      <c r="D251" s="101" t="s">
        <v>92</v>
      </c>
      <c r="E251" s="79"/>
      <c r="F251" s="192">
        <v>2</v>
      </c>
      <c r="G251" s="193"/>
      <c r="H251" s="256"/>
      <c r="I251" s="253"/>
      <c r="J251" s="250"/>
    </row>
    <row r="252" spans="1:10" ht="15" customHeight="1">
      <c r="A252" s="70"/>
      <c r="B252" s="97" t="s">
        <v>327</v>
      </c>
      <c r="C252" s="77">
        <v>63</v>
      </c>
      <c r="D252" s="101" t="s">
        <v>93</v>
      </c>
      <c r="E252" s="79"/>
      <c r="F252" s="192">
        <v>5</v>
      </c>
      <c r="G252" s="193"/>
      <c r="H252" s="256"/>
      <c r="I252" s="253"/>
      <c r="J252" s="250"/>
    </row>
    <row r="253" spans="1:10" ht="15" customHeight="1">
      <c r="A253" s="70"/>
      <c r="B253" s="97" t="s">
        <v>327</v>
      </c>
      <c r="C253" s="98">
        <v>64</v>
      </c>
      <c r="D253" s="101" t="s">
        <v>94</v>
      </c>
      <c r="E253" s="79"/>
      <c r="F253" s="192">
        <v>4</v>
      </c>
      <c r="G253" s="193"/>
      <c r="H253" s="256"/>
      <c r="I253" s="253"/>
      <c r="J253" s="250"/>
    </row>
    <row r="254" spans="1:10" ht="15" customHeight="1">
      <c r="A254" s="70"/>
      <c r="B254" s="97" t="s">
        <v>327</v>
      </c>
      <c r="C254" s="77">
        <v>65</v>
      </c>
      <c r="D254" s="101" t="s">
        <v>95</v>
      </c>
      <c r="E254" s="79"/>
      <c r="F254" s="192">
        <v>1</v>
      </c>
      <c r="G254" s="193"/>
      <c r="H254" s="256"/>
      <c r="I254" s="253"/>
      <c r="J254" s="250"/>
    </row>
    <row r="255" spans="1:10" ht="15" customHeight="1">
      <c r="A255" s="70"/>
      <c r="B255" s="97" t="s">
        <v>327</v>
      </c>
      <c r="C255" s="77">
        <v>66</v>
      </c>
      <c r="D255" s="101" t="s">
        <v>106</v>
      </c>
      <c r="E255" s="79"/>
      <c r="F255" s="192">
        <v>8</v>
      </c>
      <c r="G255" s="193"/>
      <c r="H255" s="256"/>
      <c r="I255" s="253"/>
      <c r="J255" s="250"/>
    </row>
    <row r="256" spans="1:10" ht="15" customHeight="1">
      <c r="A256" s="70"/>
      <c r="B256" s="97" t="s">
        <v>327</v>
      </c>
      <c r="C256" s="98">
        <v>67</v>
      </c>
      <c r="D256" s="101" t="s">
        <v>97</v>
      </c>
      <c r="E256" s="79"/>
      <c r="F256" s="192">
        <v>4</v>
      </c>
      <c r="G256" s="193"/>
      <c r="H256" s="256"/>
      <c r="I256" s="253"/>
      <c r="J256" s="250"/>
    </row>
    <row r="257" spans="1:10" ht="15" customHeight="1">
      <c r="A257" s="70"/>
      <c r="B257" s="97" t="s">
        <v>327</v>
      </c>
      <c r="C257" s="77">
        <v>68</v>
      </c>
      <c r="D257" s="101" t="s">
        <v>98</v>
      </c>
      <c r="E257" s="79"/>
      <c r="F257" s="192">
        <v>1</v>
      </c>
      <c r="G257" s="193"/>
      <c r="H257" s="256"/>
      <c r="I257" s="253"/>
      <c r="J257" s="250"/>
    </row>
    <row r="258" spans="1:10" ht="15" customHeight="1">
      <c r="A258" s="70"/>
      <c r="B258" s="97" t="s">
        <v>327</v>
      </c>
      <c r="C258" s="77">
        <v>69</v>
      </c>
      <c r="D258" s="101" t="s">
        <v>99</v>
      </c>
      <c r="E258" s="79"/>
      <c r="F258" s="192">
        <v>1</v>
      </c>
      <c r="G258" s="193"/>
      <c r="H258" s="256"/>
      <c r="I258" s="253"/>
      <c r="J258" s="250"/>
    </row>
    <row r="259" spans="1:10" ht="15" customHeight="1">
      <c r="A259" s="70"/>
      <c r="B259" s="97" t="s">
        <v>327</v>
      </c>
      <c r="C259" s="98">
        <v>70</v>
      </c>
      <c r="D259" s="101" t="s">
        <v>326</v>
      </c>
      <c r="E259" s="79"/>
      <c r="F259" s="192">
        <v>1</v>
      </c>
      <c r="G259" s="193"/>
      <c r="H259" s="256"/>
      <c r="I259" s="253"/>
      <c r="J259" s="250"/>
    </row>
    <row r="260" spans="1:10" ht="15" customHeight="1">
      <c r="A260" s="70"/>
      <c r="B260" s="97" t="s">
        <v>327</v>
      </c>
      <c r="C260" s="77">
        <v>71</v>
      </c>
      <c r="D260" s="101" t="s">
        <v>145</v>
      </c>
      <c r="E260" s="79"/>
      <c r="F260" s="192">
        <v>1</v>
      </c>
      <c r="G260" s="193"/>
      <c r="H260" s="256"/>
      <c r="I260" s="253"/>
      <c r="J260" s="250"/>
    </row>
    <row r="261" spans="1:10" ht="15" customHeight="1">
      <c r="A261" s="70"/>
      <c r="B261" s="97" t="s">
        <v>327</v>
      </c>
      <c r="C261" s="77">
        <v>72</v>
      </c>
      <c r="D261" s="101" t="s">
        <v>146</v>
      </c>
      <c r="E261" s="79"/>
      <c r="F261" s="192">
        <v>1</v>
      </c>
      <c r="G261" s="193"/>
      <c r="H261" s="256"/>
      <c r="I261" s="253"/>
      <c r="J261" s="250"/>
    </row>
    <row r="262" spans="1:10" ht="15" customHeight="1">
      <c r="A262" s="70"/>
      <c r="B262" s="97" t="s">
        <v>327</v>
      </c>
      <c r="C262" s="98">
        <v>73</v>
      </c>
      <c r="D262" s="101" t="s">
        <v>101</v>
      </c>
      <c r="E262" s="79"/>
      <c r="F262" s="192">
        <v>2</v>
      </c>
      <c r="G262" s="193"/>
      <c r="H262" s="256"/>
      <c r="I262" s="253"/>
      <c r="J262" s="250"/>
    </row>
    <row r="263" spans="1:10" ht="15" customHeight="1">
      <c r="A263" s="70"/>
      <c r="B263" s="97" t="s">
        <v>327</v>
      </c>
      <c r="C263" s="77">
        <v>74</v>
      </c>
      <c r="D263" s="101" t="s">
        <v>102</v>
      </c>
      <c r="E263" s="79"/>
      <c r="F263" s="192">
        <v>1</v>
      </c>
      <c r="G263" s="193"/>
      <c r="H263" s="256"/>
      <c r="I263" s="253"/>
      <c r="J263" s="250"/>
    </row>
    <row r="264" spans="1:10" ht="15" customHeight="1">
      <c r="A264" s="70"/>
      <c r="B264" s="97" t="s">
        <v>327</v>
      </c>
      <c r="C264" s="77">
        <v>75</v>
      </c>
      <c r="D264" s="101" t="s">
        <v>103</v>
      </c>
      <c r="E264" s="79"/>
      <c r="F264" s="192">
        <v>2</v>
      </c>
      <c r="G264" s="193"/>
      <c r="H264" s="256"/>
      <c r="I264" s="253"/>
      <c r="J264" s="250"/>
    </row>
    <row r="265" spans="1:10" ht="15" customHeight="1">
      <c r="A265" s="70"/>
      <c r="B265" s="97" t="s">
        <v>327</v>
      </c>
      <c r="C265" s="98">
        <v>76</v>
      </c>
      <c r="D265" s="101" t="s">
        <v>104</v>
      </c>
      <c r="E265" s="79"/>
      <c r="F265" s="192">
        <v>1</v>
      </c>
      <c r="G265" s="193"/>
      <c r="H265" s="256"/>
      <c r="I265" s="253"/>
      <c r="J265" s="250"/>
    </row>
    <row r="266" spans="1:10" ht="15" customHeight="1">
      <c r="A266" s="70"/>
      <c r="B266" s="97" t="s">
        <v>327</v>
      </c>
      <c r="C266" s="77">
        <v>77</v>
      </c>
      <c r="D266" s="101" t="s">
        <v>105</v>
      </c>
      <c r="E266" s="79"/>
      <c r="F266" s="192">
        <v>4</v>
      </c>
      <c r="G266" s="193"/>
      <c r="H266" s="256"/>
      <c r="I266" s="253"/>
      <c r="J266" s="250"/>
    </row>
    <row r="267" spans="1:10" ht="15" customHeight="1">
      <c r="A267" s="70"/>
      <c r="B267" s="97" t="s">
        <v>327</v>
      </c>
      <c r="C267" s="77">
        <v>78</v>
      </c>
      <c r="D267" s="101" t="s">
        <v>110</v>
      </c>
      <c r="E267" s="79"/>
      <c r="F267" s="192">
        <v>2</v>
      </c>
      <c r="G267" s="193"/>
      <c r="H267" s="256"/>
      <c r="I267" s="253"/>
      <c r="J267" s="250"/>
    </row>
    <row r="268" spans="1:10" ht="15" customHeight="1">
      <c r="A268" s="70"/>
      <c r="B268" s="97" t="s">
        <v>327</v>
      </c>
      <c r="C268" s="98">
        <v>79</v>
      </c>
      <c r="D268" s="101" t="s">
        <v>107</v>
      </c>
      <c r="E268" s="79"/>
      <c r="F268" s="192">
        <v>8</v>
      </c>
      <c r="G268" s="193"/>
      <c r="H268" s="256"/>
      <c r="I268" s="253"/>
      <c r="J268" s="250"/>
    </row>
    <row r="269" spans="1:10" ht="15" customHeight="1">
      <c r="A269" s="70"/>
      <c r="B269" s="97" t="s">
        <v>327</v>
      </c>
      <c r="C269" s="77">
        <v>80</v>
      </c>
      <c r="D269" s="101" t="s">
        <v>108</v>
      </c>
      <c r="E269" s="79"/>
      <c r="F269" s="192">
        <v>1</v>
      </c>
      <c r="G269" s="193"/>
      <c r="H269" s="256"/>
      <c r="I269" s="253"/>
      <c r="J269" s="250"/>
    </row>
    <row r="270" spans="1:10" ht="15" customHeight="1">
      <c r="A270" s="70"/>
      <c r="B270" s="97" t="s">
        <v>327</v>
      </c>
      <c r="C270" s="77">
        <v>81</v>
      </c>
      <c r="D270" s="101" t="s">
        <v>109</v>
      </c>
      <c r="E270" s="79"/>
      <c r="F270" s="192">
        <v>1</v>
      </c>
      <c r="G270" s="193"/>
      <c r="H270" s="256"/>
      <c r="I270" s="253"/>
      <c r="J270" s="250"/>
    </row>
    <row r="271" spans="1:10" ht="15" customHeight="1">
      <c r="A271" s="70"/>
      <c r="B271" s="97" t="s">
        <v>327</v>
      </c>
      <c r="C271" s="98">
        <v>82</v>
      </c>
      <c r="D271" s="101" t="s">
        <v>96</v>
      </c>
      <c r="E271" s="79"/>
      <c r="F271" s="192">
        <v>16</v>
      </c>
      <c r="G271" s="193"/>
      <c r="H271" s="256"/>
      <c r="I271" s="253"/>
      <c r="J271" s="250"/>
    </row>
    <row r="272" spans="1:10" ht="15" customHeight="1">
      <c r="A272" s="70"/>
      <c r="B272" s="97" t="s">
        <v>327</v>
      </c>
      <c r="C272" s="77">
        <v>83</v>
      </c>
      <c r="D272" s="101" t="s">
        <v>111</v>
      </c>
      <c r="E272" s="79"/>
      <c r="F272" s="192">
        <v>3</v>
      </c>
      <c r="G272" s="193"/>
      <c r="H272" s="256"/>
      <c r="I272" s="253"/>
      <c r="J272" s="250"/>
    </row>
    <row r="273" spans="1:10" ht="15" customHeight="1">
      <c r="A273" s="70"/>
      <c r="B273" s="97" t="s">
        <v>327</v>
      </c>
      <c r="C273" s="77">
        <v>84</v>
      </c>
      <c r="D273" s="101" t="s">
        <v>112</v>
      </c>
      <c r="E273" s="79"/>
      <c r="F273" s="192">
        <v>14</v>
      </c>
      <c r="G273" s="193"/>
      <c r="H273" s="256"/>
      <c r="I273" s="253"/>
      <c r="J273" s="250"/>
    </row>
    <row r="274" spans="1:10" ht="15" customHeight="1">
      <c r="A274" s="70"/>
      <c r="B274" s="97" t="s">
        <v>327</v>
      </c>
      <c r="C274" s="98">
        <v>85</v>
      </c>
      <c r="D274" s="101" t="s">
        <v>113</v>
      </c>
      <c r="E274" s="79"/>
      <c r="F274" s="192">
        <v>2</v>
      </c>
      <c r="G274" s="193"/>
      <c r="H274" s="256"/>
      <c r="I274" s="253"/>
      <c r="J274" s="250"/>
    </row>
    <row r="275" spans="1:10" ht="15" customHeight="1">
      <c r="A275" s="70"/>
      <c r="B275" s="97" t="s">
        <v>327</v>
      </c>
      <c r="C275" s="77">
        <v>86</v>
      </c>
      <c r="D275" s="101" t="s">
        <v>114</v>
      </c>
      <c r="E275" s="79"/>
      <c r="F275" s="192">
        <v>2</v>
      </c>
      <c r="G275" s="193"/>
      <c r="H275" s="256"/>
      <c r="I275" s="253"/>
      <c r="J275" s="250"/>
    </row>
    <row r="276" spans="1:10" ht="15" customHeight="1">
      <c r="A276" s="70"/>
      <c r="B276" s="97" t="s">
        <v>327</v>
      </c>
      <c r="C276" s="77">
        <v>87</v>
      </c>
      <c r="D276" s="101" t="s">
        <v>115</v>
      </c>
      <c r="E276" s="79"/>
      <c r="F276" s="192">
        <v>1</v>
      </c>
      <c r="G276" s="193"/>
      <c r="H276" s="256"/>
      <c r="I276" s="253"/>
      <c r="J276" s="250"/>
    </row>
    <row r="277" spans="1:10" ht="15" customHeight="1">
      <c r="A277" s="70"/>
      <c r="B277" s="97" t="s">
        <v>327</v>
      </c>
      <c r="C277" s="98">
        <v>88</v>
      </c>
      <c r="D277" s="101" t="s">
        <v>116</v>
      </c>
      <c r="E277" s="79"/>
      <c r="F277" s="192">
        <v>2</v>
      </c>
      <c r="G277" s="193"/>
      <c r="H277" s="256"/>
      <c r="I277" s="253"/>
      <c r="J277" s="250"/>
    </row>
    <row r="278" spans="1:10" ht="15" customHeight="1">
      <c r="A278" s="70"/>
      <c r="B278" s="97" t="s">
        <v>327</v>
      </c>
      <c r="C278" s="77">
        <v>89</v>
      </c>
      <c r="D278" s="101" t="s">
        <v>117</v>
      </c>
      <c r="E278" s="79"/>
      <c r="F278" s="192">
        <v>6</v>
      </c>
      <c r="G278" s="193"/>
      <c r="H278" s="256"/>
      <c r="I278" s="253"/>
      <c r="J278" s="250"/>
    </row>
    <row r="279" spans="1:10" ht="15" customHeight="1">
      <c r="A279" s="70"/>
      <c r="B279" s="97" t="s">
        <v>327</v>
      </c>
      <c r="C279" s="77">
        <v>90</v>
      </c>
      <c r="D279" s="101" t="s">
        <v>118</v>
      </c>
      <c r="E279" s="79"/>
      <c r="F279" s="192">
        <v>2</v>
      </c>
      <c r="G279" s="193"/>
      <c r="H279" s="256"/>
      <c r="I279" s="253"/>
      <c r="J279" s="250"/>
    </row>
    <row r="280" spans="1:10" ht="15" customHeight="1">
      <c r="A280" s="70"/>
      <c r="B280" s="97" t="s">
        <v>327</v>
      </c>
      <c r="C280" s="98">
        <v>91</v>
      </c>
      <c r="D280" s="101" t="s">
        <v>119</v>
      </c>
      <c r="E280" s="79"/>
      <c r="F280" s="192">
        <v>4</v>
      </c>
      <c r="G280" s="193"/>
      <c r="H280" s="256"/>
      <c r="I280" s="253"/>
      <c r="J280" s="250"/>
    </row>
    <row r="281" spans="1:10" ht="15" customHeight="1">
      <c r="A281" s="70"/>
      <c r="B281" s="97" t="s">
        <v>327</v>
      </c>
      <c r="C281" s="77">
        <v>92</v>
      </c>
      <c r="D281" s="101" t="s">
        <v>120</v>
      </c>
      <c r="E281" s="79"/>
      <c r="F281" s="192">
        <v>1</v>
      </c>
      <c r="G281" s="193"/>
      <c r="H281" s="256"/>
      <c r="I281" s="253"/>
      <c r="J281" s="250"/>
    </row>
    <row r="282" spans="1:10" ht="15" customHeight="1">
      <c r="A282" s="70"/>
      <c r="B282" s="97" t="s">
        <v>327</v>
      </c>
      <c r="C282" s="77">
        <v>93</v>
      </c>
      <c r="D282" s="101" t="s">
        <v>122</v>
      </c>
      <c r="E282" s="79"/>
      <c r="F282" s="192">
        <v>4</v>
      </c>
      <c r="G282" s="193"/>
      <c r="H282" s="256"/>
      <c r="I282" s="253"/>
      <c r="J282" s="250"/>
    </row>
    <row r="283" spans="1:10" ht="15" customHeight="1">
      <c r="A283" s="70"/>
      <c r="B283" s="97" t="s">
        <v>327</v>
      </c>
      <c r="C283" s="98">
        <v>94</v>
      </c>
      <c r="D283" s="101" t="s">
        <v>123</v>
      </c>
      <c r="E283" s="79"/>
      <c r="F283" s="192">
        <v>4</v>
      </c>
      <c r="G283" s="193"/>
      <c r="H283" s="256"/>
      <c r="I283" s="253"/>
      <c r="J283" s="250"/>
    </row>
    <row r="284" spans="1:10" ht="15" customHeight="1">
      <c r="A284" s="70"/>
      <c r="B284" s="97" t="s">
        <v>327</v>
      </c>
      <c r="C284" s="77">
        <v>95</v>
      </c>
      <c r="D284" s="101" t="s">
        <v>121</v>
      </c>
      <c r="E284" s="79"/>
      <c r="F284" s="192">
        <v>1</v>
      </c>
      <c r="G284" s="193"/>
      <c r="H284" s="256"/>
      <c r="I284" s="253"/>
      <c r="J284" s="250"/>
    </row>
    <row r="285" spans="1:10" ht="15" customHeight="1">
      <c r="A285" s="70"/>
      <c r="B285" s="97" t="s">
        <v>327</v>
      </c>
      <c r="C285" s="77">
        <v>96</v>
      </c>
      <c r="D285" s="101" t="s">
        <v>148</v>
      </c>
      <c r="E285" s="79"/>
      <c r="F285" s="192">
        <v>2</v>
      </c>
      <c r="G285" s="193"/>
      <c r="H285" s="256"/>
      <c r="I285" s="253"/>
      <c r="J285" s="250"/>
    </row>
    <row r="286" spans="1:10" ht="15" customHeight="1">
      <c r="A286" s="70"/>
      <c r="B286" s="97" t="s">
        <v>327</v>
      </c>
      <c r="C286" s="98">
        <v>97</v>
      </c>
      <c r="D286" s="101" t="s">
        <v>150</v>
      </c>
      <c r="E286" s="79"/>
      <c r="F286" s="192">
        <v>7</v>
      </c>
      <c r="G286" s="193"/>
      <c r="H286" s="256"/>
      <c r="I286" s="253"/>
      <c r="J286" s="250"/>
    </row>
    <row r="287" spans="1:10" ht="15" customHeight="1">
      <c r="A287" s="70"/>
      <c r="B287" s="97" t="s">
        <v>327</v>
      </c>
      <c r="C287" s="77">
        <v>98</v>
      </c>
      <c r="D287" s="101" t="s">
        <v>151</v>
      </c>
      <c r="E287" s="79"/>
      <c r="F287" s="192">
        <v>7</v>
      </c>
      <c r="G287" s="193"/>
      <c r="H287" s="256"/>
      <c r="I287" s="253"/>
      <c r="J287" s="250"/>
    </row>
    <row r="288" spans="1:10" ht="15" customHeight="1">
      <c r="A288" s="70"/>
      <c r="B288" s="97" t="s">
        <v>327</v>
      </c>
      <c r="C288" s="77">
        <v>99</v>
      </c>
      <c r="D288" s="101" t="s">
        <v>152</v>
      </c>
      <c r="E288" s="79"/>
      <c r="F288" s="192">
        <v>1</v>
      </c>
      <c r="G288" s="193"/>
      <c r="H288" s="256"/>
      <c r="I288" s="253"/>
      <c r="J288" s="250"/>
    </row>
    <row r="289" spans="1:10" ht="15" customHeight="1">
      <c r="A289" s="70"/>
      <c r="B289" s="97" t="s">
        <v>327</v>
      </c>
      <c r="C289" s="98">
        <v>100</v>
      </c>
      <c r="D289" s="101" t="s">
        <v>156</v>
      </c>
      <c r="E289" s="79"/>
      <c r="F289" s="192">
        <v>8</v>
      </c>
      <c r="G289" s="193"/>
      <c r="H289" s="256"/>
      <c r="I289" s="253"/>
      <c r="J289" s="250"/>
    </row>
    <row r="290" spans="1:10" ht="15" customHeight="1">
      <c r="A290" s="70"/>
      <c r="B290" s="97" t="s">
        <v>327</v>
      </c>
      <c r="C290" s="77">
        <v>101</v>
      </c>
      <c r="D290" s="101" t="s">
        <v>157</v>
      </c>
      <c r="E290" s="79"/>
      <c r="F290" s="192">
        <v>2</v>
      </c>
      <c r="G290" s="193"/>
      <c r="H290" s="256"/>
      <c r="I290" s="253"/>
      <c r="J290" s="250"/>
    </row>
    <row r="291" spans="1:10" ht="15" customHeight="1">
      <c r="A291" s="70"/>
      <c r="B291" s="97" t="s">
        <v>327</v>
      </c>
      <c r="C291" s="77">
        <v>102</v>
      </c>
      <c r="D291" s="101" t="s">
        <v>158</v>
      </c>
      <c r="E291" s="79"/>
      <c r="F291" s="192">
        <v>2</v>
      </c>
      <c r="G291" s="193"/>
      <c r="H291" s="256"/>
      <c r="I291" s="253"/>
      <c r="J291" s="250"/>
    </row>
    <row r="292" spans="1:10" ht="15" customHeight="1">
      <c r="A292" s="70"/>
      <c r="B292" s="97" t="s">
        <v>327</v>
      </c>
      <c r="C292" s="98">
        <v>103</v>
      </c>
      <c r="D292" s="101" t="s">
        <v>159</v>
      </c>
      <c r="E292" s="79"/>
      <c r="F292" s="192">
        <v>2</v>
      </c>
      <c r="G292" s="193"/>
      <c r="H292" s="256"/>
      <c r="I292" s="253"/>
      <c r="J292" s="250"/>
    </row>
    <row r="293" spans="1:10" ht="15" customHeight="1">
      <c r="A293" s="70"/>
      <c r="B293" s="97" t="s">
        <v>327</v>
      </c>
      <c r="C293" s="77">
        <v>104</v>
      </c>
      <c r="D293" s="101" t="s">
        <v>160</v>
      </c>
      <c r="E293" s="79"/>
      <c r="F293" s="192">
        <v>1</v>
      </c>
      <c r="G293" s="193"/>
      <c r="H293" s="256"/>
      <c r="I293" s="253"/>
      <c r="J293" s="250"/>
    </row>
    <row r="294" spans="1:10" ht="15" customHeight="1">
      <c r="A294" s="70"/>
      <c r="B294" s="97" t="s">
        <v>327</v>
      </c>
      <c r="C294" s="77">
        <v>105</v>
      </c>
      <c r="D294" s="101" t="s">
        <v>161</v>
      </c>
      <c r="E294" s="79"/>
      <c r="F294" s="192">
        <v>1</v>
      </c>
      <c r="G294" s="193"/>
      <c r="H294" s="256"/>
      <c r="I294" s="253"/>
      <c r="J294" s="250"/>
    </row>
    <row r="295" spans="1:10" ht="15" customHeight="1">
      <c r="A295" s="70"/>
      <c r="B295" s="97" t="s">
        <v>327</v>
      </c>
      <c r="C295" s="98">
        <v>106</v>
      </c>
      <c r="D295" s="101" t="s">
        <v>162</v>
      </c>
      <c r="E295" s="79"/>
      <c r="F295" s="192">
        <v>3</v>
      </c>
      <c r="G295" s="193"/>
      <c r="H295" s="256"/>
      <c r="I295" s="253"/>
      <c r="J295" s="250"/>
    </row>
    <row r="296" spans="1:10" ht="15" customHeight="1">
      <c r="A296" s="70"/>
      <c r="B296" s="97" t="s">
        <v>327</v>
      </c>
      <c r="C296" s="77">
        <v>107</v>
      </c>
      <c r="D296" s="101" t="s">
        <v>153</v>
      </c>
      <c r="E296" s="79"/>
      <c r="F296" s="192">
        <v>5</v>
      </c>
      <c r="G296" s="193"/>
      <c r="H296" s="256"/>
      <c r="I296" s="253"/>
      <c r="J296" s="250"/>
    </row>
    <row r="297" spans="1:10" ht="15" customHeight="1">
      <c r="A297" s="70"/>
      <c r="B297" s="97" t="s">
        <v>327</v>
      </c>
      <c r="C297" s="77">
        <v>108</v>
      </c>
      <c r="D297" s="101" t="s">
        <v>154</v>
      </c>
      <c r="E297" s="79"/>
      <c r="F297" s="192">
        <v>4</v>
      </c>
      <c r="G297" s="193"/>
      <c r="H297" s="256"/>
      <c r="I297" s="253"/>
      <c r="J297" s="250"/>
    </row>
    <row r="298" spans="1:10" ht="15" customHeight="1">
      <c r="A298" s="70"/>
      <c r="B298" s="97" t="s">
        <v>327</v>
      </c>
      <c r="C298" s="98">
        <v>109</v>
      </c>
      <c r="D298" s="101" t="s">
        <v>155</v>
      </c>
      <c r="E298" s="79"/>
      <c r="F298" s="192">
        <v>5</v>
      </c>
      <c r="G298" s="193"/>
      <c r="H298" s="256"/>
      <c r="I298" s="253"/>
      <c r="J298" s="250"/>
    </row>
    <row r="299" spans="1:10" ht="15" customHeight="1">
      <c r="A299" s="70"/>
      <c r="B299" s="97" t="s">
        <v>327</v>
      </c>
      <c r="C299" s="77">
        <v>110</v>
      </c>
      <c r="D299" s="101" t="s">
        <v>208</v>
      </c>
      <c r="E299" s="79"/>
      <c r="F299" s="192">
        <v>4</v>
      </c>
      <c r="G299" s="193"/>
      <c r="H299" s="256"/>
      <c r="I299" s="253"/>
      <c r="J299" s="250"/>
    </row>
    <row r="300" spans="1:10" ht="15" customHeight="1">
      <c r="A300" s="70"/>
      <c r="B300" s="97" t="s">
        <v>327</v>
      </c>
      <c r="C300" s="77">
        <v>111</v>
      </c>
      <c r="D300" s="101" t="s">
        <v>163</v>
      </c>
      <c r="E300" s="79"/>
      <c r="F300" s="192">
        <v>5</v>
      </c>
      <c r="G300" s="193"/>
      <c r="H300" s="256"/>
      <c r="I300" s="253"/>
      <c r="J300" s="250"/>
    </row>
    <row r="301" spans="1:10" ht="15" customHeight="1">
      <c r="A301" s="70"/>
      <c r="B301" s="97" t="s">
        <v>327</v>
      </c>
      <c r="C301" s="98">
        <v>112</v>
      </c>
      <c r="D301" s="101" t="s">
        <v>164</v>
      </c>
      <c r="E301" s="79"/>
      <c r="F301" s="192">
        <v>1</v>
      </c>
      <c r="G301" s="193"/>
      <c r="H301" s="256"/>
      <c r="I301" s="253"/>
      <c r="J301" s="250"/>
    </row>
    <row r="302" spans="1:10" ht="15" customHeight="1">
      <c r="A302" s="70"/>
      <c r="B302" s="97" t="s">
        <v>327</v>
      </c>
      <c r="C302" s="77">
        <v>113</v>
      </c>
      <c r="D302" s="101" t="s">
        <v>165</v>
      </c>
      <c r="E302" s="79"/>
      <c r="F302" s="192">
        <v>1</v>
      </c>
      <c r="G302" s="193"/>
      <c r="H302" s="256"/>
      <c r="I302" s="253"/>
      <c r="J302" s="250"/>
    </row>
    <row r="303" spans="1:10" ht="15" customHeight="1">
      <c r="A303" s="70"/>
      <c r="B303" s="97" t="s">
        <v>327</v>
      </c>
      <c r="C303" s="77">
        <v>114</v>
      </c>
      <c r="D303" s="101" t="s">
        <v>166</v>
      </c>
      <c r="E303" s="79"/>
      <c r="F303" s="192">
        <v>1</v>
      </c>
      <c r="G303" s="193"/>
      <c r="H303" s="256"/>
      <c r="I303" s="253"/>
      <c r="J303" s="250"/>
    </row>
    <row r="304" spans="1:10" ht="15" customHeight="1">
      <c r="A304" s="70"/>
      <c r="B304" s="97" t="s">
        <v>327</v>
      </c>
      <c r="C304" s="98">
        <v>115</v>
      </c>
      <c r="D304" s="101" t="s">
        <v>167</v>
      </c>
      <c r="E304" s="79"/>
      <c r="F304" s="192">
        <v>2</v>
      </c>
      <c r="G304" s="193"/>
      <c r="H304" s="256"/>
      <c r="I304" s="253"/>
      <c r="J304" s="250"/>
    </row>
    <row r="305" spans="1:10" ht="15" customHeight="1">
      <c r="A305" s="70"/>
      <c r="B305" s="97" t="s">
        <v>327</v>
      </c>
      <c r="C305" s="77">
        <v>116</v>
      </c>
      <c r="D305" s="101" t="s">
        <v>168</v>
      </c>
      <c r="E305" s="79"/>
      <c r="F305" s="192">
        <v>1</v>
      </c>
      <c r="G305" s="193"/>
      <c r="H305" s="256"/>
      <c r="I305" s="253"/>
      <c r="J305" s="250"/>
    </row>
    <row r="306" spans="1:10" ht="15" customHeight="1">
      <c r="A306" s="70"/>
      <c r="B306" s="97" t="s">
        <v>327</v>
      </c>
      <c r="C306" s="77">
        <v>117</v>
      </c>
      <c r="D306" s="101" t="s">
        <v>169</v>
      </c>
      <c r="E306" s="79"/>
      <c r="F306" s="192">
        <v>1</v>
      </c>
      <c r="G306" s="193"/>
      <c r="H306" s="256"/>
      <c r="I306" s="253"/>
      <c r="J306" s="250"/>
    </row>
    <row r="307" spans="1:10" ht="15" customHeight="1">
      <c r="A307" s="70"/>
      <c r="B307" s="97" t="s">
        <v>327</v>
      </c>
      <c r="C307" s="98">
        <v>118</v>
      </c>
      <c r="D307" s="101" t="s">
        <v>170</v>
      </c>
      <c r="E307" s="79"/>
      <c r="F307" s="192">
        <v>1</v>
      </c>
      <c r="G307" s="193"/>
      <c r="H307" s="256"/>
      <c r="I307" s="253"/>
      <c r="J307" s="250"/>
    </row>
    <row r="308" spans="1:10" ht="15" customHeight="1">
      <c r="A308" s="70"/>
      <c r="B308" s="97" t="s">
        <v>327</v>
      </c>
      <c r="C308" s="77">
        <v>119</v>
      </c>
      <c r="D308" s="101" t="s">
        <v>171</v>
      </c>
      <c r="E308" s="79"/>
      <c r="F308" s="192">
        <v>1</v>
      </c>
      <c r="G308" s="193"/>
      <c r="H308" s="256"/>
      <c r="I308" s="253"/>
      <c r="J308" s="250"/>
    </row>
    <row r="309" spans="1:10" ht="15" customHeight="1">
      <c r="A309" s="70"/>
      <c r="B309" s="97" t="s">
        <v>327</v>
      </c>
      <c r="C309" s="77">
        <v>120</v>
      </c>
      <c r="D309" s="101" t="s">
        <v>172</v>
      </c>
      <c r="E309" s="79"/>
      <c r="F309" s="192">
        <v>2</v>
      </c>
      <c r="G309" s="193"/>
      <c r="H309" s="256"/>
      <c r="I309" s="253"/>
      <c r="J309" s="250"/>
    </row>
    <row r="310" spans="1:10" ht="15" customHeight="1">
      <c r="A310" s="70"/>
      <c r="B310" s="97" t="s">
        <v>327</v>
      </c>
      <c r="C310" s="98">
        <v>121</v>
      </c>
      <c r="D310" s="101" t="s">
        <v>173</v>
      </c>
      <c r="E310" s="79"/>
      <c r="F310" s="192">
        <v>1</v>
      </c>
      <c r="G310" s="193"/>
      <c r="H310" s="256"/>
      <c r="I310" s="253"/>
      <c r="J310" s="250"/>
    </row>
    <row r="311" spans="1:10" ht="15" customHeight="1">
      <c r="A311" s="70"/>
      <c r="B311" s="97" t="s">
        <v>327</v>
      </c>
      <c r="C311" s="77">
        <v>122</v>
      </c>
      <c r="D311" s="101" t="s">
        <v>174</v>
      </c>
      <c r="E311" s="79"/>
      <c r="F311" s="192">
        <v>1</v>
      </c>
      <c r="G311" s="193"/>
      <c r="H311" s="256"/>
      <c r="I311" s="253"/>
      <c r="J311" s="250"/>
    </row>
    <row r="312" spans="1:10" ht="15" customHeight="1">
      <c r="A312" s="70"/>
      <c r="B312" s="97" t="s">
        <v>327</v>
      </c>
      <c r="C312" s="98">
        <v>127</v>
      </c>
      <c r="D312" s="101" t="s">
        <v>175</v>
      </c>
      <c r="E312" s="79"/>
      <c r="F312" s="192">
        <v>5</v>
      </c>
      <c r="G312" s="193"/>
      <c r="H312" s="256"/>
      <c r="I312" s="253"/>
      <c r="J312" s="250"/>
    </row>
    <row r="313" spans="1:10" ht="15" customHeight="1">
      <c r="A313" s="70"/>
      <c r="B313" s="97" t="s">
        <v>327</v>
      </c>
      <c r="C313" s="77">
        <v>128</v>
      </c>
      <c r="D313" s="101" t="s">
        <v>176</v>
      </c>
      <c r="E313" s="79"/>
      <c r="F313" s="192">
        <v>1</v>
      </c>
      <c r="G313" s="193"/>
      <c r="H313" s="256"/>
      <c r="I313" s="253"/>
      <c r="J313" s="250"/>
    </row>
    <row r="314" spans="1:10" ht="15" customHeight="1">
      <c r="A314" s="70"/>
      <c r="B314" s="97" t="s">
        <v>327</v>
      </c>
      <c r="C314" s="77">
        <v>129</v>
      </c>
      <c r="D314" s="101" t="s">
        <v>177</v>
      </c>
      <c r="E314" s="79"/>
      <c r="F314" s="192">
        <v>1</v>
      </c>
      <c r="G314" s="193"/>
      <c r="H314" s="256"/>
      <c r="I314" s="253"/>
      <c r="J314" s="250"/>
    </row>
    <row r="315" spans="1:10" ht="15" customHeight="1">
      <c r="A315" s="70"/>
      <c r="B315" s="97" t="s">
        <v>327</v>
      </c>
      <c r="C315" s="98">
        <v>130</v>
      </c>
      <c r="D315" s="101" t="s">
        <v>178</v>
      </c>
      <c r="E315" s="79"/>
      <c r="F315" s="192">
        <v>3</v>
      </c>
      <c r="G315" s="193"/>
      <c r="H315" s="256"/>
      <c r="I315" s="253"/>
      <c r="J315" s="250"/>
    </row>
    <row r="316" spans="1:10" ht="15" customHeight="1">
      <c r="A316" s="70"/>
      <c r="B316" s="97" t="s">
        <v>327</v>
      </c>
      <c r="C316" s="77">
        <v>131</v>
      </c>
      <c r="D316" s="101" t="s">
        <v>180</v>
      </c>
      <c r="E316" s="79"/>
      <c r="F316" s="192">
        <v>2</v>
      </c>
      <c r="G316" s="193"/>
      <c r="H316" s="256"/>
      <c r="I316" s="253"/>
      <c r="J316" s="250"/>
    </row>
    <row r="317" spans="1:10" ht="15" customHeight="1">
      <c r="A317" s="70"/>
      <c r="B317" s="97" t="s">
        <v>327</v>
      </c>
      <c r="C317" s="77">
        <v>132</v>
      </c>
      <c r="D317" s="101" t="s">
        <v>181</v>
      </c>
      <c r="E317" s="79"/>
      <c r="F317" s="192">
        <v>1</v>
      </c>
      <c r="G317" s="193"/>
      <c r="H317" s="256"/>
      <c r="I317" s="253"/>
      <c r="J317" s="250"/>
    </row>
    <row r="318" spans="1:10" ht="15" customHeight="1">
      <c r="A318" s="70"/>
      <c r="B318" s="97" t="s">
        <v>327</v>
      </c>
      <c r="C318" s="98">
        <v>133</v>
      </c>
      <c r="D318" s="101" t="s">
        <v>182</v>
      </c>
      <c r="E318" s="79"/>
      <c r="F318" s="192">
        <v>1</v>
      </c>
      <c r="G318" s="193"/>
      <c r="H318" s="256"/>
      <c r="I318" s="253"/>
      <c r="J318" s="250"/>
    </row>
    <row r="319" spans="1:10" ht="15" customHeight="1">
      <c r="A319" s="70"/>
      <c r="B319" s="97" t="s">
        <v>327</v>
      </c>
      <c r="C319" s="77">
        <v>134</v>
      </c>
      <c r="D319" s="101" t="s">
        <v>183</v>
      </c>
      <c r="E319" s="79"/>
      <c r="F319" s="192">
        <v>1</v>
      </c>
      <c r="G319" s="193"/>
      <c r="H319" s="256"/>
      <c r="I319" s="253"/>
      <c r="J319" s="250"/>
    </row>
    <row r="320" spans="1:10" ht="15" customHeight="1">
      <c r="A320" s="70"/>
      <c r="B320" s="97" t="s">
        <v>327</v>
      </c>
      <c r="C320" s="77">
        <v>135</v>
      </c>
      <c r="D320" s="101" t="s">
        <v>179</v>
      </c>
      <c r="E320" s="79"/>
      <c r="F320" s="192">
        <v>4</v>
      </c>
      <c r="G320" s="193"/>
      <c r="H320" s="256"/>
      <c r="I320" s="253"/>
      <c r="J320" s="250"/>
    </row>
    <row r="321" spans="1:10" ht="15" customHeight="1">
      <c r="A321" s="70"/>
      <c r="B321" s="97" t="s">
        <v>327</v>
      </c>
      <c r="C321" s="98">
        <v>136</v>
      </c>
      <c r="D321" s="101" t="s">
        <v>184</v>
      </c>
      <c r="E321" s="79"/>
      <c r="F321" s="192">
        <v>5</v>
      </c>
      <c r="G321" s="193"/>
      <c r="H321" s="256"/>
      <c r="I321" s="253"/>
      <c r="J321" s="250"/>
    </row>
    <row r="322" spans="1:10" ht="15" customHeight="1">
      <c r="A322" s="70"/>
      <c r="B322" s="97" t="s">
        <v>327</v>
      </c>
      <c r="C322" s="77">
        <v>137</v>
      </c>
      <c r="D322" s="101" t="s">
        <v>185</v>
      </c>
      <c r="E322" s="79"/>
      <c r="F322" s="192">
        <v>1</v>
      </c>
      <c r="G322" s="193"/>
      <c r="H322" s="256"/>
      <c r="I322" s="253"/>
      <c r="J322" s="250"/>
    </row>
    <row r="323" spans="1:10" ht="15" customHeight="1">
      <c r="A323" s="70"/>
      <c r="B323" s="97" t="s">
        <v>327</v>
      </c>
      <c r="C323" s="77">
        <v>138</v>
      </c>
      <c r="D323" s="101" t="s">
        <v>186</v>
      </c>
      <c r="E323" s="79"/>
      <c r="F323" s="192">
        <v>1</v>
      </c>
      <c r="G323" s="193"/>
      <c r="H323" s="256"/>
      <c r="I323" s="253"/>
      <c r="J323" s="250"/>
    </row>
    <row r="324" spans="1:10" ht="15" customHeight="1">
      <c r="A324" s="70"/>
      <c r="B324" s="97" t="s">
        <v>327</v>
      </c>
      <c r="C324" s="98">
        <v>139</v>
      </c>
      <c r="D324" s="101" t="s">
        <v>187</v>
      </c>
      <c r="E324" s="79"/>
      <c r="F324" s="192">
        <v>1</v>
      </c>
      <c r="G324" s="193"/>
      <c r="H324" s="256"/>
      <c r="I324" s="253"/>
      <c r="J324" s="250"/>
    </row>
    <row r="325" spans="1:10" ht="15" customHeight="1">
      <c r="A325" s="70"/>
      <c r="B325" s="97" t="s">
        <v>327</v>
      </c>
      <c r="C325" s="77">
        <v>140</v>
      </c>
      <c r="D325" s="101" t="s">
        <v>188</v>
      </c>
      <c r="E325" s="79"/>
      <c r="F325" s="192">
        <v>2</v>
      </c>
      <c r="G325" s="193"/>
      <c r="H325" s="256"/>
      <c r="I325" s="253"/>
      <c r="J325" s="250"/>
    </row>
    <row r="326" spans="1:10" ht="15" customHeight="1">
      <c r="A326" s="70"/>
      <c r="B326" s="97" t="s">
        <v>327</v>
      </c>
      <c r="C326" s="77">
        <v>141</v>
      </c>
      <c r="D326" s="101" t="s">
        <v>189</v>
      </c>
      <c r="E326" s="79"/>
      <c r="F326" s="192">
        <v>2</v>
      </c>
      <c r="G326" s="193"/>
      <c r="H326" s="256"/>
      <c r="I326" s="253"/>
      <c r="J326" s="250"/>
    </row>
    <row r="327" spans="1:10" ht="15" customHeight="1">
      <c r="A327" s="70"/>
      <c r="B327" s="97" t="s">
        <v>327</v>
      </c>
      <c r="C327" s="98">
        <v>142</v>
      </c>
      <c r="D327" s="101" t="s">
        <v>191</v>
      </c>
      <c r="E327" s="79"/>
      <c r="F327" s="192">
        <v>4</v>
      </c>
      <c r="G327" s="193"/>
      <c r="H327" s="256"/>
      <c r="I327" s="253"/>
      <c r="J327" s="250"/>
    </row>
    <row r="328" spans="1:10" ht="15" customHeight="1">
      <c r="A328" s="70"/>
      <c r="B328" s="97" t="s">
        <v>327</v>
      </c>
      <c r="C328" s="77">
        <v>143</v>
      </c>
      <c r="D328" s="101" t="s">
        <v>192</v>
      </c>
      <c r="E328" s="79"/>
      <c r="F328" s="192">
        <v>8</v>
      </c>
      <c r="G328" s="193"/>
      <c r="H328" s="256"/>
      <c r="I328" s="253"/>
      <c r="J328" s="250"/>
    </row>
    <row r="329" spans="1:10" ht="15" customHeight="1">
      <c r="A329" s="70"/>
      <c r="B329" s="97" t="s">
        <v>327</v>
      </c>
      <c r="C329" s="77">
        <v>144</v>
      </c>
      <c r="D329" s="101" t="s">
        <v>193</v>
      </c>
      <c r="E329" s="79"/>
      <c r="F329" s="192">
        <v>1</v>
      </c>
      <c r="G329" s="193"/>
      <c r="H329" s="256"/>
      <c r="I329" s="253"/>
      <c r="J329" s="250"/>
    </row>
    <row r="330" spans="1:10" ht="15" customHeight="1">
      <c r="A330" s="70"/>
      <c r="B330" s="97" t="s">
        <v>327</v>
      </c>
      <c r="C330" s="98">
        <v>145</v>
      </c>
      <c r="D330" s="101" t="s">
        <v>194</v>
      </c>
      <c r="E330" s="79"/>
      <c r="F330" s="192">
        <v>1</v>
      </c>
      <c r="G330" s="193"/>
      <c r="H330" s="256"/>
      <c r="I330" s="253"/>
      <c r="J330" s="250"/>
    </row>
    <row r="331" spans="1:10" ht="15" customHeight="1">
      <c r="A331" s="70"/>
      <c r="B331" s="97" t="s">
        <v>327</v>
      </c>
      <c r="C331" s="77">
        <v>146</v>
      </c>
      <c r="D331" s="101" t="s">
        <v>195</v>
      </c>
      <c r="E331" s="79"/>
      <c r="F331" s="192">
        <v>1</v>
      </c>
      <c r="G331" s="193"/>
      <c r="H331" s="256"/>
      <c r="I331" s="253"/>
      <c r="J331" s="250"/>
    </row>
    <row r="332" spans="1:10" ht="15" customHeight="1">
      <c r="A332" s="70"/>
      <c r="B332" s="97" t="s">
        <v>327</v>
      </c>
      <c r="C332" s="77">
        <v>147</v>
      </c>
      <c r="D332" s="101" t="s">
        <v>196</v>
      </c>
      <c r="E332" s="79"/>
      <c r="F332" s="192">
        <v>4</v>
      </c>
      <c r="G332" s="193"/>
      <c r="H332" s="256"/>
      <c r="I332" s="253"/>
      <c r="J332" s="250"/>
    </row>
    <row r="333" spans="1:10" ht="15" customHeight="1">
      <c r="A333" s="70"/>
      <c r="B333" s="97" t="s">
        <v>327</v>
      </c>
      <c r="C333" s="98">
        <v>148</v>
      </c>
      <c r="D333" s="101" t="s">
        <v>190</v>
      </c>
      <c r="E333" s="79"/>
      <c r="F333" s="192">
        <v>24</v>
      </c>
      <c r="G333" s="193"/>
      <c r="H333" s="256"/>
      <c r="I333" s="253"/>
      <c r="J333" s="250"/>
    </row>
    <row r="334" spans="1:10" ht="15" customHeight="1">
      <c r="A334" s="70"/>
      <c r="B334" s="97" t="s">
        <v>327</v>
      </c>
      <c r="C334" s="77">
        <v>149</v>
      </c>
      <c r="D334" s="101" t="s">
        <v>197</v>
      </c>
      <c r="E334" s="79"/>
      <c r="F334" s="192">
        <v>8</v>
      </c>
      <c r="G334" s="193"/>
      <c r="H334" s="256"/>
      <c r="I334" s="253"/>
      <c r="J334" s="250"/>
    </row>
    <row r="335" spans="1:10" ht="15" customHeight="1">
      <c r="A335" s="70"/>
      <c r="B335" s="97" t="s">
        <v>327</v>
      </c>
      <c r="C335" s="77">
        <v>150</v>
      </c>
      <c r="D335" s="101" t="s">
        <v>198</v>
      </c>
      <c r="E335" s="79"/>
      <c r="F335" s="192">
        <v>2</v>
      </c>
      <c r="G335" s="193"/>
      <c r="H335" s="256"/>
      <c r="I335" s="253"/>
      <c r="J335" s="250"/>
    </row>
    <row r="336" spans="1:10" ht="15" customHeight="1">
      <c r="A336" s="70"/>
      <c r="B336" s="97" t="s">
        <v>327</v>
      </c>
      <c r="C336" s="98">
        <v>151</v>
      </c>
      <c r="D336" s="101" t="s">
        <v>199</v>
      </c>
      <c r="E336" s="79"/>
      <c r="F336" s="192">
        <v>4</v>
      </c>
      <c r="G336" s="193"/>
      <c r="H336" s="256"/>
      <c r="I336" s="253"/>
      <c r="J336" s="250"/>
    </row>
    <row r="337" spans="1:10" ht="15" customHeight="1">
      <c r="A337" s="70"/>
      <c r="B337" s="97" t="s">
        <v>327</v>
      </c>
      <c r="C337" s="77">
        <v>152</v>
      </c>
      <c r="D337" s="101" t="s">
        <v>200</v>
      </c>
      <c r="E337" s="79"/>
      <c r="F337" s="192">
        <v>2</v>
      </c>
      <c r="G337" s="193"/>
      <c r="H337" s="256"/>
      <c r="I337" s="253"/>
      <c r="J337" s="250"/>
    </row>
    <row r="338" spans="1:10" ht="15" customHeight="1">
      <c r="A338" s="70"/>
      <c r="B338" s="97" t="s">
        <v>327</v>
      </c>
      <c r="C338" s="77">
        <v>153</v>
      </c>
      <c r="D338" s="101" t="s">
        <v>201</v>
      </c>
      <c r="E338" s="79"/>
      <c r="F338" s="192">
        <v>2</v>
      </c>
      <c r="G338" s="193"/>
      <c r="H338" s="256"/>
      <c r="I338" s="253"/>
      <c r="J338" s="250"/>
    </row>
    <row r="339" spans="1:10" ht="15" customHeight="1">
      <c r="A339" s="70"/>
      <c r="B339" s="97" t="s">
        <v>327</v>
      </c>
      <c r="C339" s="98">
        <v>154</v>
      </c>
      <c r="D339" s="101" t="s">
        <v>202</v>
      </c>
      <c r="E339" s="79"/>
      <c r="F339" s="192">
        <v>1</v>
      </c>
      <c r="G339" s="193"/>
      <c r="H339" s="256"/>
      <c r="I339" s="253"/>
      <c r="J339" s="250"/>
    </row>
    <row r="340" spans="1:10" ht="15" customHeight="1">
      <c r="A340" s="70"/>
      <c r="B340" s="97" t="s">
        <v>327</v>
      </c>
      <c r="C340" s="77">
        <v>155</v>
      </c>
      <c r="D340" s="101" t="s">
        <v>203</v>
      </c>
      <c r="E340" s="79"/>
      <c r="F340" s="192">
        <v>1</v>
      </c>
      <c r="G340" s="193"/>
      <c r="H340" s="256"/>
      <c r="I340" s="253"/>
      <c r="J340" s="250"/>
    </row>
    <row r="341" spans="1:10" ht="15" customHeight="1">
      <c r="A341" s="70"/>
      <c r="B341" s="97" t="s">
        <v>327</v>
      </c>
      <c r="C341" s="77">
        <v>156</v>
      </c>
      <c r="D341" s="101" t="s">
        <v>204</v>
      </c>
      <c r="E341" s="79"/>
      <c r="F341" s="192">
        <v>3</v>
      </c>
      <c r="G341" s="193"/>
      <c r="H341" s="256"/>
      <c r="I341" s="253"/>
      <c r="J341" s="250"/>
    </row>
    <row r="342" spans="1:10" ht="15" customHeight="1">
      <c r="A342" s="70"/>
      <c r="B342" s="97" t="s">
        <v>327</v>
      </c>
      <c r="C342" s="98">
        <v>157</v>
      </c>
      <c r="D342" s="101" t="s">
        <v>206</v>
      </c>
      <c r="E342" s="79"/>
      <c r="F342" s="192">
        <v>4</v>
      </c>
      <c r="G342" s="193"/>
      <c r="H342" s="256"/>
      <c r="I342" s="253"/>
      <c r="J342" s="250"/>
    </row>
    <row r="343" spans="1:10" ht="15" customHeight="1">
      <c r="A343" s="70"/>
      <c r="B343" s="97" t="s">
        <v>327</v>
      </c>
      <c r="C343" s="77">
        <v>158</v>
      </c>
      <c r="D343" s="101" t="s">
        <v>207</v>
      </c>
      <c r="E343" s="79"/>
      <c r="F343" s="192">
        <v>4</v>
      </c>
      <c r="G343" s="193"/>
      <c r="H343" s="256"/>
      <c r="I343" s="253"/>
      <c r="J343" s="250"/>
    </row>
    <row r="344" spans="1:10" ht="15" customHeight="1">
      <c r="A344" s="70"/>
      <c r="B344" s="97" t="s">
        <v>327</v>
      </c>
      <c r="C344" s="77">
        <v>159</v>
      </c>
      <c r="D344" s="101" t="s">
        <v>209</v>
      </c>
      <c r="E344" s="79"/>
      <c r="F344" s="192">
        <v>4</v>
      </c>
      <c r="G344" s="193"/>
      <c r="H344" s="256"/>
      <c r="I344" s="253"/>
      <c r="J344" s="250"/>
    </row>
    <row r="345" spans="1:10" ht="15" customHeight="1">
      <c r="A345" s="70"/>
      <c r="B345" s="97" t="s">
        <v>327</v>
      </c>
      <c r="C345" s="98">
        <v>160</v>
      </c>
      <c r="D345" s="101" t="s">
        <v>210</v>
      </c>
      <c r="E345" s="79"/>
      <c r="F345" s="192">
        <v>1</v>
      </c>
      <c r="G345" s="193"/>
      <c r="H345" s="256"/>
      <c r="I345" s="253"/>
      <c r="J345" s="250"/>
    </row>
    <row r="346" spans="1:10" ht="15" customHeight="1">
      <c r="A346" s="70"/>
      <c r="B346" s="97" t="s">
        <v>327</v>
      </c>
      <c r="C346" s="77">
        <v>161</v>
      </c>
      <c r="D346" s="101" t="s">
        <v>212</v>
      </c>
      <c r="E346" s="79"/>
      <c r="F346" s="192">
        <v>4</v>
      </c>
      <c r="G346" s="193"/>
      <c r="H346" s="256"/>
      <c r="I346" s="253"/>
      <c r="J346" s="250"/>
    </row>
    <row r="347" spans="1:10" ht="15" customHeight="1">
      <c r="A347" s="70"/>
      <c r="B347" s="97" t="s">
        <v>327</v>
      </c>
      <c r="C347" s="77">
        <v>162</v>
      </c>
      <c r="D347" s="101" t="s">
        <v>213</v>
      </c>
      <c r="E347" s="79"/>
      <c r="F347" s="192">
        <v>2</v>
      </c>
      <c r="G347" s="193"/>
      <c r="H347" s="256"/>
      <c r="I347" s="253"/>
      <c r="J347" s="250"/>
    </row>
    <row r="348" spans="1:10" ht="15" customHeight="1">
      <c r="A348" s="70"/>
      <c r="B348" s="97" t="s">
        <v>327</v>
      </c>
      <c r="C348" s="98">
        <v>163</v>
      </c>
      <c r="D348" s="101" t="s">
        <v>214</v>
      </c>
      <c r="E348" s="79"/>
      <c r="F348" s="192">
        <v>1</v>
      </c>
      <c r="G348" s="193"/>
      <c r="H348" s="256"/>
      <c r="I348" s="253"/>
      <c r="J348" s="250"/>
    </row>
    <row r="349" spans="1:10" ht="15" customHeight="1">
      <c r="A349" s="70"/>
      <c r="B349" s="97" t="s">
        <v>327</v>
      </c>
      <c r="C349" s="77">
        <v>164</v>
      </c>
      <c r="D349" s="101" t="s">
        <v>211</v>
      </c>
      <c r="E349" s="79"/>
      <c r="F349" s="192">
        <v>3</v>
      </c>
      <c r="G349" s="193"/>
      <c r="H349" s="256"/>
      <c r="I349" s="253"/>
      <c r="J349" s="250"/>
    </row>
    <row r="350" spans="1:10" ht="15" customHeight="1">
      <c r="A350" s="70"/>
      <c r="B350" s="97" t="s">
        <v>327</v>
      </c>
      <c r="C350" s="77">
        <v>165</v>
      </c>
      <c r="D350" s="101" t="s">
        <v>215</v>
      </c>
      <c r="E350" s="79"/>
      <c r="F350" s="192">
        <v>2</v>
      </c>
      <c r="G350" s="193"/>
      <c r="H350" s="256"/>
      <c r="I350" s="253"/>
      <c r="J350" s="250"/>
    </row>
    <row r="351" spans="1:10" ht="15" customHeight="1">
      <c r="A351" s="70"/>
      <c r="B351" s="97" t="s">
        <v>327</v>
      </c>
      <c r="C351" s="98">
        <v>166</v>
      </c>
      <c r="D351" s="101" t="s">
        <v>216</v>
      </c>
      <c r="E351" s="79"/>
      <c r="F351" s="192">
        <v>2</v>
      </c>
      <c r="G351" s="193"/>
      <c r="H351" s="256"/>
      <c r="I351" s="253"/>
      <c r="J351" s="250"/>
    </row>
    <row r="352" spans="1:10" ht="15" customHeight="1">
      <c r="A352" s="70"/>
      <c r="B352" s="97" t="s">
        <v>327</v>
      </c>
      <c r="C352" s="77">
        <v>167</v>
      </c>
      <c r="D352" s="101" t="s">
        <v>217</v>
      </c>
      <c r="E352" s="79"/>
      <c r="F352" s="192">
        <v>2</v>
      </c>
      <c r="G352" s="193"/>
      <c r="H352" s="256"/>
      <c r="I352" s="253"/>
      <c r="J352" s="250"/>
    </row>
    <row r="353" spans="1:10" ht="15" customHeight="1">
      <c r="A353" s="70"/>
      <c r="B353" s="97" t="s">
        <v>327</v>
      </c>
      <c r="C353" s="77">
        <v>168</v>
      </c>
      <c r="D353" s="101" t="s">
        <v>218</v>
      </c>
      <c r="E353" s="79"/>
      <c r="F353" s="192">
        <v>2</v>
      </c>
      <c r="G353" s="193"/>
      <c r="H353" s="256"/>
      <c r="I353" s="253"/>
      <c r="J353" s="250"/>
    </row>
    <row r="354" spans="1:10" ht="15" customHeight="1">
      <c r="A354" s="70"/>
      <c r="B354" s="97" t="s">
        <v>327</v>
      </c>
      <c r="C354" s="98">
        <v>169</v>
      </c>
      <c r="D354" s="101" t="s">
        <v>219</v>
      </c>
      <c r="E354" s="79"/>
      <c r="F354" s="192">
        <v>8</v>
      </c>
      <c r="G354" s="193"/>
      <c r="H354" s="256"/>
      <c r="I354" s="253"/>
      <c r="J354" s="250"/>
    </row>
    <row r="355" spans="1:10" ht="15" customHeight="1">
      <c r="A355" s="70"/>
      <c r="B355" s="97" t="s">
        <v>327</v>
      </c>
      <c r="C355" s="77">
        <v>170</v>
      </c>
      <c r="D355" s="101" t="s">
        <v>330</v>
      </c>
      <c r="E355" s="79"/>
      <c r="F355" s="192">
        <v>4</v>
      </c>
      <c r="G355" s="193"/>
      <c r="H355" s="256"/>
      <c r="I355" s="253"/>
      <c r="J355" s="250"/>
    </row>
    <row r="356" spans="1:10" ht="15" customHeight="1">
      <c r="A356" s="70"/>
      <c r="B356" s="97" t="s">
        <v>327</v>
      </c>
      <c r="C356" s="77">
        <v>171</v>
      </c>
      <c r="D356" s="101" t="s">
        <v>221</v>
      </c>
      <c r="E356" s="79"/>
      <c r="F356" s="192">
        <v>2</v>
      </c>
      <c r="G356" s="193"/>
      <c r="H356" s="256"/>
      <c r="I356" s="253"/>
      <c r="J356" s="250"/>
    </row>
    <row r="357" spans="1:10" ht="15" customHeight="1">
      <c r="A357" s="70"/>
      <c r="B357" s="97" t="s">
        <v>327</v>
      </c>
      <c r="C357" s="98">
        <v>172</v>
      </c>
      <c r="D357" s="101" t="s">
        <v>222</v>
      </c>
      <c r="E357" s="79"/>
      <c r="F357" s="192">
        <v>2</v>
      </c>
      <c r="G357" s="193"/>
      <c r="H357" s="256"/>
      <c r="I357" s="253"/>
      <c r="J357" s="250"/>
    </row>
    <row r="358" spans="1:10" ht="15" customHeight="1">
      <c r="A358" s="70"/>
      <c r="B358" s="97" t="s">
        <v>327</v>
      </c>
      <c r="C358" s="77">
        <v>173</v>
      </c>
      <c r="D358" s="101" t="s">
        <v>223</v>
      </c>
      <c r="E358" s="79"/>
      <c r="F358" s="192">
        <v>2</v>
      </c>
      <c r="G358" s="193"/>
      <c r="H358" s="256"/>
      <c r="I358" s="253"/>
      <c r="J358" s="250"/>
    </row>
    <row r="359" spans="1:10" ht="15" customHeight="1">
      <c r="A359" s="70"/>
      <c r="B359" s="97" t="s">
        <v>327</v>
      </c>
      <c r="C359" s="77">
        <v>174</v>
      </c>
      <c r="D359" s="101" t="s">
        <v>224</v>
      </c>
      <c r="E359" s="79"/>
      <c r="F359" s="192">
        <v>4</v>
      </c>
      <c r="G359" s="193"/>
      <c r="H359" s="256"/>
      <c r="I359" s="253"/>
      <c r="J359" s="250"/>
    </row>
    <row r="360" spans="1:10" ht="15" customHeight="1" thickBot="1">
      <c r="A360" s="168"/>
      <c r="B360" s="82" t="s">
        <v>327</v>
      </c>
      <c r="C360" s="159">
        <v>175</v>
      </c>
      <c r="D360" s="170" t="s">
        <v>225</v>
      </c>
      <c r="E360" s="171"/>
      <c r="F360" s="239">
        <v>1</v>
      </c>
      <c r="G360" s="240"/>
      <c r="H360" s="256"/>
      <c r="I360" s="253"/>
      <c r="J360" s="250"/>
    </row>
    <row r="361" spans="1:10" ht="15" customHeight="1" thickTop="1">
      <c r="A361" s="128"/>
      <c r="B361" s="97" t="s">
        <v>331</v>
      </c>
      <c r="C361" s="98">
        <v>1</v>
      </c>
      <c r="D361" s="99" t="s">
        <v>332</v>
      </c>
      <c r="E361" s="100"/>
      <c r="F361" s="241">
        <v>2</v>
      </c>
      <c r="G361" s="242"/>
      <c r="H361" s="256"/>
      <c r="I361" s="253"/>
      <c r="J361" s="250"/>
    </row>
    <row r="362" spans="1:10" ht="15" customHeight="1">
      <c r="A362" s="70"/>
      <c r="B362" s="97" t="s">
        <v>331</v>
      </c>
      <c r="C362" s="77">
        <v>2</v>
      </c>
      <c r="D362" s="101" t="s">
        <v>333</v>
      </c>
      <c r="E362" s="79"/>
      <c r="F362" s="192">
        <v>1</v>
      </c>
      <c r="G362" s="193"/>
      <c r="H362" s="256"/>
      <c r="I362" s="253"/>
      <c r="J362" s="250"/>
    </row>
    <row r="363" spans="1:10" ht="15" customHeight="1">
      <c r="A363" s="70"/>
      <c r="B363" s="97" t="s">
        <v>331</v>
      </c>
      <c r="C363" s="77">
        <v>3</v>
      </c>
      <c r="D363" s="101" t="s">
        <v>60</v>
      </c>
      <c r="E363" s="79"/>
      <c r="F363" s="192">
        <v>1</v>
      </c>
      <c r="G363" s="193"/>
      <c r="H363" s="256"/>
      <c r="I363" s="253"/>
      <c r="J363" s="250"/>
    </row>
    <row r="364" spans="1:10" ht="15" customHeight="1">
      <c r="A364" s="70"/>
      <c r="B364" s="97" t="s">
        <v>331</v>
      </c>
      <c r="C364" s="98">
        <v>4</v>
      </c>
      <c r="D364" s="101" t="s">
        <v>59</v>
      </c>
      <c r="E364" s="79"/>
      <c r="F364" s="192">
        <v>1</v>
      </c>
      <c r="G364" s="193"/>
      <c r="H364" s="256"/>
      <c r="I364" s="253"/>
      <c r="J364" s="250"/>
    </row>
    <row r="365" spans="1:10" ht="15" customHeight="1">
      <c r="A365" s="70"/>
      <c r="B365" s="97" t="s">
        <v>331</v>
      </c>
      <c r="C365" s="77">
        <v>5</v>
      </c>
      <c r="D365" s="101" t="s">
        <v>334</v>
      </c>
      <c r="E365" s="79"/>
      <c r="F365" s="192">
        <v>1</v>
      </c>
      <c r="G365" s="193"/>
      <c r="H365" s="256"/>
      <c r="I365" s="253"/>
      <c r="J365" s="250"/>
    </row>
    <row r="366" spans="1:10" ht="15" customHeight="1">
      <c r="A366" s="70"/>
      <c r="B366" s="97" t="s">
        <v>331</v>
      </c>
      <c r="C366" s="77">
        <v>6</v>
      </c>
      <c r="D366" s="101" t="s">
        <v>335</v>
      </c>
      <c r="E366" s="79"/>
      <c r="F366" s="192">
        <v>1</v>
      </c>
      <c r="G366" s="193"/>
      <c r="H366" s="256"/>
      <c r="I366" s="253"/>
      <c r="J366" s="250"/>
    </row>
    <row r="367" spans="1:10" ht="15" customHeight="1">
      <c r="A367" s="70"/>
      <c r="B367" s="97" t="s">
        <v>331</v>
      </c>
      <c r="C367" s="98">
        <v>7</v>
      </c>
      <c r="D367" s="101" t="s">
        <v>66</v>
      </c>
      <c r="E367" s="79"/>
      <c r="F367" s="192">
        <v>1</v>
      </c>
      <c r="G367" s="193"/>
      <c r="H367" s="256"/>
      <c r="I367" s="253"/>
      <c r="J367" s="250"/>
    </row>
    <row r="368" spans="1:10" ht="15" customHeight="1">
      <c r="A368" s="70"/>
      <c r="B368" s="97" t="s">
        <v>331</v>
      </c>
      <c r="C368" s="77">
        <v>8</v>
      </c>
      <c r="D368" s="101" t="s">
        <v>336</v>
      </c>
      <c r="E368" s="79"/>
      <c r="F368" s="192">
        <v>1</v>
      </c>
      <c r="G368" s="193"/>
      <c r="H368" s="256"/>
      <c r="I368" s="253"/>
      <c r="J368" s="250"/>
    </row>
    <row r="369" spans="1:10" ht="15" customHeight="1">
      <c r="A369" s="70"/>
      <c r="B369" s="97" t="s">
        <v>331</v>
      </c>
      <c r="C369" s="77">
        <v>9</v>
      </c>
      <c r="D369" s="101" t="s">
        <v>61</v>
      </c>
      <c r="E369" s="79"/>
      <c r="F369" s="192">
        <v>4</v>
      </c>
      <c r="G369" s="193"/>
      <c r="H369" s="256"/>
      <c r="I369" s="253"/>
      <c r="J369" s="250"/>
    </row>
    <row r="370" spans="1:10" ht="15" customHeight="1">
      <c r="A370" s="70"/>
      <c r="B370" s="97" t="s">
        <v>331</v>
      </c>
      <c r="C370" s="98">
        <v>10</v>
      </c>
      <c r="D370" s="101" t="s">
        <v>62</v>
      </c>
      <c r="E370" s="79"/>
      <c r="F370" s="192">
        <v>4</v>
      </c>
      <c r="G370" s="193"/>
      <c r="H370" s="256"/>
      <c r="I370" s="253"/>
      <c r="J370" s="250"/>
    </row>
    <row r="371" spans="1:10" ht="15" customHeight="1">
      <c r="A371" s="70"/>
      <c r="B371" s="97" t="s">
        <v>331</v>
      </c>
      <c r="C371" s="77">
        <v>11</v>
      </c>
      <c r="D371" s="101" t="s">
        <v>50</v>
      </c>
      <c r="E371" s="79"/>
      <c r="F371" s="192">
        <v>2</v>
      </c>
      <c r="G371" s="193"/>
      <c r="H371" s="256"/>
      <c r="I371" s="253"/>
      <c r="J371" s="250"/>
    </row>
    <row r="372" spans="1:10" ht="15" customHeight="1">
      <c r="A372" s="70"/>
      <c r="B372" s="97" t="s">
        <v>331</v>
      </c>
      <c r="C372" s="77">
        <v>12</v>
      </c>
      <c r="D372" s="101" t="s">
        <v>337</v>
      </c>
      <c r="E372" s="79"/>
      <c r="F372" s="192">
        <v>1</v>
      </c>
      <c r="G372" s="193"/>
      <c r="H372" s="256"/>
      <c r="I372" s="253"/>
      <c r="J372" s="250"/>
    </row>
    <row r="373" spans="1:10" ht="15" customHeight="1">
      <c r="A373" s="70"/>
      <c r="B373" s="97" t="s">
        <v>331</v>
      </c>
      <c r="C373" s="98">
        <v>13</v>
      </c>
      <c r="D373" s="101" t="s">
        <v>338</v>
      </c>
      <c r="E373" s="79"/>
      <c r="F373" s="192">
        <v>1</v>
      </c>
      <c r="G373" s="193"/>
      <c r="H373" s="256"/>
      <c r="I373" s="253"/>
      <c r="J373" s="250"/>
    </row>
    <row r="374" spans="1:10" ht="15" customHeight="1">
      <c r="A374" s="70"/>
      <c r="B374" s="97" t="s">
        <v>331</v>
      </c>
      <c r="C374" s="77">
        <v>14</v>
      </c>
      <c r="D374" s="101" t="s">
        <v>339</v>
      </c>
      <c r="E374" s="79"/>
      <c r="F374" s="192">
        <v>1</v>
      </c>
      <c r="G374" s="193"/>
      <c r="H374" s="256"/>
      <c r="I374" s="253"/>
      <c r="J374" s="250"/>
    </row>
    <row r="375" spans="1:10" ht="15" customHeight="1">
      <c r="A375" s="70"/>
      <c r="B375" s="97" t="s">
        <v>331</v>
      </c>
      <c r="C375" s="77">
        <v>15</v>
      </c>
      <c r="D375" s="101" t="s">
        <v>340</v>
      </c>
      <c r="E375" s="79"/>
      <c r="F375" s="192">
        <v>1</v>
      </c>
      <c r="G375" s="193"/>
      <c r="H375" s="256"/>
      <c r="I375" s="253"/>
      <c r="J375" s="250"/>
    </row>
    <row r="376" spans="1:10" ht="15" customHeight="1">
      <c r="A376" s="70"/>
      <c r="B376" s="97" t="s">
        <v>331</v>
      </c>
      <c r="C376" s="98">
        <v>16</v>
      </c>
      <c r="D376" s="101" t="s">
        <v>120</v>
      </c>
      <c r="E376" s="79"/>
      <c r="F376" s="192">
        <v>1</v>
      </c>
      <c r="G376" s="193"/>
      <c r="H376" s="256"/>
      <c r="I376" s="253"/>
      <c r="J376" s="250"/>
    </row>
    <row r="377" spans="1:10" ht="15" customHeight="1">
      <c r="A377" s="70"/>
      <c r="B377" s="97" t="s">
        <v>331</v>
      </c>
      <c r="C377" s="77">
        <v>17</v>
      </c>
      <c r="D377" s="101" t="s">
        <v>341</v>
      </c>
      <c r="E377" s="79"/>
      <c r="F377" s="192">
        <v>1</v>
      </c>
      <c r="G377" s="193"/>
      <c r="H377" s="256"/>
      <c r="I377" s="253"/>
      <c r="J377" s="250"/>
    </row>
    <row r="378" spans="1:10" ht="15" customHeight="1">
      <c r="A378" s="70"/>
      <c r="B378" s="97" t="s">
        <v>331</v>
      </c>
      <c r="C378" s="77">
        <v>18</v>
      </c>
      <c r="D378" s="101" t="s">
        <v>116</v>
      </c>
      <c r="E378" s="79"/>
      <c r="F378" s="192">
        <v>1</v>
      </c>
      <c r="G378" s="193"/>
      <c r="H378" s="256"/>
      <c r="I378" s="253"/>
      <c r="J378" s="250"/>
    </row>
    <row r="379" spans="1:10" ht="15" customHeight="1">
      <c r="A379" s="70"/>
      <c r="B379" s="97" t="s">
        <v>331</v>
      </c>
      <c r="C379" s="98">
        <v>19</v>
      </c>
      <c r="D379" s="101" t="s">
        <v>107</v>
      </c>
      <c r="E379" s="79"/>
      <c r="F379" s="192">
        <v>3</v>
      </c>
      <c r="G379" s="193"/>
      <c r="H379" s="256"/>
      <c r="I379" s="253"/>
      <c r="J379" s="250"/>
    </row>
    <row r="380" spans="1:10" ht="15" customHeight="1">
      <c r="A380" s="70"/>
      <c r="B380" s="97" t="s">
        <v>331</v>
      </c>
      <c r="C380" s="77">
        <v>20</v>
      </c>
      <c r="D380" s="101" t="s">
        <v>342</v>
      </c>
      <c r="E380" s="79"/>
      <c r="F380" s="192">
        <v>2</v>
      </c>
      <c r="G380" s="193"/>
      <c r="H380" s="256"/>
      <c r="I380" s="253"/>
      <c r="J380" s="250"/>
    </row>
    <row r="381" spans="1:10" ht="15" customHeight="1">
      <c r="A381" s="70"/>
      <c r="B381" s="97" t="s">
        <v>331</v>
      </c>
      <c r="C381" s="77">
        <v>21</v>
      </c>
      <c r="D381" s="101" t="s">
        <v>343</v>
      </c>
      <c r="E381" s="79"/>
      <c r="F381" s="192">
        <v>1</v>
      </c>
      <c r="G381" s="193"/>
      <c r="H381" s="256"/>
      <c r="I381" s="253"/>
      <c r="J381" s="250"/>
    </row>
    <row r="382" spans="1:10" ht="15" customHeight="1">
      <c r="A382" s="70"/>
      <c r="B382" s="97" t="s">
        <v>331</v>
      </c>
      <c r="C382" s="98">
        <v>22</v>
      </c>
      <c r="D382" s="101" t="s">
        <v>344</v>
      </c>
      <c r="E382" s="79"/>
      <c r="F382" s="192">
        <v>1</v>
      </c>
      <c r="G382" s="193"/>
      <c r="H382" s="256"/>
      <c r="I382" s="253"/>
      <c r="J382" s="250"/>
    </row>
    <row r="383" spans="1:10" ht="15" customHeight="1">
      <c r="A383" s="70"/>
      <c r="B383" s="97" t="s">
        <v>331</v>
      </c>
      <c r="C383" s="77">
        <v>23</v>
      </c>
      <c r="D383" s="101" t="s">
        <v>345</v>
      </c>
      <c r="E383" s="79"/>
      <c r="F383" s="192">
        <v>2</v>
      </c>
      <c r="G383" s="193"/>
      <c r="H383" s="256"/>
      <c r="I383" s="253"/>
      <c r="J383" s="250"/>
    </row>
    <row r="384" spans="1:10" ht="15" customHeight="1">
      <c r="A384" s="70"/>
      <c r="B384" s="97" t="s">
        <v>331</v>
      </c>
      <c r="C384" s="77">
        <v>24</v>
      </c>
      <c r="D384" s="101" t="s">
        <v>122</v>
      </c>
      <c r="E384" s="79"/>
      <c r="F384" s="192">
        <v>1</v>
      </c>
      <c r="G384" s="193"/>
      <c r="H384" s="256"/>
      <c r="I384" s="253"/>
      <c r="J384" s="250"/>
    </row>
    <row r="385" spans="1:10" ht="15" customHeight="1">
      <c r="A385" s="70"/>
      <c r="B385" s="97" t="s">
        <v>331</v>
      </c>
      <c r="C385" s="98">
        <v>25</v>
      </c>
      <c r="D385" s="101" t="s">
        <v>124</v>
      </c>
      <c r="E385" s="79"/>
      <c r="F385" s="192">
        <v>1</v>
      </c>
      <c r="G385" s="193"/>
      <c r="H385" s="256"/>
      <c r="I385" s="253"/>
      <c r="J385" s="250"/>
    </row>
    <row r="386" spans="1:10" ht="15" customHeight="1">
      <c r="A386" s="70"/>
      <c r="B386" s="97" t="s">
        <v>331</v>
      </c>
      <c r="C386" s="77">
        <v>26</v>
      </c>
      <c r="D386" s="101" t="s">
        <v>112</v>
      </c>
      <c r="E386" s="79"/>
      <c r="F386" s="192">
        <v>2</v>
      </c>
      <c r="G386" s="193"/>
      <c r="H386" s="256"/>
      <c r="I386" s="253"/>
      <c r="J386" s="250"/>
    </row>
    <row r="387" spans="1:10" ht="15" customHeight="1">
      <c r="A387" s="70"/>
      <c r="B387" s="97" t="s">
        <v>331</v>
      </c>
      <c r="C387" s="77">
        <v>27</v>
      </c>
      <c r="D387" s="101" t="s">
        <v>346</v>
      </c>
      <c r="E387" s="79"/>
      <c r="F387" s="192">
        <v>1</v>
      </c>
      <c r="G387" s="193"/>
      <c r="H387" s="256"/>
      <c r="I387" s="253"/>
      <c r="J387" s="250"/>
    </row>
    <row r="388" spans="1:10" ht="15" customHeight="1">
      <c r="A388" s="70"/>
      <c r="B388" s="97" t="s">
        <v>331</v>
      </c>
      <c r="C388" s="98">
        <v>28</v>
      </c>
      <c r="D388" s="101" t="s">
        <v>86</v>
      </c>
      <c r="E388" s="79"/>
      <c r="F388" s="192">
        <v>4</v>
      </c>
      <c r="G388" s="193"/>
      <c r="H388" s="256"/>
      <c r="I388" s="253"/>
      <c r="J388" s="250"/>
    </row>
    <row r="389" spans="1:10" ht="15" customHeight="1">
      <c r="A389" s="70"/>
      <c r="B389" s="97" t="s">
        <v>331</v>
      </c>
      <c r="C389" s="77">
        <v>29</v>
      </c>
      <c r="D389" s="101" t="s">
        <v>347</v>
      </c>
      <c r="E389" s="79"/>
      <c r="F389" s="192">
        <v>1</v>
      </c>
      <c r="G389" s="193"/>
      <c r="H389" s="256"/>
      <c r="I389" s="253"/>
      <c r="J389" s="250"/>
    </row>
    <row r="390" spans="1:10" ht="15" customHeight="1">
      <c r="A390" s="70"/>
      <c r="B390" s="97" t="s">
        <v>331</v>
      </c>
      <c r="C390" s="77">
        <v>30</v>
      </c>
      <c r="D390" s="101" t="s">
        <v>348</v>
      </c>
      <c r="E390" s="79"/>
      <c r="F390" s="192">
        <v>1</v>
      </c>
      <c r="G390" s="193"/>
      <c r="H390" s="256"/>
      <c r="I390" s="253"/>
      <c r="J390" s="250"/>
    </row>
    <row r="391" spans="1:10" ht="15" customHeight="1">
      <c r="A391" s="70"/>
      <c r="B391" s="97" t="s">
        <v>331</v>
      </c>
      <c r="C391" s="98">
        <v>31</v>
      </c>
      <c r="D391" s="101" t="s">
        <v>91</v>
      </c>
      <c r="E391" s="79"/>
      <c r="F391" s="192">
        <v>2</v>
      </c>
      <c r="G391" s="193"/>
      <c r="H391" s="256"/>
      <c r="I391" s="253"/>
      <c r="J391" s="250"/>
    </row>
    <row r="392" spans="1:10" ht="15" customHeight="1">
      <c r="A392" s="70"/>
      <c r="B392" s="97" t="s">
        <v>331</v>
      </c>
      <c r="C392" s="77">
        <v>32</v>
      </c>
      <c r="D392" s="101" t="s">
        <v>349</v>
      </c>
      <c r="E392" s="79"/>
      <c r="F392" s="192">
        <v>6</v>
      </c>
      <c r="G392" s="193"/>
      <c r="H392" s="256"/>
      <c r="I392" s="253"/>
      <c r="J392" s="250"/>
    </row>
    <row r="393" spans="1:10" ht="15" customHeight="1">
      <c r="A393" s="70"/>
      <c r="B393" s="97" t="s">
        <v>331</v>
      </c>
      <c r="C393" s="98">
        <v>73</v>
      </c>
      <c r="D393" s="101" t="s">
        <v>351</v>
      </c>
      <c r="E393" s="79"/>
      <c r="F393" s="192">
        <v>3</v>
      </c>
      <c r="G393" s="193"/>
      <c r="H393" s="256"/>
      <c r="I393" s="253"/>
      <c r="J393" s="250"/>
    </row>
    <row r="394" spans="1:10" ht="15" customHeight="1">
      <c r="A394" s="70"/>
      <c r="B394" s="97" t="s">
        <v>331</v>
      </c>
      <c r="C394" s="77">
        <v>74</v>
      </c>
      <c r="D394" s="101" t="s">
        <v>160</v>
      </c>
      <c r="E394" s="79"/>
      <c r="F394" s="192">
        <v>2</v>
      </c>
      <c r="G394" s="193"/>
      <c r="H394" s="256"/>
      <c r="I394" s="253"/>
      <c r="J394" s="250"/>
    </row>
    <row r="395" spans="1:10" ht="15" customHeight="1">
      <c r="A395" s="70"/>
      <c r="B395" s="97" t="s">
        <v>331</v>
      </c>
      <c r="C395" s="77">
        <v>75</v>
      </c>
      <c r="D395" s="101" t="s">
        <v>161</v>
      </c>
      <c r="E395" s="79"/>
      <c r="F395" s="192">
        <v>2</v>
      </c>
      <c r="G395" s="193"/>
      <c r="H395" s="256"/>
      <c r="I395" s="253"/>
      <c r="J395" s="250"/>
    </row>
    <row r="396" spans="1:10" ht="15" customHeight="1">
      <c r="A396" s="70"/>
      <c r="B396" s="97" t="s">
        <v>331</v>
      </c>
      <c r="C396" s="98">
        <v>76</v>
      </c>
      <c r="D396" s="101" t="s">
        <v>352</v>
      </c>
      <c r="E396" s="79"/>
      <c r="F396" s="192">
        <v>1</v>
      </c>
      <c r="G396" s="193"/>
      <c r="H396" s="256"/>
      <c r="I396" s="253"/>
      <c r="J396" s="250"/>
    </row>
    <row r="397" spans="1:10" ht="15" customHeight="1">
      <c r="A397" s="70"/>
      <c r="B397" s="97" t="s">
        <v>331</v>
      </c>
      <c r="C397" s="77">
        <v>77</v>
      </c>
      <c r="D397" s="101" t="s">
        <v>353</v>
      </c>
      <c r="E397" s="79"/>
      <c r="F397" s="192">
        <v>1</v>
      </c>
      <c r="G397" s="193"/>
      <c r="H397" s="256"/>
      <c r="I397" s="253"/>
      <c r="J397" s="250"/>
    </row>
    <row r="398" spans="1:10" ht="15" customHeight="1">
      <c r="A398" s="70"/>
      <c r="B398" s="97" t="s">
        <v>331</v>
      </c>
      <c r="C398" s="77">
        <v>78</v>
      </c>
      <c r="D398" s="101" t="s">
        <v>354</v>
      </c>
      <c r="E398" s="79"/>
      <c r="F398" s="192">
        <v>1</v>
      </c>
      <c r="G398" s="193"/>
      <c r="H398" s="256"/>
      <c r="I398" s="253"/>
      <c r="J398" s="250"/>
    </row>
    <row r="399" spans="1:10" ht="15" customHeight="1">
      <c r="A399" s="70"/>
      <c r="B399" s="97" t="s">
        <v>331</v>
      </c>
      <c r="C399" s="98">
        <v>79</v>
      </c>
      <c r="D399" s="101" t="s">
        <v>156</v>
      </c>
      <c r="E399" s="79"/>
      <c r="F399" s="192">
        <v>3</v>
      </c>
      <c r="G399" s="193"/>
      <c r="H399" s="256"/>
      <c r="I399" s="253"/>
      <c r="J399" s="250"/>
    </row>
    <row r="400" spans="1:10" ht="15" customHeight="1">
      <c r="A400" s="70"/>
      <c r="B400" s="97" t="s">
        <v>331</v>
      </c>
      <c r="C400" s="77">
        <v>80</v>
      </c>
      <c r="D400" s="101" t="s">
        <v>208</v>
      </c>
      <c r="E400" s="79"/>
      <c r="F400" s="192">
        <v>2</v>
      </c>
      <c r="G400" s="193"/>
      <c r="H400" s="256"/>
      <c r="I400" s="253"/>
      <c r="J400" s="250"/>
    </row>
    <row r="401" spans="1:10" ht="15" customHeight="1">
      <c r="A401" s="70"/>
      <c r="B401" s="97" t="s">
        <v>331</v>
      </c>
      <c r="C401" s="77">
        <v>81</v>
      </c>
      <c r="D401" s="101" t="s">
        <v>355</v>
      </c>
      <c r="E401" s="79"/>
      <c r="F401" s="192">
        <v>1</v>
      </c>
      <c r="G401" s="193"/>
      <c r="H401" s="256"/>
      <c r="I401" s="253"/>
      <c r="J401" s="250"/>
    </row>
    <row r="402" spans="1:10" ht="15" customHeight="1">
      <c r="A402" s="70"/>
      <c r="B402" s="97" t="s">
        <v>331</v>
      </c>
      <c r="C402" s="98">
        <v>82</v>
      </c>
      <c r="D402" s="101" t="s">
        <v>356</v>
      </c>
      <c r="E402" s="79"/>
      <c r="F402" s="192">
        <v>1</v>
      </c>
      <c r="G402" s="193"/>
      <c r="H402" s="256"/>
      <c r="I402" s="253"/>
      <c r="J402" s="250"/>
    </row>
    <row r="403" spans="1:10" ht="15" customHeight="1">
      <c r="A403" s="70"/>
      <c r="B403" s="97" t="s">
        <v>331</v>
      </c>
      <c r="C403" s="77">
        <v>83</v>
      </c>
      <c r="D403" s="101" t="s">
        <v>357</v>
      </c>
      <c r="E403" s="79"/>
      <c r="F403" s="192">
        <v>2</v>
      </c>
      <c r="G403" s="193"/>
      <c r="H403" s="256"/>
      <c r="I403" s="253"/>
      <c r="J403" s="250"/>
    </row>
    <row r="404" spans="1:10" ht="15" customHeight="1">
      <c r="A404" s="70"/>
      <c r="B404" s="97" t="s">
        <v>331</v>
      </c>
      <c r="C404" s="77">
        <v>84</v>
      </c>
      <c r="D404" s="101" t="s">
        <v>154</v>
      </c>
      <c r="E404" s="79"/>
      <c r="F404" s="192">
        <v>2</v>
      </c>
      <c r="G404" s="193"/>
      <c r="H404" s="256"/>
      <c r="I404" s="253"/>
      <c r="J404" s="250"/>
    </row>
    <row r="405" spans="1:10" ht="15" customHeight="1">
      <c r="A405" s="70"/>
      <c r="B405" s="97" t="s">
        <v>331</v>
      </c>
      <c r="C405" s="98">
        <v>85</v>
      </c>
      <c r="D405" s="101" t="s">
        <v>153</v>
      </c>
      <c r="E405" s="79"/>
      <c r="F405" s="192">
        <v>2</v>
      </c>
      <c r="G405" s="193"/>
      <c r="H405" s="256"/>
      <c r="I405" s="253"/>
      <c r="J405" s="250"/>
    </row>
    <row r="406" spans="1:10" ht="15" customHeight="1">
      <c r="A406" s="70"/>
      <c r="B406" s="97" t="s">
        <v>331</v>
      </c>
      <c r="C406" s="77">
        <v>89</v>
      </c>
      <c r="D406" s="101" t="s">
        <v>174</v>
      </c>
      <c r="E406" s="79"/>
      <c r="F406" s="192">
        <v>1</v>
      </c>
      <c r="G406" s="193"/>
      <c r="H406" s="256"/>
      <c r="I406" s="253"/>
      <c r="J406" s="250"/>
    </row>
    <row r="407" spans="1:10" ht="15" customHeight="1">
      <c r="A407" s="70"/>
      <c r="B407" s="97" t="s">
        <v>331</v>
      </c>
      <c r="C407" s="98">
        <v>91</v>
      </c>
      <c r="D407" s="101" t="s">
        <v>358</v>
      </c>
      <c r="E407" s="79"/>
      <c r="F407" s="192">
        <v>3</v>
      </c>
      <c r="G407" s="193"/>
      <c r="H407" s="256"/>
      <c r="I407" s="253"/>
      <c r="J407" s="250"/>
    </row>
    <row r="408" spans="1:10" ht="15" customHeight="1">
      <c r="A408" s="70"/>
      <c r="B408" s="97" t="s">
        <v>331</v>
      </c>
      <c r="C408" s="77">
        <v>92</v>
      </c>
      <c r="D408" s="101" t="s">
        <v>359</v>
      </c>
      <c r="E408" s="79"/>
      <c r="F408" s="192">
        <v>3</v>
      </c>
      <c r="G408" s="193"/>
      <c r="H408" s="256"/>
      <c r="I408" s="253"/>
      <c r="J408" s="250"/>
    </row>
    <row r="409" spans="1:10" ht="15" customHeight="1">
      <c r="A409" s="70"/>
      <c r="B409" s="97" t="s">
        <v>331</v>
      </c>
      <c r="C409" s="77">
        <v>93</v>
      </c>
      <c r="D409" s="101" t="s">
        <v>360</v>
      </c>
      <c r="E409" s="79"/>
      <c r="F409" s="192">
        <v>1</v>
      </c>
      <c r="G409" s="193"/>
      <c r="H409" s="256"/>
      <c r="I409" s="253"/>
      <c r="J409" s="250"/>
    </row>
    <row r="410" spans="1:10" ht="15" customHeight="1">
      <c r="A410" s="70"/>
      <c r="B410" s="97" t="s">
        <v>331</v>
      </c>
      <c r="C410" s="77">
        <v>98</v>
      </c>
      <c r="D410" s="101" t="s">
        <v>190</v>
      </c>
      <c r="E410" s="79"/>
      <c r="F410" s="192">
        <v>12</v>
      </c>
      <c r="G410" s="193"/>
      <c r="H410" s="256"/>
      <c r="I410" s="253"/>
      <c r="J410" s="250"/>
    </row>
    <row r="411" spans="1:10" ht="15" customHeight="1">
      <c r="A411" s="70"/>
      <c r="B411" s="97" t="s">
        <v>331</v>
      </c>
      <c r="C411" s="98">
        <v>109</v>
      </c>
      <c r="D411" s="101" t="s">
        <v>361</v>
      </c>
      <c r="E411" s="79"/>
      <c r="F411" s="192">
        <v>4</v>
      </c>
      <c r="G411" s="193"/>
      <c r="H411" s="256"/>
      <c r="I411" s="253"/>
      <c r="J411" s="250"/>
    </row>
    <row r="412" spans="1:10" ht="15" customHeight="1">
      <c r="A412" s="70"/>
      <c r="B412" s="97" t="s">
        <v>331</v>
      </c>
      <c r="C412" s="77">
        <v>110</v>
      </c>
      <c r="D412" s="101" t="s">
        <v>362</v>
      </c>
      <c r="E412" s="79"/>
      <c r="F412" s="192">
        <v>1</v>
      </c>
      <c r="G412" s="193"/>
      <c r="H412" s="256"/>
      <c r="I412" s="253"/>
      <c r="J412" s="250"/>
    </row>
    <row r="413" spans="1:10" ht="15" customHeight="1">
      <c r="A413" s="70"/>
      <c r="B413" s="97" t="s">
        <v>331</v>
      </c>
      <c r="C413" s="77">
        <v>111</v>
      </c>
      <c r="D413" s="101" t="s">
        <v>363</v>
      </c>
      <c r="E413" s="79"/>
      <c r="F413" s="192">
        <v>1</v>
      </c>
      <c r="G413" s="193"/>
      <c r="H413" s="256"/>
      <c r="I413" s="253"/>
      <c r="J413" s="250"/>
    </row>
    <row r="414" spans="1:10" ht="15" customHeight="1">
      <c r="A414" s="70"/>
      <c r="B414" s="97" t="s">
        <v>331</v>
      </c>
      <c r="C414" s="98">
        <v>112</v>
      </c>
      <c r="D414" s="101" t="s">
        <v>220</v>
      </c>
      <c r="E414" s="79"/>
      <c r="F414" s="192">
        <v>2</v>
      </c>
      <c r="G414" s="193"/>
      <c r="H414" s="256"/>
      <c r="I414" s="253"/>
      <c r="J414" s="250"/>
    </row>
    <row r="415" spans="1:10" ht="15" customHeight="1">
      <c r="A415" s="70"/>
      <c r="B415" s="97" t="s">
        <v>331</v>
      </c>
      <c r="C415" s="77">
        <v>113</v>
      </c>
      <c r="D415" s="101" t="s">
        <v>364</v>
      </c>
      <c r="E415" s="79"/>
      <c r="F415" s="192">
        <v>1</v>
      </c>
      <c r="G415" s="193"/>
      <c r="H415" s="256"/>
      <c r="I415" s="253"/>
      <c r="J415" s="250"/>
    </row>
    <row r="416" spans="1:10" ht="15" customHeight="1">
      <c r="A416" s="70"/>
      <c r="B416" s="97" t="s">
        <v>331</v>
      </c>
      <c r="C416" s="77">
        <v>114</v>
      </c>
      <c r="D416" s="101" t="s">
        <v>365</v>
      </c>
      <c r="E416" s="79"/>
      <c r="F416" s="192">
        <v>1</v>
      </c>
      <c r="G416" s="193"/>
      <c r="H416" s="256"/>
      <c r="I416" s="253"/>
      <c r="J416" s="250"/>
    </row>
    <row r="417" spans="1:10" ht="15" customHeight="1">
      <c r="A417" s="70"/>
      <c r="B417" s="97" t="s">
        <v>331</v>
      </c>
      <c r="C417" s="98">
        <v>115</v>
      </c>
      <c r="D417" s="101" t="s">
        <v>366</v>
      </c>
      <c r="E417" s="79"/>
      <c r="F417" s="192">
        <v>4</v>
      </c>
      <c r="G417" s="193"/>
      <c r="H417" s="256"/>
      <c r="I417" s="253"/>
      <c r="J417" s="250"/>
    </row>
    <row r="418" spans="1:10" ht="15" customHeight="1">
      <c r="A418" s="70"/>
      <c r="B418" s="97" t="s">
        <v>331</v>
      </c>
      <c r="C418" s="98">
        <v>118</v>
      </c>
      <c r="D418" s="101" t="s">
        <v>367</v>
      </c>
      <c r="E418" s="79"/>
      <c r="F418" s="192">
        <v>4</v>
      </c>
      <c r="G418" s="193"/>
      <c r="H418" s="256"/>
      <c r="I418" s="253"/>
      <c r="J418" s="250"/>
    </row>
    <row r="419" spans="1:10" ht="15" customHeight="1">
      <c r="A419" s="70"/>
      <c r="B419" s="97" t="s">
        <v>331</v>
      </c>
      <c r="C419" s="77">
        <v>119</v>
      </c>
      <c r="D419" s="101" t="s">
        <v>368</v>
      </c>
      <c r="E419" s="79"/>
      <c r="F419" s="192">
        <v>3</v>
      </c>
      <c r="G419" s="193"/>
      <c r="H419" s="256"/>
      <c r="I419" s="253"/>
      <c r="J419" s="250"/>
    </row>
    <row r="420" spans="1:10" ht="15" customHeight="1">
      <c r="A420" s="70"/>
      <c r="B420" s="97" t="s">
        <v>331</v>
      </c>
      <c r="C420" s="77">
        <v>120</v>
      </c>
      <c r="D420" s="101" t="s">
        <v>369</v>
      </c>
      <c r="E420" s="79"/>
      <c r="F420" s="192">
        <v>2</v>
      </c>
      <c r="G420" s="193"/>
      <c r="H420" s="256"/>
      <c r="I420" s="253"/>
      <c r="J420" s="250"/>
    </row>
    <row r="421" spans="1:10" ht="15" customHeight="1">
      <c r="A421" s="70"/>
      <c r="B421" s="97" t="s">
        <v>331</v>
      </c>
      <c r="C421" s="98">
        <v>121</v>
      </c>
      <c r="D421" s="101" t="s">
        <v>370</v>
      </c>
      <c r="E421" s="79"/>
      <c r="F421" s="192">
        <v>2</v>
      </c>
      <c r="G421" s="193"/>
      <c r="H421" s="256"/>
      <c r="I421" s="253"/>
      <c r="J421" s="250"/>
    </row>
    <row r="422" spans="1:10" ht="15" customHeight="1" thickBot="1">
      <c r="A422" s="168"/>
      <c r="B422" s="82" t="s">
        <v>331</v>
      </c>
      <c r="C422" s="169">
        <v>122</v>
      </c>
      <c r="D422" s="170" t="s">
        <v>371</v>
      </c>
      <c r="E422" s="171"/>
      <c r="F422" s="239">
        <v>3</v>
      </c>
      <c r="G422" s="240"/>
      <c r="H422" s="256"/>
      <c r="I422" s="253"/>
      <c r="J422" s="250"/>
    </row>
    <row r="423" spans="1:10" ht="15" customHeight="1" thickTop="1">
      <c r="A423" s="70"/>
      <c r="B423" s="97" t="s">
        <v>405</v>
      </c>
      <c r="C423" s="98">
        <v>1</v>
      </c>
      <c r="D423" s="101" t="s">
        <v>351</v>
      </c>
      <c r="E423" s="79"/>
      <c r="F423" s="192">
        <v>3</v>
      </c>
      <c r="G423" s="193"/>
      <c r="H423" s="256"/>
      <c r="I423" s="253"/>
      <c r="J423" s="250"/>
    </row>
    <row r="424" spans="1:10" ht="15" customHeight="1">
      <c r="A424" s="70"/>
      <c r="B424" s="97" t="s">
        <v>405</v>
      </c>
      <c r="C424" s="77">
        <v>2</v>
      </c>
      <c r="D424" s="101" t="s">
        <v>160</v>
      </c>
      <c r="E424" s="79"/>
      <c r="F424" s="192">
        <v>2</v>
      </c>
      <c r="G424" s="193"/>
      <c r="H424" s="256"/>
      <c r="I424" s="253"/>
      <c r="J424" s="250"/>
    </row>
    <row r="425" spans="1:10" ht="15" customHeight="1">
      <c r="A425" s="70"/>
      <c r="B425" s="97" t="s">
        <v>405</v>
      </c>
      <c r="C425" s="77">
        <v>3</v>
      </c>
      <c r="D425" s="101" t="s">
        <v>161</v>
      </c>
      <c r="E425" s="79"/>
      <c r="F425" s="192">
        <v>2</v>
      </c>
      <c r="G425" s="193"/>
      <c r="H425" s="256"/>
      <c r="I425" s="253"/>
      <c r="J425" s="250"/>
    </row>
    <row r="426" spans="1:10" ht="15" customHeight="1">
      <c r="A426" s="70"/>
      <c r="B426" s="97" t="s">
        <v>405</v>
      </c>
      <c r="C426" s="98">
        <v>4</v>
      </c>
      <c r="D426" s="101" t="s">
        <v>352</v>
      </c>
      <c r="E426" s="79"/>
      <c r="F426" s="192">
        <v>1</v>
      </c>
      <c r="G426" s="193"/>
      <c r="H426" s="256"/>
      <c r="I426" s="253"/>
      <c r="J426" s="250"/>
    </row>
    <row r="427" spans="1:10" ht="15" customHeight="1">
      <c r="A427" s="70"/>
      <c r="B427" s="97" t="s">
        <v>405</v>
      </c>
      <c r="C427" s="77">
        <v>5</v>
      </c>
      <c r="D427" s="101" t="s">
        <v>353</v>
      </c>
      <c r="E427" s="79"/>
      <c r="F427" s="192">
        <v>1</v>
      </c>
      <c r="G427" s="193"/>
      <c r="H427" s="256"/>
      <c r="I427" s="253"/>
      <c r="J427" s="250"/>
    </row>
    <row r="428" spans="1:10" ht="15" customHeight="1">
      <c r="A428" s="70"/>
      <c r="B428" s="97" t="s">
        <v>405</v>
      </c>
      <c r="C428" s="77">
        <v>6</v>
      </c>
      <c r="D428" s="101" t="s">
        <v>354</v>
      </c>
      <c r="E428" s="79"/>
      <c r="F428" s="192">
        <v>1</v>
      </c>
      <c r="G428" s="193"/>
      <c r="H428" s="256"/>
      <c r="I428" s="253"/>
      <c r="J428" s="250"/>
    </row>
    <row r="429" spans="1:10" ht="15" customHeight="1">
      <c r="A429" s="70"/>
      <c r="B429" s="97" t="s">
        <v>405</v>
      </c>
      <c r="C429" s="98">
        <v>7</v>
      </c>
      <c r="D429" s="101" t="s">
        <v>156</v>
      </c>
      <c r="E429" s="79"/>
      <c r="F429" s="192">
        <v>3</v>
      </c>
      <c r="G429" s="193"/>
      <c r="H429" s="256"/>
      <c r="I429" s="253"/>
      <c r="J429" s="250"/>
    </row>
    <row r="430" spans="1:10" ht="15" customHeight="1">
      <c r="A430" s="70"/>
      <c r="B430" s="97" t="s">
        <v>405</v>
      </c>
      <c r="C430" s="77">
        <v>8</v>
      </c>
      <c r="D430" s="101" t="s">
        <v>208</v>
      </c>
      <c r="E430" s="79"/>
      <c r="F430" s="192">
        <v>2</v>
      </c>
      <c r="G430" s="193"/>
      <c r="H430" s="256"/>
      <c r="I430" s="253"/>
      <c r="J430" s="250"/>
    </row>
    <row r="431" spans="1:10" ht="15" customHeight="1">
      <c r="A431" s="70"/>
      <c r="B431" s="97" t="s">
        <v>405</v>
      </c>
      <c r="C431" s="77">
        <v>9</v>
      </c>
      <c r="D431" s="101" t="s">
        <v>355</v>
      </c>
      <c r="E431" s="79"/>
      <c r="F431" s="192">
        <v>1</v>
      </c>
      <c r="G431" s="193"/>
      <c r="H431" s="256"/>
      <c r="I431" s="253"/>
      <c r="J431" s="250"/>
    </row>
    <row r="432" spans="1:10" ht="15" customHeight="1">
      <c r="A432" s="70"/>
      <c r="B432" s="97" t="s">
        <v>405</v>
      </c>
      <c r="C432" s="98">
        <v>10</v>
      </c>
      <c r="D432" s="101" t="s">
        <v>356</v>
      </c>
      <c r="E432" s="79"/>
      <c r="F432" s="192">
        <v>1</v>
      </c>
      <c r="G432" s="193"/>
      <c r="H432" s="256"/>
      <c r="I432" s="253"/>
      <c r="J432" s="250"/>
    </row>
    <row r="433" spans="1:10" ht="15" customHeight="1">
      <c r="A433" s="70"/>
      <c r="B433" s="97" t="s">
        <v>405</v>
      </c>
      <c r="C433" s="77">
        <v>11</v>
      </c>
      <c r="D433" s="101" t="s">
        <v>357</v>
      </c>
      <c r="E433" s="79"/>
      <c r="F433" s="192">
        <v>2</v>
      </c>
      <c r="G433" s="193"/>
      <c r="H433" s="256"/>
      <c r="I433" s="253"/>
      <c r="J433" s="250"/>
    </row>
    <row r="434" spans="1:10" ht="15" customHeight="1">
      <c r="A434" s="70"/>
      <c r="B434" s="97" t="s">
        <v>405</v>
      </c>
      <c r="C434" s="77">
        <v>12</v>
      </c>
      <c r="D434" s="101" t="s">
        <v>174</v>
      </c>
      <c r="E434" s="79"/>
      <c r="F434" s="192">
        <v>1</v>
      </c>
      <c r="G434" s="193"/>
      <c r="H434" s="256"/>
      <c r="I434" s="253"/>
      <c r="J434" s="250"/>
    </row>
    <row r="435" spans="1:10" ht="15" customHeight="1">
      <c r="A435" s="70"/>
      <c r="B435" s="97" t="s">
        <v>405</v>
      </c>
      <c r="C435" s="98">
        <v>17</v>
      </c>
      <c r="D435" s="101" t="s">
        <v>358</v>
      </c>
      <c r="E435" s="79"/>
      <c r="F435" s="192">
        <v>3</v>
      </c>
      <c r="G435" s="193"/>
      <c r="H435" s="256"/>
      <c r="I435" s="253"/>
      <c r="J435" s="250"/>
    </row>
    <row r="436" spans="1:10" ht="15" customHeight="1">
      <c r="A436" s="70"/>
      <c r="B436" s="97" t="s">
        <v>405</v>
      </c>
      <c r="C436" s="77">
        <v>18</v>
      </c>
      <c r="D436" s="101" t="s">
        <v>359</v>
      </c>
      <c r="E436" s="79"/>
      <c r="F436" s="192">
        <v>3</v>
      </c>
      <c r="G436" s="193"/>
      <c r="H436" s="256"/>
      <c r="I436" s="253"/>
      <c r="J436" s="250"/>
    </row>
    <row r="437" spans="1:10" ht="15" customHeight="1">
      <c r="A437" s="128"/>
      <c r="B437" s="97" t="s">
        <v>405</v>
      </c>
      <c r="C437" s="98">
        <v>19</v>
      </c>
      <c r="D437" s="99" t="s">
        <v>985</v>
      </c>
      <c r="E437" s="79"/>
      <c r="F437" s="241">
        <v>2</v>
      </c>
      <c r="G437" s="242"/>
      <c r="H437" s="256"/>
      <c r="I437" s="253"/>
      <c r="J437" s="250"/>
    </row>
    <row r="438" spans="1:10" ht="15" customHeight="1">
      <c r="A438" s="70"/>
      <c r="B438" s="97" t="s">
        <v>405</v>
      </c>
      <c r="C438" s="77">
        <v>20</v>
      </c>
      <c r="D438" s="101" t="s">
        <v>333</v>
      </c>
      <c r="E438" s="79"/>
      <c r="F438" s="192">
        <v>1</v>
      </c>
      <c r="G438" s="193"/>
      <c r="H438" s="256"/>
      <c r="I438" s="253"/>
      <c r="J438" s="250"/>
    </row>
    <row r="439" spans="1:10" ht="15" customHeight="1">
      <c r="A439" s="70"/>
      <c r="B439" s="97" t="s">
        <v>405</v>
      </c>
      <c r="C439" s="77">
        <v>21</v>
      </c>
      <c r="D439" s="101" t="s">
        <v>60</v>
      </c>
      <c r="E439" s="79"/>
      <c r="F439" s="192">
        <v>1</v>
      </c>
      <c r="G439" s="193"/>
      <c r="H439" s="256"/>
      <c r="I439" s="253"/>
      <c r="J439" s="250"/>
    </row>
    <row r="440" spans="1:10" ht="15" customHeight="1">
      <c r="A440" s="70"/>
      <c r="B440" s="97" t="s">
        <v>405</v>
      </c>
      <c r="C440" s="98">
        <v>22</v>
      </c>
      <c r="D440" s="101" t="s">
        <v>59</v>
      </c>
      <c r="E440" s="79"/>
      <c r="F440" s="192">
        <v>1</v>
      </c>
      <c r="G440" s="193"/>
      <c r="H440" s="256"/>
      <c r="I440" s="253"/>
      <c r="J440" s="250"/>
    </row>
    <row r="441" spans="1:10" ht="15" customHeight="1">
      <c r="A441" s="70"/>
      <c r="B441" s="97" t="s">
        <v>405</v>
      </c>
      <c r="C441" s="77">
        <v>23</v>
      </c>
      <c r="D441" s="101" t="s">
        <v>334</v>
      </c>
      <c r="E441" s="79"/>
      <c r="F441" s="192">
        <v>1</v>
      </c>
      <c r="G441" s="193"/>
      <c r="H441" s="256"/>
      <c r="I441" s="253"/>
      <c r="J441" s="250"/>
    </row>
    <row r="442" spans="1:10" ht="15" customHeight="1">
      <c r="A442" s="70"/>
      <c r="B442" s="97" t="s">
        <v>405</v>
      </c>
      <c r="C442" s="77">
        <v>24</v>
      </c>
      <c r="D442" s="101" t="s">
        <v>335</v>
      </c>
      <c r="E442" s="79"/>
      <c r="F442" s="192">
        <v>1</v>
      </c>
      <c r="G442" s="193"/>
      <c r="H442" s="256"/>
      <c r="I442" s="253"/>
      <c r="J442" s="250"/>
    </row>
    <row r="443" spans="1:10" ht="15" customHeight="1">
      <c r="A443" s="70"/>
      <c r="B443" s="97" t="s">
        <v>405</v>
      </c>
      <c r="C443" s="98">
        <v>25</v>
      </c>
      <c r="D443" s="101" t="s">
        <v>66</v>
      </c>
      <c r="E443" s="79"/>
      <c r="F443" s="192">
        <v>1</v>
      </c>
      <c r="G443" s="193"/>
      <c r="H443" s="256"/>
      <c r="I443" s="253"/>
      <c r="J443" s="250"/>
    </row>
    <row r="444" spans="1:10" ht="15" customHeight="1">
      <c r="A444" s="70"/>
      <c r="B444" s="97" t="s">
        <v>405</v>
      </c>
      <c r="C444" s="77">
        <v>26</v>
      </c>
      <c r="D444" s="101" t="s">
        <v>336</v>
      </c>
      <c r="E444" s="79"/>
      <c r="F444" s="192">
        <v>1</v>
      </c>
      <c r="G444" s="193"/>
      <c r="H444" s="256"/>
      <c r="I444" s="253"/>
      <c r="J444" s="250"/>
    </row>
    <row r="445" spans="1:10" ht="15" customHeight="1">
      <c r="A445" s="70"/>
      <c r="B445" s="97" t="s">
        <v>405</v>
      </c>
      <c r="C445" s="77">
        <v>27</v>
      </c>
      <c r="D445" s="101" t="s">
        <v>61</v>
      </c>
      <c r="E445" s="79"/>
      <c r="F445" s="192">
        <v>4</v>
      </c>
      <c r="G445" s="193"/>
      <c r="H445" s="256"/>
      <c r="I445" s="253"/>
      <c r="J445" s="250"/>
    </row>
    <row r="446" spans="1:10" ht="15" customHeight="1">
      <c r="A446" s="70"/>
      <c r="B446" s="97" t="s">
        <v>405</v>
      </c>
      <c r="C446" s="98">
        <v>28</v>
      </c>
      <c r="D446" s="101" t="s">
        <v>62</v>
      </c>
      <c r="E446" s="79"/>
      <c r="F446" s="192">
        <v>4</v>
      </c>
      <c r="G446" s="193"/>
      <c r="H446" s="256"/>
      <c r="I446" s="253"/>
      <c r="J446" s="250"/>
    </row>
    <row r="447" spans="1:10" ht="15" customHeight="1">
      <c r="A447" s="70"/>
      <c r="B447" s="97" t="s">
        <v>405</v>
      </c>
      <c r="C447" s="77">
        <v>29</v>
      </c>
      <c r="D447" s="101" t="s">
        <v>50</v>
      </c>
      <c r="E447" s="79"/>
      <c r="F447" s="192">
        <v>2</v>
      </c>
      <c r="G447" s="193"/>
      <c r="H447" s="256"/>
      <c r="I447" s="253"/>
      <c r="J447" s="250"/>
    </row>
    <row r="448" spans="1:10" ht="15" customHeight="1">
      <c r="A448" s="70"/>
      <c r="B448" s="97" t="s">
        <v>405</v>
      </c>
      <c r="C448" s="77">
        <v>30</v>
      </c>
      <c r="D448" s="101" t="s">
        <v>337</v>
      </c>
      <c r="E448" s="79"/>
      <c r="F448" s="192">
        <v>1</v>
      </c>
      <c r="G448" s="193"/>
      <c r="H448" s="256"/>
      <c r="I448" s="253"/>
      <c r="J448" s="250"/>
    </row>
    <row r="449" spans="1:10" ht="15" customHeight="1">
      <c r="A449" s="70"/>
      <c r="B449" s="97" t="s">
        <v>405</v>
      </c>
      <c r="C449" s="98">
        <v>31</v>
      </c>
      <c r="D449" s="101" t="s">
        <v>338</v>
      </c>
      <c r="E449" s="79"/>
      <c r="F449" s="192">
        <v>1</v>
      </c>
      <c r="G449" s="193"/>
      <c r="H449" s="256"/>
      <c r="I449" s="253"/>
      <c r="J449" s="250"/>
    </row>
    <row r="450" spans="1:10" ht="15" customHeight="1">
      <c r="A450" s="70"/>
      <c r="B450" s="97" t="s">
        <v>405</v>
      </c>
      <c r="C450" s="77">
        <v>32</v>
      </c>
      <c r="D450" s="101" t="s">
        <v>339</v>
      </c>
      <c r="E450" s="79"/>
      <c r="F450" s="192">
        <v>1</v>
      </c>
      <c r="G450" s="193"/>
      <c r="H450" s="256"/>
      <c r="I450" s="253"/>
      <c r="J450" s="250"/>
    </row>
    <row r="451" spans="1:10" ht="15" customHeight="1">
      <c r="A451" s="70"/>
      <c r="B451" s="97" t="s">
        <v>405</v>
      </c>
      <c r="C451" s="77">
        <v>33</v>
      </c>
      <c r="D451" s="101" t="s">
        <v>340</v>
      </c>
      <c r="E451" s="79"/>
      <c r="F451" s="192">
        <v>1</v>
      </c>
      <c r="G451" s="193"/>
      <c r="H451" s="256"/>
      <c r="I451" s="253"/>
      <c r="J451" s="250"/>
    </row>
    <row r="452" spans="1:10" ht="15" customHeight="1">
      <c r="A452" s="70"/>
      <c r="B452" s="97" t="s">
        <v>405</v>
      </c>
      <c r="C452" s="98">
        <v>34</v>
      </c>
      <c r="D452" s="101" t="s">
        <v>120</v>
      </c>
      <c r="E452" s="79"/>
      <c r="F452" s="192">
        <v>1</v>
      </c>
      <c r="G452" s="193"/>
      <c r="H452" s="256"/>
      <c r="I452" s="253"/>
      <c r="J452" s="250"/>
    </row>
    <row r="453" spans="1:10" ht="15" customHeight="1">
      <c r="A453" s="70"/>
      <c r="B453" s="97" t="s">
        <v>405</v>
      </c>
      <c r="C453" s="77">
        <v>35</v>
      </c>
      <c r="D453" s="101" t="s">
        <v>341</v>
      </c>
      <c r="E453" s="79"/>
      <c r="F453" s="192">
        <v>1</v>
      </c>
      <c r="G453" s="193"/>
      <c r="H453" s="256"/>
      <c r="I453" s="253"/>
      <c r="J453" s="250"/>
    </row>
    <row r="454" spans="1:10" ht="15" customHeight="1">
      <c r="A454" s="70"/>
      <c r="B454" s="97" t="s">
        <v>405</v>
      </c>
      <c r="C454" s="77">
        <v>36</v>
      </c>
      <c r="D454" s="101" t="s">
        <v>116</v>
      </c>
      <c r="E454" s="79"/>
      <c r="F454" s="192">
        <v>1</v>
      </c>
      <c r="G454" s="193"/>
      <c r="H454" s="256"/>
      <c r="I454" s="253"/>
      <c r="J454" s="250"/>
    </row>
    <row r="455" spans="1:10" ht="15" customHeight="1">
      <c r="A455" s="70"/>
      <c r="B455" s="97" t="s">
        <v>405</v>
      </c>
      <c r="C455" s="98">
        <v>37</v>
      </c>
      <c r="D455" s="101" t="s">
        <v>107</v>
      </c>
      <c r="E455" s="79"/>
      <c r="F455" s="192">
        <v>3</v>
      </c>
      <c r="G455" s="193"/>
      <c r="H455" s="256"/>
      <c r="I455" s="253"/>
      <c r="J455" s="250"/>
    </row>
    <row r="456" spans="1:10" ht="15" customHeight="1">
      <c r="A456" s="70"/>
      <c r="B456" s="97" t="s">
        <v>405</v>
      </c>
      <c r="C456" s="77">
        <v>38</v>
      </c>
      <c r="D456" s="101" t="s">
        <v>342</v>
      </c>
      <c r="E456" s="79"/>
      <c r="F456" s="192">
        <v>2</v>
      </c>
      <c r="G456" s="193"/>
      <c r="H456" s="256"/>
      <c r="I456" s="253"/>
      <c r="J456" s="250"/>
    </row>
    <row r="457" spans="1:10" ht="15" customHeight="1">
      <c r="A457" s="70"/>
      <c r="B457" s="97" t="s">
        <v>405</v>
      </c>
      <c r="C457" s="77">
        <v>39</v>
      </c>
      <c r="D457" s="101" t="s">
        <v>343</v>
      </c>
      <c r="E457" s="79"/>
      <c r="F457" s="192">
        <v>1</v>
      </c>
      <c r="G457" s="193"/>
      <c r="H457" s="256"/>
      <c r="I457" s="253"/>
      <c r="J457" s="250"/>
    </row>
    <row r="458" spans="1:10" ht="15" customHeight="1">
      <c r="A458" s="70"/>
      <c r="B458" s="97" t="s">
        <v>405</v>
      </c>
      <c r="C458" s="98">
        <v>40</v>
      </c>
      <c r="D458" s="101" t="s">
        <v>344</v>
      </c>
      <c r="E458" s="79"/>
      <c r="F458" s="192">
        <v>1</v>
      </c>
      <c r="G458" s="193"/>
      <c r="H458" s="256"/>
      <c r="I458" s="253"/>
      <c r="J458" s="250"/>
    </row>
    <row r="459" spans="1:10" ht="15" customHeight="1">
      <c r="A459" s="70"/>
      <c r="B459" s="97" t="s">
        <v>405</v>
      </c>
      <c r="C459" s="77">
        <v>41</v>
      </c>
      <c r="D459" s="101" t="s">
        <v>345</v>
      </c>
      <c r="E459" s="79"/>
      <c r="F459" s="192">
        <v>2</v>
      </c>
      <c r="G459" s="193"/>
      <c r="H459" s="256"/>
      <c r="I459" s="253"/>
      <c r="J459" s="250"/>
    </row>
    <row r="460" spans="1:10" ht="15" customHeight="1">
      <c r="A460" s="70"/>
      <c r="B460" s="97" t="s">
        <v>405</v>
      </c>
      <c r="C460" s="77">
        <v>42</v>
      </c>
      <c r="D460" s="101" t="s">
        <v>122</v>
      </c>
      <c r="E460" s="79"/>
      <c r="F460" s="192">
        <v>1</v>
      </c>
      <c r="G460" s="193"/>
      <c r="H460" s="256"/>
      <c r="I460" s="253"/>
      <c r="J460" s="250"/>
    </row>
    <row r="461" spans="1:10" ht="15" customHeight="1">
      <c r="A461" s="70"/>
      <c r="B461" s="97" t="s">
        <v>405</v>
      </c>
      <c r="C461" s="98">
        <v>43</v>
      </c>
      <c r="D461" s="101" t="s">
        <v>124</v>
      </c>
      <c r="E461" s="79"/>
      <c r="F461" s="192">
        <v>1</v>
      </c>
      <c r="G461" s="193"/>
      <c r="H461" s="256"/>
      <c r="I461" s="253"/>
      <c r="J461" s="250"/>
    </row>
    <row r="462" spans="1:10" ht="15" customHeight="1">
      <c r="A462" s="70"/>
      <c r="B462" s="97" t="s">
        <v>405</v>
      </c>
      <c r="C462" s="77">
        <v>44</v>
      </c>
      <c r="D462" s="101" t="s">
        <v>112</v>
      </c>
      <c r="E462" s="79"/>
      <c r="F462" s="192">
        <v>2</v>
      </c>
      <c r="G462" s="193"/>
      <c r="H462" s="256"/>
      <c r="I462" s="253"/>
      <c r="J462" s="250"/>
    </row>
    <row r="463" spans="1:10" ht="15" customHeight="1">
      <c r="A463" s="70"/>
      <c r="B463" s="97" t="s">
        <v>405</v>
      </c>
      <c r="C463" s="77">
        <v>45</v>
      </c>
      <c r="D463" s="101" t="s">
        <v>346</v>
      </c>
      <c r="E463" s="79"/>
      <c r="F463" s="192">
        <v>1</v>
      </c>
      <c r="G463" s="193"/>
      <c r="H463" s="256"/>
      <c r="I463" s="253"/>
      <c r="J463" s="250"/>
    </row>
    <row r="464" spans="1:10" ht="15" customHeight="1">
      <c r="A464" s="70"/>
      <c r="B464" s="97" t="s">
        <v>405</v>
      </c>
      <c r="C464" s="98">
        <v>46</v>
      </c>
      <c r="D464" s="101" t="s">
        <v>86</v>
      </c>
      <c r="E464" s="79"/>
      <c r="F464" s="192">
        <v>4</v>
      </c>
      <c r="G464" s="193"/>
      <c r="H464" s="256"/>
      <c r="I464" s="253"/>
      <c r="J464" s="250"/>
    </row>
    <row r="465" spans="1:10" ht="15" customHeight="1">
      <c r="A465" s="70"/>
      <c r="B465" s="97" t="s">
        <v>405</v>
      </c>
      <c r="C465" s="77">
        <v>47</v>
      </c>
      <c r="D465" s="101" t="s">
        <v>347</v>
      </c>
      <c r="E465" s="79"/>
      <c r="F465" s="192">
        <v>1</v>
      </c>
      <c r="G465" s="193"/>
      <c r="H465" s="256"/>
      <c r="I465" s="253"/>
      <c r="J465" s="250"/>
    </row>
    <row r="466" spans="1:10" ht="15" customHeight="1">
      <c r="A466" s="70"/>
      <c r="B466" s="97" t="s">
        <v>405</v>
      </c>
      <c r="C466" s="77">
        <v>48</v>
      </c>
      <c r="D466" s="101" t="s">
        <v>348</v>
      </c>
      <c r="E466" s="79"/>
      <c r="F466" s="192">
        <v>1</v>
      </c>
      <c r="G466" s="193"/>
      <c r="H466" s="256"/>
      <c r="I466" s="253"/>
      <c r="J466" s="250"/>
    </row>
    <row r="467" spans="1:10" ht="15" customHeight="1">
      <c r="A467" s="70"/>
      <c r="B467" s="97" t="s">
        <v>405</v>
      </c>
      <c r="C467" s="98">
        <v>49</v>
      </c>
      <c r="D467" s="101" t="s">
        <v>91</v>
      </c>
      <c r="E467" s="79"/>
      <c r="F467" s="192">
        <v>2</v>
      </c>
      <c r="G467" s="193"/>
      <c r="H467" s="256"/>
      <c r="I467" s="253"/>
      <c r="J467" s="250"/>
    </row>
    <row r="468" spans="1:10" ht="15" customHeight="1">
      <c r="A468" s="70"/>
      <c r="B468" s="97" t="s">
        <v>405</v>
      </c>
      <c r="C468" s="77">
        <v>50</v>
      </c>
      <c r="D468" s="101" t="s">
        <v>349</v>
      </c>
      <c r="E468" s="79"/>
      <c r="F468" s="192">
        <v>6</v>
      </c>
      <c r="G468" s="193"/>
      <c r="H468" s="256"/>
      <c r="I468" s="253"/>
      <c r="J468" s="250"/>
    </row>
    <row r="469" spans="1:10" ht="15" customHeight="1">
      <c r="A469" s="70"/>
      <c r="B469" s="97" t="s">
        <v>405</v>
      </c>
      <c r="C469" s="77">
        <v>51</v>
      </c>
      <c r="D469" s="101" t="s">
        <v>154</v>
      </c>
      <c r="E469" s="79"/>
      <c r="F469" s="192">
        <v>2</v>
      </c>
      <c r="G469" s="193"/>
      <c r="H469" s="256"/>
      <c r="I469" s="253"/>
      <c r="J469" s="250"/>
    </row>
    <row r="470" spans="1:10" ht="15" customHeight="1">
      <c r="A470" s="70"/>
      <c r="B470" s="97" t="s">
        <v>405</v>
      </c>
      <c r="C470" s="98">
        <v>52</v>
      </c>
      <c r="D470" s="101" t="s">
        <v>153</v>
      </c>
      <c r="E470" s="79"/>
      <c r="F470" s="192">
        <v>2</v>
      </c>
      <c r="G470" s="193"/>
      <c r="H470" s="256"/>
      <c r="I470" s="253"/>
      <c r="J470" s="250"/>
    </row>
    <row r="471" spans="1:10" ht="15" customHeight="1">
      <c r="A471" s="70"/>
      <c r="B471" s="97" t="s">
        <v>405</v>
      </c>
      <c r="C471" s="77">
        <v>55</v>
      </c>
      <c r="D471" s="101" t="s">
        <v>190</v>
      </c>
      <c r="E471" s="79"/>
      <c r="F471" s="192">
        <v>12</v>
      </c>
      <c r="G471" s="193"/>
      <c r="H471" s="256"/>
      <c r="I471" s="253"/>
      <c r="J471" s="250"/>
    </row>
    <row r="472" spans="1:10" ht="15" customHeight="1">
      <c r="A472" s="70"/>
      <c r="B472" s="97" t="s">
        <v>405</v>
      </c>
      <c r="C472" s="98">
        <v>103</v>
      </c>
      <c r="D472" s="101" t="s">
        <v>361</v>
      </c>
      <c r="E472" s="79"/>
      <c r="F472" s="192">
        <v>4</v>
      </c>
      <c r="G472" s="193"/>
      <c r="H472" s="256"/>
      <c r="I472" s="253"/>
      <c r="J472" s="250"/>
    </row>
    <row r="473" spans="1:10" ht="15" customHeight="1">
      <c r="A473" s="70"/>
      <c r="B473" s="97" t="s">
        <v>405</v>
      </c>
      <c r="C473" s="77">
        <v>104</v>
      </c>
      <c r="D473" s="101" t="s">
        <v>362</v>
      </c>
      <c r="E473" s="79"/>
      <c r="F473" s="192">
        <v>1</v>
      </c>
      <c r="G473" s="193"/>
      <c r="H473" s="256"/>
      <c r="I473" s="253"/>
      <c r="J473" s="250"/>
    </row>
    <row r="474" spans="1:10" ht="15" customHeight="1">
      <c r="A474" s="70"/>
      <c r="B474" s="97" t="s">
        <v>405</v>
      </c>
      <c r="C474" s="98">
        <v>106</v>
      </c>
      <c r="D474" s="101" t="s">
        <v>363</v>
      </c>
      <c r="E474" s="79"/>
      <c r="F474" s="192">
        <v>1</v>
      </c>
      <c r="G474" s="193"/>
      <c r="H474" s="256"/>
      <c r="I474" s="253"/>
      <c r="J474" s="250"/>
    </row>
    <row r="475" spans="1:10" ht="15" customHeight="1">
      <c r="A475" s="70"/>
      <c r="B475" s="97" t="s">
        <v>405</v>
      </c>
      <c r="C475" s="77">
        <v>107</v>
      </c>
      <c r="D475" s="101" t="s">
        <v>220</v>
      </c>
      <c r="E475" s="79"/>
      <c r="F475" s="192">
        <v>2</v>
      </c>
      <c r="G475" s="193"/>
      <c r="H475" s="256"/>
      <c r="I475" s="253"/>
      <c r="J475" s="250"/>
    </row>
    <row r="476" spans="1:10" ht="15" customHeight="1">
      <c r="A476" s="70"/>
      <c r="B476" s="97" t="s">
        <v>405</v>
      </c>
      <c r="C476" s="77">
        <v>108</v>
      </c>
      <c r="D476" s="101" t="s">
        <v>406</v>
      </c>
      <c r="E476" s="79"/>
      <c r="F476" s="192">
        <v>1</v>
      </c>
      <c r="G476" s="193"/>
      <c r="H476" s="256"/>
      <c r="I476" s="253"/>
      <c r="J476" s="250"/>
    </row>
    <row r="477" spans="1:10" ht="15" customHeight="1">
      <c r="A477" s="70"/>
      <c r="B477" s="97" t="s">
        <v>405</v>
      </c>
      <c r="C477" s="98">
        <v>109</v>
      </c>
      <c r="D477" s="101" t="s">
        <v>407</v>
      </c>
      <c r="E477" s="79"/>
      <c r="F477" s="192">
        <v>1</v>
      </c>
      <c r="G477" s="193"/>
      <c r="H477" s="256"/>
      <c r="I477" s="253"/>
      <c r="J477" s="250"/>
    </row>
    <row r="478" spans="1:10" ht="15" customHeight="1">
      <c r="A478" s="70"/>
      <c r="B478" s="97" t="s">
        <v>405</v>
      </c>
      <c r="C478" s="77">
        <v>110</v>
      </c>
      <c r="D478" s="101" t="s">
        <v>364</v>
      </c>
      <c r="E478" s="79"/>
      <c r="F478" s="192">
        <v>2</v>
      </c>
      <c r="G478" s="193"/>
      <c r="H478" s="256"/>
      <c r="I478" s="253"/>
      <c r="J478" s="250"/>
    </row>
    <row r="479" spans="1:10" ht="15" customHeight="1">
      <c r="A479" s="70"/>
      <c r="B479" s="97" t="s">
        <v>405</v>
      </c>
      <c r="C479" s="77">
        <v>113</v>
      </c>
      <c r="D479" s="101" t="s">
        <v>365</v>
      </c>
      <c r="E479" s="79"/>
      <c r="F479" s="192">
        <v>1</v>
      </c>
      <c r="G479" s="193"/>
      <c r="H479" s="256"/>
      <c r="I479" s="253"/>
      <c r="J479" s="250"/>
    </row>
    <row r="480" spans="1:10" ht="15" customHeight="1">
      <c r="A480" s="70"/>
      <c r="B480" s="97" t="s">
        <v>405</v>
      </c>
      <c r="C480" s="77">
        <v>114</v>
      </c>
      <c r="D480" s="101" t="s">
        <v>366</v>
      </c>
      <c r="E480" s="79"/>
      <c r="F480" s="192">
        <v>4</v>
      </c>
      <c r="G480" s="193"/>
      <c r="H480" s="256"/>
      <c r="I480" s="253"/>
      <c r="J480" s="250"/>
    </row>
    <row r="481" spans="1:10" ht="15" customHeight="1">
      <c r="A481" s="70"/>
      <c r="B481" s="97" t="s">
        <v>405</v>
      </c>
      <c r="C481" s="77">
        <v>117</v>
      </c>
      <c r="D481" s="101" t="s">
        <v>367</v>
      </c>
      <c r="E481" s="79"/>
      <c r="F481" s="192">
        <v>4</v>
      </c>
      <c r="G481" s="193"/>
      <c r="H481" s="256"/>
      <c r="I481" s="253"/>
      <c r="J481" s="250"/>
    </row>
    <row r="482" spans="1:10" ht="15" customHeight="1">
      <c r="A482" s="70"/>
      <c r="B482" s="97" t="s">
        <v>405</v>
      </c>
      <c r="C482" s="77">
        <v>119</v>
      </c>
      <c r="D482" s="101" t="s">
        <v>369</v>
      </c>
      <c r="E482" s="79"/>
      <c r="F482" s="192">
        <v>2</v>
      </c>
      <c r="G482" s="193"/>
      <c r="H482" s="256"/>
      <c r="I482" s="253"/>
      <c r="J482" s="250"/>
    </row>
    <row r="483" spans="1:10" ht="15" customHeight="1">
      <c r="A483" s="70"/>
      <c r="B483" s="97" t="s">
        <v>405</v>
      </c>
      <c r="C483" s="77">
        <v>120</v>
      </c>
      <c r="D483" s="101" t="s">
        <v>370</v>
      </c>
      <c r="E483" s="79"/>
      <c r="F483" s="192">
        <v>2</v>
      </c>
      <c r="G483" s="193"/>
      <c r="H483" s="256"/>
      <c r="I483" s="253"/>
      <c r="J483" s="250"/>
    </row>
    <row r="484" spans="1:10" ht="15" customHeight="1">
      <c r="A484" s="70"/>
      <c r="B484" s="97" t="s">
        <v>405</v>
      </c>
      <c r="C484" s="98">
        <v>121</v>
      </c>
      <c r="D484" s="101" t="s">
        <v>371</v>
      </c>
      <c r="E484" s="79"/>
      <c r="F484" s="192">
        <v>3</v>
      </c>
      <c r="G484" s="193"/>
      <c r="H484" s="256"/>
      <c r="I484" s="253"/>
      <c r="J484" s="250"/>
    </row>
    <row r="485" spans="1:10" ht="15" customHeight="1" thickBot="1">
      <c r="A485" s="168"/>
      <c r="B485" s="82" t="s">
        <v>405</v>
      </c>
      <c r="C485" s="169">
        <v>122</v>
      </c>
      <c r="D485" s="170" t="s">
        <v>368</v>
      </c>
      <c r="E485" s="171"/>
      <c r="F485" s="239">
        <v>3</v>
      </c>
      <c r="G485" s="240"/>
      <c r="H485" s="256"/>
      <c r="I485" s="253"/>
      <c r="J485" s="250"/>
    </row>
    <row r="486" spans="1:10" ht="15" customHeight="1" thickTop="1">
      <c r="A486" s="128"/>
      <c r="B486" s="97" t="s">
        <v>411</v>
      </c>
      <c r="C486" s="98">
        <v>1</v>
      </c>
      <c r="D486" s="99" t="s">
        <v>55</v>
      </c>
      <c r="E486" s="100"/>
      <c r="F486" s="241">
        <v>2</v>
      </c>
      <c r="G486" s="242"/>
      <c r="H486" s="256"/>
      <c r="I486" s="253"/>
      <c r="J486" s="250"/>
    </row>
    <row r="487" spans="1:10" ht="15" customHeight="1">
      <c r="A487" s="70"/>
      <c r="B487" s="97" t="s">
        <v>410</v>
      </c>
      <c r="C487" s="77">
        <v>2</v>
      </c>
      <c r="D487" s="101" t="s">
        <v>412</v>
      </c>
      <c r="E487" s="79"/>
      <c r="F487" s="192">
        <v>2</v>
      </c>
      <c r="G487" s="193"/>
      <c r="H487" s="256"/>
      <c r="I487" s="253"/>
      <c r="J487" s="250"/>
    </row>
    <row r="488" spans="1:10" ht="15" customHeight="1">
      <c r="A488" s="70"/>
      <c r="B488" s="97" t="s">
        <v>410</v>
      </c>
      <c r="C488" s="77">
        <v>3</v>
      </c>
      <c r="D488" s="101" t="s">
        <v>58</v>
      </c>
      <c r="E488" s="79"/>
      <c r="F488" s="192">
        <v>2</v>
      </c>
      <c r="G488" s="193"/>
      <c r="H488" s="256"/>
      <c r="I488" s="253"/>
      <c r="J488" s="250"/>
    </row>
    <row r="489" spans="1:10" ht="15" customHeight="1">
      <c r="A489" s="70"/>
      <c r="B489" s="97" t="s">
        <v>410</v>
      </c>
      <c r="C489" s="98">
        <v>4</v>
      </c>
      <c r="D489" s="101" t="s">
        <v>76</v>
      </c>
      <c r="E489" s="79"/>
      <c r="F489" s="192">
        <v>4</v>
      </c>
      <c r="G489" s="193"/>
      <c r="H489" s="256"/>
      <c r="I489" s="253"/>
      <c r="J489" s="250"/>
    </row>
    <row r="490" spans="1:10" ht="15" customHeight="1">
      <c r="A490" s="70"/>
      <c r="B490" s="97" t="s">
        <v>410</v>
      </c>
      <c r="C490" s="77">
        <v>5</v>
      </c>
      <c r="D490" s="101" t="s">
        <v>50</v>
      </c>
      <c r="E490" s="79"/>
      <c r="F490" s="192">
        <v>2</v>
      </c>
      <c r="G490" s="193"/>
      <c r="H490" s="256"/>
      <c r="I490" s="253"/>
      <c r="J490" s="250"/>
    </row>
    <row r="491" spans="1:10" ht="15" customHeight="1">
      <c r="A491" s="70"/>
      <c r="B491" s="97" t="s">
        <v>410</v>
      </c>
      <c r="C491" s="77">
        <v>6</v>
      </c>
      <c r="D491" s="101" t="s">
        <v>413</v>
      </c>
      <c r="E491" s="79"/>
      <c r="F491" s="192">
        <v>1</v>
      </c>
      <c r="G491" s="193"/>
      <c r="H491" s="256"/>
      <c r="I491" s="253"/>
      <c r="J491" s="250"/>
    </row>
    <row r="492" spans="1:10" ht="15" customHeight="1">
      <c r="A492" s="70"/>
      <c r="B492" s="97" t="s">
        <v>410</v>
      </c>
      <c r="C492" s="98">
        <v>7</v>
      </c>
      <c r="D492" s="101" t="s">
        <v>414</v>
      </c>
      <c r="E492" s="79"/>
      <c r="F492" s="192">
        <v>1</v>
      </c>
      <c r="G492" s="193"/>
      <c r="H492" s="256"/>
      <c r="I492" s="253"/>
      <c r="J492" s="250"/>
    </row>
    <row r="493" spans="1:10" ht="15" customHeight="1">
      <c r="A493" s="70"/>
      <c r="B493" s="97" t="s">
        <v>410</v>
      </c>
      <c r="C493" s="77">
        <v>8</v>
      </c>
      <c r="D493" s="101" t="s">
        <v>415</v>
      </c>
      <c r="E493" s="79"/>
      <c r="F493" s="192">
        <v>2</v>
      </c>
      <c r="G493" s="193"/>
      <c r="H493" s="256"/>
      <c r="I493" s="253"/>
      <c r="J493" s="250"/>
    </row>
    <row r="494" spans="1:10" ht="15" customHeight="1">
      <c r="A494" s="70"/>
      <c r="B494" s="97" t="s">
        <v>410</v>
      </c>
      <c r="C494" s="77">
        <v>9</v>
      </c>
      <c r="D494" s="101" t="s">
        <v>416</v>
      </c>
      <c r="E494" s="79"/>
      <c r="F494" s="192">
        <v>1</v>
      </c>
      <c r="G494" s="193"/>
      <c r="H494" s="256"/>
      <c r="I494" s="253"/>
      <c r="J494" s="250"/>
    </row>
    <row r="495" spans="1:10" ht="15" customHeight="1">
      <c r="A495" s="70"/>
      <c r="B495" s="97" t="s">
        <v>410</v>
      </c>
      <c r="C495" s="98">
        <v>10</v>
      </c>
      <c r="D495" s="101" t="s">
        <v>61</v>
      </c>
      <c r="E495" s="79"/>
      <c r="F495" s="192">
        <v>2</v>
      </c>
      <c r="G495" s="193"/>
      <c r="H495" s="256"/>
      <c r="I495" s="253"/>
      <c r="J495" s="250"/>
    </row>
    <row r="496" spans="1:10" ht="15" customHeight="1">
      <c r="A496" s="70"/>
      <c r="B496" s="97" t="s">
        <v>410</v>
      </c>
      <c r="C496" s="77">
        <v>11</v>
      </c>
      <c r="D496" s="101" t="s">
        <v>63</v>
      </c>
      <c r="E496" s="79"/>
      <c r="F496" s="192">
        <v>1</v>
      </c>
      <c r="G496" s="193"/>
      <c r="H496" s="256"/>
      <c r="I496" s="253"/>
      <c r="J496" s="250"/>
    </row>
    <row r="497" spans="1:10" ht="15" customHeight="1">
      <c r="A497" s="70"/>
      <c r="B497" s="97" t="s">
        <v>410</v>
      </c>
      <c r="C497" s="77">
        <v>12</v>
      </c>
      <c r="D497" s="101" t="s">
        <v>62</v>
      </c>
      <c r="E497" s="79"/>
      <c r="F497" s="192">
        <v>2</v>
      </c>
      <c r="G497" s="193"/>
      <c r="H497" s="256"/>
      <c r="I497" s="253"/>
      <c r="J497" s="250"/>
    </row>
    <row r="498" spans="1:10" ht="15" customHeight="1">
      <c r="A498" s="70"/>
      <c r="B498" s="97" t="s">
        <v>410</v>
      </c>
      <c r="C498" s="98">
        <v>13</v>
      </c>
      <c r="D498" s="101" t="s">
        <v>67</v>
      </c>
      <c r="E498" s="79"/>
      <c r="F498" s="192">
        <v>2</v>
      </c>
      <c r="G498" s="193"/>
      <c r="H498" s="256"/>
      <c r="I498" s="253"/>
      <c r="J498" s="250"/>
    </row>
    <row r="499" spans="1:10" ht="15" customHeight="1">
      <c r="A499" s="70"/>
      <c r="B499" s="97" t="s">
        <v>410</v>
      </c>
      <c r="C499" s="77">
        <v>14</v>
      </c>
      <c r="D499" s="101" t="s">
        <v>66</v>
      </c>
      <c r="E499" s="79"/>
      <c r="F499" s="192">
        <v>1</v>
      </c>
      <c r="G499" s="193"/>
      <c r="H499" s="256"/>
      <c r="I499" s="253"/>
      <c r="J499" s="250"/>
    </row>
    <row r="500" spans="1:10" ht="15" customHeight="1">
      <c r="A500" s="70"/>
      <c r="B500" s="97" t="s">
        <v>410</v>
      </c>
      <c r="C500" s="77">
        <v>15</v>
      </c>
      <c r="D500" s="101" t="s">
        <v>335</v>
      </c>
      <c r="E500" s="79"/>
      <c r="F500" s="192">
        <v>1</v>
      </c>
      <c r="G500" s="193"/>
      <c r="H500" s="256"/>
      <c r="I500" s="253"/>
      <c r="J500" s="250"/>
    </row>
    <row r="501" spans="1:10" ht="15" customHeight="1">
      <c r="A501" s="70"/>
      <c r="B501" s="97" t="s">
        <v>410</v>
      </c>
      <c r="C501" s="98">
        <v>16</v>
      </c>
      <c r="D501" s="101" t="s">
        <v>72</v>
      </c>
      <c r="E501" s="79"/>
      <c r="F501" s="192">
        <v>1</v>
      </c>
      <c r="G501" s="193"/>
      <c r="H501" s="256"/>
      <c r="I501" s="253"/>
      <c r="J501" s="250"/>
    </row>
    <row r="502" spans="1:10" ht="15" customHeight="1">
      <c r="A502" s="70"/>
      <c r="B502" s="97" t="s">
        <v>410</v>
      </c>
      <c r="C502" s="77">
        <v>17</v>
      </c>
      <c r="D502" s="101" t="s">
        <v>73</v>
      </c>
      <c r="E502" s="79"/>
      <c r="F502" s="192">
        <v>2</v>
      </c>
      <c r="G502" s="193"/>
      <c r="H502" s="256"/>
      <c r="I502" s="253"/>
      <c r="J502" s="250"/>
    </row>
    <row r="503" spans="1:10" ht="15" customHeight="1">
      <c r="A503" s="70"/>
      <c r="B503" s="97" t="s">
        <v>410</v>
      </c>
      <c r="C503" s="77">
        <v>18</v>
      </c>
      <c r="D503" s="101" t="s">
        <v>69</v>
      </c>
      <c r="E503" s="79"/>
      <c r="F503" s="192">
        <v>2</v>
      </c>
      <c r="G503" s="193"/>
      <c r="H503" s="256"/>
      <c r="I503" s="253"/>
      <c r="J503" s="250"/>
    </row>
    <row r="504" spans="1:10" ht="15" customHeight="1">
      <c r="A504" s="70"/>
      <c r="B504" s="97" t="s">
        <v>410</v>
      </c>
      <c r="C504" s="98">
        <v>19</v>
      </c>
      <c r="D504" s="101" t="s">
        <v>59</v>
      </c>
      <c r="E504" s="79"/>
      <c r="F504" s="192">
        <v>1</v>
      </c>
      <c r="G504" s="193"/>
      <c r="H504" s="256"/>
      <c r="I504" s="253"/>
      <c r="J504" s="250"/>
    </row>
    <row r="505" spans="1:10" ht="15" customHeight="1">
      <c r="A505" s="70"/>
      <c r="B505" s="97" t="s">
        <v>410</v>
      </c>
      <c r="C505" s="77">
        <v>20</v>
      </c>
      <c r="D505" s="101" t="s">
        <v>60</v>
      </c>
      <c r="E505" s="79"/>
      <c r="F505" s="192">
        <v>1</v>
      </c>
      <c r="G505" s="193"/>
      <c r="H505" s="256"/>
      <c r="I505" s="253"/>
      <c r="J505" s="250"/>
    </row>
    <row r="506" spans="1:10" ht="15" customHeight="1">
      <c r="A506" s="70"/>
      <c r="B506" s="97" t="s">
        <v>410</v>
      </c>
      <c r="C506" s="77">
        <v>21</v>
      </c>
      <c r="D506" s="101" t="s">
        <v>77</v>
      </c>
      <c r="E506" s="79"/>
      <c r="F506" s="192">
        <v>1</v>
      </c>
      <c r="G506" s="193"/>
      <c r="H506" s="256"/>
      <c r="I506" s="253"/>
      <c r="J506" s="250"/>
    </row>
    <row r="507" spans="1:10" ht="15" customHeight="1">
      <c r="A507" s="70"/>
      <c r="B507" s="97" t="s">
        <v>410</v>
      </c>
      <c r="C507" s="98">
        <v>22</v>
      </c>
      <c r="D507" s="101" t="s">
        <v>417</v>
      </c>
      <c r="E507" s="79"/>
      <c r="F507" s="192">
        <v>3</v>
      </c>
      <c r="G507" s="193"/>
      <c r="H507" s="256"/>
      <c r="I507" s="253"/>
      <c r="J507" s="250"/>
    </row>
    <row r="508" spans="1:10" ht="15" customHeight="1">
      <c r="A508" s="70"/>
      <c r="B508" s="97" t="s">
        <v>410</v>
      </c>
      <c r="C508" s="77">
        <v>23</v>
      </c>
      <c r="D508" s="101" t="s">
        <v>137</v>
      </c>
      <c r="E508" s="79"/>
      <c r="F508" s="192">
        <v>2</v>
      </c>
      <c r="G508" s="193"/>
      <c r="H508" s="256"/>
      <c r="I508" s="253"/>
      <c r="J508" s="250"/>
    </row>
    <row r="509" spans="1:10" ht="15" customHeight="1">
      <c r="A509" s="70"/>
      <c r="B509" s="97" t="s">
        <v>410</v>
      </c>
      <c r="C509" s="77">
        <v>24</v>
      </c>
      <c r="D509" s="101" t="s">
        <v>418</v>
      </c>
      <c r="E509" s="79"/>
      <c r="F509" s="192">
        <v>12</v>
      </c>
      <c r="G509" s="193"/>
      <c r="H509" s="256"/>
      <c r="I509" s="253"/>
      <c r="J509" s="250"/>
    </row>
    <row r="510" spans="1:10" ht="15" customHeight="1">
      <c r="A510" s="70"/>
      <c r="B510" s="97" t="s">
        <v>410</v>
      </c>
      <c r="C510" s="98">
        <v>25</v>
      </c>
      <c r="D510" s="101" t="s">
        <v>419</v>
      </c>
      <c r="E510" s="79"/>
      <c r="F510" s="192">
        <v>12</v>
      </c>
      <c r="G510" s="193"/>
      <c r="H510" s="256"/>
      <c r="I510" s="253"/>
      <c r="J510" s="250"/>
    </row>
    <row r="511" spans="1:10" ht="15" customHeight="1">
      <c r="A511" s="70"/>
      <c r="B511" s="97" t="s">
        <v>410</v>
      </c>
      <c r="C511" s="77">
        <v>26</v>
      </c>
      <c r="D511" s="101" t="s">
        <v>420</v>
      </c>
      <c r="E511" s="79"/>
      <c r="F511" s="192">
        <v>6</v>
      </c>
      <c r="G511" s="193"/>
      <c r="H511" s="256"/>
      <c r="I511" s="253"/>
      <c r="J511" s="250"/>
    </row>
    <row r="512" spans="1:10" ht="15" customHeight="1">
      <c r="A512" s="70"/>
      <c r="B512" s="97" t="s">
        <v>410</v>
      </c>
      <c r="C512" s="77">
        <v>27</v>
      </c>
      <c r="D512" s="101" t="s">
        <v>421</v>
      </c>
      <c r="E512" s="79"/>
      <c r="F512" s="192">
        <v>3</v>
      </c>
      <c r="G512" s="193"/>
      <c r="H512" s="256"/>
      <c r="I512" s="253"/>
      <c r="J512" s="250"/>
    </row>
    <row r="513" spans="1:10" ht="15" customHeight="1">
      <c r="A513" s="70"/>
      <c r="B513" s="97" t="s">
        <v>410</v>
      </c>
      <c r="C513" s="98">
        <v>28</v>
      </c>
      <c r="D513" s="101" t="s">
        <v>86</v>
      </c>
      <c r="E513" s="79"/>
      <c r="F513" s="192">
        <v>20</v>
      </c>
      <c r="G513" s="193"/>
      <c r="H513" s="256"/>
      <c r="I513" s="253"/>
      <c r="J513" s="250"/>
    </row>
    <row r="514" spans="1:10" ht="15" customHeight="1">
      <c r="A514" s="70"/>
      <c r="B514" s="97" t="s">
        <v>410</v>
      </c>
      <c r="C514" s="77">
        <v>29</v>
      </c>
      <c r="D514" s="101" t="s">
        <v>422</v>
      </c>
      <c r="E514" s="79"/>
      <c r="F514" s="192">
        <v>6</v>
      </c>
      <c r="G514" s="193"/>
      <c r="H514" s="256"/>
      <c r="I514" s="253"/>
      <c r="J514" s="250"/>
    </row>
    <row r="515" spans="1:10" ht="15" customHeight="1">
      <c r="A515" s="70"/>
      <c r="B515" s="97" t="s">
        <v>410</v>
      </c>
      <c r="C515" s="77">
        <v>30</v>
      </c>
      <c r="D515" s="101" t="s">
        <v>423</v>
      </c>
      <c r="E515" s="79"/>
      <c r="F515" s="192">
        <v>6</v>
      </c>
      <c r="G515" s="193"/>
      <c r="H515" s="256"/>
      <c r="I515" s="253"/>
      <c r="J515" s="250"/>
    </row>
    <row r="516" spans="1:10" ht="15" customHeight="1">
      <c r="A516" s="70"/>
      <c r="B516" s="97" t="s">
        <v>410</v>
      </c>
      <c r="C516" s="98">
        <v>31</v>
      </c>
      <c r="D516" s="101" t="s">
        <v>424</v>
      </c>
      <c r="E516" s="79"/>
      <c r="F516" s="192">
        <v>3</v>
      </c>
      <c r="G516" s="193"/>
      <c r="H516" s="256"/>
      <c r="I516" s="253"/>
      <c r="J516" s="250"/>
    </row>
    <row r="517" spans="1:10" ht="15" customHeight="1">
      <c r="A517" s="70"/>
      <c r="B517" s="97" t="s">
        <v>410</v>
      </c>
      <c r="C517" s="77">
        <v>32</v>
      </c>
      <c r="D517" s="101" t="s">
        <v>121</v>
      </c>
      <c r="E517" s="79"/>
      <c r="F517" s="192">
        <v>13</v>
      </c>
      <c r="G517" s="193"/>
      <c r="H517" s="256"/>
      <c r="I517" s="253"/>
      <c r="J517" s="250"/>
    </row>
    <row r="518" spans="1:10" ht="15" customHeight="1">
      <c r="A518" s="70"/>
      <c r="B518" s="97" t="s">
        <v>410</v>
      </c>
      <c r="C518" s="77">
        <v>33</v>
      </c>
      <c r="D518" s="101" t="s">
        <v>130</v>
      </c>
      <c r="E518" s="79"/>
      <c r="F518" s="192">
        <v>8</v>
      </c>
      <c r="G518" s="193"/>
      <c r="H518" s="256"/>
      <c r="I518" s="253"/>
      <c r="J518" s="250"/>
    </row>
    <row r="519" spans="1:10" ht="15" customHeight="1">
      <c r="A519" s="70"/>
      <c r="B519" s="97" t="s">
        <v>410</v>
      </c>
      <c r="C519" s="98">
        <v>34</v>
      </c>
      <c r="D519" s="101" t="s">
        <v>425</v>
      </c>
      <c r="E519" s="79"/>
      <c r="F519" s="192">
        <v>1</v>
      </c>
      <c r="G519" s="193"/>
      <c r="H519" s="256"/>
      <c r="I519" s="253"/>
      <c r="J519" s="250"/>
    </row>
    <row r="520" spans="1:10" ht="15" customHeight="1">
      <c r="A520" s="70"/>
      <c r="B520" s="97" t="s">
        <v>410</v>
      </c>
      <c r="C520" s="77">
        <v>35</v>
      </c>
      <c r="D520" s="101" t="s">
        <v>341</v>
      </c>
      <c r="E520" s="79"/>
      <c r="F520" s="192">
        <v>1</v>
      </c>
      <c r="G520" s="193"/>
      <c r="H520" s="256"/>
      <c r="I520" s="253"/>
      <c r="J520" s="250"/>
    </row>
    <row r="521" spans="1:10" ht="15" customHeight="1">
      <c r="A521" s="70"/>
      <c r="B521" s="97" t="s">
        <v>410</v>
      </c>
      <c r="C521" s="77">
        <v>36</v>
      </c>
      <c r="D521" s="101" t="s">
        <v>102</v>
      </c>
      <c r="E521" s="79"/>
      <c r="F521" s="192">
        <v>1</v>
      </c>
      <c r="G521" s="193"/>
      <c r="H521" s="256"/>
      <c r="I521" s="253"/>
      <c r="J521" s="250"/>
    </row>
    <row r="522" spans="1:10" ht="15" customHeight="1">
      <c r="A522" s="70"/>
      <c r="B522" s="97" t="s">
        <v>410</v>
      </c>
      <c r="C522" s="98">
        <v>37</v>
      </c>
      <c r="D522" s="101" t="s">
        <v>103</v>
      </c>
      <c r="E522" s="79"/>
      <c r="F522" s="192">
        <v>1</v>
      </c>
      <c r="G522" s="193"/>
      <c r="H522" s="256"/>
      <c r="I522" s="253"/>
      <c r="J522" s="250"/>
    </row>
    <row r="523" spans="1:10" ht="15" customHeight="1">
      <c r="A523" s="70"/>
      <c r="B523" s="97" t="s">
        <v>410</v>
      </c>
      <c r="C523" s="77">
        <v>38</v>
      </c>
      <c r="D523" s="101" t="s">
        <v>426</v>
      </c>
      <c r="E523" s="79"/>
      <c r="F523" s="192">
        <v>3</v>
      </c>
      <c r="G523" s="193"/>
      <c r="H523" s="256"/>
      <c r="I523" s="253"/>
      <c r="J523" s="250"/>
    </row>
    <row r="524" spans="1:10" ht="15" customHeight="1">
      <c r="A524" s="70"/>
      <c r="B524" s="97" t="s">
        <v>410</v>
      </c>
      <c r="C524" s="77">
        <v>39</v>
      </c>
      <c r="D524" s="101" t="s">
        <v>132</v>
      </c>
      <c r="E524" s="79"/>
      <c r="F524" s="192">
        <v>16</v>
      </c>
      <c r="G524" s="193"/>
      <c r="H524" s="256"/>
      <c r="I524" s="253"/>
      <c r="J524" s="250"/>
    </row>
    <row r="525" spans="1:10" ht="15" customHeight="1">
      <c r="A525" s="70"/>
      <c r="B525" s="97" t="s">
        <v>410</v>
      </c>
      <c r="C525" s="98">
        <v>40</v>
      </c>
      <c r="D525" s="101" t="s">
        <v>427</v>
      </c>
      <c r="E525" s="79"/>
      <c r="F525" s="192">
        <v>2</v>
      </c>
      <c r="G525" s="193"/>
      <c r="H525" s="256"/>
      <c r="I525" s="253"/>
      <c r="J525" s="250"/>
    </row>
    <row r="526" spans="1:10" ht="15" customHeight="1">
      <c r="A526" s="70"/>
      <c r="B526" s="97" t="s">
        <v>410</v>
      </c>
      <c r="C526" s="77">
        <v>41</v>
      </c>
      <c r="D526" s="101" t="s">
        <v>428</v>
      </c>
      <c r="E526" s="79"/>
      <c r="F526" s="192">
        <v>9</v>
      </c>
      <c r="G526" s="193"/>
      <c r="H526" s="256"/>
      <c r="I526" s="253"/>
      <c r="J526" s="250"/>
    </row>
    <row r="527" spans="1:10" ht="15" customHeight="1">
      <c r="A527" s="70"/>
      <c r="B527" s="97" t="s">
        <v>410</v>
      </c>
      <c r="C527" s="77">
        <v>42</v>
      </c>
      <c r="D527" s="101" t="s">
        <v>429</v>
      </c>
      <c r="E527" s="79"/>
      <c r="F527" s="192">
        <v>1</v>
      </c>
      <c r="G527" s="193"/>
      <c r="H527" s="256"/>
      <c r="I527" s="253"/>
      <c r="J527" s="250"/>
    </row>
    <row r="528" spans="1:10" ht="15" customHeight="1">
      <c r="A528" s="70"/>
      <c r="B528" s="97" t="s">
        <v>410</v>
      </c>
      <c r="C528" s="98">
        <v>43</v>
      </c>
      <c r="D528" s="101" t="s">
        <v>430</v>
      </c>
      <c r="E528" s="79"/>
      <c r="F528" s="192">
        <v>4</v>
      </c>
      <c r="G528" s="193"/>
      <c r="H528" s="256"/>
      <c r="I528" s="253"/>
      <c r="J528" s="250"/>
    </row>
    <row r="529" spans="1:10" ht="15" customHeight="1">
      <c r="A529" s="70"/>
      <c r="B529" s="97" t="s">
        <v>410</v>
      </c>
      <c r="C529" s="77">
        <v>44</v>
      </c>
      <c r="D529" s="101" t="s">
        <v>431</v>
      </c>
      <c r="E529" s="79"/>
      <c r="F529" s="192">
        <v>3</v>
      </c>
      <c r="G529" s="193"/>
      <c r="H529" s="256"/>
      <c r="I529" s="253"/>
      <c r="J529" s="250"/>
    </row>
    <row r="530" spans="1:10" ht="15" customHeight="1">
      <c r="A530" s="70"/>
      <c r="B530" s="97" t="s">
        <v>410</v>
      </c>
      <c r="C530" s="77">
        <v>45</v>
      </c>
      <c r="D530" s="101" t="s">
        <v>432</v>
      </c>
      <c r="E530" s="79"/>
      <c r="F530" s="192">
        <v>3</v>
      </c>
      <c r="G530" s="193"/>
      <c r="H530" s="256"/>
      <c r="I530" s="253"/>
      <c r="J530" s="250"/>
    </row>
    <row r="531" spans="1:10" ht="15" customHeight="1">
      <c r="A531" s="70"/>
      <c r="B531" s="97" t="s">
        <v>410</v>
      </c>
      <c r="C531" s="98">
        <v>46</v>
      </c>
      <c r="D531" s="101" t="s">
        <v>91</v>
      </c>
      <c r="E531" s="79"/>
      <c r="F531" s="192">
        <v>4</v>
      </c>
      <c r="G531" s="193"/>
      <c r="H531" s="256"/>
      <c r="I531" s="253"/>
      <c r="J531" s="250"/>
    </row>
    <row r="532" spans="1:10" ht="15" customHeight="1">
      <c r="A532" s="70"/>
      <c r="B532" s="97" t="s">
        <v>410</v>
      </c>
      <c r="C532" s="77">
        <v>47</v>
      </c>
      <c r="D532" s="101" t="s">
        <v>433</v>
      </c>
      <c r="E532" s="79"/>
      <c r="F532" s="192">
        <v>2</v>
      </c>
      <c r="G532" s="193"/>
      <c r="H532" s="256"/>
      <c r="I532" s="253"/>
      <c r="J532" s="250"/>
    </row>
    <row r="533" spans="1:10" ht="15" customHeight="1">
      <c r="A533" s="70"/>
      <c r="B533" s="97" t="s">
        <v>410</v>
      </c>
      <c r="C533" s="77">
        <v>48</v>
      </c>
      <c r="D533" s="101" t="s">
        <v>434</v>
      </c>
      <c r="E533" s="79"/>
      <c r="F533" s="192">
        <v>2</v>
      </c>
      <c r="G533" s="193"/>
      <c r="H533" s="256"/>
      <c r="I533" s="253"/>
      <c r="J533" s="250"/>
    </row>
    <row r="534" spans="1:10" ht="15" customHeight="1">
      <c r="A534" s="70"/>
      <c r="B534" s="97" t="s">
        <v>410</v>
      </c>
      <c r="C534" s="98">
        <v>49</v>
      </c>
      <c r="D534" s="101" t="s">
        <v>435</v>
      </c>
      <c r="E534" s="79"/>
      <c r="F534" s="192">
        <v>1</v>
      </c>
      <c r="G534" s="193"/>
      <c r="H534" s="256"/>
      <c r="I534" s="253"/>
      <c r="J534" s="250"/>
    </row>
    <row r="535" spans="1:10" ht="15" customHeight="1">
      <c r="A535" s="70"/>
      <c r="B535" s="97" t="s">
        <v>410</v>
      </c>
      <c r="C535" s="77">
        <v>50</v>
      </c>
      <c r="D535" s="101" t="s">
        <v>131</v>
      </c>
      <c r="E535" s="79"/>
      <c r="F535" s="192">
        <v>17</v>
      </c>
      <c r="G535" s="193"/>
      <c r="H535" s="256"/>
      <c r="I535" s="253"/>
      <c r="J535" s="250"/>
    </row>
    <row r="536" spans="1:10" ht="15" customHeight="1">
      <c r="A536" s="70"/>
      <c r="B536" s="97" t="s">
        <v>410</v>
      </c>
      <c r="C536" s="77">
        <v>51</v>
      </c>
      <c r="D536" s="101" t="s">
        <v>134</v>
      </c>
      <c r="E536" s="79"/>
      <c r="F536" s="192">
        <v>4</v>
      </c>
      <c r="G536" s="193"/>
      <c r="H536" s="256"/>
      <c r="I536" s="253"/>
      <c r="J536" s="250"/>
    </row>
    <row r="537" spans="1:10" ht="15" customHeight="1">
      <c r="A537" s="70"/>
      <c r="B537" s="97" t="s">
        <v>410</v>
      </c>
      <c r="C537" s="98">
        <v>52</v>
      </c>
      <c r="D537" s="101" t="s">
        <v>436</v>
      </c>
      <c r="E537" s="79"/>
      <c r="F537" s="192">
        <v>1</v>
      </c>
      <c r="G537" s="193"/>
      <c r="H537" s="256"/>
      <c r="I537" s="253"/>
      <c r="J537" s="250"/>
    </row>
    <row r="538" spans="1:10" ht="15" customHeight="1">
      <c r="A538" s="70"/>
      <c r="B538" s="97" t="s">
        <v>410</v>
      </c>
      <c r="C538" s="77">
        <v>53</v>
      </c>
      <c r="D538" s="101" t="s">
        <v>142</v>
      </c>
      <c r="E538" s="79"/>
      <c r="F538" s="192">
        <v>4</v>
      </c>
      <c r="G538" s="193"/>
      <c r="H538" s="256"/>
      <c r="I538" s="253"/>
      <c r="J538" s="250"/>
    </row>
    <row r="539" spans="1:10" ht="15" customHeight="1">
      <c r="A539" s="70"/>
      <c r="B539" s="97" t="s">
        <v>410</v>
      </c>
      <c r="C539" s="77">
        <v>54</v>
      </c>
      <c r="D539" s="101" t="s">
        <v>129</v>
      </c>
      <c r="E539" s="79"/>
      <c r="F539" s="192">
        <v>4</v>
      </c>
      <c r="G539" s="193"/>
      <c r="H539" s="256"/>
      <c r="I539" s="253"/>
      <c r="J539" s="250"/>
    </row>
    <row r="540" spans="1:10" ht="15" customHeight="1">
      <c r="A540" s="70"/>
      <c r="B540" s="97" t="s">
        <v>410</v>
      </c>
      <c r="C540" s="98">
        <v>55</v>
      </c>
      <c r="D540" s="101" t="s">
        <v>437</v>
      </c>
      <c r="E540" s="79"/>
      <c r="F540" s="192">
        <v>1</v>
      </c>
      <c r="G540" s="193"/>
      <c r="H540" s="256"/>
      <c r="I540" s="253"/>
      <c r="J540" s="250"/>
    </row>
    <row r="541" spans="1:10" ht="15" customHeight="1">
      <c r="A541" s="70"/>
      <c r="B541" s="97" t="s">
        <v>410</v>
      </c>
      <c r="C541" s="77">
        <v>56</v>
      </c>
      <c r="D541" s="101" t="s">
        <v>438</v>
      </c>
      <c r="E541" s="79"/>
      <c r="F541" s="192">
        <v>1</v>
      </c>
      <c r="G541" s="193"/>
      <c r="H541" s="256"/>
      <c r="I541" s="253"/>
      <c r="J541" s="250"/>
    </row>
    <row r="542" spans="1:10" ht="15" customHeight="1">
      <c r="A542" s="70"/>
      <c r="B542" s="97" t="s">
        <v>410</v>
      </c>
      <c r="C542" s="77">
        <v>57</v>
      </c>
      <c r="D542" s="101" t="s">
        <v>439</v>
      </c>
      <c r="E542" s="79"/>
      <c r="F542" s="192">
        <v>1</v>
      </c>
      <c r="G542" s="193"/>
      <c r="H542" s="256"/>
      <c r="I542" s="253"/>
      <c r="J542" s="250"/>
    </row>
    <row r="543" spans="1:10" ht="15" customHeight="1">
      <c r="A543" s="70"/>
      <c r="B543" s="97" t="s">
        <v>410</v>
      </c>
      <c r="C543" s="98">
        <v>58</v>
      </c>
      <c r="D543" s="101" t="s">
        <v>440</v>
      </c>
      <c r="E543" s="79"/>
      <c r="F543" s="192">
        <v>1</v>
      </c>
      <c r="G543" s="193"/>
      <c r="H543" s="256"/>
      <c r="I543" s="253"/>
      <c r="J543" s="250"/>
    </row>
    <row r="544" spans="1:10" ht="15" customHeight="1">
      <c r="A544" s="70"/>
      <c r="B544" s="97" t="s">
        <v>410</v>
      </c>
      <c r="C544" s="77">
        <v>59</v>
      </c>
      <c r="D544" s="101" t="s">
        <v>441</v>
      </c>
      <c r="E544" s="79"/>
      <c r="F544" s="192">
        <v>14</v>
      </c>
      <c r="G544" s="193"/>
      <c r="H544" s="256"/>
      <c r="I544" s="253"/>
      <c r="J544" s="250"/>
    </row>
    <row r="545" spans="1:10" ht="15" customHeight="1">
      <c r="A545" s="70"/>
      <c r="B545" s="97" t="s">
        <v>410</v>
      </c>
      <c r="C545" s="77">
        <v>60</v>
      </c>
      <c r="D545" s="101" t="s">
        <v>442</v>
      </c>
      <c r="E545" s="79"/>
      <c r="F545" s="192">
        <v>6</v>
      </c>
      <c r="G545" s="193"/>
      <c r="H545" s="256"/>
      <c r="I545" s="253"/>
      <c r="J545" s="250"/>
    </row>
    <row r="546" spans="1:10" ht="15" customHeight="1">
      <c r="A546" s="70"/>
      <c r="B546" s="97" t="s">
        <v>410</v>
      </c>
      <c r="C546" s="98">
        <v>61</v>
      </c>
      <c r="D546" s="101" t="s">
        <v>148</v>
      </c>
      <c r="E546" s="79"/>
      <c r="F546" s="192">
        <v>2</v>
      </c>
      <c r="G546" s="193"/>
      <c r="H546" s="256"/>
      <c r="I546" s="253"/>
      <c r="J546" s="250"/>
    </row>
    <row r="547" spans="1:10" ht="15" customHeight="1">
      <c r="A547" s="70"/>
      <c r="B547" s="97" t="s">
        <v>410</v>
      </c>
      <c r="C547" s="77">
        <v>62</v>
      </c>
      <c r="D547" s="101" t="s">
        <v>139</v>
      </c>
      <c r="E547" s="79"/>
      <c r="F547" s="192">
        <v>2</v>
      </c>
      <c r="G547" s="193"/>
      <c r="H547" s="256"/>
      <c r="I547" s="253"/>
      <c r="J547" s="250"/>
    </row>
    <row r="548" spans="1:10" ht="15" customHeight="1">
      <c r="A548" s="70"/>
      <c r="B548" s="97" t="s">
        <v>410</v>
      </c>
      <c r="C548" s="77">
        <v>63</v>
      </c>
      <c r="D548" s="101" t="s">
        <v>138</v>
      </c>
      <c r="E548" s="79"/>
      <c r="F548" s="192">
        <v>2</v>
      </c>
      <c r="G548" s="193"/>
      <c r="H548" s="256"/>
      <c r="I548" s="253"/>
      <c r="J548" s="250"/>
    </row>
    <row r="549" spans="1:10" ht="15" customHeight="1">
      <c r="A549" s="70"/>
      <c r="B549" s="97" t="s">
        <v>410</v>
      </c>
      <c r="C549" s="98">
        <v>64</v>
      </c>
      <c r="D549" s="101" t="s">
        <v>350</v>
      </c>
      <c r="E549" s="79"/>
      <c r="F549" s="192">
        <v>2</v>
      </c>
      <c r="G549" s="193"/>
      <c r="H549" s="256"/>
      <c r="I549" s="253"/>
      <c r="J549" s="250"/>
    </row>
    <row r="550" spans="1:10" ht="15" customHeight="1">
      <c r="A550" s="70"/>
      <c r="B550" s="97" t="s">
        <v>410</v>
      </c>
      <c r="C550" s="77">
        <v>66</v>
      </c>
      <c r="D550" s="101" t="s">
        <v>135</v>
      </c>
      <c r="E550" s="79"/>
      <c r="F550" s="192">
        <v>1</v>
      </c>
      <c r="G550" s="193"/>
      <c r="H550" s="256"/>
      <c r="I550" s="253"/>
      <c r="J550" s="250"/>
    </row>
    <row r="551" spans="1:10" ht="15" customHeight="1">
      <c r="A551" s="70"/>
      <c r="B551" s="97" t="s">
        <v>410</v>
      </c>
      <c r="C551" s="98">
        <v>67</v>
      </c>
      <c r="D551" s="101" t="s">
        <v>136</v>
      </c>
      <c r="E551" s="79"/>
      <c r="F551" s="192">
        <v>1</v>
      </c>
      <c r="G551" s="193"/>
      <c r="H551" s="256"/>
      <c r="I551" s="253"/>
      <c r="J551" s="250"/>
    </row>
    <row r="552" spans="1:10" ht="15" customHeight="1">
      <c r="A552" s="70"/>
      <c r="B552" s="97" t="s">
        <v>410</v>
      </c>
      <c r="C552" s="77">
        <v>68</v>
      </c>
      <c r="D552" s="101" t="s">
        <v>443</v>
      </c>
      <c r="E552" s="79"/>
      <c r="F552" s="192">
        <v>1</v>
      </c>
      <c r="G552" s="193"/>
      <c r="H552" s="256"/>
      <c r="I552" s="253"/>
      <c r="J552" s="250"/>
    </row>
    <row r="553" spans="1:10" ht="15" customHeight="1">
      <c r="A553" s="70"/>
      <c r="B553" s="97" t="s">
        <v>410</v>
      </c>
      <c r="C553" s="77">
        <v>69</v>
      </c>
      <c r="D553" s="101" t="s">
        <v>85</v>
      </c>
      <c r="E553" s="79"/>
      <c r="F553" s="192">
        <v>1</v>
      </c>
      <c r="G553" s="193"/>
      <c r="H553" s="256"/>
      <c r="I553" s="253"/>
      <c r="J553" s="250"/>
    </row>
    <row r="554" spans="1:10" ht="15" customHeight="1">
      <c r="A554" s="70"/>
      <c r="B554" s="97" t="s">
        <v>410</v>
      </c>
      <c r="C554" s="98">
        <v>70</v>
      </c>
      <c r="D554" s="101" t="s">
        <v>84</v>
      </c>
      <c r="E554" s="79"/>
      <c r="F554" s="192">
        <v>1</v>
      </c>
      <c r="G554" s="193"/>
      <c r="H554" s="256"/>
      <c r="I554" s="253"/>
      <c r="J554" s="250"/>
    </row>
    <row r="555" spans="1:10" ht="15" customHeight="1">
      <c r="A555" s="70"/>
      <c r="B555" s="97" t="s">
        <v>410</v>
      </c>
      <c r="C555" s="77">
        <v>71</v>
      </c>
      <c r="D555" s="101" t="s">
        <v>458</v>
      </c>
      <c r="E555" s="79"/>
      <c r="F555" s="192">
        <v>1</v>
      </c>
      <c r="G555" s="193"/>
      <c r="H555" s="256"/>
      <c r="I555" s="253"/>
      <c r="J555" s="250"/>
    </row>
    <row r="556" spans="1:10" ht="15" customHeight="1">
      <c r="A556" s="70"/>
      <c r="B556" s="97" t="s">
        <v>410</v>
      </c>
      <c r="C556" s="77">
        <v>72</v>
      </c>
      <c r="D556" s="101" t="s">
        <v>82</v>
      </c>
      <c r="E556" s="79"/>
      <c r="F556" s="192">
        <v>10</v>
      </c>
      <c r="G556" s="193"/>
      <c r="H556" s="256"/>
      <c r="I556" s="253"/>
      <c r="J556" s="250"/>
    </row>
    <row r="557" spans="1:10" ht="15" customHeight="1">
      <c r="A557" s="70"/>
      <c r="B557" s="97" t="s">
        <v>410</v>
      </c>
      <c r="C557" s="98">
        <v>73</v>
      </c>
      <c r="D557" s="101" t="s">
        <v>444</v>
      </c>
      <c r="E557" s="79"/>
      <c r="F557" s="192">
        <v>2</v>
      </c>
      <c r="G557" s="193"/>
      <c r="H557" s="256"/>
      <c r="I557" s="253"/>
      <c r="J557" s="250"/>
    </row>
    <row r="558" spans="1:10" ht="15" customHeight="1">
      <c r="A558" s="70"/>
      <c r="B558" s="97" t="s">
        <v>410</v>
      </c>
      <c r="C558" s="77">
        <v>74</v>
      </c>
      <c r="D558" s="101" t="s">
        <v>80</v>
      </c>
      <c r="E558" s="79"/>
      <c r="F558" s="192">
        <v>1</v>
      </c>
      <c r="G558" s="193"/>
      <c r="H558" s="256"/>
      <c r="I558" s="253"/>
      <c r="J558" s="250"/>
    </row>
    <row r="559" spans="1:10" ht="15" customHeight="1">
      <c r="A559" s="70"/>
      <c r="B559" s="97" t="s">
        <v>410</v>
      </c>
      <c r="C559" s="77">
        <v>75</v>
      </c>
      <c r="D559" s="101" t="s">
        <v>79</v>
      </c>
      <c r="E559" s="79"/>
      <c r="F559" s="192">
        <v>1</v>
      </c>
      <c r="G559" s="193"/>
      <c r="H559" s="256"/>
      <c r="I559" s="253"/>
      <c r="J559" s="250"/>
    </row>
    <row r="560" spans="1:10" ht="15" customHeight="1">
      <c r="A560" s="70"/>
      <c r="B560" s="97" t="s">
        <v>410</v>
      </c>
      <c r="C560" s="98">
        <v>76</v>
      </c>
      <c r="D560" s="101" t="s">
        <v>152</v>
      </c>
      <c r="E560" s="79"/>
      <c r="F560" s="192">
        <v>1</v>
      </c>
      <c r="G560" s="193"/>
      <c r="H560" s="256"/>
      <c r="I560" s="253"/>
      <c r="J560" s="250"/>
    </row>
    <row r="561" spans="1:10" ht="15" customHeight="1">
      <c r="A561" s="70"/>
      <c r="B561" s="97" t="s">
        <v>410</v>
      </c>
      <c r="C561" s="77">
        <v>77</v>
      </c>
      <c r="D561" s="101" t="s">
        <v>150</v>
      </c>
      <c r="E561" s="79"/>
      <c r="F561" s="192">
        <v>5</v>
      </c>
      <c r="G561" s="193"/>
      <c r="H561" s="256"/>
      <c r="I561" s="253"/>
      <c r="J561" s="250"/>
    </row>
    <row r="562" spans="1:10" ht="15" customHeight="1">
      <c r="A562" s="70"/>
      <c r="B562" s="97" t="s">
        <v>410</v>
      </c>
      <c r="C562" s="77">
        <v>78</v>
      </c>
      <c r="D562" s="101" t="s">
        <v>151</v>
      </c>
      <c r="E562" s="79"/>
      <c r="F562" s="192">
        <v>5</v>
      </c>
      <c r="G562" s="193"/>
      <c r="H562" s="256"/>
      <c r="I562" s="253"/>
      <c r="J562" s="250"/>
    </row>
    <row r="563" spans="1:10" ht="15" customHeight="1">
      <c r="A563" s="70"/>
      <c r="B563" s="97" t="s">
        <v>410</v>
      </c>
      <c r="C563" s="98">
        <v>79</v>
      </c>
      <c r="D563" s="101" t="s">
        <v>156</v>
      </c>
      <c r="E563" s="79"/>
      <c r="F563" s="192">
        <v>8</v>
      </c>
      <c r="G563" s="193"/>
      <c r="H563" s="256"/>
      <c r="I563" s="253"/>
      <c r="J563" s="250"/>
    </row>
    <row r="564" spans="1:10" ht="15" customHeight="1">
      <c r="A564" s="70"/>
      <c r="B564" s="97" t="s">
        <v>410</v>
      </c>
      <c r="C564" s="77">
        <v>80</v>
      </c>
      <c r="D564" s="101" t="s">
        <v>153</v>
      </c>
      <c r="E564" s="79"/>
      <c r="F564" s="192">
        <v>5</v>
      </c>
      <c r="G564" s="193"/>
      <c r="H564" s="256"/>
      <c r="I564" s="253"/>
      <c r="J564" s="250"/>
    </row>
    <row r="565" spans="1:10" ht="15" customHeight="1">
      <c r="A565" s="70"/>
      <c r="B565" s="97" t="s">
        <v>410</v>
      </c>
      <c r="C565" s="77">
        <v>81</v>
      </c>
      <c r="D565" s="101" t="s">
        <v>154</v>
      </c>
      <c r="E565" s="79"/>
      <c r="F565" s="192">
        <v>3</v>
      </c>
      <c r="G565" s="193"/>
      <c r="H565" s="256"/>
      <c r="I565" s="253"/>
      <c r="J565" s="250"/>
    </row>
    <row r="566" spans="1:10" ht="15" customHeight="1">
      <c r="A566" s="70"/>
      <c r="B566" s="97" t="s">
        <v>410</v>
      </c>
      <c r="C566" s="98">
        <v>82</v>
      </c>
      <c r="D566" s="101" t="s">
        <v>155</v>
      </c>
      <c r="E566" s="79"/>
      <c r="F566" s="192">
        <v>2</v>
      </c>
      <c r="G566" s="193"/>
      <c r="H566" s="256"/>
      <c r="I566" s="253"/>
      <c r="J566" s="250"/>
    </row>
    <row r="567" spans="1:10" ht="15" customHeight="1">
      <c r="A567" s="70"/>
      <c r="B567" s="97" t="s">
        <v>410</v>
      </c>
      <c r="C567" s="77">
        <v>86</v>
      </c>
      <c r="D567" s="101" t="s">
        <v>445</v>
      </c>
      <c r="E567" s="79"/>
      <c r="F567" s="192">
        <v>2</v>
      </c>
      <c r="G567" s="193"/>
      <c r="H567" s="256"/>
      <c r="I567" s="253"/>
      <c r="J567" s="250"/>
    </row>
    <row r="568" spans="1:10" ht="15" customHeight="1">
      <c r="A568" s="70"/>
      <c r="B568" s="97" t="s">
        <v>410</v>
      </c>
      <c r="C568" s="77">
        <v>87</v>
      </c>
      <c r="D568" s="101" t="s">
        <v>174</v>
      </c>
      <c r="E568" s="79"/>
      <c r="F568" s="192">
        <v>1</v>
      </c>
      <c r="G568" s="193"/>
      <c r="H568" s="256"/>
      <c r="I568" s="253"/>
      <c r="J568" s="250"/>
    </row>
    <row r="569" spans="1:10" ht="15" customHeight="1">
      <c r="A569" s="70"/>
      <c r="B569" s="97" t="s">
        <v>410</v>
      </c>
      <c r="C569" s="77">
        <v>89</v>
      </c>
      <c r="D569" s="101" t="s">
        <v>175</v>
      </c>
      <c r="E569" s="79"/>
      <c r="F569" s="192">
        <v>2</v>
      </c>
      <c r="G569" s="193"/>
      <c r="H569" s="256"/>
      <c r="I569" s="253"/>
      <c r="J569" s="250"/>
    </row>
    <row r="570" spans="1:10" ht="15" customHeight="1">
      <c r="A570" s="70"/>
      <c r="B570" s="97" t="s">
        <v>410</v>
      </c>
      <c r="C570" s="77">
        <v>90</v>
      </c>
      <c r="D570" s="101">
        <v>10472</v>
      </c>
      <c r="E570" s="79"/>
      <c r="F570" s="192">
        <v>2</v>
      </c>
      <c r="G570" s="193"/>
      <c r="H570" s="256"/>
      <c r="I570" s="253"/>
      <c r="J570" s="250"/>
    </row>
    <row r="571" spans="1:10" ht="15" customHeight="1">
      <c r="A571" s="70"/>
      <c r="B571" s="97" t="s">
        <v>410</v>
      </c>
      <c r="C571" s="98">
        <v>91</v>
      </c>
      <c r="D571" s="101" t="s">
        <v>177</v>
      </c>
      <c r="E571" s="79"/>
      <c r="F571" s="192">
        <v>1</v>
      </c>
      <c r="G571" s="193"/>
      <c r="H571" s="256"/>
      <c r="I571" s="253"/>
      <c r="J571" s="250"/>
    </row>
    <row r="572" spans="1:10" ht="15" customHeight="1">
      <c r="A572" s="70"/>
      <c r="B572" s="97" t="s">
        <v>410</v>
      </c>
      <c r="C572" s="77">
        <v>92</v>
      </c>
      <c r="D572" s="101" t="s">
        <v>446</v>
      </c>
      <c r="E572" s="79"/>
      <c r="F572" s="192">
        <v>1</v>
      </c>
      <c r="G572" s="193"/>
      <c r="H572" s="256"/>
      <c r="I572" s="253"/>
      <c r="J572" s="250"/>
    </row>
    <row r="573" spans="1:10" ht="15" customHeight="1">
      <c r="A573" s="70"/>
      <c r="B573" s="97" t="s">
        <v>410</v>
      </c>
      <c r="C573" s="77">
        <v>93</v>
      </c>
      <c r="D573" s="101" t="s">
        <v>447</v>
      </c>
      <c r="E573" s="79"/>
      <c r="F573" s="192">
        <v>1</v>
      </c>
      <c r="G573" s="193"/>
      <c r="H573" s="256"/>
      <c r="I573" s="253"/>
      <c r="J573" s="250"/>
    </row>
    <row r="574" spans="1:10" ht="15" customHeight="1">
      <c r="A574" s="70"/>
      <c r="B574" s="97" t="s">
        <v>410</v>
      </c>
      <c r="C574" s="98">
        <v>94</v>
      </c>
      <c r="D574" s="101" t="s">
        <v>448</v>
      </c>
      <c r="E574" s="79"/>
      <c r="F574" s="192">
        <v>1</v>
      </c>
      <c r="G574" s="193"/>
      <c r="H574" s="256"/>
      <c r="I574" s="253"/>
      <c r="J574" s="250"/>
    </row>
    <row r="575" spans="1:10" ht="15" customHeight="1">
      <c r="A575" s="70"/>
      <c r="B575" s="97" t="s">
        <v>410</v>
      </c>
      <c r="C575" s="77">
        <v>95</v>
      </c>
      <c r="D575" s="101" t="s">
        <v>449</v>
      </c>
      <c r="E575" s="79"/>
      <c r="F575" s="192">
        <v>1</v>
      </c>
      <c r="G575" s="193"/>
      <c r="H575" s="256"/>
      <c r="I575" s="253"/>
      <c r="J575" s="250"/>
    </row>
    <row r="576" spans="1:10" ht="15" customHeight="1">
      <c r="A576" s="70"/>
      <c r="B576" s="97" t="s">
        <v>410</v>
      </c>
      <c r="C576" s="77">
        <v>96</v>
      </c>
      <c r="D576" s="101" t="s">
        <v>187</v>
      </c>
      <c r="E576" s="79"/>
      <c r="F576" s="192">
        <v>1</v>
      </c>
      <c r="G576" s="193"/>
      <c r="H576" s="256"/>
      <c r="I576" s="253"/>
      <c r="J576" s="250"/>
    </row>
    <row r="577" spans="1:10" ht="15" customHeight="1">
      <c r="A577" s="70"/>
      <c r="B577" s="97" t="s">
        <v>410</v>
      </c>
      <c r="C577" s="77">
        <v>98</v>
      </c>
      <c r="D577" s="101" t="s">
        <v>208</v>
      </c>
      <c r="E577" s="79"/>
      <c r="F577" s="192">
        <v>2</v>
      </c>
      <c r="G577" s="193"/>
      <c r="H577" s="256"/>
      <c r="I577" s="253"/>
      <c r="J577" s="250"/>
    </row>
    <row r="578" spans="1:10" ht="15" customHeight="1">
      <c r="A578" s="70"/>
      <c r="B578" s="97" t="s">
        <v>410</v>
      </c>
      <c r="C578" s="77">
        <v>99</v>
      </c>
      <c r="D578" s="101" t="s">
        <v>356</v>
      </c>
      <c r="E578" s="79"/>
      <c r="F578" s="192">
        <v>2</v>
      </c>
      <c r="G578" s="193"/>
      <c r="H578" s="256"/>
      <c r="I578" s="253"/>
      <c r="J578" s="250"/>
    </row>
    <row r="579" spans="1:10" ht="15" customHeight="1">
      <c r="A579" s="70"/>
      <c r="B579" s="97" t="s">
        <v>410</v>
      </c>
      <c r="C579" s="77">
        <v>101</v>
      </c>
      <c r="D579" s="101" t="s">
        <v>450</v>
      </c>
      <c r="E579" s="79"/>
      <c r="F579" s="192">
        <v>4</v>
      </c>
      <c r="G579" s="193"/>
      <c r="H579" s="256"/>
      <c r="I579" s="253"/>
      <c r="J579" s="250"/>
    </row>
    <row r="580" spans="1:10" ht="15" customHeight="1">
      <c r="A580" s="70"/>
      <c r="B580" s="97" t="s">
        <v>410</v>
      </c>
      <c r="C580" s="98">
        <v>103</v>
      </c>
      <c r="D580" s="101" t="s">
        <v>451</v>
      </c>
      <c r="E580" s="79"/>
      <c r="F580" s="192">
        <v>12</v>
      </c>
      <c r="G580" s="193"/>
      <c r="H580" s="256"/>
      <c r="I580" s="253"/>
      <c r="J580" s="250"/>
    </row>
    <row r="581" spans="1:10" ht="15" customHeight="1">
      <c r="A581" s="70"/>
      <c r="B581" s="97" t="s">
        <v>410</v>
      </c>
      <c r="C581" s="77">
        <v>104</v>
      </c>
      <c r="D581" s="101" t="s">
        <v>459</v>
      </c>
      <c r="E581" s="79"/>
      <c r="F581" s="192">
        <v>12</v>
      </c>
      <c r="G581" s="193"/>
      <c r="H581" s="256"/>
      <c r="I581" s="253"/>
      <c r="J581" s="250"/>
    </row>
    <row r="582" spans="1:10" ht="15" customHeight="1">
      <c r="A582" s="70"/>
      <c r="B582" s="97" t="s">
        <v>410</v>
      </c>
      <c r="C582" s="77">
        <v>105</v>
      </c>
      <c r="D582" s="101" t="s">
        <v>452</v>
      </c>
      <c r="E582" s="79"/>
      <c r="F582" s="192">
        <v>3</v>
      </c>
      <c r="G582" s="193"/>
      <c r="H582" s="256"/>
      <c r="I582" s="253"/>
      <c r="J582" s="250"/>
    </row>
    <row r="583" spans="1:10" ht="15" customHeight="1">
      <c r="A583" s="70"/>
      <c r="B583" s="97" t="s">
        <v>410</v>
      </c>
      <c r="C583" s="98">
        <v>106</v>
      </c>
      <c r="D583" s="101" t="s">
        <v>453</v>
      </c>
      <c r="E583" s="79"/>
      <c r="F583" s="192">
        <v>2</v>
      </c>
      <c r="G583" s="193"/>
      <c r="H583" s="256"/>
      <c r="I583" s="253"/>
      <c r="J583" s="250"/>
    </row>
    <row r="584" spans="1:10" ht="15" customHeight="1">
      <c r="A584" s="70"/>
      <c r="B584" s="97" t="s">
        <v>410</v>
      </c>
      <c r="C584" s="77">
        <v>107</v>
      </c>
      <c r="D584" s="101" t="s">
        <v>454</v>
      </c>
      <c r="E584" s="79"/>
      <c r="F584" s="192">
        <v>4</v>
      </c>
      <c r="G584" s="193"/>
      <c r="H584" s="256"/>
      <c r="I584" s="253"/>
      <c r="J584" s="250"/>
    </row>
    <row r="585" spans="1:10" ht="15" customHeight="1">
      <c r="A585" s="70"/>
      <c r="B585" s="97" t="s">
        <v>410</v>
      </c>
      <c r="C585" s="77">
        <v>108</v>
      </c>
      <c r="D585" s="101" t="s">
        <v>455</v>
      </c>
      <c r="E585" s="79"/>
      <c r="F585" s="192">
        <v>4</v>
      </c>
      <c r="G585" s="193"/>
      <c r="H585" s="256"/>
      <c r="I585" s="253"/>
      <c r="J585" s="250"/>
    </row>
    <row r="586" spans="1:10" ht="15" customHeight="1">
      <c r="A586" s="70"/>
      <c r="B586" s="97" t="s">
        <v>410</v>
      </c>
      <c r="C586" s="98">
        <v>109</v>
      </c>
      <c r="D586" s="101" t="s">
        <v>456</v>
      </c>
      <c r="E586" s="79"/>
      <c r="F586" s="192">
        <v>9</v>
      </c>
      <c r="G586" s="193"/>
      <c r="H586" s="256"/>
      <c r="I586" s="253"/>
      <c r="J586" s="250"/>
    </row>
    <row r="587" spans="1:10" ht="15" customHeight="1" thickBot="1">
      <c r="A587" s="168"/>
      <c r="B587" s="82" t="s">
        <v>410</v>
      </c>
      <c r="C587" s="169">
        <v>110</v>
      </c>
      <c r="D587" s="170" t="s">
        <v>457</v>
      </c>
      <c r="E587" s="171"/>
      <c r="F587" s="239">
        <v>4</v>
      </c>
      <c r="G587" s="240"/>
      <c r="H587" s="256"/>
      <c r="I587" s="253"/>
      <c r="J587" s="250"/>
    </row>
    <row r="588" spans="1:10" ht="15" customHeight="1" thickTop="1">
      <c r="A588" s="128"/>
      <c r="B588" s="97" t="s">
        <v>486</v>
      </c>
      <c r="C588" s="98">
        <v>1</v>
      </c>
      <c r="D588" s="99" t="s">
        <v>55</v>
      </c>
      <c r="E588" s="100"/>
      <c r="F588" s="241">
        <v>4</v>
      </c>
      <c r="G588" s="242"/>
      <c r="H588" s="256"/>
      <c r="I588" s="253"/>
      <c r="J588" s="250"/>
    </row>
    <row r="589" spans="1:10" ht="15" customHeight="1">
      <c r="A589" s="70"/>
      <c r="B589" s="97" t="s">
        <v>486</v>
      </c>
      <c r="C589" s="77">
        <v>2</v>
      </c>
      <c r="D589" s="101" t="s">
        <v>332</v>
      </c>
      <c r="E589" s="79"/>
      <c r="F589" s="192">
        <v>26</v>
      </c>
      <c r="G589" s="193"/>
      <c r="H589" s="256"/>
      <c r="I589" s="253"/>
      <c r="J589" s="250"/>
    </row>
    <row r="590" spans="1:10" ht="15" customHeight="1">
      <c r="A590" s="70"/>
      <c r="B590" s="97" t="s">
        <v>486</v>
      </c>
      <c r="C590" s="77">
        <v>3</v>
      </c>
      <c r="D590" s="101" t="s">
        <v>333</v>
      </c>
      <c r="E590" s="79"/>
      <c r="F590" s="192">
        <v>2</v>
      </c>
      <c r="G590" s="193"/>
      <c r="H590" s="256"/>
      <c r="I590" s="253"/>
      <c r="J590" s="250"/>
    </row>
    <row r="591" spans="1:10" ht="15" customHeight="1">
      <c r="A591" s="70"/>
      <c r="B591" s="97" t="s">
        <v>486</v>
      </c>
      <c r="C591" s="98">
        <v>4</v>
      </c>
      <c r="D591" s="101" t="s">
        <v>487</v>
      </c>
      <c r="E591" s="79"/>
      <c r="F591" s="192">
        <v>16</v>
      </c>
      <c r="G591" s="193"/>
      <c r="H591" s="256"/>
      <c r="I591" s="253"/>
      <c r="J591" s="250"/>
    </row>
    <row r="592" spans="1:10" ht="15" customHeight="1">
      <c r="A592" s="70"/>
      <c r="B592" s="97" t="s">
        <v>486</v>
      </c>
      <c r="C592" s="77">
        <v>5</v>
      </c>
      <c r="D592" s="101" t="s">
        <v>50</v>
      </c>
      <c r="E592" s="79"/>
      <c r="F592" s="192">
        <v>6</v>
      </c>
      <c r="G592" s="193"/>
      <c r="H592" s="256"/>
      <c r="I592" s="253"/>
      <c r="J592" s="250"/>
    </row>
    <row r="593" spans="1:10" ht="15" customHeight="1">
      <c r="A593" s="70"/>
      <c r="B593" s="97" t="s">
        <v>486</v>
      </c>
      <c r="C593" s="77">
        <v>6</v>
      </c>
      <c r="D593" s="101" t="s">
        <v>65</v>
      </c>
      <c r="E593" s="79"/>
      <c r="F593" s="192">
        <v>2</v>
      </c>
      <c r="G593" s="193"/>
      <c r="H593" s="256"/>
      <c r="I593" s="253"/>
      <c r="J593" s="250"/>
    </row>
    <row r="594" spans="1:10" ht="15" customHeight="1">
      <c r="A594" s="70"/>
      <c r="B594" s="97" t="s">
        <v>486</v>
      </c>
      <c r="C594" s="98">
        <v>7</v>
      </c>
      <c r="D594" s="101" t="s">
        <v>66</v>
      </c>
      <c r="E594" s="79"/>
      <c r="F594" s="192">
        <v>2</v>
      </c>
      <c r="G594" s="193"/>
      <c r="H594" s="256"/>
      <c r="I594" s="253"/>
      <c r="J594" s="250"/>
    </row>
    <row r="595" spans="1:10" ht="15" customHeight="1">
      <c r="A595" s="70"/>
      <c r="B595" s="97" t="s">
        <v>486</v>
      </c>
      <c r="C595" s="77">
        <v>8</v>
      </c>
      <c r="D595" s="101" t="s">
        <v>415</v>
      </c>
      <c r="E595" s="79"/>
      <c r="F595" s="192">
        <v>4</v>
      </c>
      <c r="G595" s="193"/>
      <c r="H595" s="256"/>
      <c r="I595" s="253"/>
      <c r="J595" s="250"/>
    </row>
    <row r="596" spans="1:10" ht="15" customHeight="1">
      <c r="A596" s="70"/>
      <c r="B596" s="97" t="s">
        <v>486</v>
      </c>
      <c r="C596" s="77">
        <v>9</v>
      </c>
      <c r="D596" s="101" t="s">
        <v>414</v>
      </c>
      <c r="E596" s="79"/>
      <c r="F596" s="192">
        <v>2</v>
      </c>
      <c r="G596" s="193"/>
      <c r="H596" s="256"/>
      <c r="I596" s="253"/>
      <c r="J596" s="250"/>
    </row>
    <row r="597" spans="1:10" ht="15" customHeight="1">
      <c r="A597" s="70"/>
      <c r="B597" s="97" t="s">
        <v>486</v>
      </c>
      <c r="C597" s="98">
        <v>10</v>
      </c>
      <c r="D597" s="101" t="s">
        <v>337</v>
      </c>
      <c r="E597" s="79"/>
      <c r="F597" s="192">
        <v>2</v>
      </c>
      <c r="G597" s="193"/>
      <c r="H597" s="256"/>
      <c r="I597" s="253"/>
      <c r="J597" s="250"/>
    </row>
    <row r="598" spans="1:10" ht="15" customHeight="1">
      <c r="A598" s="70"/>
      <c r="B598" s="97" t="s">
        <v>486</v>
      </c>
      <c r="C598" s="77">
        <v>11</v>
      </c>
      <c r="D598" s="101" t="s">
        <v>61</v>
      </c>
      <c r="E598" s="79"/>
      <c r="F598" s="192">
        <v>12</v>
      </c>
      <c r="G598" s="193"/>
      <c r="H598" s="256"/>
      <c r="I598" s="253"/>
      <c r="J598" s="250"/>
    </row>
    <row r="599" spans="1:10" ht="15" customHeight="1">
      <c r="A599" s="70"/>
      <c r="B599" s="97" t="s">
        <v>486</v>
      </c>
      <c r="C599" s="77">
        <v>12</v>
      </c>
      <c r="D599" s="101" t="s">
        <v>62</v>
      </c>
      <c r="E599" s="79"/>
      <c r="F599" s="192">
        <v>12</v>
      </c>
      <c r="G599" s="193"/>
      <c r="H599" s="256"/>
      <c r="I599" s="253"/>
      <c r="J599" s="250"/>
    </row>
    <row r="600" spans="1:10" ht="15" customHeight="1">
      <c r="A600" s="70"/>
      <c r="B600" s="97" t="s">
        <v>486</v>
      </c>
      <c r="C600" s="98">
        <v>13</v>
      </c>
      <c r="D600" s="101" t="s">
        <v>488</v>
      </c>
      <c r="E600" s="79"/>
      <c r="F600" s="192">
        <v>6</v>
      </c>
      <c r="G600" s="193"/>
      <c r="H600" s="256"/>
      <c r="I600" s="253"/>
      <c r="J600" s="250"/>
    </row>
    <row r="601" spans="1:10" ht="15" customHeight="1">
      <c r="A601" s="70"/>
      <c r="B601" s="97" t="s">
        <v>486</v>
      </c>
      <c r="C601" s="77">
        <v>14</v>
      </c>
      <c r="D601" s="101" t="s">
        <v>489</v>
      </c>
      <c r="E601" s="79"/>
      <c r="F601" s="192">
        <v>20</v>
      </c>
      <c r="G601" s="193"/>
      <c r="H601" s="256"/>
      <c r="I601" s="253"/>
      <c r="J601" s="250"/>
    </row>
    <row r="602" spans="1:10" ht="15" customHeight="1">
      <c r="A602" s="70"/>
      <c r="B602" s="97" t="s">
        <v>486</v>
      </c>
      <c r="C602" s="77">
        <v>15</v>
      </c>
      <c r="D602" s="101" t="s">
        <v>490</v>
      </c>
      <c r="E602" s="79"/>
      <c r="F602" s="192">
        <v>4</v>
      </c>
      <c r="G602" s="193"/>
      <c r="H602" s="256"/>
      <c r="I602" s="253"/>
      <c r="J602" s="250"/>
    </row>
    <row r="603" spans="1:10" ht="15" customHeight="1">
      <c r="A603" s="70"/>
      <c r="B603" s="97" t="s">
        <v>486</v>
      </c>
      <c r="C603" s="98">
        <v>16</v>
      </c>
      <c r="D603" s="101" t="s">
        <v>69</v>
      </c>
      <c r="E603" s="79"/>
      <c r="F603" s="192">
        <v>4</v>
      </c>
      <c r="G603" s="193"/>
      <c r="H603" s="256"/>
      <c r="I603" s="253"/>
      <c r="J603" s="250"/>
    </row>
    <row r="604" spans="1:10" ht="15" customHeight="1">
      <c r="A604" s="70"/>
      <c r="B604" s="97" t="s">
        <v>486</v>
      </c>
      <c r="C604" s="77">
        <v>17</v>
      </c>
      <c r="D604" s="101" t="s">
        <v>491</v>
      </c>
      <c r="E604" s="79"/>
      <c r="F604" s="192">
        <v>2</v>
      </c>
      <c r="G604" s="193"/>
      <c r="H604" s="256"/>
      <c r="I604" s="253"/>
      <c r="J604" s="250"/>
    </row>
    <row r="605" spans="1:10" ht="15" customHeight="1">
      <c r="A605" s="70"/>
      <c r="B605" s="97" t="s">
        <v>486</v>
      </c>
      <c r="C605" s="77">
        <v>18</v>
      </c>
      <c r="D605" s="101" t="s">
        <v>52</v>
      </c>
      <c r="E605" s="79"/>
      <c r="F605" s="192">
        <v>16</v>
      </c>
      <c r="G605" s="193"/>
      <c r="H605" s="256"/>
      <c r="I605" s="253"/>
      <c r="J605" s="250"/>
    </row>
    <row r="606" spans="1:10" ht="15" customHeight="1">
      <c r="A606" s="70"/>
      <c r="B606" s="97" t="s">
        <v>486</v>
      </c>
      <c r="C606" s="98">
        <v>19</v>
      </c>
      <c r="D606" s="101" t="s">
        <v>59</v>
      </c>
      <c r="E606" s="79"/>
      <c r="F606" s="192">
        <v>2</v>
      </c>
      <c r="G606" s="193"/>
      <c r="H606" s="256"/>
      <c r="I606" s="253"/>
      <c r="J606" s="250"/>
    </row>
    <row r="607" spans="1:10" ht="15" customHeight="1">
      <c r="A607" s="70"/>
      <c r="B607" s="97" t="s">
        <v>486</v>
      </c>
      <c r="C607" s="77">
        <v>20</v>
      </c>
      <c r="D607" s="101" t="s">
        <v>60</v>
      </c>
      <c r="E607" s="79"/>
      <c r="F607" s="192">
        <v>2</v>
      </c>
      <c r="G607" s="193"/>
      <c r="H607" s="256"/>
      <c r="I607" s="253"/>
      <c r="J607" s="250"/>
    </row>
    <row r="608" spans="1:10" ht="15" customHeight="1">
      <c r="A608" s="70"/>
      <c r="B608" s="97" t="s">
        <v>486</v>
      </c>
      <c r="C608" s="98">
        <v>22</v>
      </c>
      <c r="D608" s="101" t="s">
        <v>77</v>
      </c>
      <c r="E608" s="79"/>
      <c r="F608" s="192">
        <v>2</v>
      </c>
      <c r="G608" s="193"/>
      <c r="H608" s="256"/>
      <c r="I608" s="253"/>
      <c r="J608" s="250"/>
    </row>
    <row r="609" spans="1:10" ht="15" customHeight="1">
      <c r="A609" s="70"/>
      <c r="B609" s="97" t="s">
        <v>486</v>
      </c>
      <c r="C609" s="77">
        <v>23</v>
      </c>
      <c r="D609" s="101" t="s">
        <v>492</v>
      </c>
      <c r="E609" s="79"/>
      <c r="F609" s="192">
        <v>4</v>
      </c>
      <c r="G609" s="193"/>
      <c r="H609" s="256"/>
      <c r="I609" s="253"/>
      <c r="J609" s="250"/>
    </row>
    <row r="610" spans="1:10" ht="15" customHeight="1">
      <c r="A610" s="70"/>
      <c r="B610" s="97" t="s">
        <v>486</v>
      </c>
      <c r="C610" s="77">
        <v>24</v>
      </c>
      <c r="D610" s="101" t="s">
        <v>493</v>
      </c>
      <c r="E610" s="79"/>
      <c r="F610" s="192">
        <v>26</v>
      </c>
      <c r="G610" s="193"/>
      <c r="H610" s="256"/>
      <c r="I610" s="253"/>
      <c r="J610" s="250"/>
    </row>
    <row r="611" spans="1:10" ht="15" customHeight="1">
      <c r="A611" s="70"/>
      <c r="B611" s="97" t="s">
        <v>486</v>
      </c>
      <c r="C611" s="98">
        <v>25</v>
      </c>
      <c r="D611" s="101" t="s">
        <v>132</v>
      </c>
      <c r="E611" s="79"/>
      <c r="F611" s="192">
        <v>52</v>
      </c>
      <c r="G611" s="193"/>
      <c r="H611" s="256"/>
      <c r="I611" s="253"/>
      <c r="J611" s="250"/>
    </row>
    <row r="612" spans="1:10" ht="15" customHeight="1">
      <c r="A612" s="70"/>
      <c r="B612" s="97" t="s">
        <v>486</v>
      </c>
      <c r="C612" s="77">
        <v>26</v>
      </c>
      <c r="D612" s="101" t="s">
        <v>494</v>
      </c>
      <c r="E612" s="79"/>
      <c r="F612" s="192">
        <v>8</v>
      </c>
      <c r="G612" s="193"/>
      <c r="H612" s="256"/>
      <c r="I612" s="253"/>
      <c r="J612" s="250"/>
    </row>
    <row r="613" spans="1:10" ht="15" customHeight="1">
      <c r="A613" s="70"/>
      <c r="B613" s="97" t="s">
        <v>486</v>
      </c>
      <c r="C613" s="77">
        <v>27</v>
      </c>
      <c r="D613" s="101" t="s">
        <v>495</v>
      </c>
      <c r="E613" s="79"/>
      <c r="F613" s="192">
        <v>52</v>
      </c>
      <c r="G613" s="193"/>
      <c r="H613" s="256"/>
      <c r="I613" s="253"/>
      <c r="J613" s="250"/>
    </row>
    <row r="614" spans="1:10" ht="15" customHeight="1">
      <c r="A614" s="70"/>
      <c r="B614" s="97" t="s">
        <v>486</v>
      </c>
      <c r="C614" s="98">
        <v>28</v>
      </c>
      <c r="D614" s="101" t="s">
        <v>134</v>
      </c>
      <c r="E614" s="79"/>
      <c r="F614" s="192">
        <v>14</v>
      </c>
      <c r="G614" s="193"/>
      <c r="H614" s="256"/>
      <c r="I614" s="253"/>
      <c r="J614" s="250"/>
    </row>
    <row r="615" spans="1:10" ht="15" customHeight="1">
      <c r="A615" s="70"/>
      <c r="B615" s="97" t="s">
        <v>486</v>
      </c>
      <c r="C615" s="77">
        <v>29</v>
      </c>
      <c r="D615" s="101" t="s">
        <v>133</v>
      </c>
      <c r="E615" s="79"/>
      <c r="F615" s="192">
        <v>4</v>
      </c>
      <c r="G615" s="193"/>
      <c r="H615" s="256"/>
      <c r="I615" s="253"/>
      <c r="J615" s="250"/>
    </row>
    <row r="616" spans="1:10" ht="15" customHeight="1">
      <c r="A616" s="70"/>
      <c r="B616" s="97" t="s">
        <v>486</v>
      </c>
      <c r="C616" s="77">
        <v>30</v>
      </c>
      <c r="D616" s="101" t="s">
        <v>496</v>
      </c>
      <c r="E616" s="79"/>
      <c r="F616" s="192">
        <v>1</v>
      </c>
      <c r="G616" s="193"/>
      <c r="H616" s="256"/>
      <c r="I616" s="253"/>
      <c r="J616" s="250"/>
    </row>
    <row r="617" spans="1:10" ht="15" customHeight="1">
      <c r="A617" s="70"/>
      <c r="B617" s="97" t="s">
        <v>486</v>
      </c>
      <c r="C617" s="98">
        <v>31</v>
      </c>
      <c r="D617" s="101" t="s">
        <v>138</v>
      </c>
      <c r="E617" s="79"/>
      <c r="F617" s="192">
        <v>8</v>
      </c>
      <c r="G617" s="193"/>
      <c r="H617" s="256"/>
      <c r="I617" s="253"/>
      <c r="J617" s="250"/>
    </row>
    <row r="618" spans="1:10" ht="15" customHeight="1">
      <c r="A618" s="70"/>
      <c r="B618" s="97" t="s">
        <v>486</v>
      </c>
      <c r="C618" s="77">
        <v>32</v>
      </c>
      <c r="D618" s="101" t="s">
        <v>142</v>
      </c>
      <c r="E618" s="79"/>
      <c r="F618" s="192">
        <v>8</v>
      </c>
      <c r="G618" s="193"/>
      <c r="H618" s="256"/>
      <c r="I618" s="253"/>
      <c r="J618" s="250"/>
    </row>
    <row r="619" spans="1:10" ht="15" customHeight="1">
      <c r="A619" s="70"/>
      <c r="B619" s="97" t="s">
        <v>486</v>
      </c>
      <c r="C619" s="77">
        <v>33</v>
      </c>
      <c r="D619" s="101" t="s">
        <v>497</v>
      </c>
      <c r="E619" s="79"/>
      <c r="F619" s="192">
        <v>2</v>
      </c>
      <c r="G619" s="193"/>
      <c r="H619" s="256"/>
      <c r="I619" s="253"/>
      <c r="J619" s="250"/>
    </row>
    <row r="620" spans="1:10" ht="15" customHeight="1">
      <c r="A620" s="70"/>
      <c r="B620" s="97" t="s">
        <v>486</v>
      </c>
      <c r="C620" s="98">
        <v>34</v>
      </c>
      <c r="D620" s="101" t="s">
        <v>498</v>
      </c>
      <c r="E620" s="79"/>
      <c r="F620" s="192">
        <v>2</v>
      </c>
      <c r="G620" s="193"/>
      <c r="H620" s="256"/>
      <c r="I620" s="253"/>
      <c r="J620" s="250"/>
    </row>
    <row r="621" spans="1:10" ht="15" customHeight="1">
      <c r="A621" s="70"/>
      <c r="B621" s="97" t="s">
        <v>486</v>
      </c>
      <c r="C621" s="77">
        <v>35</v>
      </c>
      <c r="D621" s="101" t="s">
        <v>499</v>
      </c>
      <c r="E621" s="79"/>
      <c r="F621" s="192">
        <v>2</v>
      </c>
      <c r="G621" s="193"/>
      <c r="H621" s="256"/>
      <c r="I621" s="253"/>
      <c r="J621" s="250"/>
    </row>
    <row r="622" spans="1:10" ht="15" customHeight="1">
      <c r="A622" s="70"/>
      <c r="B622" s="97" t="s">
        <v>486</v>
      </c>
      <c r="C622" s="77">
        <v>36</v>
      </c>
      <c r="D622" s="101" t="s">
        <v>500</v>
      </c>
      <c r="E622" s="79"/>
      <c r="F622" s="192">
        <v>2</v>
      </c>
      <c r="G622" s="193"/>
      <c r="H622" s="256"/>
      <c r="I622" s="253"/>
      <c r="J622" s="250"/>
    </row>
    <row r="623" spans="1:10" ht="15" customHeight="1">
      <c r="A623" s="70"/>
      <c r="B623" s="97" t="s">
        <v>486</v>
      </c>
      <c r="C623" s="98">
        <v>37</v>
      </c>
      <c r="D623" s="101" t="s">
        <v>501</v>
      </c>
      <c r="E623" s="79"/>
      <c r="F623" s="192">
        <v>4</v>
      </c>
      <c r="G623" s="193"/>
      <c r="H623" s="256"/>
      <c r="I623" s="253"/>
      <c r="J623" s="250"/>
    </row>
    <row r="624" spans="1:10" ht="15" customHeight="1">
      <c r="A624" s="70"/>
      <c r="B624" s="97" t="s">
        <v>486</v>
      </c>
      <c r="C624" s="77">
        <v>38</v>
      </c>
      <c r="D624" s="101" t="s">
        <v>148</v>
      </c>
      <c r="E624" s="79"/>
      <c r="F624" s="192">
        <v>4</v>
      </c>
      <c r="G624" s="193"/>
      <c r="H624" s="256"/>
      <c r="I624" s="253"/>
      <c r="J624" s="250"/>
    </row>
    <row r="625" spans="1:10" ht="15" customHeight="1">
      <c r="A625" s="70"/>
      <c r="B625" s="97" t="s">
        <v>486</v>
      </c>
      <c r="C625" s="77">
        <v>39</v>
      </c>
      <c r="D625" s="101" t="s">
        <v>502</v>
      </c>
      <c r="E625" s="79"/>
      <c r="F625" s="192">
        <v>4</v>
      </c>
      <c r="G625" s="193"/>
      <c r="H625" s="256"/>
      <c r="I625" s="253"/>
      <c r="J625" s="250"/>
    </row>
    <row r="626" spans="1:10" ht="15" customHeight="1">
      <c r="A626" s="70"/>
      <c r="B626" s="97" t="s">
        <v>486</v>
      </c>
      <c r="C626" s="98">
        <v>40</v>
      </c>
      <c r="D626" s="101" t="s">
        <v>350</v>
      </c>
      <c r="E626" s="79"/>
      <c r="F626" s="192">
        <v>4</v>
      </c>
      <c r="G626" s="193"/>
      <c r="H626" s="256"/>
      <c r="I626" s="253"/>
      <c r="J626" s="250"/>
    </row>
    <row r="627" spans="1:10" ht="15" customHeight="1">
      <c r="A627" s="70"/>
      <c r="B627" s="97" t="s">
        <v>486</v>
      </c>
      <c r="C627" s="77">
        <v>42</v>
      </c>
      <c r="D627" s="101" t="s">
        <v>135</v>
      </c>
      <c r="E627" s="79"/>
      <c r="F627" s="192">
        <v>2</v>
      </c>
      <c r="G627" s="193"/>
      <c r="H627" s="256"/>
      <c r="I627" s="253"/>
      <c r="J627" s="250"/>
    </row>
    <row r="628" spans="1:10" ht="15" customHeight="1">
      <c r="A628" s="70"/>
      <c r="B628" s="97" t="s">
        <v>486</v>
      </c>
      <c r="C628" s="98">
        <v>43</v>
      </c>
      <c r="D628" s="101" t="s">
        <v>136</v>
      </c>
      <c r="E628" s="79"/>
      <c r="F628" s="192">
        <v>2</v>
      </c>
      <c r="G628" s="193"/>
      <c r="H628" s="256"/>
      <c r="I628" s="253"/>
      <c r="J628" s="250"/>
    </row>
    <row r="629" spans="1:10" ht="15" customHeight="1">
      <c r="A629" s="70"/>
      <c r="B629" s="97" t="s">
        <v>486</v>
      </c>
      <c r="C629" s="77">
        <v>44</v>
      </c>
      <c r="D629" s="101" t="s">
        <v>177</v>
      </c>
      <c r="E629" s="79"/>
      <c r="F629" s="192">
        <v>2</v>
      </c>
      <c r="G629" s="193"/>
      <c r="H629" s="256"/>
      <c r="I629" s="253"/>
      <c r="J629" s="250"/>
    </row>
    <row r="630" spans="1:10" ht="15" customHeight="1">
      <c r="A630" s="70"/>
      <c r="B630" s="97" t="s">
        <v>486</v>
      </c>
      <c r="C630" s="77">
        <v>45</v>
      </c>
      <c r="D630" s="101" t="s">
        <v>503</v>
      </c>
      <c r="E630" s="79"/>
      <c r="F630" s="192">
        <v>6</v>
      </c>
      <c r="G630" s="193"/>
      <c r="H630" s="256"/>
      <c r="I630" s="253"/>
      <c r="J630" s="250"/>
    </row>
    <row r="631" spans="1:10" ht="15" customHeight="1">
      <c r="A631" s="70"/>
      <c r="B631" s="97" t="s">
        <v>486</v>
      </c>
      <c r="C631" s="98">
        <v>46</v>
      </c>
      <c r="D631" s="101" t="s">
        <v>504</v>
      </c>
      <c r="E631" s="79"/>
      <c r="F631" s="192">
        <v>2</v>
      </c>
      <c r="G631" s="193"/>
      <c r="H631" s="256"/>
      <c r="I631" s="253"/>
      <c r="J631" s="250"/>
    </row>
    <row r="632" spans="1:10" ht="15" customHeight="1">
      <c r="A632" s="70"/>
      <c r="B632" s="97" t="s">
        <v>486</v>
      </c>
      <c r="C632" s="77">
        <v>47</v>
      </c>
      <c r="D632" s="101" t="s">
        <v>82</v>
      </c>
      <c r="E632" s="79"/>
      <c r="F632" s="192">
        <v>34</v>
      </c>
      <c r="G632" s="193"/>
      <c r="H632" s="256"/>
      <c r="I632" s="253"/>
      <c r="J632" s="250"/>
    </row>
    <row r="633" spans="1:10" ht="15" customHeight="1">
      <c r="A633" s="70"/>
      <c r="B633" s="97" t="s">
        <v>486</v>
      </c>
      <c r="C633" s="77">
        <v>48</v>
      </c>
      <c r="D633" s="101" t="s">
        <v>505</v>
      </c>
      <c r="E633" s="79"/>
      <c r="F633" s="192">
        <v>2</v>
      </c>
      <c r="G633" s="193"/>
      <c r="H633" s="256"/>
      <c r="I633" s="253"/>
      <c r="J633" s="250"/>
    </row>
    <row r="634" spans="1:10" ht="15" customHeight="1">
      <c r="A634" s="70"/>
      <c r="B634" s="97" t="s">
        <v>486</v>
      </c>
      <c r="C634" s="98">
        <v>49</v>
      </c>
      <c r="D634" s="101" t="s">
        <v>106</v>
      </c>
      <c r="E634" s="79"/>
      <c r="F634" s="192">
        <v>12</v>
      </c>
      <c r="G634" s="193"/>
      <c r="H634" s="256"/>
      <c r="I634" s="253"/>
      <c r="J634" s="250"/>
    </row>
    <row r="635" spans="1:10" ht="15" customHeight="1">
      <c r="A635" s="70"/>
      <c r="B635" s="97" t="s">
        <v>486</v>
      </c>
      <c r="C635" s="77">
        <v>50</v>
      </c>
      <c r="D635" s="101" t="s">
        <v>506</v>
      </c>
      <c r="E635" s="79"/>
      <c r="F635" s="192">
        <v>4</v>
      </c>
      <c r="G635" s="193"/>
      <c r="H635" s="256"/>
      <c r="I635" s="253"/>
      <c r="J635" s="250"/>
    </row>
    <row r="636" spans="1:10" ht="15" customHeight="1">
      <c r="A636" s="70"/>
      <c r="B636" s="97" t="s">
        <v>486</v>
      </c>
      <c r="C636" s="77">
        <v>51</v>
      </c>
      <c r="D636" s="101" t="s">
        <v>341</v>
      </c>
      <c r="E636" s="79"/>
      <c r="F636" s="192">
        <v>4</v>
      </c>
      <c r="G636" s="193"/>
      <c r="H636" s="256"/>
      <c r="I636" s="253"/>
      <c r="J636" s="250"/>
    </row>
    <row r="637" spans="1:10" ht="15" customHeight="1">
      <c r="A637" s="70"/>
      <c r="B637" s="97" t="s">
        <v>486</v>
      </c>
      <c r="C637" s="98">
        <v>52</v>
      </c>
      <c r="D637" s="101" t="s">
        <v>111</v>
      </c>
      <c r="E637" s="79"/>
      <c r="F637" s="192">
        <v>6</v>
      </c>
      <c r="G637" s="193"/>
      <c r="H637" s="256"/>
      <c r="I637" s="253"/>
      <c r="J637" s="250"/>
    </row>
    <row r="638" spans="1:10" ht="15" customHeight="1">
      <c r="A638" s="70"/>
      <c r="B638" s="97" t="s">
        <v>486</v>
      </c>
      <c r="C638" s="77">
        <v>53</v>
      </c>
      <c r="D638" s="101" t="s">
        <v>107</v>
      </c>
      <c r="E638" s="79"/>
      <c r="F638" s="192">
        <v>18</v>
      </c>
      <c r="G638" s="193"/>
      <c r="H638" s="256"/>
      <c r="I638" s="253"/>
      <c r="J638" s="250"/>
    </row>
    <row r="639" spans="1:10" ht="15" customHeight="1">
      <c r="A639" s="70"/>
      <c r="B639" s="97" t="s">
        <v>486</v>
      </c>
      <c r="C639" s="77">
        <v>54</v>
      </c>
      <c r="D639" s="101" t="s">
        <v>507</v>
      </c>
      <c r="E639" s="79"/>
      <c r="F639" s="192">
        <v>10</v>
      </c>
      <c r="G639" s="193"/>
      <c r="H639" s="256"/>
      <c r="I639" s="253"/>
      <c r="J639" s="250"/>
    </row>
    <row r="640" spans="1:10" ht="15" customHeight="1">
      <c r="A640" s="70"/>
      <c r="B640" s="97" t="s">
        <v>486</v>
      </c>
      <c r="C640" s="98">
        <v>55</v>
      </c>
      <c r="D640" s="101" t="s">
        <v>508</v>
      </c>
      <c r="E640" s="79"/>
      <c r="F640" s="192">
        <v>10</v>
      </c>
      <c r="G640" s="193"/>
      <c r="H640" s="256"/>
      <c r="I640" s="253"/>
      <c r="J640" s="250"/>
    </row>
    <row r="641" spans="1:10" ht="15" customHeight="1">
      <c r="A641" s="70"/>
      <c r="B641" s="97" t="s">
        <v>486</v>
      </c>
      <c r="C641" s="77">
        <v>56</v>
      </c>
      <c r="D641" s="101" t="s">
        <v>509</v>
      </c>
      <c r="E641" s="79"/>
      <c r="F641" s="192">
        <v>22</v>
      </c>
      <c r="G641" s="193"/>
      <c r="H641" s="256"/>
      <c r="I641" s="253"/>
      <c r="J641" s="250"/>
    </row>
    <row r="642" spans="1:10" ht="15" customHeight="1">
      <c r="A642" s="70"/>
      <c r="B642" s="97" t="s">
        <v>486</v>
      </c>
      <c r="C642" s="77">
        <v>57</v>
      </c>
      <c r="D642" s="101" t="s">
        <v>122</v>
      </c>
      <c r="E642" s="79"/>
      <c r="F642" s="192">
        <v>16</v>
      </c>
      <c r="G642" s="193"/>
      <c r="H642" s="256"/>
      <c r="I642" s="253"/>
      <c r="J642" s="250"/>
    </row>
    <row r="643" spans="1:10" ht="15" customHeight="1">
      <c r="A643" s="70"/>
      <c r="B643" s="97" t="s">
        <v>486</v>
      </c>
      <c r="C643" s="98">
        <v>58</v>
      </c>
      <c r="D643" s="101" t="s">
        <v>510</v>
      </c>
      <c r="E643" s="79"/>
      <c r="F643" s="192">
        <v>8</v>
      </c>
      <c r="G643" s="193"/>
      <c r="H643" s="256"/>
      <c r="I643" s="253"/>
      <c r="J643" s="250"/>
    </row>
    <row r="644" spans="1:10" ht="15" customHeight="1">
      <c r="A644" s="70"/>
      <c r="B644" s="97" t="s">
        <v>486</v>
      </c>
      <c r="C644" s="77">
        <v>59</v>
      </c>
      <c r="D644" s="101" t="s">
        <v>511</v>
      </c>
      <c r="E644" s="79"/>
      <c r="F644" s="192">
        <v>2</v>
      </c>
      <c r="G644" s="193"/>
      <c r="H644" s="256"/>
      <c r="I644" s="253"/>
      <c r="J644" s="250"/>
    </row>
    <row r="645" spans="1:10" ht="15" customHeight="1">
      <c r="A645" s="70"/>
      <c r="B645" s="97" t="s">
        <v>486</v>
      </c>
      <c r="C645" s="77">
        <v>60</v>
      </c>
      <c r="D645" s="101" t="s">
        <v>119</v>
      </c>
      <c r="E645" s="79"/>
      <c r="F645" s="192">
        <v>30</v>
      </c>
      <c r="G645" s="193"/>
      <c r="H645" s="256"/>
      <c r="I645" s="253"/>
      <c r="J645" s="250"/>
    </row>
    <row r="646" spans="1:10" ht="15" customHeight="1">
      <c r="A646" s="70"/>
      <c r="B646" s="97" t="s">
        <v>486</v>
      </c>
      <c r="C646" s="98">
        <v>61</v>
      </c>
      <c r="D646" s="101" t="s">
        <v>512</v>
      </c>
      <c r="E646" s="79"/>
      <c r="F646" s="192">
        <v>2</v>
      </c>
      <c r="G646" s="193"/>
      <c r="H646" s="256"/>
      <c r="I646" s="253"/>
      <c r="J646" s="250"/>
    </row>
    <row r="647" spans="1:10" ht="15" customHeight="1">
      <c r="A647" s="70"/>
      <c r="B647" s="97" t="s">
        <v>486</v>
      </c>
      <c r="C647" s="77">
        <v>62</v>
      </c>
      <c r="D647" s="101" t="s">
        <v>513</v>
      </c>
      <c r="E647" s="79"/>
      <c r="F647" s="192">
        <v>2</v>
      </c>
      <c r="G647" s="193"/>
      <c r="H647" s="256"/>
      <c r="I647" s="253"/>
      <c r="J647" s="250"/>
    </row>
    <row r="648" spans="1:10" ht="15" customHeight="1">
      <c r="A648" s="70"/>
      <c r="B648" s="97" t="s">
        <v>486</v>
      </c>
      <c r="C648" s="77">
        <v>63</v>
      </c>
      <c r="D648" s="101" t="s">
        <v>514</v>
      </c>
      <c r="E648" s="79"/>
      <c r="F648" s="192">
        <v>10</v>
      </c>
      <c r="G648" s="193"/>
      <c r="H648" s="256"/>
      <c r="I648" s="253"/>
      <c r="J648" s="250"/>
    </row>
    <row r="649" spans="1:10" ht="15" customHeight="1">
      <c r="A649" s="70"/>
      <c r="B649" s="97" t="s">
        <v>486</v>
      </c>
      <c r="C649" s="98">
        <v>64</v>
      </c>
      <c r="D649" s="101" t="s">
        <v>515</v>
      </c>
      <c r="E649" s="79"/>
      <c r="F649" s="192">
        <v>2</v>
      </c>
      <c r="G649" s="193"/>
      <c r="H649" s="256"/>
      <c r="I649" s="253"/>
      <c r="J649" s="250"/>
    </row>
    <row r="650" spans="1:10" ht="15" customHeight="1">
      <c r="A650" s="70"/>
      <c r="B650" s="97" t="s">
        <v>486</v>
      </c>
      <c r="C650" s="77">
        <v>65</v>
      </c>
      <c r="D650" s="101" t="s">
        <v>516</v>
      </c>
      <c r="E650" s="79"/>
      <c r="F650" s="192">
        <v>2</v>
      </c>
      <c r="G650" s="193"/>
      <c r="H650" s="256"/>
      <c r="I650" s="253"/>
      <c r="J650" s="250"/>
    </row>
    <row r="651" spans="1:10" ht="15" customHeight="1">
      <c r="A651" s="70"/>
      <c r="B651" s="97" t="s">
        <v>486</v>
      </c>
      <c r="C651" s="77">
        <v>66</v>
      </c>
      <c r="D651" s="101" t="s">
        <v>517</v>
      </c>
      <c r="E651" s="79"/>
      <c r="F651" s="192">
        <v>2</v>
      </c>
      <c r="G651" s="193"/>
      <c r="H651" s="256"/>
      <c r="I651" s="253"/>
      <c r="J651" s="250"/>
    </row>
    <row r="652" spans="1:10" ht="15" customHeight="1">
      <c r="A652" s="70"/>
      <c r="B652" s="97" t="s">
        <v>486</v>
      </c>
      <c r="C652" s="98">
        <v>67</v>
      </c>
      <c r="D652" s="101" t="s">
        <v>518</v>
      </c>
      <c r="E652" s="79"/>
      <c r="F652" s="192">
        <v>2</v>
      </c>
      <c r="G652" s="193"/>
      <c r="H652" s="256"/>
      <c r="I652" s="253"/>
      <c r="J652" s="250"/>
    </row>
    <row r="653" spans="1:10" ht="15" customHeight="1">
      <c r="A653" s="70"/>
      <c r="B653" s="97" t="s">
        <v>486</v>
      </c>
      <c r="C653" s="77">
        <v>68</v>
      </c>
      <c r="D653" s="101" t="s">
        <v>115</v>
      </c>
      <c r="E653" s="79"/>
      <c r="F653" s="192">
        <v>4</v>
      </c>
      <c r="G653" s="193"/>
      <c r="H653" s="256"/>
      <c r="I653" s="253"/>
      <c r="J653" s="250"/>
    </row>
    <row r="654" spans="1:10" ht="15" customHeight="1">
      <c r="A654" s="70"/>
      <c r="B654" s="97" t="s">
        <v>486</v>
      </c>
      <c r="C654" s="77">
        <v>69</v>
      </c>
      <c r="D654" s="101" t="s">
        <v>519</v>
      </c>
      <c r="E654" s="79"/>
      <c r="F654" s="192">
        <v>6</v>
      </c>
      <c r="G654" s="193"/>
      <c r="H654" s="256"/>
      <c r="I654" s="253"/>
      <c r="J654" s="250"/>
    </row>
    <row r="655" spans="1:10" ht="15" customHeight="1">
      <c r="A655" s="70"/>
      <c r="B655" s="97" t="s">
        <v>486</v>
      </c>
      <c r="C655" s="98">
        <v>70</v>
      </c>
      <c r="D655" s="101" t="s">
        <v>109</v>
      </c>
      <c r="E655" s="79"/>
      <c r="F655" s="192">
        <v>2</v>
      </c>
      <c r="G655" s="193"/>
      <c r="H655" s="256"/>
      <c r="I655" s="253"/>
      <c r="J655" s="250"/>
    </row>
    <row r="656" spans="1:10" ht="15" customHeight="1">
      <c r="A656" s="70"/>
      <c r="B656" s="97" t="s">
        <v>486</v>
      </c>
      <c r="C656" s="77">
        <v>71</v>
      </c>
      <c r="D656" s="101" t="s">
        <v>520</v>
      </c>
      <c r="E656" s="79"/>
      <c r="F656" s="192">
        <v>2</v>
      </c>
      <c r="G656" s="193"/>
      <c r="H656" s="256"/>
      <c r="I656" s="253"/>
      <c r="J656" s="250"/>
    </row>
    <row r="657" spans="1:10" ht="15" customHeight="1">
      <c r="A657" s="70"/>
      <c r="B657" s="97" t="s">
        <v>486</v>
      </c>
      <c r="C657" s="77">
        <v>72</v>
      </c>
      <c r="D657" s="101" t="s">
        <v>112</v>
      </c>
      <c r="E657" s="79"/>
      <c r="F657" s="192">
        <v>28</v>
      </c>
      <c r="G657" s="193"/>
      <c r="H657" s="256"/>
      <c r="I657" s="253"/>
      <c r="J657" s="250"/>
    </row>
    <row r="658" spans="1:10" ht="15" customHeight="1">
      <c r="A658" s="70"/>
      <c r="B658" s="97" t="s">
        <v>486</v>
      </c>
      <c r="C658" s="98">
        <v>73</v>
      </c>
      <c r="D658" s="101" t="s">
        <v>113</v>
      </c>
      <c r="E658" s="79"/>
      <c r="F658" s="192">
        <v>6</v>
      </c>
      <c r="G658" s="193"/>
      <c r="H658" s="256"/>
      <c r="I658" s="253"/>
      <c r="J658" s="250"/>
    </row>
    <row r="659" spans="1:10" ht="15" customHeight="1">
      <c r="A659" s="70"/>
      <c r="B659" s="97" t="s">
        <v>486</v>
      </c>
      <c r="C659" s="77">
        <v>74</v>
      </c>
      <c r="D659" s="101" t="s">
        <v>521</v>
      </c>
      <c r="E659" s="79"/>
      <c r="F659" s="192">
        <v>8</v>
      </c>
      <c r="G659" s="193"/>
      <c r="H659" s="256"/>
      <c r="I659" s="253"/>
      <c r="J659" s="250"/>
    </row>
    <row r="660" spans="1:10" ht="15" customHeight="1">
      <c r="A660" s="70"/>
      <c r="B660" s="97" t="s">
        <v>486</v>
      </c>
      <c r="C660" s="77">
        <v>75</v>
      </c>
      <c r="D660" s="101" t="s">
        <v>114</v>
      </c>
      <c r="E660" s="79"/>
      <c r="F660" s="192">
        <v>4</v>
      </c>
      <c r="G660" s="193"/>
      <c r="H660" s="256"/>
      <c r="I660" s="253"/>
      <c r="J660" s="250"/>
    </row>
    <row r="661" spans="1:10" ht="15" customHeight="1">
      <c r="A661" s="70"/>
      <c r="B661" s="97" t="s">
        <v>486</v>
      </c>
      <c r="C661" s="98">
        <v>76</v>
      </c>
      <c r="D661" s="101" t="s">
        <v>339</v>
      </c>
      <c r="E661" s="79"/>
      <c r="F661" s="192">
        <v>2</v>
      </c>
      <c r="G661" s="193"/>
      <c r="H661" s="256"/>
      <c r="I661" s="253"/>
      <c r="J661" s="250"/>
    </row>
    <row r="662" spans="1:10" ht="15" customHeight="1">
      <c r="A662" s="70"/>
      <c r="B662" s="97" t="s">
        <v>486</v>
      </c>
      <c r="C662" s="77">
        <v>77</v>
      </c>
      <c r="D662" s="101" t="s">
        <v>522</v>
      </c>
      <c r="E662" s="79"/>
      <c r="F662" s="192">
        <v>10</v>
      </c>
      <c r="G662" s="193"/>
      <c r="H662" s="256"/>
      <c r="I662" s="253"/>
      <c r="J662" s="250"/>
    </row>
    <row r="663" spans="1:10" ht="15" customHeight="1">
      <c r="A663" s="70"/>
      <c r="B663" s="97" t="s">
        <v>486</v>
      </c>
      <c r="C663" s="77">
        <v>78</v>
      </c>
      <c r="D663" s="101" t="s">
        <v>120</v>
      </c>
      <c r="E663" s="79"/>
      <c r="F663" s="192">
        <v>2</v>
      </c>
      <c r="G663" s="193"/>
      <c r="H663" s="256"/>
      <c r="I663" s="253"/>
      <c r="J663" s="250"/>
    </row>
    <row r="664" spans="1:10" ht="15" customHeight="1">
      <c r="A664" s="70"/>
      <c r="B664" s="97" t="s">
        <v>486</v>
      </c>
      <c r="C664" s="77">
        <v>80</v>
      </c>
      <c r="D664" s="101" t="s">
        <v>86</v>
      </c>
      <c r="E664" s="79"/>
      <c r="F664" s="192">
        <v>52</v>
      </c>
      <c r="G664" s="193"/>
      <c r="H664" s="256"/>
      <c r="I664" s="253"/>
      <c r="J664" s="250"/>
    </row>
    <row r="665" spans="1:10" ht="15" customHeight="1">
      <c r="A665" s="70"/>
      <c r="B665" s="97" t="s">
        <v>486</v>
      </c>
      <c r="C665" s="77">
        <v>81</v>
      </c>
      <c r="D665" s="101" t="s">
        <v>523</v>
      </c>
      <c r="E665" s="79"/>
      <c r="F665" s="192">
        <v>12</v>
      </c>
      <c r="G665" s="193"/>
      <c r="H665" s="256"/>
      <c r="I665" s="253"/>
      <c r="J665" s="250"/>
    </row>
    <row r="666" spans="1:10" ht="15" customHeight="1">
      <c r="A666" s="70"/>
      <c r="B666" s="97" t="s">
        <v>486</v>
      </c>
      <c r="C666" s="98">
        <v>82</v>
      </c>
      <c r="D666" s="101" t="s">
        <v>524</v>
      </c>
      <c r="E666" s="79"/>
      <c r="F666" s="192">
        <v>16</v>
      </c>
      <c r="G666" s="193"/>
      <c r="H666" s="256"/>
      <c r="I666" s="253"/>
      <c r="J666" s="250"/>
    </row>
    <row r="667" spans="1:10" ht="15" customHeight="1">
      <c r="A667" s="70"/>
      <c r="B667" s="97" t="s">
        <v>486</v>
      </c>
      <c r="C667" s="77">
        <v>83</v>
      </c>
      <c r="D667" s="101" t="s">
        <v>434</v>
      </c>
      <c r="E667" s="79"/>
      <c r="F667" s="192">
        <v>4</v>
      </c>
      <c r="G667" s="193"/>
      <c r="H667" s="256"/>
      <c r="I667" s="253"/>
      <c r="J667" s="250"/>
    </row>
    <row r="668" spans="1:10" ht="15" customHeight="1">
      <c r="A668" s="70"/>
      <c r="B668" s="97" t="s">
        <v>486</v>
      </c>
      <c r="C668" s="77">
        <v>84</v>
      </c>
      <c r="D668" s="101" t="s">
        <v>525</v>
      </c>
      <c r="E668" s="79"/>
      <c r="F668" s="192">
        <v>2</v>
      </c>
      <c r="G668" s="193"/>
      <c r="H668" s="256"/>
      <c r="I668" s="253"/>
      <c r="J668" s="250"/>
    </row>
    <row r="669" spans="1:10" ht="15" customHeight="1">
      <c r="A669" s="70"/>
      <c r="B669" s="97" t="s">
        <v>486</v>
      </c>
      <c r="C669" s="98">
        <v>85</v>
      </c>
      <c r="D669" s="101" t="s">
        <v>526</v>
      </c>
      <c r="E669" s="79"/>
      <c r="F669" s="192">
        <v>2</v>
      </c>
      <c r="G669" s="193"/>
      <c r="H669" s="256"/>
      <c r="I669" s="253"/>
      <c r="J669" s="250"/>
    </row>
    <row r="670" spans="1:10" ht="15" customHeight="1">
      <c r="A670" s="70"/>
      <c r="B670" s="97" t="s">
        <v>486</v>
      </c>
      <c r="C670" s="77">
        <v>86</v>
      </c>
      <c r="D670" s="101" t="s">
        <v>527</v>
      </c>
      <c r="E670" s="79"/>
      <c r="F670" s="192">
        <v>2</v>
      </c>
      <c r="G670" s="193"/>
      <c r="H670" s="256"/>
      <c r="I670" s="253"/>
      <c r="J670" s="250"/>
    </row>
    <row r="671" spans="1:10" ht="15" customHeight="1">
      <c r="A671" s="70"/>
      <c r="B671" s="97" t="s">
        <v>486</v>
      </c>
      <c r="C671" s="77">
        <v>87</v>
      </c>
      <c r="D671" s="101" t="s">
        <v>528</v>
      </c>
      <c r="E671" s="79"/>
      <c r="F671" s="192">
        <v>2</v>
      </c>
      <c r="G671" s="193"/>
      <c r="H671" s="256"/>
      <c r="I671" s="253"/>
      <c r="J671" s="250"/>
    </row>
    <row r="672" spans="1:10" ht="15" customHeight="1">
      <c r="A672" s="70"/>
      <c r="B672" s="97" t="s">
        <v>486</v>
      </c>
      <c r="C672" s="98">
        <v>88</v>
      </c>
      <c r="D672" s="101" t="s">
        <v>529</v>
      </c>
      <c r="E672" s="79"/>
      <c r="F672" s="192">
        <v>2</v>
      </c>
      <c r="G672" s="193"/>
      <c r="H672" s="256"/>
      <c r="I672" s="253"/>
      <c r="J672" s="250"/>
    </row>
    <row r="673" spans="1:10" ht="15" customHeight="1">
      <c r="A673" s="70"/>
      <c r="B673" s="97" t="s">
        <v>486</v>
      </c>
      <c r="C673" s="77">
        <v>89</v>
      </c>
      <c r="D673" s="101" t="s">
        <v>530</v>
      </c>
      <c r="E673" s="79"/>
      <c r="F673" s="192">
        <v>2</v>
      </c>
      <c r="G673" s="193"/>
      <c r="H673" s="256"/>
      <c r="I673" s="253"/>
      <c r="J673" s="250"/>
    </row>
    <row r="674" spans="1:10" ht="15" customHeight="1">
      <c r="A674" s="70"/>
      <c r="B674" s="97" t="s">
        <v>486</v>
      </c>
      <c r="C674" s="77">
        <v>90</v>
      </c>
      <c r="D674" s="101" t="s">
        <v>531</v>
      </c>
      <c r="E674" s="79"/>
      <c r="F674" s="192">
        <v>2</v>
      </c>
      <c r="G674" s="193"/>
      <c r="H674" s="256"/>
      <c r="I674" s="253"/>
      <c r="J674" s="250"/>
    </row>
    <row r="675" spans="1:10" ht="15" customHeight="1">
      <c r="A675" s="70"/>
      <c r="B675" s="97" t="s">
        <v>486</v>
      </c>
      <c r="C675" s="98">
        <v>91</v>
      </c>
      <c r="D675" s="101" t="s">
        <v>532</v>
      </c>
      <c r="E675" s="79"/>
      <c r="F675" s="192">
        <v>2</v>
      </c>
      <c r="G675" s="193"/>
      <c r="H675" s="256"/>
      <c r="I675" s="253"/>
      <c r="J675" s="250"/>
    </row>
    <row r="676" spans="1:10" ht="15" customHeight="1">
      <c r="A676" s="70"/>
      <c r="B676" s="97" t="s">
        <v>486</v>
      </c>
      <c r="C676" s="77">
        <v>93</v>
      </c>
      <c r="D676" s="101" t="s">
        <v>533</v>
      </c>
      <c r="E676" s="79"/>
      <c r="F676" s="192">
        <v>8</v>
      </c>
      <c r="G676" s="193"/>
      <c r="H676" s="256"/>
      <c r="I676" s="253"/>
      <c r="J676" s="250"/>
    </row>
    <row r="677" spans="1:10" ht="15" customHeight="1">
      <c r="A677" s="70"/>
      <c r="B677" s="97" t="s">
        <v>486</v>
      </c>
      <c r="C677" s="98">
        <v>94</v>
      </c>
      <c r="D677" s="101" t="s">
        <v>420</v>
      </c>
      <c r="E677" s="79"/>
      <c r="F677" s="192">
        <v>12</v>
      </c>
      <c r="G677" s="193"/>
      <c r="H677" s="256"/>
      <c r="I677" s="253"/>
      <c r="J677" s="250"/>
    </row>
    <row r="678" spans="1:10" ht="15" customHeight="1">
      <c r="A678" s="70"/>
      <c r="B678" s="97" t="s">
        <v>486</v>
      </c>
      <c r="C678" s="77">
        <v>95</v>
      </c>
      <c r="D678" s="101" t="s">
        <v>91</v>
      </c>
      <c r="E678" s="79"/>
      <c r="F678" s="192">
        <v>8</v>
      </c>
      <c r="G678" s="193"/>
      <c r="H678" s="256"/>
      <c r="I678" s="253"/>
      <c r="J678" s="250"/>
    </row>
    <row r="679" spans="1:10" ht="15" customHeight="1">
      <c r="A679" s="70"/>
      <c r="B679" s="97" t="s">
        <v>486</v>
      </c>
      <c r="C679" s="77">
        <v>96</v>
      </c>
      <c r="D679" s="101" t="s">
        <v>534</v>
      </c>
      <c r="E679" s="79"/>
      <c r="F679" s="192">
        <v>2</v>
      </c>
      <c r="G679" s="193"/>
      <c r="H679" s="256"/>
      <c r="I679" s="253"/>
      <c r="J679" s="250"/>
    </row>
    <row r="680" spans="1:10" ht="15" customHeight="1">
      <c r="A680" s="70"/>
      <c r="B680" s="97" t="s">
        <v>486</v>
      </c>
      <c r="C680" s="98">
        <v>97</v>
      </c>
      <c r="D680" s="101" t="s">
        <v>343</v>
      </c>
      <c r="E680" s="79"/>
      <c r="F680" s="192">
        <v>4</v>
      </c>
      <c r="G680" s="193"/>
      <c r="H680" s="256"/>
      <c r="I680" s="253"/>
      <c r="J680" s="250"/>
    </row>
    <row r="681" spans="1:10" ht="15" customHeight="1">
      <c r="A681" s="70"/>
      <c r="B681" s="97" t="s">
        <v>486</v>
      </c>
      <c r="C681" s="77">
        <v>98</v>
      </c>
      <c r="D681" s="101" t="s">
        <v>535</v>
      </c>
      <c r="E681" s="79"/>
      <c r="F681" s="192">
        <v>2</v>
      </c>
      <c r="G681" s="193"/>
      <c r="H681" s="256"/>
      <c r="I681" s="253"/>
      <c r="J681" s="250"/>
    </row>
    <row r="682" spans="1:10" ht="15" customHeight="1">
      <c r="A682" s="70"/>
      <c r="B682" s="97" t="s">
        <v>486</v>
      </c>
      <c r="C682" s="77">
        <v>101</v>
      </c>
      <c r="D682" s="101" t="s">
        <v>152</v>
      </c>
      <c r="E682" s="79"/>
      <c r="F682" s="192">
        <v>2</v>
      </c>
      <c r="G682" s="193"/>
      <c r="H682" s="256"/>
      <c r="I682" s="253"/>
      <c r="J682" s="250"/>
    </row>
    <row r="683" spans="1:10" ht="15" customHeight="1">
      <c r="A683" s="70"/>
      <c r="B683" s="97" t="s">
        <v>486</v>
      </c>
      <c r="C683" s="77">
        <v>102</v>
      </c>
      <c r="D683" s="101" t="s">
        <v>150</v>
      </c>
      <c r="E683" s="79"/>
      <c r="F683" s="192">
        <v>10</v>
      </c>
      <c r="G683" s="193"/>
      <c r="H683" s="256"/>
      <c r="I683" s="253"/>
      <c r="J683" s="250"/>
    </row>
    <row r="684" spans="1:10" ht="15" customHeight="1">
      <c r="A684" s="70"/>
      <c r="B684" s="97" t="s">
        <v>486</v>
      </c>
      <c r="C684" s="98">
        <v>103</v>
      </c>
      <c r="D684" s="101" t="s">
        <v>151</v>
      </c>
      <c r="E684" s="79"/>
      <c r="F684" s="192">
        <v>10</v>
      </c>
      <c r="G684" s="193"/>
      <c r="H684" s="256"/>
      <c r="I684" s="253"/>
      <c r="J684" s="250"/>
    </row>
    <row r="685" spans="1:10" ht="15" customHeight="1">
      <c r="A685" s="70"/>
      <c r="B685" s="97" t="s">
        <v>486</v>
      </c>
      <c r="C685" s="77">
        <v>104</v>
      </c>
      <c r="D685" s="101" t="s">
        <v>536</v>
      </c>
      <c r="E685" s="79"/>
      <c r="F685" s="192">
        <v>4</v>
      </c>
      <c r="G685" s="193"/>
      <c r="H685" s="256"/>
      <c r="I685" s="253"/>
      <c r="J685" s="250"/>
    </row>
    <row r="686" spans="1:10" ht="15" customHeight="1">
      <c r="A686" s="70"/>
      <c r="B686" s="97" t="s">
        <v>486</v>
      </c>
      <c r="C686" s="77">
        <v>105</v>
      </c>
      <c r="D686" s="101" t="s">
        <v>537</v>
      </c>
      <c r="E686" s="79"/>
      <c r="F686" s="192">
        <v>6</v>
      </c>
      <c r="G686" s="193"/>
      <c r="H686" s="256"/>
      <c r="I686" s="253"/>
      <c r="J686" s="250"/>
    </row>
    <row r="687" spans="1:10" ht="15" customHeight="1">
      <c r="A687" s="70"/>
      <c r="B687" s="97" t="s">
        <v>486</v>
      </c>
      <c r="C687" s="98">
        <v>106</v>
      </c>
      <c r="D687" s="101" t="s">
        <v>538</v>
      </c>
      <c r="E687" s="79"/>
      <c r="F687" s="192">
        <v>4</v>
      </c>
      <c r="G687" s="193"/>
      <c r="H687" s="256"/>
      <c r="I687" s="253"/>
      <c r="J687" s="250"/>
    </row>
    <row r="688" spans="1:10" ht="15" customHeight="1">
      <c r="A688" s="70"/>
      <c r="B688" s="97" t="s">
        <v>486</v>
      </c>
      <c r="C688" s="77">
        <v>107</v>
      </c>
      <c r="D688" s="101" t="s">
        <v>539</v>
      </c>
      <c r="E688" s="79"/>
      <c r="F688" s="192">
        <v>11</v>
      </c>
      <c r="G688" s="193"/>
      <c r="H688" s="256"/>
      <c r="I688" s="253"/>
      <c r="J688" s="250"/>
    </row>
    <row r="689" spans="1:10" ht="15" customHeight="1">
      <c r="A689" s="70"/>
      <c r="B689" s="97" t="s">
        <v>486</v>
      </c>
      <c r="C689" s="77">
        <v>108</v>
      </c>
      <c r="D689" s="101" t="s">
        <v>540</v>
      </c>
      <c r="E689" s="79"/>
      <c r="F689" s="192">
        <v>14</v>
      </c>
      <c r="G689" s="193"/>
      <c r="H689" s="256"/>
      <c r="I689" s="253"/>
      <c r="J689" s="250"/>
    </row>
    <row r="690" spans="1:10" ht="15" customHeight="1">
      <c r="A690" s="70"/>
      <c r="B690" s="97" t="s">
        <v>486</v>
      </c>
      <c r="C690" s="98">
        <v>109</v>
      </c>
      <c r="D690" s="101" t="s">
        <v>541</v>
      </c>
      <c r="E690" s="79"/>
      <c r="F690" s="192">
        <v>5</v>
      </c>
      <c r="G690" s="193"/>
      <c r="H690" s="256"/>
      <c r="I690" s="253"/>
      <c r="J690" s="250"/>
    </row>
    <row r="691" spans="1:10" ht="15" customHeight="1">
      <c r="A691" s="70"/>
      <c r="B691" s="97" t="s">
        <v>486</v>
      </c>
      <c r="C691" s="77">
        <v>110</v>
      </c>
      <c r="D691" s="101" t="s">
        <v>162</v>
      </c>
      <c r="E691" s="79"/>
      <c r="F691" s="192">
        <v>2</v>
      </c>
      <c r="G691" s="193"/>
      <c r="H691" s="256"/>
      <c r="I691" s="253"/>
      <c r="J691" s="250"/>
    </row>
    <row r="692" spans="1:10" ht="15" customHeight="1">
      <c r="A692" s="70"/>
      <c r="B692" s="97" t="s">
        <v>486</v>
      </c>
      <c r="C692" s="77">
        <v>111</v>
      </c>
      <c r="D692" s="101" t="s">
        <v>154</v>
      </c>
      <c r="E692" s="79"/>
      <c r="F692" s="192">
        <v>4</v>
      </c>
      <c r="G692" s="193"/>
      <c r="H692" s="256"/>
      <c r="I692" s="253"/>
      <c r="J692" s="250"/>
    </row>
    <row r="693" spans="1:10" ht="15" customHeight="1">
      <c r="A693" s="70"/>
      <c r="B693" s="97" t="s">
        <v>486</v>
      </c>
      <c r="C693" s="98">
        <v>112</v>
      </c>
      <c r="D693" s="101" t="s">
        <v>153</v>
      </c>
      <c r="E693" s="79"/>
      <c r="F693" s="192">
        <v>10</v>
      </c>
      <c r="G693" s="193"/>
      <c r="H693" s="256"/>
      <c r="I693" s="253"/>
      <c r="J693" s="250"/>
    </row>
    <row r="694" spans="1:10" ht="15" customHeight="1">
      <c r="A694" s="70"/>
      <c r="B694" s="97" t="s">
        <v>486</v>
      </c>
      <c r="C694" s="77">
        <v>113</v>
      </c>
      <c r="D694" s="101" t="s">
        <v>542</v>
      </c>
      <c r="E694" s="79"/>
      <c r="F694" s="192">
        <v>2</v>
      </c>
      <c r="G694" s="193"/>
      <c r="H694" s="256"/>
      <c r="I694" s="253"/>
      <c r="J694" s="250"/>
    </row>
    <row r="695" spans="1:10" ht="15" customHeight="1">
      <c r="A695" s="70"/>
      <c r="B695" s="97" t="s">
        <v>486</v>
      </c>
      <c r="C695" s="77">
        <v>114</v>
      </c>
      <c r="D695" s="101" t="s">
        <v>543</v>
      </c>
      <c r="E695" s="79"/>
      <c r="F695" s="192">
        <v>2</v>
      </c>
      <c r="G695" s="193"/>
      <c r="H695" s="256"/>
      <c r="I695" s="253"/>
      <c r="J695" s="250"/>
    </row>
    <row r="696" spans="1:10" ht="15" customHeight="1">
      <c r="A696" s="70"/>
      <c r="B696" s="97" t="s">
        <v>486</v>
      </c>
      <c r="C696" s="98">
        <v>115</v>
      </c>
      <c r="D696" s="101" t="s">
        <v>544</v>
      </c>
      <c r="E696" s="79"/>
      <c r="F696" s="192">
        <v>2</v>
      </c>
      <c r="G696" s="193"/>
      <c r="H696" s="256"/>
      <c r="I696" s="253"/>
      <c r="J696" s="250"/>
    </row>
    <row r="697" spans="1:10" ht="15" customHeight="1">
      <c r="A697" s="70"/>
      <c r="B697" s="97" t="s">
        <v>486</v>
      </c>
      <c r="C697" s="77">
        <v>116</v>
      </c>
      <c r="D697" s="101" t="s">
        <v>545</v>
      </c>
      <c r="E697" s="79"/>
      <c r="F697" s="192">
        <v>2</v>
      </c>
      <c r="G697" s="193"/>
      <c r="H697" s="256"/>
      <c r="I697" s="253"/>
      <c r="J697" s="250"/>
    </row>
    <row r="698" spans="1:10" ht="15" customHeight="1">
      <c r="A698" s="70"/>
      <c r="B698" s="97" t="s">
        <v>486</v>
      </c>
      <c r="C698" s="77">
        <v>117</v>
      </c>
      <c r="D698" s="101" t="s">
        <v>546</v>
      </c>
      <c r="E698" s="79"/>
      <c r="F698" s="192">
        <v>2</v>
      </c>
      <c r="G698" s="193"/>
      <c r="H698" s="256"/>
      <c r="I698" s="253"/>
      <c r="J698" s="250"/>
    </row>
    <row r="699" spans="1:10" ht="15" customHeight="1">
      <c r="A699" s="70"/>
      <c r="B699" s="97" t="s">
        <v>486</v>
      </c>
      <c r="C699" s="98">
        <v>118</v>
      </c>
      <c r="D699" s="101" t="s">
        <v>547</v>
      </c>
      <c r="E699" s="79"/>
      <c r="F699" s="192">
        <v>4</v>
      </c>
      <c r="G699" s="193"/>
      <c r="H699" s="256"/>
      <c r="I699" s="253"/>
      <c r="J699" s="250"/>
    </row>
    <row r="700" spans="1:10" ht="15" customHeight="1">
      <c r="A700" s="70"/>
      <c r="B700" s="97" t="s">
        <v>486</v>
      </c>
      <c r="C700" s="77">
        <v>119</v>
      </c>
      <c r="D700" s="101" t="s">
        <v>548</v>
      </c>
      <c r="E700" s="79"/>
      <c r="F700" s="192">
        <v>2</v>
      </c>
      <c r="G700" s="193"/>
      <c r="H700" s="256"/>
      <c r="I700" s="253"/>
      <c r="J700" s="250"/>
    </row>
    <row r="701" spans="1:10" ht="15" customHeight="1">
      <c r="A701" s="70"/>
      <c r="B701" s="97" t="s">
        <v>486</v>
      </c>
      <c r="C701" s="77">
        <v>120</v>
      </c>
      <c r="D701" s="101" t="s">
        <v>174</v>
      </c>
      <c r="E701" s="79"/>
      <c r="F701" s="192">
        <v>2</v>
      </c>
      <c r="G701" s="193"/>
      <c r="H701" s="256"/>
      <c r="I701" s="253"/>
      <c r="J701" s="250"/>
    </row>
    <row r="702" spans="1:10" ht="15" customHeight="1">
      <c r="A702" s="70"/>
      <c r="B702" s="97" t="s">
        <v>486</v>
      </c>
      <c r="C702" s="77">
        <v>122</v>
      </c>
      <c r="D702" s="101" t="s">
        <v>175</v>
      </c>
      <c r="E702" s="79"/>
      <c r="F702" s="192">
        <v>14</v>
      </c>
      <c r="G702" s="193"/>
      <c r="H702" s="256"/>
      <c r="I702" s="253"/>
      <c r="J702" s="250"/>
    </row>
    <row r="703" spans="1:10" ht="15" customHeight="1">
      <c r="A703" s="70"/>
      <c r="B703" s="97" t="s">
        <v>486</v>
      </c>
      <c r="C703" s="77">
        <v>123</v>
      </c>
      <c r="D703" s="101" t="s">
        <v>549</v>
      </c>
      <c r="E703" s="79"/>
      <c r="F703" s="192">
        <v>2</v>
      </c>
      <c r="G703" s="193"/>
      <c r="H703" s="256"/>
      <c r="I703" s="253"/>
      <c r="J703" s="250"/>
    </row>
    <row r="704" spans="1:10" ht="15" customHeight="1">
      <c r="A704" s="70"/>
      <c r="B704" s="97" t="s">
        <v>486</v>
      </c>
      <c r="C704" s="98">
        <v>124</v>
      </c>
      <c r="D704" s="101" t="s">
        <v>550</v>
      </c>
      <c r="E704" s="79"/>
      <c r="F704" s="192">
        <v>2</v>
      </c>
      <c r="G704" s="193"/>
      <c r="H704" s="256"/>
      <c r="I704" s="253"/>
      <c r="J704" s="250"/>
    </row>
    <row r="705" spans="1:10" ht="15" customHeight="1">
      <c r="A705" s="70"/>
      <c r="B705" s="97" t="s">
        <v>486</v>
      </c>
      <c r="C705" s="77">
        <v>125</v>
      </c>
      <c r="D705" s="101" t="s">
        <v>551</v>
      </c>
      <c r="E705" s="79"/>
      <c r="F705" s="192">
        <v>2</v>
      </c>
      <c r="G705" s="193"/>
      <c r="H705" s="256"/>
      <c r="I705" s="253"/>
      <c r="J705" s="250"/>
    </row>
    <row r="706" spans="1:10" ht="15" customHeight="1">
      <c r="A706" s="70"/>
      <c r="B706" s="97" t="s">
        <v>486</v>
      </c>
      <c r="C706" s="77">
        <v>126</v>
      </c>
      <c r="D706" s="101" t="s">
        <v>552</v>
      </c>
      <c r="E706" s="79"/>
      <c r="F706" s="192">
        <v>2</v>
      </c>
      <c r="G706" s="193"/>
      <c r="H706" s="256"/>
      <c r="I706" s="253"/>
      <c r="J706" s="250"/>
    </row>
    <row r="707" spans="1:10" ht="15" customHeight="1">
      <c r="A707" s="70"/>
      <c r="B707" s="97" t="s">
        <v>486</v>
      </c>
      <c r="C707" s="98">
        <v>127</v>
      </c>
      <c r="D707" s="101" t="s">
        <v>553</v>
      </c>
      <c r="E707" s="79"/>
      <c r="F707" s="192">
        <v>2</v>
      </c>
      <c r="G707" s="193"/>
      <c r="H707" s="256"/>
      <c r="I707" s="253"/>
      <c r="J707" s="250"/>
    </row>
    <row r="708" spans="1:10" ht="15" customHeight="1">
      <c r="A708" s="70"/>
      <c r="B708" s="97" t="s">
        <v>486</v>
      </c>
      <c r="C708" s="77">
        <v>128</v>
      </c>
      <c r="D708" s="101" t="s">
        <v>554</v>
      </c>
      <c r="E708" s="79"/>
      <c r="F708" s="192">
        <v>4</v>
      </c>
      <c r="G708" s="193"/>
      <c r="H708" s="256"/>
      <c r="I708" s="253"/>
      <c r="J708" s="250"/>
    </row>
    <row r="709" spans="1:10" ht="15" customHeight="1">
      <c r="A709" s="70"/>
      <c r="B709" s="97" t="s">
        <v>486</v>
      </c>
      <c r="C709" s="77">
        <v>129</v>
      </c>
      <c r="D709" s="101" t="s">
        <v>555</v>
      </c>
      <c r="E709" s="79"/>
      <c r="F709" s="192">
        <v>2</v>
      </c>
      <c r="G709" s="193"/>
      <c r="H709" s="256"/>
      <c r="I709" s="253"/>
      <c r="J709" s="250"/>
    </row>
    <row r="710" spans="1:10" ht="15" customHeight="1">
      <c r="A710" s="70"/>
      <c r="B710" s="97" t="s">
        <v>486</v>
      </c>
      <c r="C710" s="98">
        <v>130</v>
      </c>
      <c r="D710" s="101" t="s">
        <v>556</v>
      </c>
      <c r="E710" s="79"/>
      <c r="F710" s="192">
        <v>2</v>
      </c>
      <c r="G710" s="193"/>
      <c r="H710" s="256"/>
      <c r="I710" s="253"/>
      <c r="J710" s="250"/>
    </row>
    <row r="711" spans="1:10" ht="15" customHeight="1">
      <c r="A711" s="70"/>
      <c r="B711" s="97" t="s">
        <v>486</v>
      </c>
      <c r="C711" s="77">
        <v>144</v>
      </c>
      <c r="D711" s="101" t="s">
        <v>447</v>
      </c>
      <c r="E711" s="79"/>
      <c r="F711" s="192">
        <v>14</v>
      </c>
      <c r="G711" s="193"/>
      <c r="H711" s="256"/>
      <c r="I711" s="253"/>
      <c r="J711" s="250"/>
    </row>
    <row r="712" spans="1:10" ht="15" customHeight="1">
      <c r="A712" s="70"/>
      <c r="B712" s="97" t="s">
        <v>486</v>
      </c>
      <c r="C712" s="98">
        <v>145</v>
      </c>
      <c r="D712" s="101" t="s">
        <v>185</v>
      </c>
      <c r="E712" s="79"/>
      <c r="F712" s="192">
        <v>2</v>
      </c>
      <c r="G712" s="193"/>
      <c r="H712" s="256"/>
      <c r="I712" s="253"/>
      <c r="J712" s="250"/>
    </row>
    <row r="713" spans="1:10" ht="15" customHeight="1">
      <c r="A713" s="70"/>
      <c r="B713" s="97" t="s">
        <v>486</v>
      </c>
      <c r="C713" s="77">
        <v>146</v>
      </c>
      <c r="D713" s="101" t="s">
        <v>186</v>
      </c>
      <c r="E713" s="79"/>
      <c r="F713" s="192">
        <v>2</v>
      </c>
      <c r="G713" s="193"/>
      <c r="H713" s="256"/>
      <c r="I713" s="253"/>
      <c r="J713" s="250"/>
    </row>
    <row r="714" spans="1:10" ht="15" customHeight="1">
      <c r="A714" s="70"/>
      <c r="B714" s="97" t="s">
        <v>486</v>
      </c>
      <c r="C714" s="77">
        <v>147</v>
      </c>
      <c r="D714" s="101" t="s">
        <v>449</v>
      </c>
      <c r="E714" s="79"/>
      <c r="F714" s="192">
        <v>2</v>
      </c>
      <c r="G714" s="193"/>
      <c r="H714" s="256"/>
      <c r="I714" s="253"/>
      <c r="J714" s="250"/>
    </row>
    <row r="715" spans="1:10" ht="15" customHeight="1">
      <c r="A715" s="70"/>
      <c r="B715" s="97" t="s">
        <v>486</v>
      </c>
      <c r="C715" s="98">
        <v>148</v>
      </c>
      <c r="D715" s="101" t="s">
        <v>187</v>
      </c>
      <c r="E715" s="79"/>
      <c r="F715" s="192">
        <v>2</v>
      </c>
      <c r="G715" s="193"/>
      <c r="H715" s="256"/>
      <c r="I715" s="253"/>
      <c r="J715" s="250"/>
    </row>
    <row r="716" spans="1:10" ht="15" customHeight="1">
      <c r="A716" s="70"/>
      <c r="B716" s="97" t="s">
        <v>486</v>
      </c>
      <c r="C716" s="77">
        <v>150</v>
      </c>
      <c r="D716" s="101" t="s">
        <v>190</v>
      </c>
      <c r="E716" s="79"/>
      <c r="F716" s="192">
        <v>12</v>
      </c>
      <c r="G716" s="193"/>
      <c r="H716" s="256"/>
      <c r="I716" s="253"/>
      <c r="J716" s="250"/>
    </row>
    <row r="717" spans="1:10" ht="15" customHeight="1">
      <c r="A717" s="70"/>
      <c r="B717" s="97" t="s">
        <v>486</v>
      </c>
      <c r="C717" s="98">
        <v>151</v>
      </c>
      <c r="D717" s="101" t="s">
        <v>197</v>
      </c>
      <c r="E717" s="79"/>
      <c r="F717" s="192">
        <v>24</v>
      </c>
      <c r="G717" s="193"/>
      <c r="H717" s="256"/>
      <c r="I717" s="253"/>
      <c r="J717" s="250"/>
    </row>
    <row r="718" spans="1:10" ht="15" customHeight="1">
      <c r="A718" s="70"/>
      <c r="B718" s="97" t="s">
        <v>486</v>
      </c>
      <c r="C718" s="77">
        <v>152</v>
      </c>
      <c r="D718" s="101" t="s">
        <v>203</v>
      </c>
      <c r="E718" s="79"/>
      <c r="F718" s="192">
        <v>10</v>
      </c>
      <c r="G718" s="193"/>
      <c r="H718" s="256"/>
      <c r="I718" s="253"/>
      <c r="J718" s="250"/>
    </row>
    <row r="719" spans="1:10" ht="15" customHeight="1">
      <c r="A719" s="70"/>
      <c r="B719" s="97" t="s">
        <v>486</v>
      </c>
      <c r="C719" s="77">
        <v>153</v>
      </c>
      <c r="D719" s="101" t="s">
        <v>557</v>
      </c>
      <c r="E719" s="79"/>
      <c r="F719" s="192">
        <v>4</v>
      </c>
      <c r="G719" s="193"/>
      <c r="H719" s="256"/>
      <c r="I719" s="253"/>
      <c r="J719" s="250"/>
    </row>
    <row r="720" spans="1:10" ht="15" customHeight="1">
      <c r="A720" s="70"/>
      <c r="B720" s="97" t="s">
        <v>486</v>
      </c>
      <c r="C720" s="98">
        <v>154</v>
      </c>
      <c r="D720" s="101" t="s">
        <v>202</v>
      </c>
      <c r="E720" s="79"/>
      <c r="F720" s="192">
        <v>6</v>
      </c>
      <c r="G720" s="193"/>
      <c r="H720" s="256"/>
      <c r="I720" s="253"/>
      <c r="J720" s="250"/>
    </row>
    <row r="721" spans="1:10" ht="15" customHeight="1">
      <c r="A721" s="70"/>
      <c r="B721" s="97" t="s">
        <v>486</v>
      </c>
      <c r="C721" s="77">
        <v>155</v>
      </c>
      <c r="D721" s="101" t="s">
        <v>205</v>
      </c>
      <c r="E721" s="79"/>
      <c r="F721" s="192">
        <v>2</v>
      </c>
      <c r="G721" s="193"/>
      <c r="H721" s="256"/>
      <c r="I721" s="253"/>
      <c r="J721" s="250"/>
    </row>
    <row r="722" spans="1:10" ht="15" customHeight="1">
      <c r="A722" s="70"/>
      <c r="B722" s="97" t="s">
        <v>486</v>
      </c>
      <c r="C722" s="77">
        <v>156</v>
      </c>
      <c r="D722" s="101" t="s">
        <v>201</v>
      </c>
      <c r="E722" s="79"/>
      <c r="F722" s="192">
        <v>4</v>
      </c>
      <c r="G722" s="193"/>
      <c r="H722" s="256"/>
      <c r="I722" s="253"/>
      <c r="J722" s="250"/>
    </row>
    <row r="723" spans="1:10" ht="15" customHeight="1">
      <c r="A723" s="70"/>
      <c r="B723" s="97" t="s">
        <v>486</v>
      </c>
      <c r="C723" s="98">
        <v>157</v>
      </c>
      <c r="D723" s="101" t="s">
        <v>200</v>
      </c>
      <c r="E723" s="79"/>
      <c r="F723" s="192">
        <v>4</v>
      </c>
      <c r="G723" s="193"/>
      <c r="H723" s="256"/>
      <c r="I723" s="253"/>
      <c r="J723" s="250"/>
    </row>
    <row r="724" spans="1:10" ht="15" customHeight="1">
      <c r="A724" s="70"/>
      <c r="B724" s="97" t="s">
        <v>486</v>
      </c>
      <c r="C724" s="77">
        <v>158</v>
      </c>
      <c r="D724" s="101" t="s">
        <v>558</v>
      </c>
      <c r="E724" s="79"/>
      <c r="F724" s="192">
        <v>6</v>
      </c>
      <c r="G724" s="193"/>
      <c r="H724" s="256"/>
      <c r="I724" s="253"/>
      <c r="J724" s="250"/>
    </row>
    <row r="725" spans="1:10" ht="15" customHeight="1">
      <c r="A725" s="70"/>
      <c r="B725" s="97" t="s">
        <v>486</v>
      </c>
      <c r="C725" s="77">
        <v>159</v>
      </c>
      <c r="D725" s="101" t="s">
        <v>559</v>
      </c>
      <c r="E725" s="79"/>
      <c r="F725" s="192">
        <v>6</v>
      </c>
      <c r="G725" s="193"/>
      <c r="H725" s="256"/>
      <c r="I725" s="253"/>
      <c r="J725" s="250"/>
    </row>
    <row r="726" spans="1:10" ht="15" customHeight="1">
      <c r="A726" s="70"/>
      <c r="B726" s="97" t="s">
        <v>486</v>
      </c>
      <c r="C726" s="98">
        <v>160</v>
      </c>
      <c r="D726" s="101" t="s">
        <v>560</v>
      </c>
      <c r="E726" s="79"/>
      <c r="F726" s="192">
        <v>12</v>
      </c>
      <c r="G726" s="193"/>
      <c r="H726" s="256"/>
      <c r="I726" s="253"/>
      <c r="J726" s="250"/>
    </row>
    <row r="727" spans="1:10" ht="15" customHeight="1">
      <c r="A727" s="70"/>
      <c r="B727" s="97" t="s">
        <v>486</v>
      </c>
      <c r="C727" s="77">
        <v>161</v>
      </c>
      <c r="D727" s="101" t="s">
        <v>210</v>
      </c>
      <c r="E727" s="79"/>
      <c r="F727" s="192">
        <v>2</v>
      </c>
      <c r="G727" s="193"/>
      <c r="H727" s="256"/>
      <c r="I727" s="253"/>
      <c r="J727" s="250"/>
    </row>
    <row r="728" spans="1:10" ht="15" customHeight="1">
      <c r="A728" s="70"/>
      <c r="B728" s="97" t="s">
        <v>486</v>
      </c>
      <c r="C728" s="77">
        <v>162</v>
      </c>
      <c r="D728" s="101" t="s">
        <v>561</v>
      </c>
      <c r="E728" s="79"/>
      <c r="F728" s="192">
        <v>8</v>
      </c>
      <c r="G728" s="193"/>
      <c r="H728" s="256"/>
      <c r="I728" s="253"/>
      <c r="J728" s="250"/>
    </row>
    <row r="729" spans="1:10" ht="15" customHeight="1">
      <c r="A729" s="70"/>
      <c r="B729" s="97" t="s">
        <v>486</v>
      </c>
      <c r="C729" s="98">
        <v>163</v>
      </c>
      <c r="D729" s="101" t="s">
        <v>363</v>
      </c>
      <c r="E729" s="79"/>
      <c r="F729" s="192">
        <v>2</v>
      </c>
      <c r="G729" s="193"/>
      <c r="H729" s="256"/>
      <c r="I729" s="253"/>
      <c r="J729" s="250"/>
    </row>
    <row r="730" spans="1:10" ht="15" customHeight="1">
      <c r="A730" s="70"/>
      <c r="B730" s="97" t="s">
        <v>486</v>
      </c>
      <c r="C730" s="98">
        <v>166</v>
      </c>
      <c r="D730" s="101" t="s">
        <v>364</v>
      </c>
      <c r="E730" s="79"/>
      <c r="F730" s="192">
        <v>4</v>
      </c>
      <c r="G730" s="193"/>
      <c r="H730" s="256"/>
      <c r="I730" s="253"/>
      <c r="J730" s="250"/>
    </row>
    <row r="731" spans="1:10" ht="15" customHeight="1">
      <c r="A731" s="70"/>
      <c r="B731" s="97" t="s">
        <v>486</v>
      </c>
      <c r="C731" s="77">
        <v>167</v>
      </c>
      <c r="D731" s="101" t="s">
        <v>562</v>
      </c>
      <c r="E731" s="79"/>
      <c r="F731" s="192">
        <v>4</v>
      </c>
      <c r="G731" s="193"/>
      <c r="H731" s="256"/>
      <c r="I731" s="253"/>
      <c r="J731" s="250"/>
    </row>
    <row r="732" spans="1:10" ht="15" customHeight="1">
      <c r="A732" s="70"/>
      <c r="B732" s="97" t="s">
        <v>486</v>
      </c>
      <c r="C732" s="77">
        <v>168</v>
      </c>
      <c r="D732" s="101" t="s">
        <v>563</v>
      </c>
      <c r="E732" s="79"/>
      <c r="F732" s="192">
        <v>1</v>
      </c>
      <c r="G732" s="193"/>
      <c r="H732" s="256"/>
      <c r="I732" s="253"/>
      <c r="J732" s="250"/>
    </row>
    <row r="733" spans="1:10" ht="15" customHeight="1">
      <c r="A733" s="70"/>
      <c r="B733" s="97" t="s">
        <v>486</v>
      </c>
      <c r="C733" s="98">
        <v>169</v>
      </c>
      <c r="D733" s="101" t="s">
        <v>564</v>
      </c>
      <c r="E733" s="79"/>
      <c r="F733" s="192">
        <v>4</v>
      </c>
      <c r="G733" s="193"/>
      <c r="H733" s="256"/>
      <c r="I733" s="253"/>
      <c r="J733" s="250"/>
    </row>
    <row r="734" spans="1:10" ht="15" customHeight="1">
      <c r="A734" s="70"/>
      <c r="B734" s="97" t="s">
        <v>486</v>
      </c>
      <c r="C734" s="77">
        <v>170</v>
      </c>
      <c r="D734" s="101" t="s">
        <v>452</v>
      </c>
      <c r="E734" s="79"/>
      <c r="F734" s="192">
        <v>4</v>
      </c>
      <c r="G734" s="193"/>
      <c r="H734" s="256"/>
      <c r="I734" s="253"/>
      <c r="J734" s="250"/>
    </row>
    <row r="735" spans="1:10" ht="15" customHeight="1">
      <c r="A735" s="70"/>
      <c r="B735" s="97" t="s">
        <v>486</v>
      </c>
      <c r="C735" s="98">
        <v>172</v>
      </c>
      <c r="D735" s="101" t="s">
        <v>219</v>
      </c>
      <c r="E735" s="79"/>
      <c r="F735" s="192">
        <v>6</v>
      </c>
      <c r="G735" s="193"/>
      <c r="H735" s="256"/>
      <c r="I735" s="253"/>
      <c r="J735" s="250"/>
    </row>
    <row r="736" spans="1:10" ht="15" customHeight="1">
      <c r="A736" s="187"/>
      <c r="B736" s="188" t="s">
        <v>486</v>
      </c>
      <c r="C736" s="189">
        <v>173</v>
      </c>
      <c r="D736" s="190" t="s">
        <v>565</v>
      </c>
      <c r="E736" s="191"/>
      <c r="F736" s="243">
        <v>6</v>
      </c>
      <c r="G736" s="244"/>
      <c r="H736" s="257"/>
      <c r="I736" s="254"/>
      <c r="J736" s="251"/>
    </row>
    <row r="737" spans="1:13" ht="15" customHeight="1" thickBot="1">
      <c r="A737" s="81"/>
      <c r="B737" s="82"/>
      <c r="C737" s="83"/>
      <c r="D737" s="84"/>
      <c r="E737" s="85"/>
      <c r="F737" s="212"/>
      <c r="G737" s="213"/>
      <c r="H737" s="86"/>
      <c r="I737" s="87"/>
      <c r="J737" s="144"/>
    </row>
    <row r="738" spans="1:13" ht="15" customHeight="1" thickTop="1">
      <c r="A738" s="214" t="s">
        <v>20</v>
      </c>
      <c r="B738" s="215"/>
      <c r="C738" s="215"/>
      <c r="D738" s="215"/>
      <c r="E738" s="215"/>
      <c r="F738" s="218">
        <f>++SUM(F37:G737)</f>
        <v>3163</v>
      </c>
      <c r="G738" s="218"/>
      <c r="H738" s="261">
        <f>SUM(H37:H737)</f>
        <v>670</v>
      </c>
      <c r="I738" s="261">
        <f>SUM(I37:I737)</f>
        <v>695</v>
      </c>
      <c r="J738" s="259">
        <f>SUM(J37:J737)</f>
        <v>2</v>
      </c>
    </row>
    <row r="739" spans="1:13" ht="15" customHeight="1">
      <c r="A739" s="214"/>
      <c r="B739" s="215"/>
      <c r="C739" s="215"/>
      <c r="D739" s="215"/>
      <c r="E739" s="215"/>
      <c r="F739" s="218"/>
      <c r="G739" s="218"/>
      <c r="H739" s="261"/>
      <c r="I739" s="261"/>
      <c r="J739" s="259"/>
      <c r="M739" s="12"/>
    </row>
    <row r="740" spans="1:13" ht="15" customHeight="1" thickBot="1">
      <c r="A740" s="216"/>
      <c r="B740" s="217"/>
      <c r="C740" s="217"/>
      <c r="D740" s="217"/>
      <c r="E740" s="217"/>
      <c r="F740" s="219"/>
      <c r="G740" s="219"/>
      <c r="H740" s="262"/>
      <c r="I740" s="262"/>
      <c r="J740" s="260"/>
      <c r="L740" s="12"/>
      <c r="M740" s="12"/>
    </row>
    <row r="741" spans="1:13" ht="15" customHeight="1">
      <c r="A741" s="50"/>
      <c r="B741" s="51"/>
      <c r="C741" s="51"/>
      <c r="D741" s="51"/>
      <c r="E741" s="51"/>
      <c r="F741" s="51"/>
      <c r="G741" s="51"/>
      <c r="H741" s="51"/>
      <c r="I741" s="51"/>
      <c r="J741" s="52"/>
      <c r="L741" s="12"/>
      <c r="M741" s="12"/>
    </row>
    <row r="742" spans="1:13" ht="15" customHeight="1">
      <c r="A742" s="26"/>
      <c r="B742" s="3"/>
      <c r="C742" s="3"/>
      <c r="D742" s="3"/>
      <c r="E742" s="5"/>
      <c r="F742" s="53"/>
      <c r="G742" s="53"/>
      <c r="H742" s="10"/>
      <c r="I742" s="11"/>
      <c r="J742" s="25"/>
      <c r="L742" s="12"/>
      <c r="M742" s="12"/>
    </row>
    <row r="743" spans="1:13" ht="15" customHeight="1">
      <c r="A743" s="26"/>
      <c r="B743" s="3"/>
      <c r="C743" s="3"/>
      <c r="D743" s="3"/>
      <c r="E743" s="5"/>
      <c r="F743" s="53"/>
      <c r="G743" s="53"/>
      <c r="H743" s="10"/>
      <c r="I743" s="11"/>
      <c r="J743" s="25"/>
      <c r="L743" s="12"/>
      <c r="M743" s="12"/>
    </row>
    <row r="744" spans="1:13" ht="13.5" customHeight="1">
      <c r="A744" s="263"/>
      <c r="B744" s="210"/>
      <c r="C744" s="210"/>
      <c r="D744" s="210"/>
      <c r="E744" s="210"/>
      <c r="F744" s="211"/>
      <c r="G744" s="211"/>
      <c r="H744" s="10"/>
      <c r="I744" s="11"/>
      <c r="J744" s="23"/>
      <c r="L744" s="12"/>
      <c r="M744" s="12"/>
    </row>
    <row r="745" spans="1:13" ht="13.5" customHeight="1">
      <c r="A745" s="263"/>
      <c r="B745" s="210"/>
      <c r="C745" s="210"/>
      <c r="D745" s="210"/>
      <c r="E745" s="210"/>
      <c r="F745" s="211"/>
      <c r="G745" s="211"/>
      <c r="H745" s="10"/>
      <c r="I745" s="11"/>
      <c r="J745" s="27"/>
      <c r="L745" s="12"/>
      <c r="M745" s="12"/>
    </row>
    <row r="746" spans="1:13" ht="13.5" customHeight="1">
      <c r="A746" s="263"/>
      <c r="B746" s="210"/>
      <c r="C746" s="210"/>
      <c r="D746" s="210"/>
      <c r="E746" s="210"/>
      <c r="F746" s="211"/>
      <c r="G746" s="211"/>
      <c r="H746" s="10"/>
      <c r="I746" s="9"/>
      <c r="J746" s="27"/>
      <c r="L746" s="12"/>
      <c r="M746" s="12"/>
    </row>
    <row r="747" spans="1:13" ht="13.5" customHeight="1">
      <c r="A747" s="69"/>
      <c r="B747" s="68"/>
      <c r="C747" s="68"/>
      <c r="D747" s="68"/>
      <c r="E747" s="68"/>
      <c r="F747" s="10"/>
      <c r="G747" s="10"/>
      <c r="H747" s="10"/>
      <c r="I747" s="9"/>
      <c r="J747" s="27"/>
      <c r="L747" s="12"/>
      <c r="M747" s="12"/>
    </row>
    <row r="748" spans="1:13" ht="13.5" customHeight="1">
      <c r="A748" s="69"/>
      <c r="B748" s="68"/>
      <c r="C748" s="68"/>
      <c r="D748" s="68"/>
      <c r="E748" s="68"/>
      <c r="F748" s="10"/>
      <c r="G748" s="10"/>
      <c r="H748" s="10"/>
      <c r="I748" s="9"/>
      <c r="J748" s="27"/>
      <c r="L748" s="12"/>
      <c r="M748" s="12"/>
    </row>
    <row r="749" spans="1:13" ht="13.5" customHeight="1">
      <c r="A749" s="69"/>
      <c r="B749" s="68"/>
      <c r="C749" s="68"/>
      <c r="D749" s="68"/>
      <c r="E749" s="68"/>
      <c r="F749" s="10"/>
      <c r="G749" s="10"/>
      <c r="H749" s="10"/>
      <c r="I749" s="9"/>
      <c r="J749" s="27"/>
      <c r="L749" s="12"/>
      <c r="M749" s="12"/>
    </row>
    <row r="750" spans="1:13" ht="13.5" customHeight="1">
      <c r="A750" s="24"/>
      <c r="B750" s="2"/>
      <c r="C750" s="2"/>
      <c r="D750" s="2"/>
      <c r="E750" s="2"/>
      <c r="F750" s="2"/>
      <c r="H750" s="4" t="s">
        <v>2</v>
      </c>
      <c r="I750" s="9"/>
      <c r="J750" s="28"/>
      <c r="L750" s="12"/>
    </row>
    <row r="751" spans="1:13" ht="13.5" customHeight="1">
      <c r="A751" s="26" t="s">
        <v>0</v>
      </c>
      <c r="B751" s="3"/>
      <c r="C751" s="3" t="s">
        <v>0</v>
      </c>
      <c r="D751" s="3"/>
      <c r="E751" s="3"/>
      <c r="F751" s="3"/>
      <c r="G751" s="3"/>
      <c r="H751" s="5"/>
      <c r="I751" s="9"/>
      <c r="J751" s="28"/>
    </row>
    <row r="752" spans="1:13" ht="13.5" customHeight="1">
      <c r="A752" s="24"/>
      <c r="B752" s="5" t="s">
        <v>0</v>
      </c>
      <c r="C752" s="3" t="s">
        <v>0</v>
      </c>
      <c r="D752" s="3"/>
      <c r="E752" s="3"/>
      <c r="F752" s="3"/>
      <c r="G752" s="3"/>
      <c r="H752" s="5"/>
      <c r="I752" s="9"/>
      <c r="J752" s="28"/>
    </row>
    <row r="753" spans="1:10" ht="13.5" customHeight="1">
      <c r="A753" s="26" t="s">
        <v>0</v>
      </c>
      <c r="B753" s="3"/>
      <c r="C753" s="3" t="s">
        <v>0</v>
      </c>
      <c r="D753" s="3"/>
      <c r="E753" s="5"/>
      <c r="F753" s="3"/>
      <c r="G753" s="3"/>
      <c r="H753" s="5"/>
      <c r="I753" s="9" t="s">
        <v>0</v>
      </c>
      <c r="J753" s="28"/>
    </row>
    <row r="754" spans="1:10" ht="13.5" customHeight="1">
      <c r="A754" s="26" t="s">
        <v>0</v>
      </c>
      <c r="B754" s="3"/>
      <c r="C754" s="3" t="s">
        <v>0</v>
      </c>
      <c r="D754" s="3"/>
      <c r="E754" s="3"/>
      <c r="F754" s="3"/>
      <c r="G754" s="3"/>
      <c r="H754" s="5"/>
      <c r="I754" s="9" t="s">
        <v>0</v>
      </c>
      <c r="J754" s="28"/>
    </row>
    <row r="755" spans="1:10" ht="13.5" customHeight="1">
      <c r="A755" s="26" t="s">
        <v>0</v>
      </c>
      <c r="B755" s="3"/>
      <c r="C755" s="3" t="s">
        <v>0</v>
      </c>
      <c r="D755" s="3"/>
      <c r="E755" s="3"/>
      <c r="F755" s="3"/>
      <c r="G755" s="3"/>
      <c r="H755" s="5"/>
      <c r="I755" s="9"/>
      <c r="J755" s="28"/>
    </row>
    <row r="756" spans="1:10" ht="13.5" customHeight="1">
      <c r="A756" s="26" t="s">
        <v>0</v>
      </c>
      <c r="B756" s="3"/>
      <c r="C756" s="3" t="s">
        <v>0</v>
      </c>
      <c r="D756" s="3"/>
      <c r="E756" s="3"/>
      <c r="F756" s="3"/>
      <c r="J756" s="28"/>
    </row>
    <row r="757" spans="1:10" ht="13.5" customHeight="1">
      <c r="A757" s="24" t="s">
        <v>0</v>
      </c>
      <c r="B757" s="5" t="s">
        <v>0</v>
      </c>
      <c r="C757" s="3" t="s">
        <v>0</v>
      </c>
      <c r="D757" s="3"/>
      <c r="E757" s="3"/>
      <c r="F757" s="3"/>
      <c r="H757" s="4"/>
      <c r="I757" s="4" t="s">
        <v>31</v>
      </c>
      <c r="J757" s="28"/>
    </row>
    <row r="758" spans="1:10" ht="13.5" customHeight="1">
      <c r="A758" s="24" t="s">
        <v>0</v>
      </c>
      <c r="B758" s="5" t="s">
        <v>0</v>
      </c>
      <c r="C758" s="3"/>
      <c r="D758" s="13"/>
      <c r="E758" s="13"/>
      <c r="F758" s="13"/>
      <c r="G758" s="3"/>
      <c r="H758" s="3"/>
      <c r="I758" s="3"/>
      <c r="J758" s="21"/>
    </row>
    <row r="759" spans="1:10" ht="13.5" customHeight="1">
      <c r="A759" s="24" t="s">
        <v>0</v>
      </c>
      <c r="B759" s="8"/>
      <c r="C759" s="3"/>
      <c r="D759" s="13"/>
      <c r="E759" s="13"/>
      <c r="F759" s="13"/>
      <c r="G759" s="13"/>
      <c r="H759" s="13"/>
      <c r="I759" s="2" t="s">
        <v>0</v>
      </c>
      <c r="J759" s="21"/>
    </row>
    <row r="760" spans="1:10" ht="13.5" customHeight="1" thickBot="1">
      <c r="A760" s="29" t="s">
        <v>0</v>
      </c>
      <c r="B760" s="30"/>
      <c r="C760" s="14"/>
      <c r="D760" s="14"/>
      <c r="E760" s="14"/>
      <c r="F760" s="14"/>
      <c r="G760" s="14"/>
      <c r="H760" s="14"/>
      <c r="I760" s="31"/>
      <c r="J760" s="32"/>
    </row>
    <row r="761" spans="1:10" ht="13.5" customHeight="1">
      <c r="A761" s="7" t="s">
        <v>0</v>
      </c>
      <c r="B761" s="7" t="s">
        <v>0</v>
      </c>
      <c r="C761" s="6"/>
      <c r="F761" s="6"/>
      <c r="G761" s="6"/>
      <c r="H761" s="6"/>
      <c r="I761" s="15"/>
      <c r="J761" s="15"/>
    </row>
    <row r="762" spans="1:10" ht="13.5" customHeight="1">
      <c r="A762" s="235" t="s">
        <v>0</v>
      </c>
      <c r="B762" s="235"/>
      <c r="C762" s="15"/>
      <c r="D762" s="15"/>
      <c r="E762" s="15"/>
      <c r="F762" s="15"/>
      <c r="G762" s="15"/>
      <c r="H762" s="15"/>
      <c r="I762" s="15"/>
      <c r="J762" s="15"/>
    </row>
    <row r="763" spans="1:10" ht="15" customHeight="1">
      <c r="I763" s="16"/>
      <c r="J763" s="16"/>
    </row>
    <row r="764" spans="1:10" ht="13.5" customHeight="1">
      <c r="B764" s="7" t="s">
        <v>0</v>
      </c>
      <c r="C764" s="7"/>
    </row>
    <row r="765" spans="1:10" ht="13.5" customHeight="1">
      <c r="B765" s="235" t="s">
        <v>0</v>
      </c>
      <c r="C765" s="235"/>
    </row>
    <row r="766" spans="1:10" ht="13.5" customHeight="1">
      <c r="B766" s="235" t="s">
        <v>0</v>
      </c>
      <c r="C766" s="235"/>
    </row>
    <row r="767" spans="1:10" ht="13.5" customHeight="1">
      <c r="B767" s="235" t="s">
        <v>0</v>
      </c>
      <c r="C767" s="235"/>
    </row>
    <row r="768" spans="1:10" ht="13.5" customHeight="1">
      <c r="B768" s="7" t="s">
        <v>1</v>
      </c>
      <c r="C768" s="7"/>
    </row>
    <row r="769" spans="2:3" ht="13.5" customHeight="1">
      <c r="B769" s="235" t="s">
        <v>0</v>
      </c>
      <c r="C769" s="235"/>
    </row>
    <row r="770" spans="2:3" ht="13.5" customHeight="1">
      <c r="B770" s="235" t="s">
        <v>0</v>
      </c>
      <c r="C770" s="235"/>
    </row>
    <row r="771" spans="2:3" ht="13.5" customHeight="1">
      <c r="B771" s="235" t="s">
        <v>0</v>
      </c>
      <c r="C771" s="235"/>
    </row>
    <row r="772" spans="2:3" ht="13.5" customHeight="1">
      <c r="B772" s="1" t="s">
        <v>0</v>
      </c>
    </row>
    <row r="773" spans="2:3" ht="13.5" customHeight="1">
      <c r="B773" s="1" t="s">
        <v>0</v>
      </c>
    </row>
  </sheetData>
  <mergeCells count="744">
    <mergeCell ref="J738:J740"/>
    <mergeCell ref="H738:H740"/>
    <mergeCell ref="I738:I740"/>
    <mergeCell ref="F744:G744"/>
    <mergeCell ref="F738:G740"/>
    <mergeCell ref="A738:E740"/>
    <mergeCell ref="F745:G745"/>
    <mergeCell ref="A744:E746"/>
    <mergeCell ref="F746:G746"/>
    <mergeCell ref="A1:J1"/>
    <mergeCell ref="A2:E2"/>
    <mergeCell ref="F2:J2"/>
    <mergeCell ref="F7:J7"/>
    <mergeCell ref="A10:E10"/>
    <mergeCell ref="F10:G10"/>
    <mergeCell ref="D32:E32"/>
    <mergeCell ref="A33:C34"/>
    <mergeCell ref="A35:C36"/>
    <mergeCell ref="F35:G36"/>
    <mergeCell ref="D35:E36"/>
    <mergeCell ref="A29:C31"/>
    <mergeCell ref="A32:C32"/>
    <mergeCell ref="D29:E31"/>
    <mergeCell ref="F13:J13"/>
    <mergeCell ref="A19:E19"/>
    <mergeCell ref="F50:G50"/>
    <mergeCell ref="F51:G51"/>
    <mergeCell ref="F52:G52"/>
    <mergeCell ref="F737:G737"/>
    <mergeCell ref="B771:C771"/>
    <mergeCell ref="A762:B762"/>
    <mergeCell ref="B765:C765"/>
    <mergeCell ref="B766:C766"/>
    <mergeCell ref="B767:C767"/>
    <mergeCell ref="B770:C770"/>
    <mergeCell ref="B769:C769"/>
    <mergeCell ref="F53:G53"/>
    <mergeCell ref="M35:M36"/>
    <mergeCell ref="N35:N36"/>
    <mergeCell ref="O35:O36"/>
    <mergeCell ref="F19:J19"/>
    <mergeCell ref="A28:C28"/>
    <mergeCell ref="D28:E28"/>
    <mergeCell ref="F39:G39"/>
    <mergeCell ref="J35:J36"/>
    <mergeCell ref="J38:J736"/>
    <mergeCell ref="D33:E34"/>
    <mergeCell ref="F37:G37"/>
    <mergeCell ref="I38:I736"/>
    <mergeCell ref="H38:H736"/>
    <mergeCell ref="F38:G38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</mergeCells>
  <phoneticPr fontId="2" type="noConversion"/>
  <conditionalFormatting sqref="D38:D736">
    <cfRule type="duplicateValues" dxfId="2" priority="1" stopIfTrue="1"/>
    <cfRule type="duplicateValues" dxfId="1" priority="2"/>
  </conditionalFormatting>
  <conditionalFormatting sqref="D737 D37">
    <cfRule type="duplicateValues" dxfId="0" priority="78" stopIfTrue="1"/>
  </conditionalFormatting>
  <printOptions horizontalCentered="1" verticalCentered="1"/>
  <pageMargins left="0.25" right="0.25" top="0.75" bottom="0.75" header="0.3" footer="0.3"/>
  <pageSetup paperSize="9"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INVOICE</vt:lpstr>
      <vt:lpstr>PACKING LIST</vt:lpstr>
      <vt:lpstr>INVOICE!Print_Area</vt:lpstr>
      <vt:lpstr>'PACKING LIST'!Print_Area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정락 김</cp:lastModifiedBy>
  <cp:lastPrinted>2025-07-01T07:02:39Z</cp:lastPrinted>
  <dcterms:created xsi:type="dcterms:W3CDTF">2002-07-16T04:13:18Z</dcterms:created>
  <dcterms:modified xsi:type="dcterms:W3CDTF">2026-04-12T23:32:21Z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Y:\해외법인 전달 물품\2020\KNK VINA\수출\4월\Invoice&amp;packinglist_VN(200406).xls</vt:lpwstr>
  </property>
</Properties>
</file>