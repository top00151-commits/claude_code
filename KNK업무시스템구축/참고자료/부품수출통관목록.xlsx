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00\JR\Claude 코드\KNK업무시스템구축\참고자료\"/>
    </mc:Choice>
  </mc:AlternateContent>
  <xr:revisionPtr revIDLastSave="0" documentId="13_ncr:1_{FEF9C615-3257-486B-B422-D902B910180C}" xr6:coauthVersionLast="47" xr6:coauthVersionMax="47" xr10:uidLastSave="{00000000-0000-0000-0000-000000000000}"/>
  <bookViews>
    <workbookView xWindow="-38520" yWindow="-120" windowWidth="38640" windowHeight="21840" xr2:uid="{00000000-000D-0000-FFFF-FFFF00000000}"/>
  </bookViews>
  <sheets>
    <sheet name="정식 PACKING LIST" sheetId="50" r:id="rId1"/>
  </sheets>
  <definedNames>
    <definedName name="_xlnm._FilterDatabase" localSheetId="0" hidden="1">'정식 PACKING LIST'!$B$4:$AB$96</definedName>
    <definedName name="_xlnm.Print_Area" localSheetId="0">'정식 PACKING LIST'!$A$1:$AB$99</definedName>
    <definedName name="_xlnm.Print_Titles" localSheetId="0">'정식 PACKING LIST'!$4:$4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86" i="50" l="1"/>
  <c r="U86" i="50" s="1"/>
  <c r="V86" i="50" s="1"/>
  <c r="N86" i="50"/>
  <c r="S90" i="50"/>
  <c r="U90" i="50" s="1"/>
  <c r="V90" i="50" s="1"/>
  <c r="N90" i="50"/>
  <c r="T86" i="50" l="1"/>
  <c r="W86" i="50" s="1"/>
  <c r="X86" i="50" s="1"/>
  <c r="Y86" i="50" s="1"/>
  <c r="T90" i="50"/>
  <c r="W90" i="50" s="1"/>
  <c r="X90" i="50" s="1"/>
  <c r="Y90" i="50" s="1"/>
  <c r="N5" i="50" l="1"/>
  <c r="S5" i="50"/>
  <c r="T5" i="50" s="1"/>
  <c r="W5" i="50" s="1"/>
  <c r="X5" i="50" s="1"/>
  <c r="N6" i="50"/>
  <c r="S6" i="50"/>
  <c r="T6" i="50" s="1"/>
  <c r="W6" i="50" s="1"/>
  <c r="X6" i="50" s="1"/>
  <c r="N7" i="50"/>
  <c r="S7" i="50"/>
  <c r="T7" i="50" s="1"/>
  <c r="W7" i="50" s="1"/>
  <c r="X7" i="50" s="1"/>
  <c r="N8" i="50"/>
  <c r="S8" i="50"/>
  <c r="T8" i="50" s="1"/>
  <c r="W8" i="50" s="1"/>
  <c r="X8" i="50" s="1"/>
  <c r="N9" i="50"/>
  <c r="S9" i="50"/>
  <c r="T9" i="50" s="1"/>
  <c r="W9" i="50" s="1"/>
  <c r="X9" i="50" s="1"/>
  <c r="N10" i="50"/>
  <c r="S10" i="50"/>
  <c r="T10" i="50" s="1"/>
  <c r="W10" i="50" s="1"/>
  <c r="X10" i="50" s="1"/>
  <c r="N11" i="50"/>
  <c r="S11" i="50"/>
  <c r="T11" i="50" s="1"/>
  <c r="W11" i="50" s="1"/>
  <c r="X11" i="50" s="1"/>
  <c r="N12" i="50"/>
  <c r="S12" i="50"/>
  <c r="T12" i="50" s="1"/>
  <c r="W12" i="50" s="1"/>
  <c r="N13" i="50"/>
  <c r="S13" i="50"/>
  <c r="T13" i="50" s="1"/>
  <c r="W13" i="50" s="1"/>
  <c r="X13" i="50" s="1"/>
  <c r="N14" i="50"/>
  <c r="S14" i="50"/>
  <c r="T14" i="50" s="1"/>
  <c r="W14" i="50" s="1"/>
  <c r="X14" i="50" s="1"/>
  <c r="N15" i="50"/>
  <c r="S15" i="50"/>
  <c r="T15" i="50" s="1"/>
  <c r="W15" i="50" s="1"/>
  <c r="X15" i="50" s="1"/>
  <c r="N16" i="50"/>
  <c r="S16" i="50"/>
  <c r="T16" i="50" s="1"/>
  <c r="W16" i="50" s="1"/>
  <c r="X16" i="50" s="1"/>
  <c r="N17" i="50"/>
  <c r="S17" i="50"/>
  <c r="T17" i="50" s="1"/>
  <c r="W17" i="50" s="1"/>
  <c r="X17" i="50" s="1"/>
  <c r="N18" i="50"/>
  <c r="S18" i="50"/>
  <c r="T18" i="50" s="1"/>
  <c r="W18" i="50" s="1"/>
  <c r="X18" i="50" s="1"/>
  <c r="N19" i="50"/>
  <c r="S19" i="50"/>
  <c r="T19" i="50" s="1"/>
  <c r="W19" i="50" s="1"/>
  <c r="X19" i="50" s="1"/>
  <c r="N20" i="50"/>
  <c r="S20" i="50"/>
  <c r="T20" i="50" s="1"/>
  <c r="W20" i="50" s="1"/>
  <c r="X20" i="50" s="1"/>
  <c r="N21" i="50"/>
  <c r="S21" i="50"/>
  <c r="T21" i="50" s="1"/>
  <c r="W21" i="50" s="1"/>
  <c r="X21" i="50" s="1"/>
  <c r="N22" i="50"/>
  <c r="S22" i="50"/>
  <c r="T22" i="50" s="1"/>
  <c r="W22" i="50" s="1"/>
  <c r="X22" i="50" s="1"/>
  <c r="N23" i="50"/>
  <c r="S23" i="50"/>
  <c r="T23" i="50" s="1"/>
  <c r="W23" i="50" s="1"/>
  <c r="X23" i="50" s="1"/>
  <c r="N24" i="50"/>
  <c r="S24" i="50"/>
  <c r="T24" i="50" s="1"/>
  <c r="W24" i="50" s="1"/>
  <c r="X24" i="50" s="1"/>
  <c r="N25" i="50"/>
  <c r="S25" i="50"/>
  <c r="T25" i="50" s="1"/>
  <c r="W25" i="50" s="1"/>
  <c r="X25" i="50" s="1"/>
  <c r="N26" i="50"/>
  <c r="S26" i="50"/>
  <c r="T26" i="50" s="1"/>
  <c r="W26" i="50" s="1"/>
  <c r="X26" i="50" s="1"/>
  <c r="N27" i="50"/>
  <c r="S27" i="50"/>
  <c r="T27" i="50" s="1"/>
  <c r="W27" i="50" s="1"/>
  <c r="X27" i="50" s="1"/>
  <c r="N28" i="50"/>
  <c r="S28" i="50"/>
  <c r="U28" i="50" s="1"/>
  <c r="V28" i="50" s="1"/>
  <c r="N29" i="50"/>
  <c r="S29" i="50"/>
  <c r="T29" i="50" s="1"/>
  <c r="W29" i="50" s="1"/>
  <c r="X29" i="50" s="1"/>
  <c r="N30" i="50"/>
  <c r="S30" i="50"/>
  <c r="T30" i="50" s="1"/>
  <c r="W30" i="50" s="1"/>
  <c r="X30" i="50" s="1"/>
  <c r="N31" i="50"/>
  <c r="S31" i="50"/>
  <c r="U31" i="50" s="1"/>
  <c r="V31" i="50" s="1"/>
  <c r="N32" i="50"/>
  <c r="S32" i="50"/>
  <c r="U32" i="50" s="1"/>
  <c r="V32" i="50" s="1"/>
  <c r="N33" i="50"/>
  <c r="S33" i="50"/>
  <c r="T33" i="50" s="1"/>
  <c r="W33" i="50" s="1"/>
  <c r="X33" i="50" s="1"/>
  <c r="N34" i="50"/>
  <c r="S34" i="50"/>
  <c r="U34" i="50" s="1"/>
  <c r="V34" i="50" s="1"/>
  <c r="N35" i="50"/>
  <c r="S35" i="50"/>
  <c r="T35" i="50" s="1"/>
  <c r="W35" i="50" s="1"/>
  <c r="X35" i="50" s="1"/>
  <c r="N36" i="50"/>
  <c r="S36" i="50"/>
  <c r="T36" i="50" s="1"/>
  <c r="W36" i="50" s="1"/>
  <c r="X36" i="50" s="1"/>
  <c r="N37" i="50"/>
  <c r="S37" i="50"/>
  <c r="T37" i="50" s="1"/>
  <c r="W37" i="50" s="1"/>
  <c r="X37" i="50" s="1"/>
  <c r="N38" i="50"/>
  <c r="S38" i="50"/>
  <c r="T38" i="50" s="1"/>
  <c r="W38" i="50" s="1"/>
  <c r="X38" i="50" s="1"/>
  <c r="N39" i="50"/>
  <c r="S39" i="50"/>
  <c r="T39" i="50" s="1"/>
  <c r="W39" i="50" s="1"/>
  <c r="X39" i="50" s="1"/>
  <c r="N40" i="50"/>
  <c r="S40" i="50"/>
  <c r="U40" i="50" s="1"/>
  <c r="V40" i="50" s="1"/>
  <c r="N41" i="50"/>
  <c r="S41" i="50"/>
  <c r="U41" i="50" s="1"/>
  <c r="V41" i="50" s="1"/>
  <c r="N42" i="50"/>
  <c r="S42" i="50"/>
  <c r="T42" i="50" s="1"/>
  <c r="W42" i="50" s="1"/>
  <c r="X42" i="50" s="1"/>
  <c r="N43" i="50"/>
  <c r="S43" i="50"/>
  <c r="T43" i="50" s="1"/>
  <c r="W43" i="50" s="1"/>
  <c r="X43" i="50" s="1"/>
  <c r="N44" i="50"/>
  <c r="S44" i="50"/>
  <c r="T44" i="50" s="1"/>
  <c r="W44" i="50" s="1"/>
  <c r="X44" i="50" s="1"/>
  <c r="N45" i="50"/>
  <c r="S45" i="50"/>
  <c r="T45" i="50" s="1"/>
  <c r="W45" i="50" s="1"/>
  <c r="X45" i="50" s="1"/>
  <c r="N46" i="50"/>
  <c r="S46" i="50"/>
  <c r="T46" i="50" s="1"/>
  <c r="W46" i="50" s="1"/>
  <c r="X46" i="50" s="1"/>
  <c r="N47" i="50"/>
  <c r="S47" i="50"/>
  <c r="T47" i="50" s="1"/>
  <c r="W47" i="50" s="1"/>
  <c r="X47" i="50" s="1"/>
  <c r="N48" i="50"/>
  <c r="S48" i="50"/>
  <c r="T48" i="50" s="1"/>
  <c r="W48" i="50" s="1"/>
  <c r="X48" i="50" s="1"/>
  <c r="N49" i="50"/>
  <c r="S49" i="50"/>
  <c r="T49" i="50" s="1"/>
  <c r="W49" i="50" s="1"/>
  <c r="X49" i="50" s="1"/>
  <c r="N50" i="50"/>
  <c r="S50" i="50"/>
  <c r="T50" i="50" s="1"/>
  <c r="W50" i="50" s="1"/>
  <c r="X50" i="50" s="1"/>
  <c r="N51" i="50"/>
  <c r="S51" i="50"/>
  <c r="T51" i="50" s="1"/>
  <c r="W51" i="50" s="1"/>
  <c r="X51" i="50" s="1"/>
  <c r="N52" i="50"/>
  <c r="S52" i="50"/>
  <c r="T52" i="50" s="1"/>
  <c r="W52" i="50" s="1"/>
  <c r="X52" i="50" s="1"/>
  <c r="N53" i="50"/>
  <c r="S53" i="50"/>
  <c r="T53" i="50" s="1"/>
  <c r="W53" i="50" s="1"/>
  <c r="X53" i="50" s="1"/>
  <c r="N54" i="50"/>
  <c r="S54" i="50"/>
  <c r="T54" i="50" s="1"/>
  <c r="W54" i="50" s="1"/>
  <c r="X54" i="50" s="1"/>
  <c r="N55" i="50"/>
  <c r="S55" i="50"/>
  <c r="T55" i="50" s="1"/>
  <c r="W55" i="50" s="1"/>
  <c r="X55" i="50" s="1"/>
  <c r="N56" i="50"/>
  <c r="S56" i="50"/>
  <c r="T56" i="50" s="1"/>
  <c r="W56" i="50" s="1"/>
  <c r="X56" i="50" s="1"/>
  <c r="N57" i="50"/>
  <c r="S57" i="50"/>
  <c r="T57" i="50" s="1"/>
  <c r="W57" i="50" s="1"/>
  <c r="X57" i="50" s="1"/>
  <c r="N58" i="50"/>
  <c r="S58" i="50"/>
  <c r="T58" i="50" s="1"/>
  <c r="W58" i="50" s="1"/>
  <c r="X58" i="50" s="1"/>
  <c r="N59" i="50"/>
  <c r="S59" i="50"/>
  <c r="T59" i="50" s="1"/>
  <c r="W59" i="50" s="1"/>
  <c r="X59" i="50" s="1"/>
  <c r="N60" i="50"/>
  <c r="S60" i="50"/>
  <c r="T60" i="50" s="1"/>
  <c r="W60" i="50" s="1"/>
  <c r="X60" i="50" s="1"/>
  <c r="N61" i="50"/>
  <c r="S61" i="50"/>
  <c r="T61" i="50" s="1"/>
  <c r="W61" i="50" s="1"/>
  <c r="X61" i="50" s="1"/>
  <c r="N62" i="50"/>
  <c r="S62" i="50"/>
  <c r="T62" i="50" s="1"/>
  <c r="W62" i="50" s="1"/>
  <c r="X62" i="50" s="1"/>
  <c r="N63" i="50"/>
  <c r="S63" i="50"/>
  <c r="T63" i="50" s="1"/>
  <c r="W63" i="50" s="1"/>
  <c r="X63" i="50" s="1"/>
  <c r="N64" i="50"/>
  <c r="S64" i="50"/>
  <c r="T64" i="50" s="1"/>
  <c r="W64" i="50" s="1"/>
  <c r="X64" i="50" s="1"/>
  <c r="N65" i="50"/>
  <c r="S65" i="50"/>
  <c r="T65" i="50" s="1"/>
  <c r="W65" i="50" s="1"/>
  <c r="X65" i="50" s="1"/>
  <c r="N66" i="50"/>
  <c r="S66" i="50"/>
  <c r="T66" i="50" s="1"/>
  <c r="W66" i="50" s="1"/>
  <c r="X66" i="50" s="1"/>
  <c r="N67" i="50"/>
  <c r="S67" i="50"/>
  <c r="T67" i="50" s="1"/>
  <c r="W67" i="50" s="1"/>
  <c r="X67" i="50" s="1"/>
  <c r="N68" i="50"/>
  <c r="S68" i="50"/>
  <c r="T68" i="50" s="1"/>
  <c r="W68" i="50" s="1"/>
  <c r="X68" i="50" s="1"/>
  <c r="N69" i="50"/>
  <c r="S69" i="50"/>
  <c r="T69" i="50" s="1"/>
  <c r="W69" i="50" s="1"/>
  <c r="X69" i="50" s="1"/>
  <c r="N70" i="50"/>
  <c r="S70" i="50"/>
  <c r="T70" i="50" s="1"/>
  <c r="W70" i="50" s="1"/>
  <c r="X70" i="50" s="1"/>
  <c r="N71" i="50"/>
  <c r="S71" i="50"/>
  <c r="T71" i="50" s="1"/>
  <c r="W71" i="50" s="1"/>
  <c r="X71" i="50" s="1"/>
  <c r="N72" i="50"/>
  <c r="S72" i="50"/>
  <c r="T72" i="50" s="1"/>
  <c r="W72" i="50" s="1"/>
  <c r="X72" i="50" s="1"/>
  <c r="N73" i="50"/>
  <c r="S73" i="50"/>
  <c r="T73" i="50" s="1"/>
  <c r="W73" i="50" s="1"/>
  <c r="X73" i="50" s="1"/>
  <c r="N74" i="50"/>
  <c r="S74" i="50"/>
  <c r="T74" i="50" s="1"/>
  <c r="W74" i="50" s="1"/>
  <c r="X74" i="50" s="1"/>
  <c r="N75" i="50"/>
  <c r="S75" i="50"/>
  <c r="T75" i="50" s="1"/>
  <c r="W75" i="50" s="1"/>
  <c r="X75" i="50" s="1"/>
  <c r="N76" i="50"/>
  <c r="S76" i="50"/>
  <c r="T76" i="50" s="1"/>
  <c r="W76" i="50" s="1"/>
  <c r="X76" i="50" s="1"/>
  <c r="N77" i="50"/>
  <c r="S77" i="50"/>
  <c r="T77" i="50" s="1"/>
  <c r="W77" i="50" s="1"/>
  <c r="X77" i="50" s="1"/>
  <c r="N78" i="50"/>
  <c r="S78" i="50"/>
  <c r="T78" i="50" s="1"/>
  <c r="W78" i="50" s="1"/>
  <c r="X78" i="50" s="1"/>
  <c r="N79" i="50"/>
  <c r="S79" i="50"/>
  <c r="T79" i="50" s="1"/>
  <c r="W79" i="50" s="1"/>
  <c r="X79" i="50" s="1"/>
  <c r="N80" i="50"/>
  <c r="S80" i="50"/>
  <c r="T80" i="50" s="1"/>
  <c r="W80" i="50" s="1"/>
  <c r="X80" i="50" s="1"/>
  <c r="N81" i="50"/>
  <c r="S81" i="50"/>
  <c r="T81" i="50" s="1"/>
  <c r="W81" i="50" s="1"/>
  <c r="X81" i="50" s="1"/>
  <c r="N82" i="50"/>
  <c r="S82" i="50"/>
  <c r="U82" i="50" s="1"/>
  <c r="V82" i="50" s="1"/>
  <c r="N83" i="50"/>
  <c r="S83" i="50"/>
  <c r="T83" i="50" s="1"/>
  <c r="W83" i="50" s="1"/>
  <c r="X83" i="50" s="1"/>
  <c r="N84" i="50"/>
  <c r="S84" i="50"/>
  <c r="T84" i="50" s="1"/>
  <c r="W84" i="50" s="1"/>
  <c r="X84" i="50" s="1"/>
  <c r="N85" i="50"/>
  <c r="S85" i="50"/>
  <c r="T85" i="50" s="1"/>
  <c r="W85" i="50" s="1"/>
  <c r="X85" i="50" s="1"/>
  <c r="N87" i="50"/>
  <c r="S87" i="50"/>
  <c r="T87" i="50" s="1"/>
  <c r="W87" i="50" s="1"/>
  <c r="X87" i="50" s="1"/>
  <c r="N88" i="50"/>
  <c r="S88" i="50"/>
  <c r="U88" i="50" s="1"/>
  <c r="V88" i="50" s="1"/>
  <c r="N89" i="50"/>
  <c r="S89" i="50"/>
  <c r="U89" i="50" s="1"/>
  <c r="V89" i="50" s="1"/>
  <c r="N91" i="50"/>
  <c r="S91" i="50"/>
  <c r="U91" i="50" s="1"/>
  <c r="V91" i="50" s="1"/>
  <c r="N92" i="50"/>
  <c r="S92" i="50"/>
  <c r="U92" i="50" s="1"/>
  <c r="V92" i="50" s="1"/>
  <c r="N93" i="50"/>
  <c r="S93" i="50"/>
  <c r="U93" i="50" s="1"/>
  <c r="V93" i="50" s="1"/>
  <c r="N94" i="50"/>
  <c r="S94" i="50"/>
  <c r="U94" i="50" s="1"/>
  <c r="V94" i="50" s="1"/>
  <c r="N95" i="50"/>
  <c r="S95" i="50"/>
  <c r="U95" i="50" s="1"/>
  <c r="V95" i="50" s="1"/>
  <c r="L97" i="50"/>
  <c r="AB97" i="50"/>
  <c r="U73" i="50" l="1"/>
  <c r="V73" i="50" s="1"/>
  <c r="Y73" i="50" s="1"/>
  <c r="U67" i="50"/>
  <c r="V67" i="50" s="1"/>
  <c r="Y67" i="50" s="1"/>
  <c r="U76" i="50"/>
  <c r="V76" i="50" s="1"/>
  <c r="T40" i="50"/>
  <c r="W40" i="50" s="1"/>
  <c r="X40" i="50" s="1"/>
  <c r="Y40" i="50" s="1"/>
  <c r="T41" i="50"/>
  <c r="W41" i="50" s="1"/>
  <c r="X41" i="50" s="1"/>
  <c r="T34" i="50"/>
  <c r="W34" i="50" s="1"/>
  <c r="X34" i="50" s="1"/>
  <c r="T89" i="50"/>
  <c r="W89" i="50" s="1"/>
  <c r="X89" i="50" s="1"/>
  <c r="Y89" i="50" s="1"/>
  <c r="T82" i="50"/>
  <c r="W82" i="50" s="1"/>
  <c r="X82" i="50" s="1"/>
  <c r="Y82" i="50" s="1"/>
  <c r="U49" i="50"/>
  <c r="V49" i="50" s="1"/>
  <c r="Y49" i="50" s="1"/>
  <c r="T88" i="50"/>
  <c r="W88" i="50" s="1"/>
  <c r="X88" i="50" s="1"/>
  <c r="Y88" i="50" s="1"/>
  <c r="U79" i="50"/>
  <c r="V79" i="50" s="1"/>
  <c r="Y79" i="50" s="1"/>
  <c r="U39" i="50"/>
  <c r="V39" i="50" s="1"/>
  <c r="Y39" i="50" s="1"/>
  <c r="T28" i="50"/>
  <c r="W28" i="50" s="1"/>
  <c r="X28" i="50" s="1"/>
  <c r="Y28" i="50" s="1"/>
  <c r="U58" i="50"/>
  <c r="V58" i="50" s="1"/>
  <c r="Y58" i="50" s="1"/>
  <c r="U80" i="50"/>
  <c r="V80" i="50" s="1"/>
  <c r="Y80" i="50" s="1"/>
  <c r="U77" i="50"/>
  <c r="V77" i="50" s="1"/>
  <c r="Y77" i="50" s="1"/>
  <c r="U63" i="50"/>
  <c r="V63" i="50" s="1"/>
  <c r="Y63" i="50" s="1"/>
  <c r="U60" i="50"/>
  <c r="V60" i="50" s="1"/>
  <c r="Y60" i="50" s="1"/>
  <c r="U53" i="50"/>
  <c r="V53" i="50" s="1"/>
  <c r="Y53" i="50" s="1"/>
  <c r="U46" i="50"/>
  <c r="V46" i="50" s="1"/>
  <c r="Y46" i="50" s="1"/>
  <c r="U38" i="50"/>
  <c r="V38" i="50" s="1"/>
  <c r="Y38" i="50" s="1"/>
  <c r="T95" i="50"/>
  <c r="W95" i="50" s="1"/>
  <c r="X95" i="50" s="1"/>
  <c r="Y95" i="50" s="1"/>
  <c r="U71" i="50"/>
  <c r="V71" i="50" s="1"/>
  <c r="Y71" i="50" s="1"/>
  <c r="U36" i="50"/>
  <c r="V36" i="50" s="1"/>
  <c r="Y36" i="50" s="1"/>
  <c r="U51" i="50"/>
  <c r="V51" i="50" s="1"/>
  <c r="Y51" i="50" s="1"/>
  <c r="U48" i="50"/>
  <c r="V48" i="50" s="1"/>
  <c r="Y48" i="50" s="1"/>
  <c r="U45" i="50"/>
  <c r="V45" i="50" s="1"/>
  <c r="Y45" i="50" s="1"/>
  <c r="U30" i="50"/>
  <c r="V30" i="50" s="1"/>
  <c r="Y30" i="50" s="1"/>
  <c r="U20" i="50"/>
  <c r="V20" i="50" s="1"/>
  <c r="Y20" i="50" s="1"/>
  <c r="U27" i="50"/>
  <c r="V27" i="50" s="1"/>
  <c r="Y27" i="50" s="1"/>
  <c r="U66" i="50"/>
  <c r="V66" i="50" s="1"/>
  <c r="Y66" i="50" s="1"/>
  <c r="T32" i="50"/>
  <c r="W32" i="50" s="1"/>
  <c r="X32" i="50" s="1"/>
  <c r="Y32" i="50" s="1"/>
  <c r="U29" i="50"/>
  <c r="V29" i="50" s="1"/>
  <c r="Y29" i="50" s="1"/>
  <c r="U84" i="50"/>
  <c r="V84" i="50" s="1"/>
  <c r="Y84" i="50" s="1"/>
  <c r="U24" i="50"/>
  <c r="V24" i="50" s="1"/>
  <c r="Y24" i="50" s="1"/>
  <c r="T91" i="50"/>
  <c r="W91" i="50" s="1"/>
  <c r="X91" i="50" s="1"/>
  <c r="Y91" i="50" s="1"/>
  <c r="U57" i="50"/>
  <c r="V57" i="50" s="1"/>
  <c r="Y57" i="50" s="1"/>
  <c r="U54" i="50"/>
  <c r="V54" i="50" s="1"/>
  <c r="Y54" i="50" s="1"/>
  <c r="U44" i="50"/>
  <c r="V44" i="50" s="1"/>
  <c r="Y44" i="50" s="1"/>
  <c r="T31" i="50"/>
  <c r="W31" i="50" s="1"/>
  <c r="X31" i="50" s="1"/>
  <c r="Y31" i="50" s="1"/>
  <c r="U26" i="50"/>
  <c r="V26" i="50" s="1"/>
  <c r="Y26" i="50" s="1"/>
  <c r="N97" i="50"/>
  <c r="U70" i="50"/>
  <c r="V70" i="50" s="1"/>
  <c r="Y70" i="50" s="1"/>
  <c r="U59" i="50"/>
  <c r="V59" i="50" s="1"/>
  <c r="Y59" i="50" s="1"/>
  <c r="U72" i="50"/>
  <c r="V72" i="50" s="1"/>
  <c r="Y72" i="50" s="1"/>
  <c r="U64" i="50"/>
  <c r="V64" i="50" s="1"/>
  <c r="Y64" i="50" s="1"/>
  <c r="U50" i="50"/>
  <c r="V50" i="50" s="1"/>
  <c r="Y50" i="50" s="1"/>
  <c r="U25" i="50"/>
  <c r="V25" i="50" s="1"/>
  <c r="Y25" i="50" s="1"/>
  <c r="T93" i="50"/>
  <c r="W93" i="50" s="1"/>
  <c r="X93" i="50" s="1"/>
  <c r="Y93" i="50" s="1"/>
  <c r="U75" i="50"/>
  <c r="V75" i="50" s="1"/>
  <c r="Y75" i="50" s="1"/>
  <c r="U62" i="50"/>
  <c r="V62" i="50" s="1"/>
  <c r="Y62" i="50" s="1"/>
  <c r="U55" i="50"/>
  <c r="V55" i="50" s="1"/>
  <c r="Y55" i="50" s="1"/>
  <c r="U42" i="50"/>
  <c r="V42" i="50" s="1"/>
  <c r="Y42" i="50" s="1"/>
  <c r="U22" i="50"/>
  <c r="V22" i="50" s="1"/>
  <c r="Y22" i="50" s="1"/>
  <c r="T92" i="50"/>
  <c r="W92" i="50" s="1"/>
  <c r="X92" i="50" s="1"/>
  <c r="Y92" i="50" s="1"/>
  <c r="U85" i="50"/>
  <c r="V85" i="50" s="1"/>
  <c r="Y85" i="50" s="1"/>
  <c r="U83" i="50"/>
  <c r="V83" i="50" s="1"/>
  <c r="Y83" i="50" s="1"/>
  <c r="U81" i="50"/>
  <c r="V81" i="50" s="1"/>
  <c r="Y81" i="50" s="1"/>
  <c r="U74" i="50"/>
  <c r="V74" i="50" s="1"/>
  <c r="Y74" i="50" s="1"/>
  <c r="U68" i="50"/>
  <c r="V68" i="50" s="1"/>
  <c r="Y68" i="50" s="1"/>
  <c r="U61" i="50"/>
  <c r="V61" i="50" s="1"/>
  <c r="Y61" i="50" s="1"/>
  <c r="U52" i="50"/>
  <c r="V52" i="50" s="1"/>
  <c r="Y52" i="50" s="1"/>
  <c r="S97" i="50"/>
  <c r="U35" i="50"/>
  <c r="V35" i="50" s="1"/>
  <c r="Y35" i="50" s="1"/>
  <c r="U21" i="50"/>
  <c r="V21" i="50" s="1"/>
  <c r="Y21" i="50" s="1"/>
  <c r="T94" i="50"/>
  <c r="W94" i="50" s="1"/>
  <c r="X94" i="50" s="1"/>
  <c r="Y94" i="50" s="1"/>
  <c r="U78" i="50"/>
  <c r="V78" i="50" s="1"/>
  <c r="Y78" i="50" s="1"/>
  <c r="U69" i="50"/>
  <c r="V69" i="50" s="1"/>
  <c r="Y69" i="50" s="1"/>
  <c r="U65" i="50"/>
  <c r="V65" i="50" s="1"/>
  <c r="Y65" i="50" s="1"/>
  <c r="U56" i="50"/>
  <c r="V56" i="50" s="1"/>
  <c r="Y56" i="50" s="1"/>
  <c r="U47" i="50"/>
  <c r="V47" i="50" s="1"/>
  <c r="Y47" i="50" s="1"/>
  <c r="U43" i="50"/>
  <c r="V43" i="50" s="1"/>
  <c r="Y43" i="50" s="1"/>
  <c r="U37" i="50"/>
  <c r="V37" i="50" s="1"/>
  <c r="Y37" i="50" s="1"/>
  <c r="U33" i="50"/>
  <c r="V33" i="50" s="1"/>
  <c r="Y33" i="50" s="1"/>
  <c r="U23" i="50"/>
  <c r="V23" i="50" s="1"/>
  <c r="Y23" i="50" s="1"/>
  <c r="X12" i="50"/>
  <c r="Y41" i="50"/>
  <c r="Y34" i="50"/>
  <c r="U87" i="50"/>
  <c r="V87" i="50" s="1"/>
  <c r="Y87" i="50" s="1"/>
  <c r="Y76" i="50"/>
  <c r="U19" i="50"/>
  <c r="V19" i="50" s="1"/>
  <c r="Y19" i="50" s="1"/>
  <c r="U18" i="50"/>
  <c r="V18" i="50" s="1"/>
  <c r="Y18" i="50" s="1"/>
  <c r="U17" i="50"/>
  <c r="V17" i="50" s="1"/>
  <c r="Y17" i="50" s="1"/>
  <c r="U16" i="50"/>
  <c r="V16" i="50" s="1"/>
  <c r="Y16" i="50" s="1"/>
  <c r="U15" i="50"/>
  <c r="V15" i="50" s="1"/>
  <c r="Y15" i="50" s="1"/>
  <c r="U14" i="50"/>
  <c r="V14" i="50" s="1"/>
  <c r="Y14" i="50" s="1"/>
  <c r="U13" i="50"/>
  <c r="V13" i="50" s="1"/>
  <c r="Y13" i="50" s="1"/>
  <c r="U12" i="50"/>
  <c r="V12" i="50" s="1"/>
  <c r="U11" i="50"/>
  <c r="V11" i="50" s="1"/>
  <c r="Y11" i="50" s="1"/>
  <c r="U10" i="50"/>
  <c r="V10" i="50" s="1"/>
  <c r="Y10" i="50" s="1"/>
  <c r="U9" i="50"/>
  <c r="V9" i="50" s="1"/>
  <c r="Y9" i="50" s="1"/>
  <c r="U8" i="50"/>
  <c r="V8" i="50" s="1"/>
  <c r="Y8" i="50" s="1"/>
  <c r="U7" i="50"/>
  <c r="V7" i="50" s="1"/>
  <c r="Y7" i="50" s="1"/>
  <c r="U6" i="50"/>
  <c r="V6" i="50" s="1"/>
  <c r="Y6" i="50" s="1"/>
  <c r="U5" i="50"/>
  <c r="V5" i="50" s="1"/>
  <c r="Y12" i="50" l="1"/>
  <c r="X97" i="50"/>
  <c r="T97" i="50"/>
  <c r="T99" i="50" s="1"/>
  <c r="W97" i="50"/>
  <c r="Y5" i="50"/>
  <c r="V97" i="50"/>
  <c r="Y97" i="50" l="1"/>
</calcChain>
</file>

<file path=xl/sharedStrings.xml><?xml version="1.0" encoding="utf-8"?>
<sst xmlns="http://schemas.openxmlformats.org/spreadsheetml/2006/main" count="802" uniqueCount="217">
  <si>
    <t>규격</t>
    <phoneticPr fontId="1" type="noConversion"/>
  </si>
  <si>
    <t>총 합 계</t>
    <phoneticPr fontId="1" type="noConversion"/>
  </si>
  <si>
    <t>중량
(kg)</t>
    <phoneticPr fontId="1" type="noConversion"/>
  </si>
  <si>
    <t>품명</t>
    <phoneticPr fontId="1" type="noConversion"/>
  </si>
  <si>
    <t>PACKING LIST</t>
    <phoneticPr fontId="1" type="noConversion"/>
  </si>
  <si>
    <t>업체명</t>
    <phoneticPr fontId="1" type="noConversion"/>
  </si>
  <si>
    <t>메이커</t>
    <phoneticPr fontId="1" type="noConversion"/>
  </si>
  <si>
    <t>출고
수량</t>
    <phoneticPr fontId="1" type="noConversion"/>
  </si>
  <si>
    <t>단가
(VAT 별도)</t>
    <phoneticPr fontId="1" type="noConversion"/>
  </si>
  <si>
    <t>금액
(VAT 별도)</t>
    <phoneticPr fontId="1" type="noConversion"/>
  </si>
  <si>
    <t>단
위</t>
    <phoneticPr fontId="1" type="noConversion"/>
  </si>
  <si>
    <t>EA</t>
    <phoneticPr fontId="1" type="noConversion"/>
  </si>
  <si>
    <t>순
번</t>
    <phoneticPr fontId="1" type="noConversion"/>
  </si>
  <si>
    <t>상세 내용</t>
  </si>
  <si>
    <t>인보이스 단가
(VAT 별도)</t>
    <phoneticPr fontId="1" type="noConversion"/>
  </si>
  <si>
    <t>인보이스 금액
(VAT 별도)</t>
    <phoneticPr fontId="1" type="noConversion"/>
  </si>
  <si>
    <t>인보이스 단가
(USD)</t>
    <phoneticPr fontId="1" type="noConversion"/>
  </si>
  <si>
    <t>인보이스 금액
(USD)</t>
    <phoneticPr fontId="1" type="noConversion"/>
  </si>
  <si>
    <t>원산지</t>
    <phoneticPr fontId="1" type="noConversion"/>
  </si>
  <si>
    <t>BOX
번호</t>
    <phoneticPr fontId="1" type="noConversion"/>
  </si>
  <si>
    <t>EA</t>
  </si>
  <si>
    <t>광원전기</t>
  </si>
  <si>
    <t>AUTONICS</t>
  </si>
  <si>
    <t>OMRON</t>
  </si>
  <si>
    <t>DOOR SENSOR</t>
  </si>
  <si>
    <t>BS5-T1M</t>
  </si>
  <si>
    <t>SENSOR</t>
  </si>
  <si>
    <t>LM GUIDE</t>
  </si>
  <si>
    <t>MONITOR</t>
  </si>
  <si>
    <t>성화기전</t>
  </si>
  <si>
    <t>CYLINDER</t>
  </si>
  <si>
    <t>FITTING</t>
  </si>
  <si>
    <t>입고 일정</t>
    <phoneticPr fontId="1" type="noConversion"/>
  </si>
  <si>
    <t>ETC</t>
  </si>
  <si>
    <t>KG AUTO</t>
  </si>
  <si>
    <t>KGK-H2M1A</t>
  </si>
  <si>
    <t>SMC</t>
    <phoneticPr fontId="1" type="noConversion"/>
  </si>
  <si>
    <t>FITTING</t>
    <phoneticPr fontId="1" type="noConversion"/>
  </si>
  <si>
    <t>KPT18</t>
    <phoneticPr fontId="1" type="noConversion"/>
  </si>
  <si>
    <t>SPEED CONTROLLER</t>
  </si>
  <si>
    <t>부영금속공업</t>
  </si>
  <si>
    <t>MAGNET</t>
  </si>
  <si>
    <t>HINGE</t>
  </si>
  <si>
    <t>VACUUM PAD</t>
  </si>
  <si>
    <t>F-TEC</t>
  </si>
  <si>
    <t>티에이치코리아</t>
  </si>
  <si>
    <t>PALLET SIZE
(가로*세로*높이)</t>
    <phoneticPr fontId="1" type="noConversion"/>
  </si>
  <si>
    <t>SPG</t>
  </si>
  <si>
    <t>GEAR HEAD</t>
  </si>
  <si>
    <t>PLUG</t>
  </si>
  <si>
    <t>MANIFOLD</t>
  </si>
  <si>
    <t>BLANKING PLATE</t>
  </si>
  <si>
    <t>BEARING</t>
  </si>
  <si>
    <t>003M2508</t>
    <phoneticPr fontId="1" type="noConversion"/>
  </si>
  <si>
    <t>MAGNET CATCH</t>
  </si>
  <si>
    <t>O-RING</t>
  </si>
  <si>
    <t>EMERGENCY S/W</t>
  </si>
  <si>
    <t>SELECT KEY</t>
  </si>
  <si>
    <t>BY3-3060</t>
  </si>
  <si>
    <t>BY3-PBK</t>
  </si>
  <si>
    <t>S7KA30B</t>
  </si>
  <si>
    <t>P15</t>
  </si>
  <si>
    <t>BYH6060-31-CV</t>
    <phoneticPr fontId="1" type="noConversion"/>
  </si>
  <si>
    <t>한신로보체인</t>
  </si>
  <si>
    <t>E/D BKT_SET=2EA</t>
  </si>
  <si>
    <t>HSP 0180-4BN E/B</t>
  </si>
  <si>
    <t>HSP 0450-2BN E/B</t>
  </si>
  <si>
    <t>HSP 0180-3B E/B</t>
  </si>
  <si>
    <t>HSP 0180-1BN E/B</t>
  </si>
  <si>
    <t>한신로보체인</t>
    <phoneticPr fontId="1" type="noConversion"/>
  </si>
  <si>
    <t>M</t>
  </si>
  <si>
    <t>CABLEVEYOR</t>
    <phoneticPr fontId="1" type="noConversion"/>
  </si>
  <si>
    <t>HSP 0180-4BN 28R</t>
    <phoneticPr fontId="1" type="noConversion"/>
  </si>
  <si>
    <t>HSP 0450-2BN 50R</t>
    <phoneticPr fontId="1" type="noConversion"/>
  </si>
  <si>
    <t>HSP 0180-3B 28R</t>
    <phoneticPr fontId="1" type="noConversion"/>
  </si>
  <si>
    <t>HSP0180-15-18R</t>
    <phoneticPr fontId="1" type="noConversion"/>
  </si>
  <si>
    <t>HSP 0180-1BN 18R</t>
    <phoneticPr fontId="1" type="noConversion"/>
  </si>
  <si>
    <t>VACUUM EJECTOR</t>
  </si>
  <si>
    <t>VGE02-C-N</t>
  </si>
  <si>
    <t>VSC-04U-M5M</t>
  </si>
  <si>
    <t>소음기</t>
  </si>
  <si>
    <t>ST01</t>
  </si>
  <si>
    <t>SANG-A</t>
  </si>
  <si>
    <t>VFB4M-N-M3M</t>
    <phoneticPr fontId="1" type="noConversion"/>
  </si>
  <si>
    <t>에이지디</t>
  </si>
  <si>
    <t>CHINA</t>
    <phoneticPr fontId="1" type="noConversion"/>
  </si>
  <si>
    <t>KOREA</t>
    <phoneticPr fontId="1" type="noConversion"/>
  </si>
  <si>
    <t>AREA SENSOR</t>
  </si>
  <si>
    <t>GLS_S1</t>
  </si>
  <si>
    <t>BS3-F1M</t>
  </si>
  <si>
    <t>BS5-Y1M</t>
  </si>
  <si>
    <t>E3T_FD11</t>
  </si>
  <si>
    <t>BWPK25-05</t>
  </si>
  <si>
    <t>GLS_M1</t>
  </si>
  <si>
    <t>PRD08-4DN</t>
  </si>
  <si>
    <t>AS1201F-M3-04</t>
    <phoneticPr fontId="1" type="noConversion"/>
  </si>
  <si>
    <t>M-3AU-4</t>
    <phoneticPr fontId="1" type="noConversion"/>
  </si>
  <si>
    <t>PRESSURE S/W</t>
  </si>
  <si>
    <t>MGPM12-10Z-M9B</t>
    <phoneticPr fontId="1" type="noConversion"/>
  </si>
  <si>
    <t>MXQ12-30CS-M9B</t>
    <phoneticPr fontId="1" type="noConversion"/>
  </si>
  <si>
    <t>SY3000-26-9A</t>
    <phoneticPr fontId="1" type="noConversion"/>
  </si>
  <si>
    <t>MAIN REGULATOR</t>
  </si>
  <si>
    <t>UAC3010-03-G</t>
    <phoneticPr fontId="1" type="noConversion"/>
  </si>
  <si>
    <t>HI TOP</t>
    <phoneticPr fontId="1" type="noConversion"/>
  </si>
  <si>
    <t>BKT</t>
    <phoneticPr fontId="1" type="noConversion"/>
  </si>
  <si>
    <t>UAC30T</t>
    <phoneticPr fontId="1" type="noConversion"/>
  </si>
  <si>
    <t>SS5Y3-20-08</t>
    <phoneticPr fontId="1" type="noConversion"/>
  </si>
  <si>
    <t>ISE20-N-M5</t>
    <phoneticPr fontId="1" type="noConversion"/>
  </si>
  <si>
    <t>CABLE</t>
    <phoneticPr fontId="1" type="noConversion"/>
  </si>
  <si>
    <t>ZS-46-3L</t>
    <phoneticPr fontId="1" type="noConversion"/>
  </si>
  <si>
    <t>ZS-46-N1</t>
    <phoneticPr fontId="1" type="noConversion"/>
  </si>
  <si>
    <t>SOL V/V</t>
  </si>
  <si>
    <t>SY3120-5LZ-C6</t>
    <phoneticPr fontId="1" type="noConversion"/>
  </si>
  <si>
    <t>SY3120-5LZ-C4</t>
    <phoneticPr fontId="1" type="noConversion"/>
  </si>
  <si>
    <t>CXSJM10-20-M9B</t>
    <phoneticPr fontId="1" type="noConversion"/>
  </si>
  <si>
    <t>MGPL20-100AZ-M9B</t>
    <phoneticPr fontId="1" type="noConversion"/>
  </si>
  <si>
    <t>MGPL12-20Z-M9B</t>
    <phoneticPr fontId="1" type="noConversion"/>
  </si>
  <si>
    <t>CDRQ2BS10-180-M9B</t>
    <phoneticPr fontId="1" type="noConversion"/>
  </si>
  <si>
    <t>KK2P-04H</t>
    <phoneticPr fontId="1" type="noConversion"/>
  </si>
  <si>
    <t>KK2S-04E</t>
    <phoneticPr fontId="1" type="noConversion"/>
  </si>
  <si>
    <t>KSL04-M5</t>
    <phoneticPr fontId="1" type="noConversion"/>
  </si>
  <si>
    <t>ZSE20-N-C6H-LB</t>
    <phoneticPr fontId="1" type="noConversion"/>
  </si>
  <si>
    <t>AUTONICS</t>
    <phoneticPr fontId="1" type="noConversion"/>
  </si>
  <si>
    <t>003M2508</t>
  </si>
  <si>
    <t>HI TOP</t>
  </si>
  <si>
    <t>티케이비앤티</t>
  </si>
  <si>
    <t>CSK</t>
    <phoneticPr fontId="1" type="noConversion"/>
  </si>
  <si>
    <t>LMG15HUU+990L 15/15 R/D</t>
    <phoneticPr fontId="1" type="noConversion"/>
  </si>
  <si>
    <t>원에스티</t>
    <phoneticPr fontId="1" type="noConversion"/>
  </si>
  <si>
    <t>HB21FUU1-910L 30_30 R/D</t>
    <phoneticPr fontId="1" type="noConversion"/>
  </si>
  <si>
    <t>LM GUIDE</t>
    <phoneticPr fontId="1" type="noConversion"/>
  </si>
  <si>
    <t>LMG15HUU+415L 27.5_27.5 R/D</t>
    <phoneticPr fontId="1" type="noConversion"/>
  </si>
  <si>
    <t>LMG15H 2UU+1150L 35_35 R/D</t>
    <phoneticPr fontId="1" type="noConversion"/>
  </si>
  <si>
    <t>LMG15HUU+560L 10_10 R/D</t>
    <phoneticPr fontId="1" type="noConversion"/>
  </si>
  <si>
    <t>LMG15HUU+200L 10_10 R/D</t>
    <phoneticPr fontId="1" type="noConversion"/>
  </si>
  <si>
    <t>M9LUU1-200L 10_10 R/D</t>
    <phoneticPr fontId="1" type="noConversion"/>
  </si>
  <si>
    <t>M5CUU1-40L 5_5 R/D</t>
    <phoneticPr fontId="1" type="noConversion"/>
  </si>
  <si>
    <t>LMG15HUU+1010L 25/25 R/D</t>
    <phoneticPr fontId="1" type="noConversion"/>
  </si>
  <si>
    <t>LMG15HUU+910L 35/35 R/D</t>
    <phoneticPr fontId="1" type="noConversion"/>
  </si>
  <si>
    <t>TK</t>
    <phoneticPr fontId="1" type="noConversion"/>
  </si>
  <si>
    <t>688ZZ</t>
  </si>
  <si>
    <t>CASTER</t>
  </si>
  <si>
    <t>ACM_600F</t>
    <phoneticPr fontId="1" type="noConversion"/>
  </si>
  <si>
    <t>AUTOCFT</t>
    <phoneticPr fontId="1" type="noConversion"/>
  </si>
  <si>
    <t>LEVEL FOOT</t>
  </si>
  <si>
    <t>A-MR20-180-78</t>
    <phoneticPr fontId="1" type="noConversion"/>
  </si>
  <si>
    <t>TIMMING BELT</t>
  </si>
  <si>
    <t>C-HTBN2380S5M-150</t>
    <phoneticPr fontId="1" type="noConversion"/>
  </si>
  <si>
    <t>BELT CLAMP</t>
  </si>
  <si>
    <t>MISUMI</t>
    <phoneticPr fontId="1" type="noConversion"/>
  </si>
  <si>
    <t>TIMMING PULLEY</t>
  </si>
  <si>
    <t>C-HTPA14S5M150-A-N10</t>
    <phoneticPr fontId="1" type="noConversion"/>
  </si>
  <si>
    <t>BUSH</t>
  </si>
  <si>
    <t>DU0504</t>
    <phoneticPr fontId="1" type="noConversion"/>
  </si>
  <si>
    <t>한국미스미</t>
  </si>
  <si>
    <t>TBCR-S3M100</t>
    <phoneticPr fontId="1" type="noConversion"/>
  </si>
  <si>
    <t>TBCR-S5M150</t>
    <phoneticPr fontId="1" type="noConversion"/>
  </si>
  <si>
    <t>JAPAN</t>
    <phoneticPr fontId="1" type="noConversion"/>
  </si>
  <si>
    <t>HAND V/V</t>
  </si>
  <si>
    <t>PANASONIC</t>
  </si>
  <si>
    <t>파익스</t>
  </si>
  <si>
    <t>IV-104</t>
  </si>
  <si>
    <t>IVIEWKOREA</t>
  </si>
  <si>
    <t>OP BOX</t>
  </si>
  <si>
    <t>FI BOX</t>
  </si>
  <si>
    <t>MISUMI</t>
  </si>
  <si>
    <t>SENSOR RAIL</t>
  </si>
  <si>
    <t>SENB32H-100-V10-W90</t>
  </si>
  <si>
    <t>HHAA32S5M150-F-14</t>
  </si>
  <si>
    <t>SENC22H-200-V10-W190</t>
  </si>
  <si>
    <t>입고 완료</t>
    <phoneticPr fontId="1" type="noConversion"/>
  </si>
  <si>
    <t>BALL SCREW</t>
  </si>
  <si>
    <t>SHIR1530TC7S-964.5 R/D</t>
  </si>
  <si>
    <t>HANSAN</t>
  </si>
  <si>
    <t>SHIR1530TC7S-608 R/D</t>
  </si>
  <si>
    <t>AC MOTOR</t>
  </si>
  <si>
    <t>S7KA7.5B</t>
    <phoneticPr fontId="1" type="noConversion"/>
  </si>
  <si>
    <t>앱솔루텍</t>
    <phoneticPr fontId="1" type="noConversion"/>
  </si>
  <si>
    <t>84821000</t>
  </si>
  <si>
    <t>84818099</t>
  </si>
  <si>
    <t>90314990</t>
  </si>
  <si>
    <t>39269099</t>
  </si>
  <si>
    <t>73269099</t>
  </si>
  <si>
    <t>83021000</t>
  </si>
  <si>
    <t>84834090</t>
  </si>
  <si>
    <t>40101900</t>
  </si>
  <si>
    <t>84835000</t>
  </si>
  <si>
    <t>CN-14A-C5</t>
    <phoneticPr fontId="1" type="noConversion"/>
  </si>
  <si>
    <t>84828000</t>
  </si>
  <si>
    <t>90318090</t>
  </si>
  <si>
    <t>39259000</t>
  </si>
  <si>
    <t>90262090</t>
  </si>
  <si>
    <t>85371019</t>
  </si>
  <si>
    <t>74122091</t>
  </si>
  <si>
    <t>85014019</t>
  </si>
  <si>
    <t>76169990</t>
  </si>
  <si>
    <t>73181510</t>
  </si>
  <si>
    <t>BYHTC-6070CV-ALL</t>
    <phoneticPr fontId="1" type="noConversion"/>
  </si>
  <si>
    <t>KDE-Q3R2R</t>
    <phoneticPr fontId="1" type="noConversion"/>
  </si>
  <si>
    <t>85444294</t>
  </si>
  <si>
    <t>39174000</t>
  </si>
  <si>
    <t>UL PC 121208 (UL 94 V0)</t>
    <phoneticPr fontId="1" type="noConversion"/>
  </si>
  <si>
    <t>VLH3000-03</t>
    <phoneticPr fontId="1" type="noConversion"/>
  </si>
  <si>
    <t>84213990</t>
  </si>
  <si>
    <t>84811019</t>
  </si>
  <si>
    <t>PM-Y65</t>
    <phoneticPr fontId="1" type="noConversion"/>
  </si>
  <si>
    <t>40169390</t>
  </si>
  <si>
    <t>85365096</t>
  </si>
  <si>
    <t>HS CODE</t>
    <phoneticPr fontId="1" type="noConversion"/>
  </si>
  <si>
    <t>최종 금액
(USD)</t>
    <phoneticPr fontId="1" type="noConversion"/>
  </si>
  <si>
    <t>DUTY</t>
    <phoneticPr fontId="1" type="noConversion"/>
  </si>
  <si>
    <t>VAT</t>
    <phoneticPr fontId="1" type="noConversion"/>
  </si>
  <si>
    <t>최종 상승률</t>
    <phoneticPr fontId="1" type="noConversion"/>
  </si>
  <si>
    <t>관세
(KRW)                (USD)</t>
    <phoneticPr fontId="1" type="noConversion"/>
  </si>
  <si>
    <t>입고 완료</t>
    <phoneticPr fontId="1" type="noConversion"/>
  </si>
  <si>
    <t>수주번호</t>
    <phoneticPr fontId="1" type="noConversion"/>
  </si>
  <si>
    <t>관리
코드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</si>
</sst>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176" formatCode="#,##0_ ;[Red]\-#,##0\ "/>
    <numFmt numFmtId="177" formatCode="#,##0.0_ ;[Red]\-#,##0.0\ "/>
    <numFmt numFmtId="178" formatCode="_-[$$-409]* #,##0.00_ ;_-[$$-409]* \-#,##0.00\ ;_-[$$-409]* &quot;-&quot;??_ ;_-@_ "/>
    <numFmt numFmtId="179" formatCode="yyyy/mm/dd;@"/>
    <numFmt numFmtId="180" formatCode="_-* #,##0.00_-;\-* #,##0.00_-;_-* &quot;-&quot;_-;_-@_-"/>
    <numFmt numFmtId="181" formatCode="0.0%"/>
  </numFmts>
  <fonts count="15" x14ac:knownFonts="1"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맑은 고딕"/>
      <family val="3"/>
      <charset val="129"/>
      <scheme val="major"/>
    </font>
    <font>
      <b/>
      <sz val="10"/>
      <name val="맑은 고딕"/>
      <family val="3"/>
      <charset val="129"/>
      <scheme val="major"/>
    </font>
    <font>
      <b/>
      <sz val="14"/>
      <name val="맑은 고딕"/>
      <family val="3"/>
      <charset val="129"/>
      <scheme val="major"/>
    </font>
    <font>
      <sz val="11"/>
      <name val="돋움"/>
      <family val="3"/>
      <charset val="129"/>
    </font>
    <font>
      <sz val="10"/>
      <color rgb="FFFF0000"/>
      <name val="맑은 고딕"/>
      <family val="3"/>
      <charset val="129"/>
      <scheme val="major"/>
    </font>
    <font>
      <b/>
      <sz val="10"/>
      <color rgb="FFFF0000"/>
      <name val="맑은 고딕"/>
      <family val="3"/>
      <charset val="129"/>
      <scheme val="major"/>
    </font>
    <font>
      <sz val="1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2"/>
      <scheme val="minor"/>
    </font>
    <font>
      <sz val="10"/>
      <color indexed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color rgb="FFC00000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</fills>
  <borders count="3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auto="1"/>
      </left>
      <right style="medium">
        <color auto="1"/>
      </right>
      <top style="hair">
        <color auto="1"/>
      </top>
      <bottom/>
      <diagonal/>
    </border>
    <border>
      <left style="hair">
        <color auto="1"/>
      </left>
      <right style="medium">
        <color auto="1"/>
      </right>
      <top/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double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auto="1"/>
      </left>
      <right style="medium">
        <color auto="1"/>
      </right>
      <top/>
      <bottom style="hair">
        <color auto="1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auto="1"/>
      </right>
      <top style="medium">
        <color auto="1"/>
      </top>
      <bottom style="double">
        <color auto="1"/>
      </bottom>
      <diagonal/>
    </border>
    <border>
      <left style="thick">
        <color rgb="FFFF0000"/>
      </left>
      <right style="hair">
        <color auto="1"/>
      </right>
      <top style="thick">
        <color rgb="FFFF0000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thick">
        <color rgb="FFFF0000"/>
      </top>
      <bottom style="double">
        <color auto="1"/>
      </bottom>
      <diagonal/>
    </border>
    <border>
      <left style="hair">
        <color auto="1"/>
      </left>
      <right style="thick">
        <color rgb="FFFF0000"/>
      </right>
      <top style="thick">
        <color rgb="FFFF0000"/>
      </top>
      <bottom style="double">
        <color auto="1"/>
      </bottom>
      <diagonal/>
    </border>
    <border>
      <left style="thick">
        <color rgb="FFFF0000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ck">
        <color rgb="FFFF0000"/>
      </right>
      <top style="hair">
        <color indexed="64"/>
      </top>
      <bottom style="hair">
        <color indexed="64"/>
      </bottom>
      <diagonal/>
    </border>
    <border>
      <left style="thick">
        <color rgb="FFFF0000"/>
      </left>
      <right/>
      <top style="hair">
        <color auto="1"/>
      </top>
      <bottom style="thick">
        <color rgb="FFFF0000"/>
      </bottom>
      <diagonal/>
    </border>
    <border>
      <left/>
      <right/>
      <top style="hair">
        <color auto="1"/>
      </top>
      <bottom style="thick">
        <color rgb="FFFF0000"/>
      </bottom>
      <diagonal/>
    </border>
    <border>
      <left/>
      <right style="hair">
        <color auto="1"/>
      </right>
      <top style="hair">
        <color auto="1"/>
      </top>
      <bottom style="thick">
        <color rgb="FFFF0000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ck">
        <color rgb="FFFF0000"/>
      </bottom>
      <diagonal/>
    </border>
    <border>
      <left style="hair">
        <color auto="1"/>
      </left>
      <right style="thick">
        <color rgb="FFFF0000"/>
      </right>
      <top style="hair">
        <color auto="1"/>
      </top>
      <bottom style="thick">
        <color rgb="FFFF0000"/>
      </bottom>
      <diagonal/>
    </border>
    <border>
      <left style="hair">
        <color indexed="64"/>
      </left>
      <right style="medium">
        <color auto="1"/>
      </right>
      <top style="hair">
        <color indexed="64"/>
      </top>
      <bottom style="hair">
        <color indexed="64"/>
      </bottom>
      <diagonal/>
    </border>
    <border>
      <left style="thick">
        <color rgb="FFFF0000"/>
      </left>
      <right style="hair">
        <color auto="1"/>
      </right>
      <top style="thick">
        <color rgb="FF002060"/>
      </top>
      <bottom style="double">
        <color auto="1"/>
      </bottom>
      <diagonal/>
    </border>
    <border>
      <left style="hair">
        <color auto="1"/>
      </left>
      <right style="thick">
        <color rgb="FF002060"/>
      </right>
      <top style="thick">
        <color rgb="FF002060"/>
      </top>
      <bottom style="double">
        <color auto="1"/>
      </bottom>
      <diagonal/>
    </border>
    <border>
      <left style="hair">
        <color auto="1"/>
      </left>
      <right style="thick">
        <color rgb="FF002060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thick">
        <color rgb="FF002060"/>
      </right>
      <top style="hair">
        <color auto="1"/>
      </top>
      <bottom style="thick">
        <color rgb="FF002060"/>
      </bottom>
      <diagonal/>
    </border>
    <border>
      <left style="thick">
        <color rgb="FFFF0000"/>
      </left>
      <right style="hair">
        <color auto="1"/>
      </right>
      <top style="hair">
        <color auto="1"/>
      </top>
      <bottom style="thick">
        <color rgb="FF00206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2" fillId="0" borderId="0">
      <alignment vertical="center"/>
    </xf>
  </cellStyleXfs>
  <cellXfs count="88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176" fontId="2" fillId="0" borderId="0" xfId="0" applyNumberFormat="1" applyFont="1" applyAlignment="1">
      <alignment horizontal="center"/>
    </xf>
    <xf numFmtId="176" fontId="3" fillId="0" borderId="2" xfId="0" applyNumberFormat="1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right" vertical="center"/>
    </xf>
    <xf numFmtId="0" fontId="2" fillId="0" borderId="0" xfId="0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77" fontId="3" fillId="0" borderId="3" xfId="0" applyNumberFormat="1" applyFont="1" applyBorder="1" applyAlignment="1">
      <alignment horizontal="center" vertical="center"/>
    </xf>
    <xf numFmtId="0" fontId="2" fillId="0" borderId="0" xfId="0" applyFont="1" applyAlignment="1">
      <alignment horizontal="left"/>
    </xf>
    <xf numFmtId="176" fontId="2" fillId="0" borderId="0" xfId="0" applyNumberFormat="1" applyFont="1" applyAlignment="1">
      <alignment horizontal="left"/>
    </xf>
    <xf numFmtId="178" fontId="6" fillId="0" borderId="1" xfId="0" applyNumberFormat="1" applyFont="1" applyBorder="1" applyAlignment="1">
      <alignment horizontal="right" vertical="center"/>
    </xf>
    <xf numFmtId="0" fontId="2" fillId="0" borderId="7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/>
    </xf>
    <xf numFmtId="0" fontId="8" fillId="3" borderId="1" xfId="0" applyFont="1" applyFill="1" applyBorder="1" applyAlignment="1">
      <alignment horizontal="left" vertical="center"/>
    </xf>
    <xf numFmtId="49" fontId="10" fillId="0" borderId="1" xfId="0" applyNumberFormat="1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2" fillId="0" borderId="11" xfId="0" applyFont="1" applyBorder="1" applyAlignment="1">
      <alignment horizontal="center" vertical="center" wrapText="1"/>
    </xf>
    <xf numFmtId="176" fontId="2" fillId="0" borderId="7" xfId="0" applyNumberFormat="1" applyFont="1" applyBorder="1" applyAlignment="1">
      <alignment horizontal="right" vertical="center"/>
    </xf>
    <xf numFmtId="176" fontId="9" fillId="0" borderId="11" xfId="0" applyNumberFormat="1" applyFont="1" applyBorder="1" applyAlignment="1">
      <alignment horizontal="center" vertical="center"/>
    </xf>
    <xf numFmtId="0" fontId="8" fillId="3" borderId="1" xfId="0" applyFont="1" applyFill="1" applyBorder="1" applyAlignment="1">
      <alignment vertical="center"/>
    </xf>
    <xf numFmtId="0" fontId="8" fillId="0" borderId="1" xfId="0" applyFont="1" applyBorder="1" applyAlignment="1">
      <alignment vertical="center"/>
    </xf>
    <xf numFmtId="0" fontId="9" fillId="3" borderId="1" xfId="0" applyFont="1" applyFill="1" applyBorder="1" applyAlignment="1">
      <alignment vertical="center"/>
    </xf>
    <xf numFmtId="0" fontId="9" fillId="0" borderId="1" xfId="0" applyFont="1" applyBorder="1" applyAlignment="1">
      <alignment vertical="center"/>
    </xf>
    <xf numFmtId="49" fontId="9" fillId="0" borderId="1" xfId="0" applyNumberFormat="1" applyFont="1" applyBorder="1" applyAlignment="1">
      <alignment horizontal="left" vertical="center"/>
    </xf>
    <xf numFmtId="0" fontId="8" fillId="0" borderId="1" xfId="6" applyFont="1" applyBorder="1">
      <alignment vertical="center"/>
    </xf>
    <xf numFmtId="0" fontId="8" fillId="3" borderId="4" xfId="0" applyFont="1" applyFill="1" applyBorder="1" applyAlignment="1">
      <alignment horizontal="left" vertical="center"/>
    </xf>
    <xf numFmtId="0" fontId="8" fillId="3" borderId="13" xfId="0" applyFont="1" applyFill="1" applyBorder="1" applyAlignment="1">
      <alignment horizontal="left" vertical="center"/>
    </xf>
    <xf numFmtId="0" fontId="8" fillId="0" borderId="4" xfId="0" applyFont="1" applyBorder="1" applyAlignment="1">
      <alignment horizontal="left" vertical="center"/>
    </xf>
    <xf numFmtId="9" fontId="2" fillId="0" borderId="7" xfId="5" applyFont="1" applyBorder="1" applyAlignment="1">
      <alignment horizontal="center" vertical="center"/>
    </xf>
    <xf numFmtId="179" fontId="2" fillId="0" borderId="0" xfId="0" applyNumberFormat="1" applyFont="1" applyAlignment="1">
      <alignment horizontal="center"/>
    </xf>
    <xf numFmtId="179" fontId="2" fillId="0" borderId="7" xfId="0" applyNumberFormat="1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 wrapText="1"/>
    </xf>
    <xf numFmtId="176" fontId="2" fillId="0" borderId="7" xfId="0" applyNumberFormat="1" applyFont="1" applyBorder="1" applyAlignment="1">
      <alignment horizontal="left" vertical="center"/>
    </xf>
    <xf numFmtId="0" fontId="2" fillId="0" borderId="15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/>
    </xf>
    <xf numFmtId="179" fontId="2" fillId="0" borderId="16" xfId="0" applyNumberFormat="1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/>
    </xf>
    <xf numFmtId="178" fontId="6" fillId="0" borderId="19" xfId="0" applyNumberFormat="1" applyFont="1" applyBorder="1" applyAlignment="1">
      <alignment horizontal="right" vertical="center"/>
    </xf>
    <xf numFmtId="176" fontId="7" fillId="2" borderId="23" xfId="0" applyNumberFormat="1" applyFont="1" applyFill="1" applyBorder="1" applyAlignment="1">
      <alignment horizontal="right" vertical="center"/>
    </xf>
    <xf numFmtId="178" fontId="7" fillId="2" borderId="24" xfId="0" applyNumberFormat="1" applyFont="1" applyFill="1" applyBorder="1" applyAlignment="1">
      <alignment horizontal="right" vertical="center"/>
    </xf>
    <xf numFmtId="9" fontId="2" fillId="4" borderId="0" xfId="0" applyNumberFormat="1" applyFont="1" applyFill="1" applyAlignment="1">
      <alignment horizontal="center"/>
    </xf>
    <xf numFmtId="49" fontId="10" fillId="0" borderId="4" xfId="0" applyNumberFormat="1" applyFont="1" applyBorder="1" applyAlignment="1">
      <alignment horizontal="left" vertical="center"/>
    </xf>
    <xf numFmtId="49" fontId="8" fillId="0" borderId="13" xfId="0" applyNumberFormat="1" applyFont="1" applyBorder="1" applyAlignment="1">
      <alignment horizontal="left" vertical="center"/>
    </xf>
    <xf numFmtId="9" fontId="2" fillId="0" borderId="7" xfId="5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77" fontId="2" fillId="0" borderId="25" xfId="0" applyNumberFormat="1" applyFont="1" applyBorder="1" applyAlignment="1">
      <alignment horizontal="center" vertical="center" wrapText="1"/>
    </xf>
    <xf numFmtId="177" fontId="2" fillId="0" borderId="5" xfId="0" applyNumberFormat="1" applyFont="1" applyBorder="1" applyAlignment="1">
      <alignment horizontal="center" vertical="center" wrapText="1"/>
    </xf>
    <xf numFmtId="177" fontId="2" fillId="0" borderId="12" xfId="0" applyNumberFormat="1" applyFont="1" applyBorder="1" applyAlignment="1">
      <alignment horizontal="center" vertical="center" wrapText="1"/>
    </xf>
    <xf numFmtId="177" fontId="2" fillId="0" borderId="6" xfId="0" applyNumberFormat="1" applyFont="1" applyBorder="1" applyAlignment="1">
      <alignment horizontal="center" vertical="center" wrapText="1"/>
    </xf>
    <xf numFmtId="49" fontId="8" fillId="0" borderId="1" xfId="0" applyNumberFormat="1" applyFont="1" applyBorder="1" applyAlignment="1">
      <alignment horizontal="left" vertical="center"/>
    </xf>
    <xf numFmtId="176" fontId="8" fillId="0" borderId="1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vertical="center"/>
    </xf>
    <xf numFmtId="49" fontId="8" fillId="0" borderId="11" xfId="0" applyNumberFormat="1" applyFont="1" applyBorder="1" applyAlignment="1">
      <alignment horizontal="left" vertical="center"/>
    </xf>
    <xf numFmtId="0" fontId="8" fillId="0" borderId="4" xfId="0" applyFont="1" applyBorder="1" applyAlignment="1">
      <alignment vertical="center"/>
    </xf>
    <xf numFmtId="0" fontId="8" fillId="3" borderId="4" xfId="0" applyFont="1" applyFill="1" applyBorder="1" applyAlignment="1">
      <alignment vertical="center"/>
    </xf>
    <xf numFmtId="0" fontId="6" fillId="5" borderId="27" xfId="0" applyFont="1" applyFill="1" applyBorder="1" applyAlignment="1">
      <alignment horizontal="center" vertical="center" wrapText="1"/>
    </xf>
    <xf numFmtId="178" fontId="6" fillId="5" borderId="28" xfId="0" applyNumberFormat="1" applyFont="1" applyFill="1" applyBorder="1" applyAlignment="1">
      <alignment horizontal="right" vertical="center"/>
    </xf>
    <xf numFmtId="178" fontId="6" fillId="6" borderId="28" xfId="0" applyNumberFormat="1" applyFont="1" applyFill="1" applyBorder="1" applyAlignment="1">
      <alignment horizontal="right" vertical="center"/>
    </xf>
    <xf numFmtId="178" fontId="6" fillId="6" borderId="18" xfId="0" applyNumberFormat="1" applyFont="1" applyFill="1" applyBorder="1" applyAlignment="1">
      <alignment horizontal="right" vertical="center"/>
    </xf>
    <xf numFmtId="0" fontId="3" fillId="2" borderId="20" xfId="0" applyFont="1" applyFill="1" applyBorder="1" applyAlignment="1">
      <alignment horizontal="center" vertical="center"/>
    </xf>
    <xf numFmtId="0" fontId="3" fillId="2" borderId="21" xfId="0" applyFont="1" applyFill="1" applyBorder="1" applyAlignment="1">
      <alignment horizontal="center" vertical="center"/>
    </xf>
    <xf numFmtId="176" fontId="3" fillId="2" borderId="23" xfId="0" applyNumberFormat="1" applyFont="1" applyFill="1" applyBorder="1" applyAlignment="1">
      <alignment horizontal="right" vertical="center"/>
    </xf>
    <xf numFmtId="179" fontId="3" fillId="2" borderId="23" xfId="0" applyNumberFormat="1" applyFont="1" applyFill="1" applyBorder="1" applyAlignment="1">
      <alignment horizontal="center" vertical="center"/>
    </xf>
    <xf numFmtId="176" fontId="3" fillId="2" borderId="23" xfId="0" applyNumberFormat="1" applyFont="1" applyFill="1" applyBorder="1" applyAlignment="1">
      <alignment horizontal="center" vertical="center"/>
    </xf>
    <xf numFmtId="178" fontId="7" fillId="2" borderId="29" xfId="0" applyNumberFormat="1" applyFont="1" applyFill="1" applyBorder="1" applyAlignment="1">
      <alignment horizontal="right" vertical="center"/>
    </xf>
    <xf numFmtId="176" fontId="3" fillId="2" borderId="8" xfId="0" applyNumberFormat="1" applyFont="1" applyFill="1" applyBorder="1" applyAlignment="1">
      <alignment horizontal="left" vertical="center"/>
    </xf>
    <xf numFmtId="0" fontId="3" fillId="2" borderId="22" xfId="0" applyFont="1" applyFill="1" applyBorder="1" applyAlignment="1">
      <alignment horizontal="center" vertical="center"/>
    </xf>
    <xf numFmtId="176" fontId="6" fillId="7" borderId="31" xfId="0" applyNumberFormat="1" applyFont="1" applyFill="1" applyBorder="1" applyAlignment="1">
      <alignment horizontal="center"/>
    </xf>
    <xf numFmtId="41" fontId="0" fillId="0" borderId="0" xfId="4" applyFont="1" applyAlignment="1"/>
    <xf numFmtId="41" fontId="7" fillId="2" borderId="30" xfId="4" applyFont="1" applyFill="1" applyBorder="1" applyAlignment="1">
      <alignment horizontal="right" vertical="center"/>
    </xf>
    <xf numFmtId="176" fontId="9" fillId="0" borderId="1" xfId="4" applyNumberFormat="1" applyFont="1" applyFill="1" applyBorder="1" applyAlignment="1">
      <alignment horizontal="right" vertical="center"/>
    </xf>
    <xf numFmtId="41" fontId="6" fillId="6" borderId="18" xfId="4" applyFont="1" applyFill="1" applyBorder="1" applyAlignment="1">
      <alignment horizontal="right" vertical="center"/>
    </xf>
    <xf numFmtId="176" fontId="8" fillId="0" borderId="1" xfId="4" applyNumberFormat="1" applyFont="1" applyFill="1" applyBorder="1" applyAlignment="1">
      <alignment horizontal="right" vertical="center"/>
    </xf>
    <xf numFmtId="0" fontId="14" fillId="0" borderId="11" xfId="0" applyFont="1" applyBorder="1" applyAlignment="1">
      <alignment horizontal="center" vertical="center"/>
    </xf>
    <xf numFmtId="180" fontId="2" fillId="4" borderId="0" xfId="4" applyNumberFormat="1" applyFont="1" applyFill="1" applyAlignment="1">
      <alignment horizontal="center"/>
    </xf>
    <xf numFmtId="179" fontId="14" fillId="0" borderId="7" xfId="0" applyNumberFormat="1" applyFont="1" applyBorder="1" applyAlignment="1">
      <alignment horizontal="center" vertical="center"/>
    </xf>
    <xf numFmtId="181" fontId="13" fillId="7" borderId="31" xfId="5" applyNumberFormat="1" applyFont="1" applyFill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6" fillId="6" borderId="26" xfId="0" applyFont="1" applyFill="1" applyBorder="1" applyAlignment="1">
      <alignment horizontal="center" vertical="center" wrapText="1"/>
    </xf>
    <xf numFmtId="0" fontId="6" fillId="6" borderId="27" xfId="0" applyFont="1" applyFill="1" applyBorder="1" applyAlignment="1">
      <alignment horizontal="center" vertical="center" wrapText="1"/>
    </xf>
  </cellXfs>
  <cellStyles count="7">
    <cellStyle name="백분율" xfId="5" builtinId="5"/>
    <cellStyle name="쉼표 [0] 16" xfId="4" xr:uid="{501830E4-AB0D-4846-BE37-E62318F0FF31}"/>
    <cellStyle name="표준" xfId="0" builtinId="0"/>
    <cellStyle name="표준 19" xfId="3" xr:uid="{BC6EC4C1-2DAB-4508-9AD7-DB5D6290EB55}"/>
    <cellStyle name="표준 2 13" xfId="1" xr:uid="{D4280951-2DE7-447A-BA43-2590B492AE7D}"/>
    <cellStyle name="표준 3 10" xfId="6" xr:uid="{FD1CF958-9F34-473E-8ECD-212084CF9E1A}"/>
    <cellStyle name="표준 3 2" xfId="2" xr:uid="{9279EFEE-2365-4A5B-922C-71C1E140552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93F48-0F32-4F1C-A725-37C36C3D85F6}">
  <dimension ref="B1:AC111"/>
  <sheetViews>
    <sheetView tabSelected="1" view="pageBreakPreview" topLeftCell="B1" zoomScaleNormal="100" zoomScaleSheetLayoutView="100" workbookViewId="0">
      <pane ySplit="4" topLeftCell="A61" activePane="bottomLeft" state="frozen"/>
      <selection pane="bottomLeft" activeCell="G3" sqref="G3"/>
    </sheetView>
  </sheetViews>
  <sheetFormatPr defaultRowHeight="15.75" x14ac:dyDescent="0.55000000000000004"/>
  <cols>
    <col min="1" max="1" width="1" customWidth="1"/>
    <col min="2" max="2" width="5.3515625" style="1" customWidth="1"/>
    <col min="3" max="4" width="9.64453125" style="1" customWidth="1"/>
    <col min="5" max="5" width="5.87890625" style="1" customWidth="1"/>
    <col min="6" max="6" width="24.234375" style="2" bestFit="1" customWidth="1"/>
    <col min="7" max="7" width="32.41015625" style="2" customWidth="1"/>
    <col min="8" max="8" width="12" style="2" customWidth="1"/>
    <col min="9" max="9" width="16.41015625" style="2" customWidth="1"/>
    <col min="10" max="10" width="4.234375" style="2" customWidth="1"/>
    <col min="11" max="11" width="9.76171875" style="2" customWidth="1"/>
    <col min="12" max="12" width="6.87890625" style="6" customWidth="1"/>
    <col min="13" max="13" width="9.76171875" style="1" customWidth="1"/>
    <col min="14" max="14" width="11.76171875" style="1" customWidth="1"/>
    <col min="15" max="15" width="9.52734375" style="34" customWidth="1"/>
    <col min="16" max="16" width="10.52734375" style="1" customWidth="1"/>
    <col min="17" max="17" width="6.64453125" style="1" customWidth="1"/>
    <col min="18" max="18" width="6.1171875" style="1" customWidth="1"/>
    <col min="19" max="25" width="11.76171875" style="1" customWidth="1"/>
    <col min="26" max="26" width="17.76171875" style="10" customWidth="1"/>
    <col min="27" max="27" width="16.41015625" style="1" customWidth="1"/>
    <col min="28" max="28" width="10.41015625" style="6" customWidth="1"/>
    <col min="29" max="29" width="12.64453125" bestFit="1" customWidth="1"/>
  </cols>
  <sheetData>
    <row r="1" spans="2:29" ht="4.5" customHeight="1" x14ac:dyDescent="0.55000000000000004"/>
    <row r="2" spans="2:29" ht="38.25" customHeight="1" x14ac:dyDescent="0.3">
      <c r="B2" s="85" t="s">
        <v>4</v>
      </c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  <c r="R2" s="85"/>
      <c r="S2" s="85"/>
      <c r="T2" s="85"/>
      <c r="U2" s="85"/>
      <c r="V2" s="85"/>
      <c r="W2" s="85"/>
      <c r="X2" s="85"/>
      <c r="Y2" s="85"/>
      <c r="Z2" s="85"/>
      <c r="AA2" s="85"/>
      <c r="AB2" s="85"/>
    </row>
    <row r="3" spans="2:29" ht="33.75" customHeight="1" thickBot="1" x14ac:dyDescent="0.6">
      <c r="S3" s="48">
        <v>2</v>
      </c>
      <c r="U3" s="82">
        <v>1375.22</v>
      </c>
    </row>
    <row r="4" spans="2:29" ht="45" customHeight="1" thickTop="1" thickBot="1" x14ac:dyDescent="0.35">
      <c r="B4" s="38" t="s">
        <v>12</v>
      </c>
      <c r="C4" s="39" t="s">
        <v>216</v>
      </c>
      <c r="D4" s="39" t="s">
        <v>215</v>
      </c>
      <c r="E4" s="39" t="s">
        <v>19</v>
      </c>
      <c r="F4" s="40" t="s">
        <v>3</v>
      </c>
      <c r="G4" s="40" t="s">
        <v>0</v>
      </c>
      <c r="H4" s="40" t="s">
        <v>6</v>
      </c>
      <c r="I4" s="40" t="s">
        <v>5</v>
      </c>
      <c r="J4" s="39" t="s">
        <v>10</v>
      </c>
      <c r="K4" s="39" t="s">
        <v>18</v>
      </c>
      <c r="L4" s="39" t="s">
        <v>7</v>
      </c>
      <c r="M4" s="39" t="s">
        <v>8</v>
      </c>
      <c r="N4" s="39" t="s">
        <v>9</v>
      </c>
      <c r="O4" s="41" t="s">
        <v>32</v>
      </c>
      <c r="P4" s="39" t="s">
        <v>208</v>
      </c>
      <c r="Q4" s="39" t="s">
        <v>210</v>
      </c>
      <c r="R4" s="39" t="s">
        <v>211</v>
      </c>
      <c r="S4" s="39" t="s">
        <v>14</v>
      </c>
      <c r="T4" s="39" t="s">
        <v>15</v>
      </c>
      <c r="U4" s="42" t="s">
        <v>16</v>
      </c>
      <c r="V4" s="43" t="s">
        <v>17</v>
      </c>
      <c r="W4" s="86" t="s">
        <v>213</v>
      </c>
      <c r="X4" s="87"/>
      <c r="Y4" s="63" t="s">
        <v>209</v>
      </c>
      <c r="Z4" s="36" t="s">
        <v>13</v>
      </c>
      <c r="AA4" s="15" t="s">
        <v>46</v>
      </c>
      <c r="AB4" s="16" t="s">
        <v>2</v>
      </c>
    </row>
    <row r="5" spans="2:29" ht="20.100000000000001" customHeight="1" thickTop="1" x14ac:dyDescent="0.3">
      <c r="B5" s="44">
        <v>1</v>
      </c>
      <c r="C5" s="8" t="s">
        <v>53</v>
      </c>
      <c r="D5" s="17"/>
      <c r="E5" s="17">
        <v>1</v>
      </c>
      <c r="F5" s="57" t="s">
        <v>39</v>
      </c>
      <c r="G5" s="57" t="s">
        <v>95</v>
      </c>
      <c r="H5" s="14" t="s">
        <v>36</v>
      </c>
      <c r="I5" s="14" t="s">
        <v>29</v>
      </c>
      <c r="J5" s="20" t="s">
        <v>11</v>
      </c>
      <c r="K5" s="21" t="s">
        <v>157</v>
      </c>
      <c r="L5" s="23">
        <v>32</v>
      </c>
      <c r="M5" s="78">
        <v>6190</v>
      </c>
      <c r="N5" s="22">
        <f t="shared" ref="N5:N36" si="0">L5*M5</f>
        <v>198080</v>
      </c>
      <c r="O5" s="35" t="s">
        <v>170</v>
      </c>
      <c r="P5" s="13" t="s">
        <v>179</v>
      </c>
      <c r="Q5" s="51">
        <v>0.1</v>
      </c>
      <c r="R5" s="51">
        <v>0.08</v>
      </c>
      <c r="S5" s="5">
        <f t="shared" ref="S5:S36" si="1">++IF(Q5=0,M5*$S$3,M5)</f>
        <v>6190</v>
      </c>
      <c r="T5" s="5">
        <f t="shared" ref="T5:T36" si="2">++L5*S5</f>
        <v>198080</v>
      </c>
      <c r="U5" s="12">
        <f t="shared" ref="U5:U36" si="3">++ROUND(S5/$U$3,2)</f>
        <v>4.5</v>
      </c>
      <c r="V5" s="45">
        <f t="shared" ref="V5:V36" si="4">++L5*U5</f>
        <v>144</v>
      </c>
      <c r="W5" s="79">
        <f t="shared" ref="W5:W36" si="5">++T5*Q5</f>
        <v>19808</v>
      </c>
      <c r="X5" s="65">
        <f t="shared" ref="X5:X36" si="6">++ROUND(W5/$U$3,2)</f>
        <v>14.4</v>
      </c>
      <c r="Y5" s="64">
        <f t="shared" ref="Y5:Y36" si="7">++V5+X5</f>
        <v>158.4</v>
      </c>
      <c r="Z5" s="37"/>
      <c r="AA5" s="52"/>
      <c r="AB5" s="56"/>
      <c r="AC5" s="76"/>
    </row>
    <row r="6" spans="2:29" ht="20.100000000000001" customHeight="1" x14ac:dyDescent="0.3">
      <c r="B6" s="44">
        <v>2</v>
      </c>
      <c r="C6" s="8" t="s">
        <v>53</v>
      </c>
      <c r="D6" s="17"/>
      <c r="E6" s="17">
        <v>1</v>
      </c>
      <c r="F6" s="14" t="s">
        <v>31</v>
      </c>
      <c r="G6" s="14" t="s">
        <v>96</v>
      </c>
      <c r="H6" s="14" t="s">
        <v>36</v>
      </c>
      <c r="I6" s="14" t="s">
        <v>29</v>
      </c>
      <c r="J6" s="20" t="s">
        <v>11</v>
      </c>
      <c r="K6" s="21" t="s">
        <v>157</v>
      </c>
      <c r="L6" s="23">
        <v>16</v>
      </c>
      <c r="M6" s="78">
        <v>510</v>
      </c>
      <c r="N6" s="22">
        <f t="shared" si="0"/>
        <v>8160</v>
      </c>
      <c r="O6" s="35" t="s">
        <v>170</v>
      </c>
      <c r="P6" s="13" t="s">
        <v>193</v>
      </c>
      <c r="Q6" s="51">
        <v>0</v>
      </c>
      <c r="R6" s="51">
        <v>0.1</v>
      </c>
      <c r="S6" s="5">
        <f t="shared" si="1"/>
        <v>1020</v>
      </c>
      <c r="T6" s="5">
        <f t="shared" si="2"/>
        <v>16320</v>
      </c>
      <c r="U6" s="12">
        <f t="shared" si="3"/>
        <v>0.74</v>
      </c>
      <c r="V6" s="45">
        <f t="shared" si="4"/>
        <v>11.84</v>
      </c>
      <c r="W6" s="79">
        <f t="shared" si="5"/>
        <v>0</v>
      </c>
      <c r="X6" s="65">
        <f t="shared" si="6"/>
        <v>0</v>
      </c>
      <c r="Y6" s="64">
        <f t="shared" si="7"/>
        <v>11.84</v>
      </c>
      <c r="Z6" s="37"/>
      <c r="AA6" s="52"/>
      <c r="AB6" s="56"/>
    </row>
    <row r="7" spans="2:29" ht="20.100000000000001" customHeight="1" x14ac:dyDescent="0.3">
      <c r="B7" s="44">
        <v>3</v>
      </c>
      <c r="C7" s="8" t="s">
        <v>53</v>
      </c>
      <c r="D7" s="17"/>
      <c r="E7" s="17">
        <v>1</v>
      </c>
      <c r="F7" s="57" t="s">
        <v>30</v>
      </c>
      <c r="G7" s="57" t="s">
        <v>98</v>
      </c>
      <c r="H7" s="14" t="s">
        <v>36</v>
      </c>
      <c r="I7" s="14" t="s">
        <v>29</v>
      </c>
      <c r="J7" s="20" t="s">
        <v>11</v>
      </c>
      <c r="K7" s="21" t="s">
        <v>157</v>
      </c>
      <c r="L7" s="23">
        <v>32</v>
      </c>
      <c r="M7" s="78">
        <v>81420</v>
      </c>
      <c r="N7" s="22">
        <f t="shared" si="0"/>
        <v>2605440</v>
      </c>
      <c r="O7" s="35" t="s">
        <v>170</v>
      </c>
      <c r="P7" s="13" t="s">
        <v>184</v>
      </c>
      <c r="Q7" s="51">
        <v>0.1</v>
      </c>
      <c r="R7" s="51">
        <v>0.08</v>
      </c>
      <c r="S7" s="5">
        <f t="shared" si="1"/>
        <v>81420</v>
      </c>
      <c r="T7" s="5">
        <f t="shared" si="2"/>
        <v>2605440</v>
      </c>
      <c r="U7" s="12">
        <f t="shared" si="3"/>
        <v>59.21</v>
      </c>
      <c r="V7" s="45">
        <f t="shared" si="4"/>
        <v>1894.72</v>
      </c>
      <c r="W7" s="79">
        <f t="shared" si="5"/>
        <v>260544</v>
      </c>
      <c r="X7" s="65">
        <f t="shared" si="6"/>
        <v>189.46</v>
      </c>
      <c r="Y7" s="64">
        <f t="shared" si="7"/>
        <v>2084.1799999999998</v>
      </c>
      <c r="Z7" s="37"/>
      <c r="AA7" s="52"/>
      <c r="AB7" s="56"/>
      <c r="AC7" s="76"/>
    </row>
    <row r="8" spans="2:29" ht="20.100000000000001" customHeight="1" x14ac:dyDescent="0.3">
      <c r="B8" s="44">
        <v>4</v>
      </c>
      <c r="C8" s="8" t="s">
        <v>53</v>
      </c>
      <c r="D8" s="17"/>
      <c r="E8" s="17">
        <v>1</v>
      </c>
      <c r="F8" s="57" t="s">
        <v>30</v>
      </c>
      <c r="G8" s="57" t="s">
        <v>99</v>
      </c>
      <c r="H8" s="14" t="s">
        <v>36</v>
      </c>
      <c r="I8" s="14" t="s">
        <v>29</v>
      </c>
      <c r="J8" s="20" t="s">
        <v>11</v>
      </c>
      <c r="K8" s="21" t="s">
        <v>157</v>
      </c>
      <c r="L8" s="23">
        <v>32</v>
      </c>
      <c r="M8" s="78">
        <v>185530</v>
      </c>
      <c r="N8" s="22">
        <f t="shared" si="0"/>
        <v>5936960</v>
      </c>
      <c r="O8" s="35" t="s">
        <v>170</v>
      </c>
      <c r="P8" s="13" t="s">
        <v>184</v>
      </c>
      <c r="Q8" s="51">
        <v>0.1</v>
      </c>
      <c r="R8" s="51">
        <v>0.08</v>
      </c>
      <c r="S8" s="5">
        <f t="shared" si="1"/>
        <v>185530</v>
      </c>
      <c r="T8" s="5">
        <f t="shared" si="2"/>
        <v>5936960</v>
      </c>
      <c r="U8" s="12">
        <f t="shared" si="3"/>
        <v>134.91</v>
      </c>
      <c r="V8" s="45">
        <f t="shared" si="4"/>
        <v>4317.12</v>
      </c>
      <c r="W8" s="79">
        <f t="shared" si="5"/>
        <v>593696</v>
      </c>
      <c r="X8" s="65">
        <f t="shared" si="6"/>
        <v>431.71</v>
      </c>
      <c r="Y8" s="64">
        <f t="shared" si="7"/>
        <v>4748.83</v>
      </c>
      <c r="Z8" s="37"/>
      <c r="AA8" s="52"/>
      <c r="AB8" s="56"/>
      <c r="AC8" s="76"/>
    </row>
    <row r="9" spans="2:29" ht="20.100000000000001" customHeight="1" x14ac:dyDescent="0.3">
      <c r="B9" s="44">
        <v>5</v>
      </c>
      <c r="C9" s="8" t="s">
        <v>53</v>
      </c>
      <c r="D9" s="17"/>
      <c r="E9" s="17">
        <v>1</v>
      </c>
      <c r="F9" s="57" t="s">
        <v>51</v>
      </c>
      <c r="G9" s="57" t="s">
        <v>100</v>
      </c>
      <c r="H9" s="14" t="s">
        <v>36</v>
      </c>
      <c r="I9" s="14" t="s">
        <v>29</v>
      </c>
      <c r="J9" s="20" t="s">
        <v>11</v>
      </c>
      <c r="K9" s="21" t="s">
        <v>157</v>
      </c>
      <c r="L9" s="23">
        <v>16</v>
      </c>
      <c r="M9" s="78">
        <v>1280</v>
      </c>
      <c r="N9" s="22">
        <f t="shared" si="0"/>
        <v>20480</v>
      </c>
      <c r="O9" s="35" t="s">
        <v>170</v>
      </c>
      <c r="P9" s="13" t="s">
        <v>182</v>
      </c>
      <c r="Q9" s="51">
        <v>0.1</v>
      </c>
      <c r="R9" s="51">
        <v>0.1</v>
      </c>
      <c r="S9" s="5">
        <f t="shared" si="1"/>
        <v>1280</v>
      </c>
      <c r="T9" s="5">
        <f t="shared" si="2"/>
        <v>20480</v>
      </c>
      <c r="U9" s="12">
        <f t="shared" si="3"/>
        <v>0.93</v>
      </c>
      <c r="V9" s="45">
        <f t="shared" si="4"/>
        <v>14.88</v>
      </c>
      <c r="W9" s="79">
        <f t="shared" si="5"/>
        <v>2048</v>
      </c>
      <c r="X9" s="65">
        <f t="shared" si="6"/>
        <v>1.49</v>
      </c>
      <c r="Y9" s="64">
        <f t="shared" si="7"/>
        <v>16.37</v>
      </c>
      <c r="Z9" s="37"/>
      <c r="AA9" s="52"/>
      <c r="AB9" s="56"/>
      <c r="AC9" s="76"/>
    </row>
    <row r="10" spans="2:29" ht="20.100000000000001" customHeight="1" x14ac:dyDescent="0.3">
      <c r="B10" s="44">
        <v>6</v>
      </c>
      <c r="C10" s="8" t="s">
        <v>53</v>
      </c>
      <c r="D10" s="17"/>
      <c r="E10" s="17">
        <v>1</v>
      </c>
      <c r="F10" s="57" t="s">
        <v>50</v>
      </c>
      <c r="G10" s="57" t="s">
        <v>106</v>
      </c>
      <c r="H10" s="14" t="s">
        <v>36</v>
      </c>
      <c r="I10" s="14" t="s">
        <v>29</v>
      </c>
      <c r="J10" s="20" t="s">
        <v>11</v>
      </c>
      <c r="K10" s="21" t="s">
        <v>157</v>
      </c>
      <c r="L10" s="23">
        <v>32</v>
      </c>
      <c r="M10" s="78">
        <v>14930</v>
      </c>
      <c r="N10" s="22">
        <f t="shared" si="0"/>
        <v>477760</v>
      </c>
      <c r="O10" s="35" t="s">
        <v>170</v>
      </c>
      <c r="P10" s="13" t="s">
        <v>195</v>
      </c>
      <c r="Q10" s="51">
        <v>0.15</v>
      </c>
      <c r="R10" s="51">
        <v>0.1</v>
      </c>
      <c r="S10" s="5">
        <f t="shared" si="1"/>
        <v>14930</v>
      </c>
      <c r="T10" s="5">
        <f t="shared" si="2"/>
        <v>477760</v>
      </c>
      <c r="U10" s="12">
        <f t="shared" si="3"/>
        <v>10.86</v>
      </c>
      <c r="V10" s="45">
        <f t="shared" si="4"/>
        <v>347.52</v>
      </c>
      <c r="W10" s="79">
        <f t="shared" si="5"/>
        <v>71664</v>
      </c>
      <c r="X10" s="65">
        <f t="shared" si="6"/>
        <v>52.11</v>
      </c>
      <c r="Y10" s="64">
        <f t="shared" si="7"/>
        <v>399.63</v>
      </c>
      <c r="Z10" s="37"/>
      <c r="AA10" s="52"/>
      <c r="AB10" s="56"/>
      <c r="AC10" s="76"/>
    </row>
    <row r="11" spans="2:29" ht="20.100000000000001" customHeight="1" x14ac:dyDescent="0.3">
      <c r="B11" s="44">
        <v>7</v>
      </c>
      <c r="C11" s="8" t="s">
        <v>53</v>
      </c>
      <c r="D11" s="17"/>
      <c r="E11" s="17">
        <v>1</v>
      </c>
      <c r="F11" s="57" t="s">
        <v>49</v>
      </c>
      <c r="G11" s="57" t="s">
        <v>38</v>
      </c>
      <c r="H11" s="14" t="s">
        <v>36</v>
      </c>
      <c r="I11" s="14" t="s">
        <v>29</v>
      </c>
      <c r="J11" s="20" t="s">
        <v>11</v>
      </c>
      <c r="K11" s="21" t="s">
        <v>157</v>
      </c>
      <c r="L11" s="23">
        <v>96</v>
      </c>
      <c r="M11" s="78">
        <v>300</v>
      </c>
      <c r="N11" s="22">
        <f t="shared" si="0"/>
        <v>28800</v>
      </c>
      <c r="O11" s="35" t="s">
        <v>170</v>
      </c>
      <c r="P11" s="13" t="s">
        <v>182</v>
      </c>
      <c r="Q11" s="51">
        <v>0.1</v>
      </c>
      <c r="R11" s="51">
        <v>0.1</v>
      </c>
      <c r="S11" s="5">
        <f t="shared" si="1"/>
        <v>300</v>
      </c>
      <c r="T11" s="5">
        <f t="shared" si="2"/>
        <v>28800</v>
      </c>
      <c r="U11" s="12">
        <f t="shared" si="3"/>
        <v>0.22</v>
      </c>
      <c r="V11" s="45">
        <f t="shared" si="4"/>
        <v>21.12</v>
      </c>
      <c r="W11" s="79">
        <f t="shared" si="5"/>
        <v>2880</v>
      </c>
      <c r="X11" s="65">
        <f t="shared" si="6"/>
        <v>2.09</v>
      </c>
      <c r="Y11" s="64">
        <f t="shared" si="7"/>
        <v>23.21</v>
      </c>
      <c r="Z11" s="37"/>
      <c r="AA11" s="52"/>
      <c r="AB11" s="56"/>
      <c r="AC11" s="76"/>
    </row>
    <row r="12" spans="2:29" ht="20.100000000000001" customHeight="1" x14ac:dyDescent="0.3">
      <c r="B12" s="44">
        <v>8</v>
      </c>
      <c r="C12" s="8" t="s">
        <v>53</v>
      </c>
      <c r="D12" s="17"/>
      <c r="E12" s="17">
        <v>1</v>
      </c>
      <c r="F12" s="57" t="s">
        <v>97</v>
      </c>
      <c r="G12" s="57" t="s">
        <v>107</v>
      </c>
      <c r="H12" s="14" t="s">
        <v>36</v>
      </c>
      <c r="I12" s="14" t="s">
        <v>29</v>
      </c>
      <c r="J12" s="20" t="s">
        <v>11</v>
      </c>
      <c r="K12" s="21" t="s">
        <v>157</v>
      </c>
      <c r="L12" s="23">
        <v>8</v>
      </c>
      <c r="M12" s="78">
        <v>40470</v>
      </c>
      <c r="N12" s="22">
        <f t="shared" si="0"/>
        <v>323760</v>
      </c>
      <c r="O12" s="35" t="s">
        <v>170</v>
      </c>
      <c r="P12" s="13" t="s">
        <v>191</v>
      </c>
      <c r="Q12" s="51">
        <v>0</v>
      </c>
      <c r="R12" s="51">
        <v>0.1</v>
      </c>
      <c r="S12" s="5">
        <f t="shared" si="1"/>
        <v>80940</v>
      </c>
      <c r="T12" s="5">
        <f t="shared" si="2"/>
        <v>647520</v>
      </c>
      <c r="U12" s="12">
        <f t="shared" si="3"/>
        <v>58.86</v>
      </c>
      <c r="V12" s="45">
        <f t="shared" si="4"/>
        <v>470.88</v>
      </c>
      <c r="W12" s="79">
        <f t="shared" si="5"/>
        <v>0</v>
      </c>
      <c r="X12" s="65">
        <f t="shared" si="6"/>
        <v>0</v>
      </c>
      <c r="Y12" s="64">
        <f t="shared" si="7"/>
        <v>470.88</v>
      </c>
      <c r="Z12" s="37"/>
      <c r="AA12" s="52"/>
      <c r="AB12" s="56"/>
    </row>
    <row r="13" spans="2:29" ht="20.100000000000001" customHeight="1" x14ac:dyDescent="0.3">
      <c r="B13" s="44">
        <v>9</v>
      </c>
      <c r="C13" s="8" t="s">
        <v>53</v>
      </c>
      <c r="D13" s="17"/>
      <c r="E13" s="17">
        <v>1</v>
      </c>
      <c r="F13" s="57" t="s">
        <v>108</v>
      </c>
      <c r="G13" s="57" t="s">
        <v>109</v>
      </c>
      <c r="H13" s="14" t="s">
        <v>36</v>
      </c>
      <c r="I13" s="14" t="s">
        <v>29</v>
      </c>
      <c r="J13" s="20" t="s">
        <v>11</v>
      </c>
      <c r="K13" s="21" t="s">
        <v>157</v>
      </c>
      <c r="L13" s="23">
        <v>8</v>
      </c>
      <c r="M13" s="78">
        <v>4850</v>
      </c>
      <c r="N13" s="22">
        <f t="shared" si="0"/>
        <v>38800</v>
      </c>
      <c r="O13" s="35" t="s">
        <v>170</v>
      </c>
      <c r="P13" s="13" t="s">
        <v>199</v>
      </c>
      <c r="Q13" s="51">
        <v>0.17</v>
      </c>
      <c r="R13" s="51">
        <v>0.1</v>
      </c>
      <c r="S13" s="5">
        <f t="shared" si="1"/>
        <v>4850</v>
      </c>
      <c r="T13" s="5">
        <f t="shared" si="2"/>
        <v>38800</v>
      </c>
      <c r="U13" s="12">
        <f t="shared" si="3"/>
        <v>3.53</v>
      </c>
      <c r="V13" s="45">
        <f t="shared" si="4"/>
        <v>28.24</v>
      </c>
      <c r="W13" s="79">
        <f t="shared" si="5"/>
        <v>6596.0000000000009</v>
      </c>
      <c r="X13" s="65">
        <f t="shared" si="6"/>
        <v>4.8</v>
      </c>
      <c r="Y13" s="64">
        <f t="shared" si="7"/>
        <v>33.04</v>
      </c>
      <c r="Z13" s="37"/>
      <c r="AA13" s="52"/>
      <c r="AB13" s="56"/>
      <c r="AC13" s="76"/>
    </row>
    <row r="14" spans="2:29" ht="20.100000000000001" customHeight="1" x14ac:dyDescent="0.3">
      <c r="B14" s="44">
        <v>10</v>
      </c>
      <c r="C14" s="8" t="s">
        <v>53</v>
      </c>
      <c r="D14" s="17"/>
      <c r="E14" s="17">
        <v>1</v>
      </c>
      <c r="F14" s="57" t="s">
        <v>37</v>
      </c>
      <c r="G14" s="57" t="s">
        <v>110</v>
      </c>
      <c r="H14" s="14" t="s">
        <v>36</v>
      </c>
      <c r="I14" s="14" t="s">
        <v>29</v>
      </c>
      <c r="J14" s="20" t="s">
        <v>11</v>
      </c>
      <c r="K14" s="21" t="s">
        <v>157</v>
      </c>
      <c r="L14" s="23">
        <v>8</v>
      </c>
      <c r="M14" s="78">
        <v>2190</v>
      </c>
      <c r="N14" s="22">
        <f t="shared" si="0"/>
        <v>17520</v>
      </c>
      <c r="O14" s="35" t="s">
        <v>170</v>
      </c>
      <c r="P14" s="13" t="s">
        <v>200</v>
      </c>
      <c r="Q14" s="51">
        <v>0.15</v>
      </c>
      <c r="R14" s="51">
        <v>0.1</v>
      </c>
      <c r="S14" s="5">
        <f t="shared" si="1"/>
        <v>2190</v>
      </c>
      <c r="T14" s="5">
        <f t="shared" si="2"/>
        <v>17520</v>
      </c>
      <c r="U14" s="12">
        <f t="shared" si="3"/>
        <v>1.59</v>
      </c>
      <c r="V14" s="45">
        <f t="shared" si="4"/>
        <v>12.72</v>
      </c>
      <c r="W14" s="79">
        <f t="shared" si="5"/>
        <v>2628</v>
      </c>
      <c r="X14" s="65">
        <f t="shared" si="6"/>
        <v>1.91</v>
      </c>
      <c r="Y14" s="64">
        <f t="shared" si="7"/>
        <v>14.63</v>
      </c>
      <c r="Z14" s="37"/>
      <c r="AA14" s="52"/>
      <c r="AB14" s="56"/>
      <c r="AC14" s="76"/>
    </row>
    <row r="15" spans="2:29" ht="20.100000000000001" customHeight="1" x14ac:dyDescent="0.3">
      <c r="B15" s="44">
        <v>11</v>
      </c>
      <c r="C15" s="8" t="s">
        <v>53</v>
      </c>
      <c r="D15" s="17"/>
      <c r="E15" s="17">
        <v>1</v>
      </c>
      <c r="F15" s="57" t="s">
        <v>111</v>
      </c>
      <c r="G15" s="57" t="s">
        <v>112</v>
      </c>
      <c r="H15" s="14" t="s">
        <v>36</v>
      </c>
      <c r="I15" s="14" t="s">
        <v>29</v>
      </c>
      <c r="J15" s="20" t="s">
        <v>11</v>
      </c>
      <c r="K15" s="21" t="s">
        <v>157</v>
      </c>
      <c r="L15" s="23">
        <v>136</v>
      </c>
      <c r="M15" s="78">
        <v>26460</v>
      </c>
      <c r="N15" s="22">
        <f t="shared" si="0"/>
        <v>3598560</v>
      </c>
      <c r="O15" s="35" t="s">
        <v>170</v>
      </c>
      <c r="P15" s="13" t="s">
        <v>179</v>
      </c>
      <c r="Q15" s="51">
        <v>0.1</v>
      </c>
      <c r="R15" s="51">
        <v>0.08</v>
      </c>
      <c r="S15" s="5">
        <f t="shared" si="1"/>
        <v>26460</v>
      </c>
      <c r="T15" s="5">
        <f t="shared" si="2"/>
        <v>3598560</v>
      </c>
      <c r="U15" s="12">
        <f t="shared" si="3"/>
        <v>19.239999999999998</v>
      </c>
      <c r="V15" s="45">
        <f t="shared" si="4"/>
        <v>2616.64</v>
      </c>
      <c r="W15" s="79">
        <f t="shared" si="5"/>
        <v>359856</v>
      </c>
      <c r="X15" s="65">
        <f t="shared" si="6"/>
        <v>261.67</v>
      </c>
      <c r="Y15" s="64">
        <f t="shared" si="7"/>
        <v>2878.31</v>
      </c>
      <c r="Z15" s="37"/>
      <c r="AA15" s="52"/>
      <c r="AB15" s="56"/>
      <c r="AC15" s="76"/>
    </row>
    <row r="16" spans="2:29" ht="20.100000000000001" customHeight="1" x14ac:dyDescent="0.3">
      <c r="B16" s="44">
        <v>12</v>
      </c>
      <c r="C16" s="8" t="s">
        <v>53</v>
      </c>
      <c r="D16" s="17"/>
      <c r="E16" s="17">
        <v>1</v>
      </c>
      <c r="F16" s="57" t="s">
        <v>111</v>
      </c>
      <c r="G16" s="57" t="s">
        <v>113</v>
      </c>
      <c r="H16" s="14" t="s">
        <v>36</v>
      </c>
      <c r="I16" s="14" t="s">
        <v>29</v>
      </c>
      <c r="J16" s="20" t="s">
        <v>11</v>
      </c>
      <c r="K16" s="21" t="s">
        <v>157</v>
      </c>
      <c r="L16" s="23">
        <v>104</v>
      </c>
      <c r="M16" s="78">
        <v>26460</v>
      </c>
      <c r="N16" s="22">
        <f t="shared" si="0"/>
        <v>2751840</v>
      </c>
      <c r="O16" s="35" t="s">
        <v>170</v>
      </c>
      <c r="P16" s="13" t="s">
        <v>179</v>
      </c>
      <c r="Q16" s="51">
        <v>0.1</v>
      </c>
      <c r="R16" s="51">
        <v>0.08</v>
      </c>
      <c r="S16" s="5">
        <f t="shared" si="1"/>
        <v>26460</v>
      </c>
      <c r="T16" s="5">
        <f t="shared" si="2"/>
        <v>2751840</v>
      </c>
      <c r="U16" s="12">
        <f t="shared" si="3"/>
        <v>19.239999999999998</v>
      </c>
      <c r="V16" s="45">
        <f t="shared" si="4"/>
        <v>2000.9599999999998</v>
      </c>
      <c r="W16" s="79">
        <f t="shared" si="5"/>
        <v>275184</v>
      </c>
      <c r="X16" s="65">
        <f t="shared" si="6"/>
        <v>200.1</v>
      </c>
      <c r="Y16" s="64">
        <f t="shared" si="7"/>
        <v>2201.06</v>
      </c>
      <c r="Z16" s="37"/>
      <c r="AA16" s="52"/>
      <c r="AB16" s="56"/>
      <c r="AC16" s="76"/>
    </row>
    <row r="17" spans="2:29" ht="20.100000000000001" customHeight="1" x14ac:dyDescent="0.3">
      <c r="B17" s="44">
        <v>13</v>
      </c>
      <c r="C17" s="8" t="s">
        <v>53</v>
      </c>
      <c r="D17" s="17"/>
      <c r="E17" s="17">
        <v>1</v>
      </c>
      <c r="F17" s="57" t="s">
        <v>30</v>
      </c>
      <c r="G17" s="57" t="s">
        <v>114</v>
      </c>
      <c r="H17" s="14" t="s">
        <v>36</v>
      </c>
      <c r="I17" s="14" t="s">
        <v>29</v>
      </c>
      <c r="J17" s="20" t="s">
        <v>11</v>
      </c>
      <c r="K17" s="21" t="s">
        <v>157</v>
      </c>
      <c r="L17" s="23">
        <v>24</v>
      </c>
      <c r="M17" s="78">
        <v>72450</v>
      </c>
      <c r="N17" s="22">
        <f t="shared" si="0"/>
        <v>1738800</v>
      </c>
      <c r="O17" s="35" t="s">
        <v>170</v>
      </c>
      <c r="P17" s="13" t="s">
        <v>184</v>
      </c>
      <c r="Q17" s="51">
        <v>0.1</v>
      </c>
      <c r="R17" s="51">
        <v>0.08</v>
      </c>
      <c r="S17" s="5">
        <f t="shared" si="1"/>
        <v>72450</v>
      </c>
      <c r="T17" s="5">
        <f t="shared" si="2"/>
        <v>1738800</v>
      </c>
      <c r="U17" s="12">
        <f t="shared" si="3"/>
        <v>52.68</v>
      </c>
      <c r="V17" s="45">
        <f t="shared" si="4"/>
        <v>1264.32</v>
      </c>
      <c r="W17" s="79">
        <f t="shared" si="5"/>
        <v>173880</v>
      </c>
      <c r="X17" s="65">
        <f t="shared" si="6"/>
        <v>126.44</v>
      </c>
      <c r="Y17" s="64">
        <f t="shared" si="7"/>
        <v>1390.76</v>
      </c>
      <c r="Z17" s="37"/>
      <c r="AA17" s="52"/>
      <c r="AB17" s="56"/>
      <c r="AC17" s="76"/>
    </row>
    <row r="18" spans="2:29" ht="20.100000000000001" customHeight="1" x14ac:dyDescent="0.3">
      <c r="B18" s="44">
        <v>14</v>
      </c>
      <c r="C18" s="8" t="s">
        <v>53</v>
      </c>
      <c r="D18" s="17"/>
      <c r="E18" s="17">
        <v>1</v>
      </c>
      <c r="F18" s="57" t="s">
        <v>30</v>
      </c>
      <c r="G18" s="57" t="s">
        <v>115</v>
      </c>
      <c r="H18" s="14" t="s">
        <v>36</v>
      </c>
      <c r="I18" s="14" t="s">
        <v>29</v>
      </c>
      <c r="J18" s="20" t="s">
        <v>11</v>
      </c>
      <c r="K18" s="21" t="s">
        <v>157</v>
      </c>
      <c r="L18" s="23">
        <v>8</v>
      </c>
      <c r="M18" s="78">
        <v>158590</v>
      </c>
      <c r="N18" s="22">
        <f t="shared" si="0"/>
        <v>1268720</v>
      </c>
      <c r="O18" s="35" t="s">
        <v>170</v>
      </c>
      <c r="P18" s="13" t="s">
        <v>184</v>
      </c>
      <c r="Q18" s="51">
        <v>0.1</v>
      </c>
      <c r="R18" s="51">
        <v>0.08</v>
      </c>
      <c r="S18" s="5">
        <f t="shared" si="1"/>
        <v>158590</v>
      </c>
      <c r="T18" s="5">
        <f t="shared" si="2"/>
        <v>1268720</v>
      </c>
      <c r="U18" s="12">
        <f t="shared" si="3"/>
        <v>115.32</v>
      </c>
      <c r="V18" s="45">
        <f t="shared" si="4"/>
        <v>922.56</v>
      </c>
      <c r="W18" s="79">
        <f t="shared" si="5"/>
        <v>126872</v>
      </c>
      <c r="X18" s="65">
        <f t="shared" si="6"/>
        <v>92.26</v>
      </c>
      <c r="Y18" s="64">
        <f t="shared" si="7"/>
        <v>1014.8199999999999</v>
      </c>
      <c r="Z18" s="37"/>
      <c r="AA18" s="52"/>
      <c r="AB18" s="56"/>
      <c r="AC18" s="76"/>
    </row>
    <row r="19" spans="2:29" ht="20.100000000000001" customHeight="1" x14ac:dyDescent="0.3">
      <c r="B19" s="44">
        <v>15</v>
      </c>
      <c r="C19" s="8" t="s">
        <v>53</v>
      </c>
      <c r="D19" s="17"/>
      <c r="E19" s="17">
        <v>1</v>
      </c>
      <c r="F19" s="57" t="s">
        <v>30</v>
      </c>
      <c r="G19" s="57" t="s">
        <v>116</v>
      </c>
      <c r="H19" s="14" t="s">
        <v>36</v>
      </c>
      <c r="I19" s="14" t="s">
        <v>29</v>
      </c>
      <c r="J19" s="20" t="s">
        <v>11</v>
      </c>
      <c r="K19" s="21" t="s">
        <v>157</v>
      </c>
      <c r="L19" s="23">
        <v>8</v>
      </c>
      <c r="M19" s="78">
        <v>105280</v>
      </c>
      <c r="N19" s="22">
        <f t="shared" si="0"/>
        <v>842240</v>
      </c>
      <c r="O19" s="35" t="s">
        <v>170</v>
      </c>
      <c r="P19" s="13" t="s">
        <v>184</v>
      </c>
      <c r="Q19" s="51">
        <v>0.1</v>
      </c>
      <c r="R19" s="51">
        <v>0.08</v>
      </c>
      <c r="S19" s="5">
        <f t="shared" si="1"/>
        <v>105280</v>
      </c>
      <c r="T19" s="5">
        <f t="shared" si="2"/>
        <v>842240</v>
      </c>
      <c r="U19" s="12">
        <f t="shared" si="3"/>
        <v>76.56</v>
      </c>
      <c r="V19" s="45">
        <f t="shared" si="4"/>
        <v>612.48</v>
      </c>
      <c r="W19" s="79">
        <f t="shared" si="5"/>
        <v>84224</v>
      </c>
      <c r="X19" s="65">
        <f t="shared" si="6"/>
        <v>61.24</v>
      </c>
      <c r="Y19" s="64">
        <f t="shared" si="7"/>
        <v>673.72</v>
      </c>
      <c r="Z19" s="37"/>
      <c r="AA19" s="52"/>
      <c r="AB19" s="56"/>
      <c r="AC19" s="76"/>
    </row>
    <row r="20" spans="2:29" ht="20.100000000000001" customHeight="1" x14ac:dyDescent="0.3">
      <c r="B20" s="44">
        <v>16</v>
      </c>
      <c r="C20" s="8" t="s">
        <v>53</v>
      </c>
      <c r="D20" s="17"/>
      <c r="E20" s="17">
        <v>1</v>
      </c>
      <c r="F20" s="57" t="s">
        <v>30</v>
      </c>
      <c r="G20" s="57" t="s">
        <v>117</v>
      </c>
      <c r="H20" s="14" t="s">
        <v>36</v>
      </c>
      <c r="I20" s="14" t="s">
        <v>29</v>
      </c>
      <c r="J20" s="20" t="s">
        <v>11</v>
      </c>
      <c r="K20" s="21" t="s">
        <v>157</v>
      </c>
      <c r="L20" s="23">
        <v>16</v>
      </c>
      <c r="M20" s="78">
        <v>94100</v>
      </c>
      <c r="N20" s="22">
        <f t="shared" si="0"/>
        <v>1505600</v>
      </c>
      <c r="O20" s="35" t="s">
        <v>170</v>
      </c>
      <c r="P20" s="13" t="s">
        <v>184</v>
      </c>
      <c r="Q20" s="51">
        <v>0.1</v>
      </c>
      <c r="R20" s="51">
        <v>0.08</v>
      </c>
      <c r="S20" s="5">
        <f t="shared" si="1"/>
        <v>94100</v>
      </c>
      <c r="T20" s="5">
        <f t="shared" si="2"/>
        <v>1505600</v>
      </c>
      <c r="U20" s="12">
        <f t="shared" si="3"/>
        <v>68.430000000000007</v>
      </c>
      <c r="V20" s="45">
        <f t="shared" si="4"/>
        <v>1094.8800000000001</v>
      </c>
      <c r="W20" s="79">
        <f t="shared" si="5"/>
        <v>150560</v>
      </c>
      <c r="X20" s="65">
        <f t="shared" si="6"/>
        <v>109.48</v>
      </c>
      <c r="Y20" s="64">
        <f t="shared" si="7"/>
        <v>1204.3600000000001</v>
      </c>
      <c r="Z20" s="37"/>
      <c r="AA20" s="52"/>
      <c r="AB20" s="56"/>
      <c r="AC20" s="76"/>
    </row>
    <row r="21" spans="2:29" ht="20.100000000000001" customHeight="1" x14ac:dyDescent="0.3">
      <c r="B21" s="44">
        <v>17</v>
      </c>
      <c r="C21" s="8" t="s">
        <v>53</v>
      </c>
      <c r="D21" s="17"/>
      <c r="E21" s="17">
        <v>1</v>
      </c>
      <c r="F21" s="57" t="s">
        <v>31</v>
      </c>
      <c r="G21" s="57" t="s">
        <v>118</v>
      </c>
      <c r="H21" s="14" t="s">
        <v>36</v>
      </c>
      <c r="I21" s="14" t="s">
        <v>29</v>
      </c>
      <c r="J21" s="20" t="s">
        <v>11</v>
      </c>
      <c r="K21" s="21" t="s">
        <v>157</v>
      </c>
      <c r="L21" s="23">
        <v>48</v>
      </c>
      <c r="M21" s="78">
        <v>2210</v>
      </c>
      <c r="N21" s="22">
        <f t="shared" si="0"/>
        <v>106080</v>
      </c>
      <c r="O21" s="35" t="s">
        <v>170</v>
      </c>
      <c r="P21" s="13" t="s">
        <v>193</v>
      </c>
      <c r="Q21" s="51">
        <v>0</v>
      </c>
      <c r="R21" s="51">
        <v>0.1</v>
      </c>
      <c r="S21" s="5">
        <f t="shared" si="1"/>
        <v>4420</v>
      </c>
      <c r="T21" s="5">
        <f t="shared" si="2"/>
        <v>212160</v>
      </c>
      <c r="U21" s="12">
        <f t="shared" si="3"/>
        <v>3.21</v>
      </c>
      <c r="V21" s="45">
        <f t="shared" si="4"/>
        <v>154.07999999999998</v>
      </c>
      <c r="W21" s="79">
        <f t="shared" si="5"/>
        <v>0</v>
      </c>
      <c r="X21" s="65">
        <f t="shared" si="6"/>
        <v>0</v>
      </c>
      <c r="Y21" s="64">
        <f t="shared" si="7"/>
        <v>154.07999999999998</v>
      </c>
      <c r="Z21" s="37"/>
      <c r="AA21" s="52"/>
      <c r="AB21" s="56"/>
    </row>
    <row r="22" spans="2:29" ht="20.100000000000001" customHeight="1" x14ac:dyDescent="0.3">
      <c r="B22" s="44">
        <v>18</v>
      </c>
      <c r="C22" s="8" t="s">
        <v>53</v>
      </c>
      <c r="D22" s="17"/>
      <c r="E22" s="17">
        <v>1</v>
      </c>
      <c r="F22" s="57" t="s">
        <v>31</v>
      </c>
      <c r="G22" s="57" t="s">
        <v>119</v>
      </c>
      <c r="H22" s="14" t="s">
        <v>36</v>
      </c>
      <c r="I22" s="14" t="s">
        <v>29</v>
      </c>
      <c r="J22" s="20" t="s">
        <v>11</v>
      </c>
      <c r="K22" s="21" t="s">
        <v>157</v>
      </c>
      <c r="L22" s="23">
        <v>48</v>
      </c>
      <c r="M22" s="78">
        <v>6460</v>
      </c>
      <c r="N22" s="22">
        <f t="shared" si="0"/>
        <v>310080</v>
      </c>
      <c r="O22" s="35" t="s">
        <v>170</v>
      </c>
      <c r="P22" s="13" t="s">
        <v>193</v>
      </c>
      <c r="Q22" s="51">
        <v>0</v>
      </c>
      <c r="R22" s="51">
        <v>0.1</v>
      </c>
      <c r="S22" s="5">
        <f t="shared" si="1"/>
        <v>12920</v>
      </c>
      <c r="T22" s="5">
        <f t="shared" si="2"/>
        <v>620160</v>
      </c>
      <c r="U22" s="12">
        <f t="shared" si="3"/>
        <v>9.39</v>
      </c>
      <c r="V22" s="45">
        <f t="shared" si="4"/>
        <v>450.72</v>
      </c>
      <c r="W22" s="79">
        <f t="shared" si="5"/>
        <v>0</v>
      </c>
      <c r="X22" s="65">
        <f t="shared" si="6"/>
        <v>0</v>
      </c>
      <c r="Y22" s="64">
        <f t="shared" si="7"/>
        <v>450.72</v>
      </c>
      <c r="Z22" s="37"/>
      <c r="AA22" s="52"/>
      <c r="AB22" s="56"/>
    </row>
    <row r="23" spans="2:29" ht="20.100000000000001" customHeight="1" x14ac:dyDescent="0.3">
      <c r="B23" s="44">
        <v>19</v>
      </c>
      <c r="C23" s="8" t="s">
        <v>53</v>
      </c>
      <c r="D23" s="17"/>
      <c r="E23" s="17">
        <v>1</v>
      </c>
      <c r="F23" s="57" t="s">
        <v>31</v>
      </c>
      <c r="G23" s="57" t="s">
        <v>120</v>
      </c>
      <c r="H23" s="14" t="s">
        <v>36</v>
      </c>
      <c r="I23" s="14" t="s">
        <v>29</v>
      </c>
      <c r="J23" s="20" t="s">
        <v>11</v>
      </c>
      <c r="K23" s="21" t="s">
        <v>157</v>
      </c>
      <c r="L23" s="23">
        <v>48</v>
      </c>
      <c r="M23" s="78">
        <v>8500</v>
      </c>
      <c r="N23" s="22">
        <f t="shared" si="0"/>
        <v>408000</v>
      </c>
      <c r="O23" s="35" t="s">
        <v>170</v>
      </c>
      <c r="P23" s="13" t="s">
        <v>193</v>
      </c>
      <c r="Q23" s="51">
        <v>0</v>
      </c>
      <c r="R23" s="51">
        <v>0.1</v>
      </c>
      <c r="S23" s="5">
        <f t="shared" si="1"/>
        <v>17000</v>
      </c>
      <c r="T23" s="5">
        <f t="shared" si="2"/>
        <v>816000</v>
      </c>
      <c r="U23" s="12">
        <f t="shared" si="3"/>
        <v>12.36</v>
      </c>
      <c r="V23" s="45">
        <f t="shared" si="4"/>
        <v>593.28</v>
      </c>
      <c r="W23" s="79">
        <f t="shared" si="5"/>
        <v>0</v>
      </c>
      <c r="X23" s="65">
        <f t="shared" si="6"/>
        <v>0</v>
      </c>
      <c r="Y23" s="64">
        <f t="shared" si="7"/>
        <v>593.28</v>
      </c>
      <c r="Z23" s="37"/>
      <c r="AA23" s="52"/>
      <c r="AB23" s="56"/>
    </row>
    <row r="24" spans="2:29" ht="20.100000000000001" customHeight="1" x14ac:dyDescent="0.3">
      <c r="B24" s="44">
        <v>20</v>
      </c>
      <c r="C24" s="8" t="s">
        <v>53</v>
      </c>
      <c r="D24" s="17"/>
      <c r="E24" s="17">
        <v>2</v>
      </c>
      <c r="F24" s="57" t="s">
        <v>97</v>
      </c>
      <c r="G24" s="57" t="s">
        <v>121</v>
      </c>
      <c r="H24" s="14" t="s">
        <v>36</v>
      </c>
      <c r="I24" s="14" t="s">
        <v>29</v>
      </c>
      <c r="J24" s="20" t="s">
        <v>11</v>
      </c>
      <c r="K24" s="21" t="s">
        <v>157</v>
      </c>
      <c r="L24" s="23">
        <v>88</v>
      </c>
      <c r="M24" s="78">
        <v>48500</v>
      </c>
      <c r="N24" s="22">
        <f t="shared" si="0"/>
        <v>4268000</v>
      </c>
      <c r="O24" s="35" t="s">
        <v>170</v>
      </c>
      <c r="P24" s="13">
        <v>90262090</v>
      </c>
      <c r="Q24" s="51">
        <v>0</v>
      </c>
      <c r="R24" s="51">
        <v>0.1</v>
      </c>
      <c r="S24" s="5">
        <f t="shared" si="1"/>
        <v>97000</v>
      </c>
      <c r="T24" s="5">
        <f t="shared" si="2"/>
        <v>8536000</v>
      </c>
      <c r="U24" s="12">
        <f t="shared" si="3"/>
        <v>70.53</v>
      </c>
      <c r="V24" s="45">
        <f t="shared" si="4"/>
        <v>6206.64</v>
      </c>
      <c r="W24" s="79">
        <f t="shared" si="5"/>
        <v>0</v>
      </c>
      <c r="X24" s="65">
        <f t="shared" si="6"/>
        <v>0</v>
      </c>
      <c r="Y24" s="64">
        <f t="shared" si="7"/>
        <v>6206.64</v>
      </c>
      <c r="Z24" s="37"/>
      <c r="AA24" s="52"/>
      <c r="AB24" s="56"/>
    </row>
    <row r="25" spans="2:29" ht="20.100000000000001" customHeight="1" x14ac:dyDescent="0.3">
      <c r="B25" s="44">
        <v>21</v>
      </c>
      <c r="C25" s="8" t="s">
        <v>53</v>
      </c>
      <c r="D25" s="17"/>
      <c r="E25" s="17">
        <v>3</v>
      </c>
      <c r="F25" s="18" t="s">
        <v>77</v>
      </c>
      <c r="G25" s="14" t="s">
        <v>78</v>
      </c>
      <c r="H25" s="14" t="s">
        <v>44</v>
      </c>
      <c r="I25" s="14" t="s">
        <v>45</v>
      </c>
      <c r="J25" s="20" t="s">
        <v>11</v>
      </c>
      <c r="K25" s="21" t="s">
        <v>86</v>
      </c>
      <c r="L25" s="23">
        <v>88</v>
      </c>
      <c r="M25" s="78">
        <v>29640</v>
      </c>
      <c r="N25" s="22">
        <f t="shared" si="0"/>
        <v>2608320</v>
      </c>
      <c r="O25" s="35" t="s">
        <v>170</v>
      </c>
      <c r="P25" s="13" t="s">
        <v>179</v>
      </c>
      <c r="Q25" s="51">
        <v>0.1</v>
      </c>
      <c r="R25" s="51">
        <v>0.08</v>
      </c>
      <c r="S25" s="5">
        <f t="shared" si="1"/>
        <v>29640</v>
      </c>
      <c r="T25" s="5">
        <f t="shared" si="2"/>
        <v>2608320</v>
      </c>
      <c r="U25" s="12">
        <f t="shared" si="3"/>
        <v>21.55</v>
      </c>
      <c r="V25" s="45">
        <f t="shared" si="4"/>
        <v>1896.4</v>
      </c>
      <c r="W25" s="79">
        <f t="shared" si="5"/>
        <v>260832</v>
      </c>
      <c r="X25" s="65">
        <f t="shared" si="6"/>
        <v>189.67</v>
      </c>
      <c r="Y25" s="64">
        <f t="shared" si="7"/>
        <v>2086.0700000000002</v>
      </c>
      <c r="Z25" s="37"/>
      <c r="AA25" s="52"/>
      <c r="AB25" s="56"/>
      <c r="AC25" s="76"/>
    </row>
    <row r="26" spans="2:29" ht="20.100000000000001" customHeight="1" x14ac:dyDescent="0.3">
      <c r="B26" s="44">
        <v>22</v>
      </c>
      <c r="C26" s="8" t="s">
        <v>53</v>
      </c>
      <c r="D26" s="17"/>
      <c r="E26" s="17">
        <v>3</v>
      </c>
      <c r="F26" s="29" t="s">
        <v>43</v>
      </c>
      <c r="G26" s="25" t="s">
        <v>79</v>
      </c>
      <c r="H26" s="59" t="s">
        <v>44</v>
      </c>
      <c r="I26" s="14" t="s">
        <v>84</v>
      </c>
      <c r="J26" s="20" t="s">
        <v>11</v>
      </c>
      <c r="K26" s="21" t="s">
        <v>86</v>
      </c>
      <c r="L26" s="23">
        <v>64</v>
      </c>
      <c r="M26" s="78">
        <v>6210</v>
      </c>
      <c r="N26" s="22">
        <f t="shared" si="0"/>
        <v>397440</v>
      </c>
      <c r="O26" s="35" t="s">
        <v>170</v>
      </c>
      <c r="P26" s="13" t="s">
        <v>182</v>
      </c>
      <c r="Q26" s="51">
        <v>0.1</v>
      </c>
      <c r="R26" s="51">
        <v>0.1</v>
      </c>
      <c r="S26" s="5">
        <f t="shared" si="1"/>
        <v>6210</v>
      </c>
      <c r="T26" s="5">
        <f t="shared" si="2"/>
        <v>397440</v>
      </c>
      <c r="U26" s="12">
        <f t="shared" si="3"/>
        <v>4.5199999999999996</v>
      </c>
      <c r="V26" s="45">
        <f t="shared" si="4"/>
        <v>289.27999999999997</v>
      </c>
      <c r="W26" s="79">
        <f t="shared" si="5"/>
        <v>39744</v>
      </c>
      <c r="X26" s="65">
        <f t="shared" si="6"/>
        <v>28.9</v>
      </c>
      <c r="Y26" s="64">
        <f t="shared" si="7"/>
        <v>318.17999999999995</v>
      </c>
      <c r="Z26" s="37"/>
      <c r="AA26" s="52"/>
      <c r="AB26" s="56"/>
      <c r="AC26" s="76"/>
    </row>
    <row r="27" spans="2:29" ht="20.100000000000001" customHeight="1" x14ac:dyDescent="0.3">
      <c r="B27" s="44">
        <v>23</v>
      </c>
      <c r="C27" s="8" t="s">
        <v>53</v>
      </c>
      <c r="D27" s="17"/>
      <c r="E27" s="17">
        <v>3</v>
      </c>
      <c r="F27" s="28" t="s">
        <v>43</v>
      </c>
      <c r="G27" s="57" t="s">
        <v>83</v>
      </c>
      <c r="H27" s="14" t="s">
        <v>44</v>
      </c>
      <c r="I27" s="14" t="s">
        <v>84</v>
      </c>
      <c r="J27" s="20" t="s">
        <v>11</v>
      </c>
      <c r="K27" s="21" t="s">
        <v>86</v>
      </c>
      <c r="L27" s="23">
        <v>32</v>
      </c>
      <c r="M27" s="78">
        <v>4930</v>
      </c>
      <c r="N27" s="22">
        <f t="shared" si="0"/>
        <v>157760</v>
      </c>
      <c r="O27" s="35" t="s">
        <v>170</v>
      </c>
      <c r="P27" s="13" t="s">
        <v>182</v>
      </c>
      <c r="Q27" s="51">
        <v>0.1</v>
      </c>
      <c r="R27" s="51">
        <v>0.1</v>
      </c>
      <c r="S27" s="5">
        <f t="shared" si="1"/>
        <v>4930</v>
      </c>
      <c r="T27" s="5">
        <f t="shared" si="2"/>
        <v>157760</v>
      </c>
      <c r="U27" s="12">
        <f t="shared" si="3"/>
        <v>3.58</v>
      </c>
      <c r="V27" s="45">
        <f t="shared" si="4"/>
        <v>114.56</v>
      </c>
      <c r="W27" s="79">
        <f t="shared" si="5"/>
        <v>15776</v>
      </c>
      <c r="X27" s="65">
        <f t="shared" si="6"/>
        <v>11.47</v>
      </c>
      <c r="Y27" s="64">
        <f t="shared" si="7"/>
        <v>126.03</v>
      </c>
      <c r="Z27" s="37"/>
      <c r="AA27" s="52"/>
      <c r="AB27" s="56"/>
      <c r="AC27" s="76"/>
    </row>
    <row r="28" spans="2:29" ht="20.100000000000001" customHeight="1" x14ac:dyDescent="0.3">
      <c r="B28" s="44">
        <v>24</v>
      </c>
      <c r="C28" s="8" t="s">
        <v>53</v>
      </c>
      <c r="D28" s="17"/>
      <c r="E28" s="17">
        <v>3</v>
      </c>
      <c r="F28" s="28" t="s">
        <v>80</v>
      </c>
      <c r="G28" s="57" t="s">
        <v>81</v>
      </c>
      <c r="H28" s="14" t="s">
        <v>82</v>
      </c>
      <c r="I28" s="14" t="s">
        <v>84</v>
      </c>
      <c r="J28" s="20" t="s">
        <v>11</v>
      </c>
      <c r="K28" s="21" t="s">
        <v>85</v>
      </c>
      <c r="L28" s="23">
        <v>64</v>
      </c>
      <c r="M28" s="78">
        <v>520</v>
      </c>
      <c r="N28" s="22">
        <f t="shared" si="0"/>
        <v>33280</v>
      </c>
      <c r="O28" s="35" t="s">
        <v>170</v>
      </c>
      <c r="P28" s="13" t="s">
        <v>196</v>
      </c>
      <c r="Q28" s="51">
        <v>0.12</v>
      </c>
      <c r="R28" s="51">
        <v>0.1</v>
      </c>
      <c r="S28" s="5">
        <f t="shared" si="1"/>
        <v>520</v>
      </c>
      <c r="T28" s="5">
        <f t="shared" si="2"/>
        <v>33280</v>
      </c>
      <c r="U28" s="12">
        <f t="shared" si="3"/>
        <v>0.38</v>
      </c>
      <c r="V28" s="45">
        <f t="shared" si="4"/>
        <v>24.32</v>
      </c>
      <c r="W28" s="79">
        <f t="shared" si="5"/>
        <v>3993.6</v>
      </c>
      <c r="X28" s="65">
        <f t="shared" si="6"/>
        <v>2.9</v>
      </c>
      <c r="Y28" s="64">
        <f t="shared" si="7"/>
        <v>27.22</v>
      </c>
      <c r="Z28" s="37"/>
      <c r="AA28" s="52"/>
      <c r="AB28" s="56"/>
      <c r="AC28" s="76"/>
    </row>
    <row r="29" spans="2:29" ht="20.100000000000001" customHeight="1" x14ac:dyDescent="0.3">
      <c r="B29" s="44">
        <v>25</v>
      </c>
      <c r="C29" s="8" t="s">
        <v>53</v>
      </c>
      <c r="D29" s="17"/>
      <c r="E29" s="17">
        <v>3</v>
      </c>
      <c r="F29" s="24" t="s">
        <v>56</v>
      </c>
      <c r="G29" s="25" t="s">
        <v>198</v>
      </c>
      <c r="H29" s="25" t="s">
        <v>34</v>
      </c>
      <c r="I29" s="14" t="s">
        <v>29</v>
      </c>
      <c r="J29" s="20" t="s">
        <v>11</v>
      </c>
      <c r="K29" s="21" t="s">
        <v>86</v>
      </c>
      <c r="L29" s="58">
        <v>16</v>
      </c>
      <c r="M29" s="78">
        <v>7300</v>
      </c>
      <c r="N29" s="22">
        <f t="shared" si="0"/>
        <v>116800</v>
      </c>
      <c r="O29" s="35" t="s">
        <v>170</v>
      </c>
      <c r="P29" s="13" t="s">
        <v>207</v>
      </c>
      <c r="Q29" s="51">
        <v>0.1</v>
      </c>
      <c r="R29" s="51">
        <v>0.08</v>
      </c>
      <c r="S29" s="5">
        <f t="shared" si="1"/>
        <v>7300</v>
      </c>
      <c r="T29" s="5">
        <f t="shared" si="2"/>
        <v>116800</v>
      </c>
      <c r="U29" s="12">
        <f t="shared" si="3"/>
        <v>5.31</v>
      </c>
      <c r="V29" s="45">
        <f t="shared" si="4"/>
        <v>84.96</v>
      </c>
      <c r="W29" s="79">
        <f t="shared" si="5"/>
        <v>11680</v>
      </c>
      <c r="X29" s="65">
        <f t="shared" si="6"/>
        <v>8.49</v>
      </c>
      <c r="Y29" s="64">
        <f t="shared" si="7"/>
        <v>93.449999999999989</v>
      </c>
      <c r="Z29" s="37"/>
      <c r="AA29" s="52"/>
      <c r="AB29" s="56"/>
      <c r="AC29" s="76"/>
    </row>
    <row r="30" spans="2:29" ht="20.100000000000001" customHeight="1" x14ac:dyDescent="0.3">
      <c r="B30" s="44">
        <v>26</v>
      </c>
      <c r="C30" s="8" t="s">
        <v>53</v>
      </c>
      <c r="D30" s="17"/>
      <c r="E30" s="17">
        <v>3</v>
      </c>
      <c r="F30" s="26" t="s">
        <v>57</v>
      </c>
      <c r="G30" s="25" t="s">
        <v>35</v>
      </c>
      <c r="H30" s="27" t="s">
        <v>34</v>
      </c>
      <c r="I30" s="14" t="s">
        <v>29</v>
      </c>
      <c r="J30" s="20" t="s">
        <v>11</v>
      </c>
      <c r="K30" s="21" t="s">
        <v>86</v>
      </c>
      <c r="L30" s="23">
        <v>8</v>
      </c>
      <c r="M30" s="78">
        <v>6700</v>
      </c>
      <c r="N30" s="22">
        <f t="shared" si="0"/>
        <v>53600</v>
      </c>
      <c r="O30" s="35" t="s">
        <v>170</v>
      </c>
      <c r="P30" s="13" t="s">
        <v>207</v>
      </c>
      <c r="Q30" s="51">
        <v>0.1</v>
      </c>
      <c r="R30" s="51">
        <v>0.08</v>
      </c>
      <c r="S30" s="5">
        <f t="shared" si="1"/>
        <v>6700</v>
      </c>
      <c r="T30" s="5">
        <f t="shared" si="2"/>
        <v>53600</v>
      </c>
      <c r="U30" s="12">
        <f t="shared" si="3"/>
        <v>4.87</v>
      </c>
      <c r="V30" s="45">
        <f t="shared" si="4"/>
        <v>38.96</v>
      </c>
      <c r="W30" s="79">
        <f t="shared" si="5"/>
        <v>5360</v>
      </c>
      <c r="X30" s="65">
        <f t="shared" si="6"/>
        <v>3.9</v>
      </c>
      <c r="Y30" s="64">
        <f t="shared" si="7"/>
        <v>42.86</v>
      </c>
      <c r="Z30" s="37"/>
      <c r="AA30" s="52"/>
      <c r="AB30" s="56"/>
      <c r="AC30" s="76"/>
    </row>
    <row r="31" spans="2:29" ht="20.100000000000001" customHeight="1" x14ac:dyDescent="0.3">
      <c r="B31" s="44">
        <v>27</v>
      </c>
      <c r="C31" s="8" t="s">
        <v>53</v>
      </c>
      <c r="D31" s="17"/>
      <c r="E31" s="17">
        <v>3</v>
      </c>
      <c r="F31" s="28" t="s">
        <v>87</v>
      </c>
      <c r="G31" s="57" t="s">
        <v>92</v>
      </c>
      <c r="H31" s="14" t="s">
        <v>122</v>
      </c>
      <c r="I31" s="14" t="s">
        <v>21</v>
      </c>
      <c r="J31" s="20" t="s">
        <v>11</v>
      </c>
      <c r="K31" s="21" t="s">
        <v>86</v>
      </c>
      <c r="L31" s="23">
        <v>8</v>
      </c>
      <c r="M31" s="78">
        <v>70000</v>
      </c>
      <c r="N31" s="22">
        <f t="shared" si="0"/>
        <v>560000</v>
      </c>
      <c r="O31" s="35" t="s">
        <v>170</v>
      </c>
      <c r="P31" s="13" t="s">
        <v>180</v>
      </c>
      <c r="Q31" s="51">
        <v>0</v>
      </c>
      <c r="R31" s="51">
        <v>0.1</v>
      </c>
      <c r="S31" s="5">
        <f t="shared" si="1"/>
        <v>140000</v>
      </c>
      <c r="T31" s="5">
        <f t="shared" si="2"/>
        <v>1120000</v>
      </c>
      <c r="U31" s="12">
        <f t="shared" si="3"/>
        <v>101.8</v>
      </c>
      <c r="V31" s="45">
        <f t="shared" si="4"/>
        <v>814.4</v>
      </c>
      <c r="W31" s="79">
        <f t="shared" si="5"/>
        <v>0</v>
      </c>
      <c r="X31" s="65">
        <f t="shared" si="6"/>
        <v>0</v>
      </c>
      <c r="Y31" s="64">
        <f t="shared" si="7"/>
        <v>814.4</v>
      </c>
      <c r="Z31" s="37"/>
      <c r="AA31" s="52"/>
      <c r="AB31" s="56"/>
    </row>
    <row r="32" spans="2:29" ht="20.100000000000001" customHeight="1" x14ac:dyDescent="0.3">
      <c r="B32" s="44">
        <v>28</v>
      </c>
      <c r="C32" s="8" t="s">
        <v>53</v>
      </c>
      <c r="D32" s="17"/>
      <c r="E32" s="17">
        <v>3</v>
      </c>
      <c r="F32" s="28" t="s">
        <v>26</v>
      </c>
      <c r="G32" s="57" t="s">
        <v>89</v>
      </c>
      <c r="H32" s="14" t="s">
        <v>22</v>
      </c>
      <c r="I32" s="14" t="s">
        <v>21</v>
      </c>
      <c r="J32" s="20" t="s">
        <v>11</v>
      </c>
      <c r="K32" s="21" t="s">
        <v>86</v>
      </c>
      <c r="L32" s="23">
        <v>72</v>
      </c>
      <c r="M32" s="78">
        <v>9800</v>
      </c>
      <c r="N32" s="22">
        <f t="shared" si="0"/>
        <v>705600</v>
      </c>
      <c r="O32" s="35" t="s">
        <v>170</v>
      </c>
      <c r="P32" s="13" t="s">
        <v>180</v>
      </c>
      <c r="Q32" s="51">
        <v>0</v>
      </c>
      <c r="R32" s="51">
        <v>0.1</v>
      </c>
      <c r="S32" s="5">
        <f t="shared" si="1"/>
        <v>19600</v>
      </c>
      <c r="T32" s="5">
        <f t="shared" si="2"/>
        <v>1411200</v>
      </c>
      <c r="U32" s="12">
        <f t="shared" si="3"/>
        <v>14.25</v>
      </c>
      <c r="V32" s="45">
        <f t="shared" si="4"/>
        <v>1026</v>
      </c>
      <c r="W32" s="79">
        <f t="shared" si="5"/>
        <v>0</v>
      </c>
      <c r="X32" s="65">
        <f t="shared" si="6"/>
        <v>0</v>
      </c>
      <c r="Y32" s="64">
        <f t="shared" si="7"/>
        <v>1026</v>
      </c>
      <c r="Z32" s="37"/>
      <c r="AA32" s="52"/>
      <c r="AB32" s="56"/>
    </row>
    <row r="33" spans="2:29" ht="20.100000000000001" customHeight="1" x14ac:dyDescent="0.3">
      <c r="B33" s="44">
        <v>29</v>
      </c>
      <c r="C33" s="8" t="s">
        <v>53</v>
      </c>
      <c r="D33" s="17"/>
      <c r="E33" s="17">
        <v>3</v>
      </c>
      <c r="F33" s="28" t="s">
        <v>26</v>
      </c>
      <c r="G33" s="57" t="s">
        <v>25</v>
      </c>
      <c r="H33" s="14" t="s">
        <v>22</v>
      </c>
      <c r="I33" s="14" t="s">
        <v>21</v>
      </c>
      <c r="J33" s="20" t="s">
        <v>11</v>
      </c>
      <c r="K33" s="21" t="s">
        <v>86</v>
      </c>
      <c r="L33" s="23">
        <v>48</v>
      </c>
      <c r="M33" s="78">
        <v>5800</v>
      </c>
      <c r="N33" s="22">
        <f t="shared" si="0"/>
        <v>278400</v>
      </c>
      <c r="O33" s="35" t="s">
        <v>170</v>
      </c>
      <c r="P33" s="13" t="s">
        <v>180</v>
      </c>
      <c r="Q33" s="51">
        <v>0</v>
      </c>
      <c r="R33" s="51">
        <v>0.1</v>
      </c>
      <c r="S33" s="5">
        <f t="shared" si="1"/>
        <v>11600</v>
      </c>
      <c r="T33" s="5">
        <f t="shared" si="2"/>
        <v>556800</v>
      </c>
      <c r="U33" s="12">
        <f t="shared" si="3"/>
        <v>8.44</v>
      </c>
      <c r="V33" s="45">
        <f t="shared" si="4"/>
        <v>405.12</v>
      </c>
      <c r="W33" s="79">
        <f t="shared" si="5"/>
        <v>0</v>
      </c>
      <c r="X33" s="65">
        <f t="shared" si="6"/>
        <v>0</v>
      </c>
      <c r="Y33" s="64">
        <f t="shared" si="7"/>
        <v>405.12</v>
      </c>
      <c r="Z33" s="37"/>
      <c r="AA33" s="52"/>
      <c r="AB33" s="56"/>
    </row>
    <row r="34" spans="2:29" ht="20.100000000000001" customHeight="1" x14ac:dyDescent="0.3">
      <c r="B34" s="44">
        <v>30</v>
      </c>
      <c r="C34" s="8" t="s">
        <v>53</v>
      </c>
      <c r="D34" s="17"/>
      <c r="E34" s="17">
        <v>3</v>
      </c>
      <c r="F34" s="28" t="s">
        <v>26</v>
      </c>
      <c r="G34" s="57" t="s">
        <v>90</v>
      </c>
      <c r="H34" s="14" t="s">
        <v>22</v>
      </c>
      <c r="I34" s="14" t="s">
        <v>21</v>
      </c>
      <c r="J34" s="20" t="s">
        <v>11</v>
      </c>
      <c r="K34" s="21" t="s">
        <v>86</v>
      </c>
      <c r="L34" s="23">
        <v>48</v>
      </c>
      <c r="M34" s="78">
        <v>5800</v>
      </c>
      <c r="N34" s="22">
        <f t="shared" si="0"/>
        <v>278400</v>
      </c>
      <c r="O34" s="35" t="s">
        <v>170</v>
      </c>
      <c r="P34" s="13" t="s">
        <v>180</v>
      </c>
      <c r="Q34" s="51">
        <v>0</v>
      </c>
      <c r="R34" s="51">
        <v>0.1</v>
      </c>
      <c r="S34" s="5">
        <f t="shared" si="1"/>
        <v>11600</v>
      </c>
      <c r="T34" s="5">
        <f t="shared" si="2"/>
        <v>556800</v>
      </c>
      <c r="U34" s="12">
        <f t="shared" si="3"/>
        <v>8.44</v>
      </c>
      <c r="V34" s="45">
        <f t="shared" si="4"/>
        <v>405.12</v>
      </c>
      <c r="W34" s="79">
        <f t="shared" si="5"/>
        <v>0</v>
      </c>
      <c r="X34" s="65">
        <f t="shared" si="6"/>
        <v>0</v>
      </c>
      <c r="Y34" s="64">
        <f t="shared" si="7"/>
        <v>405.12</v>
      </c>
      <c r="Z34" s="37"/>
      <c r="AA34" s="52"/>
      <c r="AB34" s="56"/>
    </row>
    <row r="35" spans="2:29" ht="20.100000000000001" customHeight="1" x14ac:dyDescent="0.3">
      <c r="B35" s="44">
        <v>31</v>
      </c>
      <c r="C35" s="8" t="s">
        <v>53</v>
      </c>
      <c r="D35" s="17"/>
      <c r="E35" s="17">
        <v>3</v>
      </c>
      <c r="F35" s="28" t="s">
        <v>26</v>
      </c>
      <c r="G35" s="57" t="s">
        <v>94</v>
      </c>
      <c r="H35" s="14" t="s">
        <v>22</v>
      </c>
      <c r="I35" s="14" t="s">
        <v>21</v>
      </c>
      <c r="J35" s="20" t="s">
        <v>11</v>
      </c>
      <c r="K35" s="21" t="s">
        <v>86</v>
      </c>
      <c r="L35" s="23">
        <v>16</v>
      </c>
      <c r="M35" s="78">
        <v>16800</v>
      </c>
      <c r="N35" s="22">
        <f t="shared" si="0"/>
        <v>268800</v>
      </c>
      <c r="O35" s="35" t="s">
        <v>170</v>
      </c>
      <c r="P35" s="13" t="s">
        <v>180</v>
      </c>
      <c r="Q35" s="51">
        <v>0</v>
      </c>
      <c r="R35" s="51">
        <v>0.1</v>
      </c>
      <c r="S35" s="5">
        <f t="shared" si="1"/>
        <v>33600</v>
      </c>
      <c r="T35" s="5">
        <f t="shared" si="2"/>
        <v>537600</v>
      </c>
      <c r="U35" s="12">
        <f t="shared" si="3"/>
        <v>24.43</v>
      </c>
      <c r="V35" s="45">
        <f t="shared" si="4"/>
        <v>390.88</v>
      </c>
      <c r="W35" s="79">
        <f t="shared" si="5"/>
        <v>0</v>
      </c>
      <c r="X35" s="65">
        <f t="shared" si="6"/>
        <v>0</v>
      </c>
      <c r="Y35" s="64">
        <f t="shared" si="7"/>
        <v>390.88</v>
      </c>
      <c r="Z35" s="37"/>
      <c r="AA35" s="52"/>
      <c r="AB35" s="56"/>
    </row>
    <row r="36" spans="2:29" ht="20.100000000000001" customHeight="1" x14ac:dyDescent="0.3">
      <c r="B36" s="44">
        <v>32</v>
      </c>
      <c r="C36" s="8" t="s">
        <v>53</v>
      </c>
      <c r="D36" s="17"/>
      <c r="E36" s="17">
        <v>3</v>
      </c>
      <c r="F36" s="28" t="s">
        <v>24</v>
      </c>
      <c r="G36" s="57" t="s">
        <v>93</v>
      </c>
      <c r="H36" s="14" t="s">
        <v>23</v>
      </c>
      <c r="I36" s="14" t="s">
        <v>21</v>
      </c>
      <c r="J36" s="20" t="s">
        <v>11</v>
      </c>
      <c r="K36" s="21" t="s">
        <v>157</v>
      </c>
      <c r="L36" s="23">
        <v>32</v>
      </c>
      <c r="M36" s="78">
        <v>3400</v>
      </c>
      <c r="N36" s="22">
        <f t="shared" si="0"/>
        <v>108800</v>
      </c>
      <c r="O36" s="35" t="s">
        <v>170</v>
      </c>
      <c r="P36" s="13" t="s">
        <v>189</v>
      </c>
      <c r="Q36" s="51">
        <v>0</v>
      </c>
      <c r="R36" s="51">
        <v>0.1</v>
      </c>
      <c r="S36" s="5">
        <f t="shared" si="1"/>
        <v>6800</v>
      </c>
      <c r="T36" s="5">
        <f t="shared" si="2"/>
        <v>217600</v>
      </c>
      <c r="U36" s="12">
        <f t="shared" si="3"/>
        <v>4.9400000000000004</v>
      </c>
      <c r="V36" s="45">
        <f t="shared" si="4"/>
        <v>158.08000000000001</v>
      </c>
      <c r="W36" s="79">
        <f t="shared" si="5"/>
        <v>0</v>
      </c>
      <c r="X36" s="65">
        <f t="shared" si="6"/>
        <v>0</v>
      </c>
      <c r="Y36" s="64">
        <f t="shared" si="7"/>
        <v>158.08000000000001</v>
      </c>
      <c r="Z36" s="37"/>
      <c r="AA36" s="52"/>
      <c r="AB36" s="56"/>
    </row>
    <row r="37" spans="2:29" ht="20.100000000000001" customHeight="1" x14ac:dyDescent="0.3">
      <c r="B37" s="44">
        <v>33</v>
      </c>
      <c r="C37" s="8" t="s">
        <v>53</v>
      </c>
      <c r="D37" s="17"/>
      <c r="E37" s="17">
        <v>3</v>
      </c>
      <c r="F37" s="28" t="s">
        <v>24</v>
      </c>
      <c r="G37" s="57" t="s">
        <v>88</v>
      </c>
      <c r="H37" s="14" t="s">
        <v>23</v>
      </c>
      <c r="I37" s="14" t="s">
        <v>21</v>
      </c>
      <c r="J37" s="20" t="s">
        <v>11</v>
      </c>
      <c r="K37" s="21" t="s">
        <v>157</v>
      </c>
      <c r="L37" s="23">
        <v>32</v>
      </c>
      <c r="M37" s="78">
        <v>3400</v>
      </c>
      <c r="N37" s="22">
        <f t="shared" ref="N37:N68" si="8">L37*M37</f>
        <v>108800</v>
      </c>
      <c r="O37" s="35" t="s">
        <v>170</v>
      </c>
      <c r="P37" s="13" t="s">
        <v>189</v>
      </c>
      <c r="Q37" s="51">
        <v>0</v>
      </c>
      <c r="R37" s="51">
        <v>0.1</v>
      </c>
      <c r="S37" s="5">
        <f t="shared" ref="S37:S68" si="9">++IF(Q37=0,M37*$S$3,M37)</f>
        <v>6800</v>
      </c>
      <c r="T37" s="5">
        <f t="shared" ref="T37:T68" si="10">++L37*S37</f>
        <v>217600</v>
      </c>
      <c r="U37" s="12">
        <f t="shared" ref="U37:U68" si="11">++ROUND(S37/$U$3,2)</f>
        <v>4.9400000000000004</v>
      </c>
      <c r="V37" s="45">
        <f t="shared" ref="V37:V68" si="12">++L37*U37</f>
        <v>158.08000000000001</v>
      </c>
      <c r="W37" s="79">
        <f t="shared" ref="W37:W68" si="13">++T37*Q37</f>
        <v>0</v>
      </c>
      <c r="X37" s="65">
        <f t="shared" ref="X37:X68" si="14">++ROUND(W37/$U$3,2)</f>
        <v>0</v>
      </c>
      <c r="Y37" s="64">
        <f t="shared" ref="Y37:Y68" si="15">++V37+X37</f>
        <v>158.08000000000001</v>
      </c>
      <c r="Z37" s="37"/>
      <c r="AA37" s="52"/>
      <c r="AB37" s="56"/>
    </row>
    <row r="38" spans="2:29" ht="20.100000000000001" customHeight="1" x14ac:dyDescent="0.3">
      <c r="B38" s="44">
        <v>34</v>
      </c>
      <c r="C38" s="8" t="s">
        <v>53</v>
      </c>
      <c r="D38" s="17"/>
      <c r="E38" s="17">
        <v>3</v>
      </c>
      <c r="F38" s="14" t="s">
        <v>26</v>
      </c>
      <c r="G38" s="14" t="s">
        <v>91</v>
      </c>
      <c r="H38" s="14" t="s">
        <v>23</v>
      </c>
      <c r="I38" s="14" t="s">
        <v>21</v>
      </c>
      <c r="J38" s="20" t="s">
        <v>11</v>
      </c>
      <c r="K38" s="21" t="s">
        <v>157</v>
      </c>
      <c r="L38" s="23">
        <v>72</v>
      </c>
      <c r="M38" s="78">
        <v>27000</v>
      </c>
      <c r="N38" s="22">
        <f t="shared" si="8"/>
        <v>1944000</v>
      </c>
      <c r="O38" s="35" t="s">
        <v>170</v>
      </c>
      <c r="P38" s="13" t="s">
        <v>180</v>
      </c>
      <c r="Q38" s="51">
        <v>0</v>
      </c>
      <c r="R38" s="51">
        <v>0.1</v>
      </c>
      <c r="S38" s="5">
        <f t="shared" si="9"/>
        <v>54000</v>
      </c>
      <c r="T38" s="5">
        <f t="shared" si="10"/>
        <v>3888000</v>
      </c>
      <c r="U38" s="12">
        <f t="shared" si="11"/>
        <v>39.270000000000003</v>
      </c>
      <c r="V38" s="45">
        <f t="shared" si="12"/>
        <v>2827.44</v>
      </c>
      <c r="W38" s="79">
        <f t="shared" si="13"/>
        <v>0</v>
      </c>
      <c r="X38" s="65">
        <f t="shared" si="14"/>
        <v>0</v>
      </c>
      <c r="Y38" s="64">
        <f t="shared" si="15"/>
        <v>2827.44</v>
      </c>
      <c r="Z38" s="37"/>
      <c r="AA38" s="52"/>
      <c r="AB38" s="55"/>
    </row>
    <row r="39" spans="2:29" ht="19.5" customHeight="1" x14ac:dyDescent="0.3">
      <c r="B39" s="44">
        <v>35</v>
      </c>
      <c r="C39" s="8" t="s">
        <v>53</v>
      </c>
      <c r="D39" s="17"/>
      <c r="E39" s="17">
        <v>4</v>
      </c>
      <c r="F39" s="14" t="s">
        <v>163</v>
      </c>
      <c r="G39" s="14" t="s">
        <v>201</v>
      </c>
      <c r="H39" s="14" t="s">
        <v>164</v>
      </c>
      <c r="I39" s="14" t="s">
        <v>21</v>
      </c>
      <c r="J39" s="20" t="s">
        <v>11</v>
      </c>
      <c r="K39" s="21" t="s">
        <v>86</v>
      </c>
      <c r="L39" s="23">
        <v>10</v>
      </c>
      <c r="M39" s="78">
        <v>15100</v>
      </c>
      <c r="N39" s="22">
        <f t="shared" si="8"/>
        <v>151000</v>
      </c>
      <c r="O39" s="35" t="s">
        <v>170</v>
      </c>
      <c r="P39" s="13" t="s">
        <v>181</v>
      </c>
      <c r="Q39" s="51">
        <v>0.2</v>
      </c>
      <c r="R39" s="51">
        <v>0.08</v>
      </c>
      <c r="S39" s="5">
        <f t="shared" si="9"/>
        <v>15100</v>
      </c>
      <c r="T39" s="5">
        <f t="shared" si="10"/>
        <v>151000</v>
      </c>
      <c r="U39" s="12">
        <f t="shared" si="11"/>
        <v>10.98</v>
      </c>
      <c r="V39" s="45">
        <f t="shared" si="12"/>
        <v>109.80000000000001</v>
      </c>
      <c r="W39" s="79">
        <f t="shared" si="13"/>
        <v>30200</v>
      </c>
      <c r="X39" s="65">
        <f t="shared" si="14"/>
        <v>21.96</v>
      </c>
      <c r="Y39" s="64">
        <f t="shared" si="15"/>
        <v>131.76000000000002</v>
      </c>
      <c r="Z39" s="37"/>
      <c r="AA39" s="52"/>
      <c r="AB39" s="56"/>
      <c r="AC39" s="76"/>
    </row>
    <row r="40" spans="2:29" ht="20.100000000000001" customHeight="1" x14ac:dyDescent="0.3">
      <c r="B40" s="44">
        <v>36</v>
      </c>
      <c r="C40" s="8" t="s">
        <v>53</v>
      </c>
      <c r="D40" s="17"/>
      <c r="E40" s="17">
        <v>4</v>
      </c>
      <c r="F40" s="57" t="s">
        <v>141</v>
      </c>
      <c r="G40" s="57" t="s">
        <v>142</v>
      </c>
      <c r="H40" s="14" t="s">
        <v>143</v>
      </c>
      <c r="I40" s="14" t="s">
        <v>154</v>
      </c>
      <c r="J40" s="20" t="s">
        <v>11</v>
      </c>
      <c r="K40" s="21" t="s">
        <v>86</v>
      </c>
      <c r="L40" s="23">
        <v>18</v>
      </c>
      <c r="M40" s="78">
        <v>17937</v>
      </c>
      <c r="N40" s="22">
        <f t="shared" si="8"/>
        <v>322866</v>
      </c>
      <c r="O40" s="35" t="s">
        <v>170</v>
      </c>
      <c r="P40" s="13">
        <v>83022090</v>
      </c>
      <c r="Q40" s="51">
        <v>0.15</v>
      </c>
      <c r="R40" s="51">
        <v>0.1</v>
      </c>
      <c r="S40" s="5">
        <f t="shared" si="9"/>
        <v>17937</v>
      </c>
      <c r="T40" s="5">
        <f t="shared" si="10"/>
        <v>322866</v>
      </c>
      <c r="U40" s="12">
        <f t="shared" si="11"/>
        <v>13.04</v>
      </c>
      <c r="V40" s="45">
        <f t="shared" si="12"/>
        <v>234.71999999999997</v>
      </c>
      <c r="W40" s="79">
        <f t="shared" si="13"/>
        <v>48429.9</v>
      </c>
      <c r="X40" s="65">
        <f t="shared" si="14"/>
        <v>35.22</v>
      </c>
      <c r="Y40" s="64">
        <f t="shared" si="15"/>
        <v>269.93999999999994</v>
      </c>
      <c r="Z40" s="37"/>
      <c r="AA40" s="52"/>
      <c r="AB40" s="56"/>
      <c r="AC40" s="76"/>
    </row>
    <row r="41" spans="2:29" ht="20.100000000000001" customHeight="1" x14ac:dyDescent="0.3">
      <c r="B41" s="44">
        <v>37</v>
      </c>
      <c r="C41" s="8" t="s">
        <v>53</v>
      </c>
      <c r="D41" s="17"/>
      <c r="E41" s="17">
        <v>4</v>
      </c>
      <c r="F41" s="57" t="s">
        <v>146</v>
      </c>
      <c r="G41" s="57" t="s">
        <v>147</v>
      </c>
      <c r="H41" s="14" t="s">
        <v>149</v>
      </c>
      <c r="I41" s="14" t="s">
        <v>154</v>
      </c>
      <c r="J41" s="20" t="s">
        <v>11</v>
      </c>
      <c r="K41" s="21" t="s">
        <v>85</v>
      </c>
      <c r="L41" s="23">
        <v>8</v>
      </c>
      <c r="M41" s="78">
        <v>21800</v>
      </c>
      <c r="N41" s="22">
        <f t="shared" si="8"/>
        <v>174400</v>
      </c>
      <c r="O41" s="35" t="s">
        <v>170</v>
      </c>
      <c r="P41" s="13" t="s">
        <v>185</v>
      </c>
      <c r="Q41" s="51">
        <v>0.05</v>
      </c>
      <c r="R41" s="51">
        <v>0.08</v>
      </c>
      <c r="S41" s="5">
        <f t="shared" si="9"/>
        <v>21800</v>
      </c>
      <c r="T41" s="5">
        <f t="shared" si="10"/>
        <v>174400</v>
      </c>
      <c r="U41" s="12">
        <f t="shared" si="11"/>
        <v>15.85</v>
      </c>
      <c r="V41" s="45">
        <f t="shared" si="12"/>
        <v>126.8</v>
      </c>
      <c r="W41" s="79">
        <f t="shared" si="13"/>
        <v>8720</v>
      </c>
      <c r="X41" s="65">
        <f t="shared" si="14"/>
        <v>6.34</v>
      </c>
      <c r="Y41" s="64">
        <f t="shared" si="15"/>
        <v>133.13999999999999</v>
      </c>
      <c r="Z41" s="37"/>
      <c r="AA41" s="52"/>
      <c r="AB41" s="56"/>
      <c r="AC41" s="76"/>
    </row>
    <row r="42" spans="2:29" ht="20.100000000000001" customHeight="1" x14ac:dyDescent="0.3">
      <c r="B42" s="44">
        <v>38</v>
      </c>
      <c r="C42" s="8" t="s">
        <v>53</v>
      </c>
      <c r="D42" s="17"/>
      <c r="E42" s="17">
        <v>4</v>
      </c>
      <c r="F42" s="57" t="s">
        <v>148</v>
      </c>
      <c r="G42" s="57" t="s">
        <v>155</v>
      </c>
      <c r="H42" s="14" t="s">
        <v>149</v>
      </c>
      <c r="I42" s="14" t="s">
        <v>154</v>
      </c>
      <c r="J42" s="20" t="s">
        <v>11</v>
      </c>
      <c r="K42" s="21" t="s">
        <v>157</v>
      </c>
      <c r="L42" s="23">
        <v>64</v>
      </c>
      <c r="M42" s="78">
        <v>3938</v>
      </c>
      <c r="N42" s="22">
        <f t="shared" si="8"/>
        <v>252032</v>
      </c>
      <c r="O42" s="35" t="s">
        <v>170</v>
      </c>
      <c r="P42" s="13" t="s">
        <v>195</v>
      </c>
      <c r="Q42" s="51">
        <v>0.15</v>
      </c>
      <c r="R42" s="51">
        <v>0.1</v>
      </c>
      <c r="S42" s="5">
        <f t="shared" si="9"/>
        <v>3938</v>
      </c>
      <c r="T42" s="5">
        <f t="shared" si="10"/>
        <v>252032</v>
      </c>
      <c r="U42" s="12">
        <f t="shared" si="11"/>
        <v>2.86</v>
      </c>
      <c r="V42" s="45">
        <f t="shared" si="12"/>
        <v>183.04</v>
      </c>
      <c r="W42" s="79">
        <f t="shared" si="13"/>
        <v>37804.799999999996</v>
      </c>
      <c r="X42" s="65">
        <f t="shared" si="14"/>
        <v>27.49</v>
      </c>
      <c r="Y42" s="64">
        <f t="shared" si="15"/>
        <v>210.53</v>
      </c>
      <c r="Z42" s="37"/>
      <c r="AA42" s="52"/>
      <c r="AB42" s="56"/>
      <c r="AC42" s="76"/>
    </row>
    <row r="43" spans="2:29" ht="20.100000000000001" customHeight="1" x14ac:dyDescent="0.3">
      <c r="B43" s="44">
        <v>39</v>
      </c>
      <c r="C43" s="8" t="s">
        <v>53</v>
      </c>
      <c r="D43" s="17"/>
      <c r="E43" s="17">
        <v>4</v>
      </c>
      <c r="F43" s="57" t="s">
        <v>148</v>
      </c>
      <c r="G43" s="57" t="s">
        <v>156</v>
      </c>
      <c r="H43" s="14" t="s">
        <v>149</v>
      </c>
      <c r="I43" s="14" t="s">
        <v>154</v>
      </c>
      <c r="J43" s="20" t="s">
        <v>11</v>
      </c>
      <c r="K43" s="21" t="s">
        <v>157</v>
      </c>
      <c r="L43" s="23">
        <v>48</v>
      </c>
      <c r="M43" s="78">
        <v>5208</v>
      </c>
      <c r="N43" s="22">
        <f t="shared" si="8"/>
        <v>249984</v>
      </c>
      <c r="O43" s="35" t="s">
        <v>170</v>
      </c>
      <c r="P43" s="13" t="s">
        <v>195</v>
      </c>
      <c r="Q43" s="51">
        <v>0.15</v>
      </c>
      <c r="R43" s="51">
        <v>0.1</v>
      </c>
      <c r="S43" s="5">
        <f t="shared" si="9"/>
        <v>5208</v>
      </c>
      <c r="T43" s="5">
        <f t="shared" si="10"/>
        <v>249984</v>
      </c>
      <c r="U43" s="12">
        <f t="shared" si="11"/>
        <v>3.79</v>
      </c>
      <c r="V43" s="45">
        <f t="shared" si="12"/>
        <v>181.92000000000002</v>
      </c>
      <c r="W43" s="79">
        <f t="shared" si="13"/>
        <v>37497.599999999999</v>
      </c>
      <c r="X43" s="65">
        <f t="shared" si="14"/>
        <v>27.27</v>
      </c>
      <c r="Y43" s="64">
        <f t="shared" si="15"/>
        <v>209.19000000000003</v>
      </c>
      <c r="Z43" s="37"/>
      <c r="AA43" s="52"/>
      <c r="AB43" s="56"/>
      <c r="AC43" s="76"/>
    </row>
    <row r="44" spans="2:29" ht="20.100000000000001" customHeight="1" x14ac:dyDescent="0.3">
      <c r="B44" s="44">
        <v>40</v>
      </c>
      <c r="C44" s="8" t="s">
        <v>53</v>
      </c>
      <c r="D44" s="17"/>
      <c r="E44" s="17">
        <v>4</v>
      </c>
      <c r="F44" s="57" t="s">
        <v>150</v>
      </c>
      <c r="G44" s="57" t="s">
        <v>151</v>
      </c>
      <c r="H44" s="14" t="s">
        <v>149</v>
      </c>
      <c r="I44" s="14" t="s">
        <v>154</v>
      </c>
      <c r="J44" s="20" t="s">
        <v>11</v>
      </c>
      <c r="K44" s="21" t="s">
        <v>85</v>
      </c>
      <c r="L44" s="23">
        <v>16</v>
      </c>
      <c r="M44" s="78">
        <v>6460</v>
      </c>
      <c r="N44" s="22">
        <f t="shared" si="8"/>
        <v>103360</v>
      </c>
      <c r="O44" s="35" t="s">
        <v>170</v>
      </c>
      <c r="P44" s="13" t="s">
        <v>186</v>
      </c>
      <c r="Q44" s="51">
        <v>0.1</v>
      </c>
      <c r="R44" s="51">
        <v>0.08</v>
      </c>
      <c r="S44" s="5">
        <f t="shared" si="9"/>
        <v>6460</v>
      </c>
      <c r="T44" s="5">
        <f t="shared" si="10"/>
        <v>103360</v>
      </c>
      <c r="U44" s="12">
        <f t="shared" si="11"/>
        <v>4.7</v>
      </c>
      <c r="V44" s="45">
        <f t="shared" si="12"/>
        <v>75.2</v>
      </c>
      <c r="W44" s="79">
        <f t="shared" si="13"/>
        <v>10336</v>
      </c>
      <c r="X44" s="65">
        <f t="shared" si="14"/>
        <v>7.52</v>
      </c>
      <c r="Y44" s="64">
        <f t="shared" si="15"/>
        <v>82.72</v>
      </c>
      <c r="Z44" s="37"/>
      <c r="AA44" s="52"/>
      <c r="AB44" s="56"/>
      <c r="AC44" s="76"/>
    </row>
    <row r="45" spans="2:29" ht="20.100000000000001" customHeight="1" x14ac:dyDescent="0.3">
      <c r="B45" s="44">
        <v>41</v>
      </c>
      <c r="C45" s="8" t="s">
        <v>53</v>
      </c>
      <c r="D45" s="17"/>
      <c r="E45" s="17">
        <v>4</v>
      </c>
      <c r="F45" s="57" t="s">
        <v>152</v>
      </c>
      <c r="G45" s="57" t="s">
        <v>153</v>
      </c>
      <c r="H45" s="14" t="s">
        <v>149</v>
      </c>
      <c r="I45" s="14" t="s">
        <v>154</v>
      </c>
      <c r="J45" s="20" t="s">
        <v>11</v>
      </c>
      <c r="K45" s="21" t="s">
        <v>85</v>
      </c>
      <c r="L45" s="23">
        <v>32</v>
      </c>
      <c r="M45" s="78">
        <v>150</v>
      </c>
      <c r="N45" s="22">
        <f t="shared" si="8"/>
        <v>4800</v>
      </c>
      <c r="O45" s="35" t="s">
        <v>170</v>
      </c>
      <c r="P45" s="13" t="s">
        <v>188</v>
      </c>
      <c r="Q45" s="51">
        <v>0.03</v>
      </c>
      <c r="R45" s="51">
        <v>0.08</v>
      </c>
      <c r="S45" s="5">
        <f t="shared" si="9"/>
        <v>150</v>
      </c>
      <c r="T45" s="5">
        <f t="shared" si="10"/>
        <v>4800</v>
      </c>
      <c r="U45" s="12">
        <f t="shared" si="11"/>
        <v>0.11</v>
      </c>
      <c r="V45" s="45">
        <f t="shared" si="12"/>
        <v>3.52</v>
      </c>
      <c r="W45" s="79">
        <f t="shared" si="13"/>
        <v>144</v>
      </c>
      <c r="X45" s="65">
        <f t="shared" si="14"/>
        <v>0.1</v>
      </c>
      <c r="Y45" s="64">
        <f t="shared" si="15"/>
        <v>3.62</v>
      </c>
      <c r="Z45" s="37"/>
      <c r="AA45" s="52"/>
      <c r="AB45" s="56"/>
      <c r="AC45" s="76"/>
    </row>
    <row r="46" spans="2:29" ht="20.100000000000001" customHeight="1" x14ac:dyDescent="0.3">
      <c r="B46" s="44">
        <v>42</v>
      </c>
      <c r="C46" s="8" t="s">
        <v>53</v>
      </c>
      <c r="D46" s="17"/>
      <c r="E46" s="17">
        <v>4</v>
      </c>
      <c r="F46" s="26" t="s">
        <v>41</v>
      </c>
      <c r="G46" s="25" t="s">
        <v>58</v>
      </c>
      <c r="H46" s="27" t="s">
        <v>40</v>
      </c>
      <c r="I46" s="14" t="s">
        <v>29</v>
      </c>
      <c r="J46" s="20" t="s">
        <v>20</v>
      </c>
      <c r="K46" s="21" t="s">
        <v>86</v>
      </c>
      <c r="L46" s="23">
        <v>192</v>
      </c>
      <c r="M46" s="78">
        <v>3900</v>
      </c>
      <c r="N46" s="22">
        <f t="shared" si="8"/>
        <v>748800</v>
      </c>
      <c r="O46" s="35" t="s">
        <v>170</v>
      </c>
      <c r="P46" s="13" t="s">
        <v>181</v>
      </c>
      <c r="Q46" s="51">
        <v>0.12</v>
      </c>
      <c r="R46" s="51">
        <v>0.08</v>
      </c>
      <c r="S46" s="5">
        <f t="shared" si="9"/>
        <v>3900</v>
      </c>
      <c r="T46" s="5">
        <f t="shared" si="10"/>
        <v>748800</v>
      </c>
      <c r="U46" s="12">
        <f t="shared" si="11"/>
        <v>2.84</v>
      </c>
      <c r="V46" s="45">
        <f t="shared" si="12"/>
        <v>545.28</v>
      </c>
      <c r="W46" s="79">
        <f t="shared" si="13"/>
        <v>89856</v>
      </c>
      <c r="X46" s="65">
        <f t="shared" si="14"/>
        <v>65.34</v>
      </c>
      <c r="Y46" s="64">
        <f t="shared" si="15"/>
        <v>610.62</v>
      </c>
      <c r="Z46" s="37"/>
      <c r="AA46" s="52"/>
      <c r="AB46" s="54"/>
      <c r="AC46" s="76"/>
    </row>
    <row r="47" spans="2:29" ht="20.100000000000001" customHeight="1" x14ac:dyDescent="0.3">
      <c r="B47" s="44">
        <v>43</v>
      </c>
      <c r="C47" s="8" t="s">
        <v>53</v>
      </c>
      <c r="D47" s="17"/>
      <c r="E47" s="17">
        <v>4</v>
      </c>
      <c r="F47" s="24" t="s">
        <v>54</v>
      </c>
      <c r="G47" s="25" t="s">
        <v>59</v>
      </c>
      <c r="H47" s="25" t="s">
        <v>40</v>
      </c>
      <c r="I47" s="14" t="s">
        <v>29</v>
      </c>
      <c r="J47" s="20" t="s">
        <v>11</v>
      </c>
      <c r="K47" s="21" t="s">
        <v>86</v>
      </c>
      <c r="L47" s="23">
        <v>192</v>
      </c>
      <c r="M47" s="78">
        <v>450</v>
      </c>
      <c r="N47" s="22">
        <f t="shared" si="8"/>
        <v>86400</v>
      </c>
      <c r="O47" s="35" t="s">
        <v>170</v>
      </c>
      <c r="P47" s="13" t="s">
        <v>182</v>
      </c>
      <c r="Q47" s="51">
        <v>0.1</v>
      </c>
      <c r="R47" s="51">
        <v>0.1</v>
      </c>
      <c r="S47" s="5">
        <f t="shared" si="9"/>
        <v>450</v>
      </c>
      <c r="T47" s="5">
        <f t="shared" si="10"/>
        <v>86400</v>
      </c>
      <c r="U47" s="12">
        <f t="shared" si="11"/>
        <v>0.33</v>
      </c>
      <c r="V47" s="45">
        <f t="shared" si="12"/>
        <v>63.36</v>
      </c>
      <c r="W47" s="79">
        <f t="shared" si="13"/>
        <v>8640</v>
      </c>
      <c r="X47" s="65">
        <f t="shared" si="14"/>
        <v>6.28</v>
      </c>
      <c r="Y47" s="64">
        <f t="shared" si="15"/>
        <v>69.64</v>
      </c>
      <c r="Z47" s="37"/>
      <c r="AA47" s="52"/>
      <c r="AB47" s="56"/>
      <c r="AC47" s="76"/>
    </row>
    <row r="48" spans="2:29" ht="20.100000000000001" customHeight="1" x14ac:dyDescent="0.3">
      <c r="B48" s="44">
        <v>44</v>
      </c>
      <c r="C48" s="8" t="s">
        <v>53</v>
      </c>
      <c r="D48" s="17"/>
      <c r="E48" s="17">
        <v>4</v>
      </c>
      <c r="F48" s="24" t="s">
        <v>42</v>
      </c>
      <c r="G48" s="25" t="s">
        <v>62</v>
      </c>
      <c r="H48" s="25" t="s">
        <v>40</v>
      </c>
      <c r="I48" s="14" t="s">
        <v>29</v>
      </c>
      <c r="J48" s="20" t="s">
        <v>11</v>
      </c>
      <c r="K48" s="21" t="s">
        <v>86</v>
      </c>
      <c r="L48" s="58">
        <v>272</v>
      </c>
      <c r="M48" s="78">
        <v>2800</v>
      </c>
      <c r="N48" s="22">
        <f t="shared" si="8"/>
        <v>761600</v>
      </c>
      <c r="O48" s="35" t="s">
        <v>170</v>
      </c>
      <c r="P48" s="13" t="s">
        <v>183</v>
      </c>
      <c r="Q48" s="51">
        <v>0.2</v>
      </c>
      <c r="R48" s="51">
        <v>0.1</v>
      </c>
      <c r="S48" s="5">
        <f t="shared" si="9"/>
        <v>2800</v>
      </c>
      <c r="T48" s="5">
        <f t="shared" si="10"/>
        <v>761600</v>
      </c>
      <c r="U48" s="12">
        <f t="shared" si="11"/>
        <v>2.04</v>
      </c>
      <c r="V48" s="45">
        <f t="shared" si="12"/>
        <v>554.88</v>
      </c>
      <c r="W48" s="79">
        <f t="shared" si="13"/>
        <v>152320</v>
      </c>
      <c r="X48" s="65">
        <f t="shared" si="14"/>
        <v>110.76</v>
      </c>
      <c r="Y48" s="64">
        <f t="shared" si="15"/>
        <v>665.64</v>
      </c>
      <c r="Z48" s="37"/>
      <c r="AA48" s="52"/>
      <c r="AB48" s="56"/>
      <c r="AC48" s="76"/>
    </row>
    <row r="49" spans="2:29" ht="20.100000000000001" customHeight="1" x14ac:dyDescent="0.3">
      <c r="B49" s="44">
        <v>45</v>
      </c>
      <c r="C49" s="8" t="s">
        <v>53</v>
      </c>
      <c r="D49" s="17"/>
      <c r="E49" s="17">
        <v>4</v>
      </c>
      <c r="F49" s="26" t="s">
        <v>42</v>
      </c>
      <c r="G49" s="25" t="s">
        <v>197</v>
      </c>
      <c r="H49" s="27" t="s">
        <v>40</v>
      </c>
      <c r="I49" s="14" t="s">
        <v>29</v>
      </c>
      <c r="J49" s="20" t="s">
        <v>11</v>
      </c>
      <c r="K49" s="21" t="s">
        <v>86</v>
      </c>
      <c r="L49" s="58">
        <v>40</v>
      </c>
      <c r="M49" s="78">
        <v>11500</v>
      </c>
      <c r="N49" s="22">
        <f t="shared" si="8"/>
        <v>460000</v>
      </c>
      <c r="O49" s="35" t="s">
        <v>170</v>
      </c>
      <c r="P49" s="13" t="s">
        <v>183</v>
      </c>
      <c r="Q49" s="51">
        <v>0.2</v>
      </c>
      <c r="R49" s="51">
        <v>0.1</v>
      </c>
      <c r="S49" s="5">
        <f t="shared" si="9"/>
        <v>11500</v>
      </c>
      <c r="T49" s="5">
        <f t="shared" si="10"/>
        <v>460000</v>
      </c>
      <c r="U49" s="12">
        <f t="shared" si="11"/>
        <v>8.36</v>
      </c>
      <c r="V49" s="45">
        <f t="shared" si="12"/>
        <v>334.4</v>
      </c>
      <c r="W49" s="79">
        <f t="shared" si="13"/>
        <v>92000</v>
      </c>
      <c r="X49" s="65">
        <f t="shared" si="14"/>
        <v>66.900000000000006</v>
      </c>
      <c r="Y49" s="64">
        <f t="shared" si="15"/>
        <v>401.29999999999995</v>
      </c>
      <c r="Z49" s="37"/>
      <c r="AA49" s="52"/>
      <c r="AB49" s="56"/>
      <c r="AC49" s="76"/>
    </row>
    <row r="50" spans="2:29" ht="20.100000000000001" customHeight="1" x14ac:dyDescent="0.3">
      <c r="B50" s="44">
        <v>46</v>
      </c>
      <c r="C50" s="8" t="s">
        <v>53</v>
      </c>
      <c r="D50" s="17"/>
      <c r="E50" s="17">
        <v>4</v>
      </c>
      <c r="F50" s="24" t="s">
        <v>48</v>
      </c>
      <c r="G50" s="25" t="s">
        <v>60</v>
      </c>
      <c r="H50" s="25" t="s">
        <v>47</v>
      </c>
      <c r="I50" s="14" t="s">
        <v>29</v>
      </c>
      <c r="J50" s="20" t="s">
        <v>11</v>
      </c>
      <c r="K50" s="21" t="s">
        <v>86</v>
      </c>
      <c r="L50" s="58">
        <v>8</v>
      </c>
      <c r="M50" s="78">
        <v>29000</v>
      </c>
      <c r="N50" s="22">
        <f t="shared" si="8"/>
        <v>232000</v>
      </c>
      <c r="O50" s="35" t="s">
        <v>170</v>
      </c>
      <c r="P50" s="13" t="s">
        <v>194</v>
      </c>
      <c r="Q50" s="51">
        <v>0.2</v>
      </c>
      <c r="R50" s="51">
        <v>0.08</v>
      </c>
      <c r="S50" s="5">
        <f t="shared" si="9"/>
        <v>29000</v>
      </c>
      <c r="T50" s="5">
        <f t="shared" si="10"/>
        <v>232000</v>
      </c>
      <c r="U50" s="12">
        <f t="shared" si="11"/>
        <v>21.09</v>
      </c>
      <c r="V50" s="45">
        <f t="shared" si="12"/>
        <v>168.72</v>
      </c>
      <c r="W50" s="79">
        <f t="shared" si="13"/>
        <v>46400</v>
      </c>
      <c r="X50" s="65">
        <f t="shared" si="14"/>
        <v>33.74</v>
      </c>
      <c r="Y50" s="64">
        <f t="shared" si="15"/>
        <v>202.46</v>
      </c>
      <c r="Z50" s="37"/>
      <c r="AA50" s="52"/>
      <c r="AB50" s="56"/>
      <c r="AC50" s="76"/>
    </row>
    <row r="51" spans="2:29" ht="20.100000000000001" customHeight="1" x14ac:dyDescent="0.3">
      <c r="B51" s="44">
        <v>47</v>
      </c>
      <c r="C51" s="8" t="s">
        <v>53</v>
      </c>
      <c r="D51" s="17"/>
      <c r="E51" s="17">
        <v>4</v>
      </c>
      <c r="F51" s="25" t="s">
        <v>55</v>
      </c>
      <c r="G51" s="25" t="s">
        <v>61</v>
      </c>
      <c r="H51" s="25" t="s">
        <v>33</v>
      </c>
      <c r="I51" s="14" t="s">
        <v>29</v>
      </c>
      <c r="J51" s="20" t="s">
        <v>11</v>
      </c>
      <c r="K51" s="21" t="s">
        <v>86</v>
      </c>
      <c r="L51" s="58">
        <v>16</v>
      </c>
      <c r="M51" s="78">
        <v>100</v>
      </c>
      <c r="N51" s="22">
        <f t="shared" si="8"/>
        <v>1600</v>
      </c>
      <c r="O51" s="35" t="s">
        <v>170</v>
      </c>
      <c r="P51" s="13" t="s">
        <v>206</v>
      </c>
      <c r="Q51" s="51">
        <v>0.03</v>
      </c>
      <c r="R51" s="51">
        <v>0.08</v>
      </c>
      <c r="S51" s="5">
        <f t="shared" si="9"/>
        <v>100</v>
      </c>
      <c r="T51" s="5">
        <f t="shared" si="10"/>
        <v>1600</v>
      </c>
      <c r="U51" s="12">
        <f t="shared" si="11"/>
        <v>7.0000000000000007E-2</v>
      </c>
      <c r="V51" s="45">
        <f t="shared" si="12"/>
        <v>1.1200000000000001</v>
      </c>
      <c r="W51" s="79">
        <f t="shared" si="13"/>
        <v>48</v>
      </c>
      <c r="X51" s="65">
        <f t="shared" si="14"/>
        <v>0.03</v>
      </c>
      <c r="Y51" s="64">
        <f t="shared" si="15"/>
        <v>1.1500000000000001</v>
      </c>
      <c r="Z51" s="37"/>
      <c r="AA51" s="52"/>
      <c r="AB51" s="56"/>
      <c r="AC51" s="76"/>
    </row>
    <row r="52" spans="2:29" ht="20.100000000000001" customHeight="1" x14ac:dyDescent="0.3">
      <c r="B52" s="44">
        <v>48</v>
      </c>
      <c r="C52" s="8" t="s">
        <v>53</v>
      </c>
      <c r="D52" s="17"/>
      <c r="E52" s="17">
        <v>4</v>
      </c>
      <c r="F52" s="57" t="s">
        <v>104</v>
      </c>
      <c r="G52" s="57" t="s">
        <v>105</v>
      </c>
      <c r="H52" s="14" t="s">
        <v>103</v>
      </c>
      <c r="I52" s="14" t="s">
        <v>29</v>
      </c>
      <c r="J52" s="20" t="s">
        <v>11</v>
      </c>
      <c r="K52" s="21" t="s">
        <v>85</v>
      </c>
      <c r="L52" s="23">
        <v>8</v>
      </c>
      <c r="M52" s="78">
        <v>3000</v>
      </c>
      <c r="N52" s="22">
        <f t="shared" si="8"/>
        <v>24000</v>
      </c>
      <c r="O52" s="35" t="s">
        <v>170</v>
      </c>
      <c r="P52" s="13" t="s">
        <v>195</v>
      </c>
      <c r="Q52" s="51">
        <v>0.15</v>
      </c>
      <c r="R52" s="51">
        <v>0.1</v>
      </c>
      <c r="S52" s="5">
        <f t="shared" si="9"/>
        <v>3000</v>
      </c>
      <c r="T52" s="5">
        <f t="shared" si="10"/>
        <v>24000</v>
      </c>
      <c r="U52" s="12">
        <f t="shared" si="11"/>
        <v>2.1800000000000002</v>
      </c>
      <c r="V52" s="45">
        <f t="shared" si="12"/>
        <v>17.440000000000001</v>
      </c>
      <c r="W52" s="79">
        <f t="shared" si="13"/>
        <v>3600</v>
      </c>
      <c r="X52" s="65">
        <f t="shared" si="14"/>
        <v>2.62</v>
      </c>
      <c r="Y52" s="64">
        <f t="shared" si="15"/>
        <v>20.060000000000002</v>
      </c>
      <c r="Z52" s="37"/>
      <c r="AA52" s="52"/>
      <c r="AB52" s="56"/>
      <c r="AC52" s="76"/>
    </row>
    <row r="53" spans="2:29" ht="20.100000000000001" customHeight="1" x14ac:dyDescent="0.3">
      <c r="B53" s="44">
        <v>49</v>
      </c>
      <c r="C53" s="8" t="s">
        <v>53</v>
      </c>
      <c r="D53" s="8"/>
      <c r="E53" s="8">
        <v>4</v>
      </c>
      <c r="F53" s="19" t="s">
        <v>158</v>
      </c>
      <c r="G53" s="57" t="s">
        <v>202</v>
      </c>
      <c r="H53" s="14" t="s">
        <v>124</v>
      </c>
      <c r="I53" s="14" t="s">
        <v>29</v>
      </c>
      <c r="J53" s="20" t="s">
        <v>11</v>
      </c>
      <c r="K53" s="21" t="s">
        <v>85</v>
      </c>
      <c r="L53" s="23">
        <v>8</v>
      </c>
      <c r="M53" s="78">
        <v>13200</v>
      </c>
      <c r="N53" s="22">
        <f t="shared" si="8"/>
        <v>105600</v>
      </c>
      <c r="O53" s="35" t="s">
        <v>170</v>
      </c>
      <c r="P53" s="13" t="s">
        <v>204</v>
      </c>
      <c r="Q53" s="51">
        <v>0.03</v>
      </c>
      <c r="R53" s="51">
        <v>0.08</v>
      </c>
      <c r="S53" s="5">
        <f t="shared" si="9"/>
        <v>13200</v>
      </c>
      <c r="T53" s="5">
        <f t="shared" si="10"/>
        <v>105600</v>
      </c>
      <c r="U53" s="12">
        <f t="shared" si="11"/>
        <v>9.6</v>
      </c>
      <c r="V53" s="45">
        <f t="shared" si="12"/>
        <v>76.8</v>
      </c>
      <c r="W53" s="79">
        <f t="shared" si="13"/>
        <v>3168</v>
      </c>
      <c r="X53" s="65">
        <f t="shared" si="14"/>
        <v>2.2999999999999998</v>
      </c>
      <c r="Y53" s="64">
        <f t="shared" si="15"/>
        <v>79.099999999999994</v>
      </c>
      <c r="Z53" s="37"/>
      <c r="AA53" s="52"/>
      <c r="AB53" s="56"/>
      <c r="AC53" s="76"/>
    </row>
    <row r="54" spans="2:29" ht="20.100000000000001" customHeight="1" x14ac:dyDescent="0.3">
      <c r="B54" s="44">
        <v>50</v>
      </c>
      <c r="C54" s="8" t="s">
        <v>53</v>
      </c>
      <c r="D54" s="17"/>
      <c r="E54" s="17">
        <v>4</v>
      </c>
      <c r="F54" s="57" t="s">
        <v>101</v>
      </c>
      <c r="G54" s="57" t="s">
        <v>102</v>
      </c>
      <c r="H54" s="14" t="s">
        <v>103</v>
      </c>
      <c r="I54" s="14" t="s">
        <v>29</v>
      </c>
      <c r="J54" s="20" t="s">
        <v>11</v>
      </c>
      <c r="K54" s="21" t="s">
        <v>85</v>
      </c>
      <c r="L54" s="23">
        <v>8</v>
      </c>
      <c r="M54" s="78">
        <v>28800</v>
      </c>
      <c r="N54" s="22">
        <f t="shared" si="8"/>
        <v>230400</v>
      </c>
      <c r="O54" s="35" t="s">
        <v>170</v>
      </c>
      <c r="P54" s="13" t="s">
        <v>203</v>
      </c>
      <c r="Q54" s="51">
        <v>0</v>
      </c>
      <c r="R54" s="51">
        <v>0.08</v>
      </c>
      <c r="S54" s="5">
        <f t="shared" si="9"/>
        <v>57600</v>
      </c>
      <c r="T54" s="5">
        <f t="shared" si="10"/>
        <v>460800</v>
      </c>
      <c r="U54" s="12">
        <f t="shared" si="11"/>
        <v>41.88</v>
      </c>
      <c r="V54" s="45">
        <f t="shared" si="12"/>
        <v>335.04</v>
      </c>
      <c r="W54" s="79">
        <f t="shared" si="13"/>
        <v>0</v>
      </c>
      <c r="X54" s="65">
        <f t="shared" si="14"/>
        <v>0</v>
      </c>
      <c r="Y54" s="64">
        <f t="shared" si="15"/>
        <v>335.04</v>
      </c>
      <c r="Z54" s="37"/>
      <c r="AA54" s="52"/>
      <c r="AB54" s="56"/>
    </row>
    <row r="55" spans="2:29" ht="20.100000000000001" customHeight="1" x14ac:dyDescent="0.3">
      <c r="B55" s="44">
        <v>51</v>
      </c>
      <c r="C55" s="8" t="s">
        <v>123</v>
      </c>
      <c r="D55" s="17"/>
      <c r="E55" s="17">
        <v>4</v>
      </c>
      <c r="F55" s="19" t="s">
        <v>26</v>
      </c>
      <c r="G55" s="60" t="s">
        <v>205</v>
      </c>
      <c r="H55" s="14" t="s">
        <v>159</v>
      </c>
      <c r="I55" s="14" t="s">
        <v>160</v>
      </c>
      <c r="J55" s="20" t="s">
        <v>11</v>
      </c>
      <c r="K55" s="21" t="s">
        <v>157</v>
      </c>
      <c r="L55" s="23">
        <v>8</v>
      </c>
      <c r="M55" s="78">
        <v>3500</v>
      </c>
      <c r="N55" s="22">
        <f t="shared" si="8"/>
        <v>28000</v>
      </c>
      <c r="O55" s="35" t="s">
        <v>170</v>
      </c>
      <c r="P55" s="13" t="s">
        <v>180</v>
      </c>
      <c r="Q55" s="51">
        <v>0</v>
      </c>
      <c r="R55" s="51">
        <v>0.1</v>
      </c>
      <c r="S55" s="5">
        <f t="shared" si="9"/>
        <v>7000</v>
      </c>
      <c r="T55" s="5">
        <f t="shared" si="10"/>
        <v>56000</v>
      </c>
      <c r="U55" s="12">
        <f t="shared" si="11"/>
        <v>5.09</v>
      </c>
      <c r="V55" s="45">
        <f t="shared" si="12"/>
        <v>40.72</v>
      </c>
      <c r="W55" s="79">
        <f t="shared" si="13"/>
        <v>0</v>
      </c>
      <c r="X55" s="65">
        <f t="shared" si="14"/>
        <v>0</v>
      </c>
      <c r="Y55" s="64">
        <f t="shared" si="15"/>
        <v>40.72</v>
      </c>
      <c r="Z55" s="37"/>
      <c r="AA55" s="52"/>
      <c r="AB55" s="56"/>
    </row>
    <row r="56" spans="2:29" ht="20.100000000000001" customHeight="1" x14ac:dyDescent="0.3">
      <c r="B56" s="44">
        <v>52</v>
      </c>
      <c r="C56" s="8" t="s">
        <v>123</v>
      </c>
      <c r="D56" s="17"/>
      <c r="E56" s="17">
        <v>4</v>
      </c>
      <c r="F56" s="19" t="s">
        <v>26</v>
      </c>
      <c r="G56" s="57" t="s">
        <v>187</v>
      </c>
      <c r="H56" s="14" t="s">
        <v>159</v>
      </c>
      <c r="I56" s="14" t="s">
        <v>160</v>
      </c>
      <c r="J56" s="20" t="s">
        <v>11</v>
      </c>
      <c r="K56" s="21" t="s">
        <v>157</v>
      </c>
      <c r="L56" s="23">
        <v>8</v>
      </c>
      <c r="M56" s="78">
        <v>4000</v>
      </c>
      <c r="N56" s="22">
        <f t="shared" si="8"/>
        <v>32000</v>
      </c>
      <c r="O56" s="35" t="s">
        <v>170</v>
      </c>
      <c r="P56" s="13" t="s">
        <v>180</v>
      </c>
      <c r="Q56" s="51">
        <v>0</v>
      </c>
      <c r="R56" s="51">
        <v>0.1</v>
      </c>
      <c r="S56" s="5">
        <f t="shared" si="9"/>
        <v>8000</v>
      </c>
      <c r="T56" s="5">
        <f t="shared" si="10"/>
        <v>64000</v>
      </c>
      <c r="U56" s="12">
        <f t="shared" si="11"/>
        <v>5.82</v>
      </c>
      <c r="V56" s="45">
        <f t="shared" si="12"/>
        <v>46.56</v>
      </c>
      <c r="W56" s="79">
        <f t="shared" si="13"/>
        <v>0</v>
      </c>
      <c r="X56" s="65">
        <f t="shared" si="14"/>
        <v>0</v>
      </c>
      <c r="Y56" s="64">
        <f t="shared" si="15"/>
        <v>46.56</v>
      </c>
      <c r="Z56" s="37"/>
      <c r="AA56" s="52"/>
      <c r="AB56" s="56"/>
    </row>
    <row r="57" spans="2:29" ht="20.100000000000001" customHeight="1" x14ac:dyDescent="0.3">
      <c r="B57" s="44">
        <v>53</v>
      </c>
      <c r="C57" s="8" t="s">
        <v>53</v>
      </c>
      <c r="D57" s="17"/>
      <c r="E57" s="81">
        <v>5</v>
      </c>
      <c r="F57" s="57" t="s">
        <v>141</v>
      </c>
      <c r="G57" s="57" t="s">
        <v>142</v>
      </c>
      <c r="H57" s="14" t="s">
        <v>143</v>
      </c>
      <c r="I57" s="14" t="s">
        <v>154</v>
      </c>
      <c r="J57" s="20" t="s">
        <v>11</v>
      </c>
      <c r="K57" s="21" t="s">
        <v>86</v>
      </c>
      <c r="L57" s="23">
        <v>30</v>
      </c>
      <c r="M57" s="78">
        <v>17937</v>
      </c>
      <c r="N57" s="22">
        <f t="shared" si="8"/>
        <v>538110</v>
      </c>
      <c r="O57" s="35" t="s">
        <v>170</v>
      </c>
      <c r="P57" s="13">
        <v>83022090</v>
      </c>
      <c r="Q57" s="51">
        <v>0.15</v>
      </c>
      <c r="R57" s="51">
        <v>0.1</v>
      </c>
      <c r="S57" s="5">
        <f t="shared" si="9"/>
        <v>17937</v>
      </c>
      <c r="T57" s="5">
        <f t="shared" si="10"/>
        <v>538110</v>
      </c>
      <c r="U57" s="12">
        <f t="shared" si="11"/>
        <v>13.04</v>
      </c>
      <c r="V57" s="45">
        <f t="shared" si="12"/>
        <v>391.2</v>
      </c>
      <c r="W57" s="79">
        <f t="shared" si="13"/>
        <v>80716.5</v>
      </c>
      <c r="X57" s="65">
        <f t="shared" si="14"/>
        <v>58.69</v>
      </c>
      <c r="Y57" s="64">
        <f t="shared" si="15"/>
        <v>449.89</v>
      </c>
      <c r="Z57" s="37"/>
      <c r="AA57" s="52"/>
      <c r="AB57" s="56"/>
      <c r="AC57" s="76"/>
    </row>
    <row r="58" spans="2:29" ht="20.100000000000001" customHeight="1" x14ac:dyDescent="0.3">
      <c r="B58" s="44">
        <v>54</v>
      </c>
      <c r="C58" s="8" t="s">
        <v>53</v>
      </c>
      <c r="D58" s="17"/>
      <c r="E58" s="81">
        <v>5</v>
      </c>
      <c r="F58" s="14" t="s">
        <v>52</v>
      </c>
      <c r="G58" s="14" t="s">
        <v>140</v>
      </c>
      <c r="H58" s="14" t="s">
        <v>139</v>
      </c>
      <c r="I58" s="14" t="s">
        <v>125</v>
      </c>
      <c r="J58" s="20" t="s">
        <v>11</v>
      </c>
      <c r="K58" s="21" t="s">
        <v>85</v>
      </c>
      <c r="L58" s="23">
        <v>16</v>
      </c>
      <c r="M58" s="78">
        <v>350</v>
      </c>
      <c r="N58" s="22">
        <f t="shared" si="8"/>
        <v>5600</v>
      </c>
      <c r="O58" s="35" t="s">
        <v>170</v>
      </c>
      <c r="P58" s="13" t="s">
        <v>178</v>
      </c>
      <c r="Q58" s="51">
        <v>0.03</v>
      </c>
      <c r="R58" s="51">
        <v>0.08</v>
      </c>
      <c r="S58" s="5">
        <f t="shared" si="9"/>
        <v>350</v>
      </c>
      <c r="T58" s="5">
        <f t="shared" si="10"/>
        <v>5600</v>
      </c>
      <c r="U58" s="12">
        <f t="shared" si="11"/>
        <v>0.25</v>
      </c>
      <c r="V58" s="45">
        <f t="shared" si="12"/>
        <v>4</v>
      </c>
      <c r="W58" s="79">
        <f t="shared" si="13"/>
        <v>168</v>
      </c>
      <c r="X58" s="65">
        <f t="shared" si="14"/>
        <v>0.12</v>
      </c>
      <c r="Y58" s="64">
        <f t="shared" si="15"/>
        <v>4.12</v>
      </c>
      <c r="Z58" s="37"/>
      <c r="AA58" s="52"/>
      <c r="AB58" s="54"/>
      <c r="AC58" s="76"/>
    </row>
    <row r="59" spans="2:29" ht="20.100000000000001" customHeight="1" x14ac:dyDescent="0.3">
      <c r="B59" s="44">
        <v>55</v>
      </c>
      <c r="C59" s="8" t="s">
        <v>53</v>
      </c>
      <c r="D59" s="17"/>
      <c r="E59" s="81">
        <v>5</v>
      </c>
      <c r="F59" s="57" t="s">
        <v>27</v>
      </c>
      <c r="G59" s="57" t="s">
        <v>135</v>
      </c>
      <c r="H59" s="14" t="s">
        <v>128</v>
      </c>
      <c r="I59" s="14" t="s">
        <v>125</v>
      </c>
      <c r="J59" s="20" t="s">
        <v>11</v>
      </c>
      <c r="K59" s="21" t="s">
        <v>86</v>
      </c>
      <c r="L59" s="23">
        <v>48</v>
      </c>
      <c r="M59" s="78">
        <v>30500</v>
      </c>
      <c r="N59" s="22">
        <f t="shared" si="8"/>
        <v>1464000</v>
      </c>
      <c r="O59" s="35" t="s">
        <v>170</v>
      </c>
      <c r="P59" s="13" t="s">
        <v>182</v>
      </c>
      <c r="Q59" s="51">
        <v>0.1</v>
      </c>
      <c r="R59" s="51">
        <v>0.1</v>
      </c>
      <c r="S59" s="5">
        <f t="shared" si="9"/>
        <v>30500</v>
      </c>
      <c r="T59" s="5">
        <f t="shared" si="10"/>
        <v>1464000</v>
      </c>
      <c r="U59" s="12">
        <f t="shared" si="11"/>
        <v>22.18</v>
      </c>
      <c r="V59" s="45">
        <f t="shared" si="12"/>
        <v>1064.6399999999999</v>
      </c>
      <c r="W59" s="79">
        <f t="shared" si="13"/>
        <v>146400</v>
      </c>
      <c r="X59" s="65">
        <f t="shared" si="14"/>
        <v>106.46</v>
      </c>
      <c r="Y59" s="64">
        <f t="shared" si="15"/>
        <v>1171.0999999999999</v>
      </c>
      <c r="Z59" s="37"/>
      <c r="AA59" s="52"/>
      <c r="AB59" s="56"/>
      <c r="AC59" s="76"/>
    </row>
    <row r="60" spans="2:29" ht="20.100000000000001" customHeight="1" x14ac:dyDescent="0.3">
      <c r="B60" s="44">
        <v>56</v>
      </c>
      <c r="C60" s="8" t="s">
        <v>53</v>
      </c>
      <c r="D60" s="17"/>
      <c r="E60" s="81">
        <v>5</v>
      </c>
      <c r="F60" s="57" t="s">
        <v>27</v>
      </c>
      <c r="G60" s="57" t="s">
        <v>136</v>
      </c>
      <c r="H60" s="14" t="s">
        <v>128</v>
      </c>
      <c r="I60" s="14" t="s">
        <v>125</v>
      </c>
      <c r="J60" s="20" t="s">
        <v>11</v>
      </c>
      <c r="K60" s="21" t="s">
        <v>86</v>
      </c>
      <c r="L60" s="23">
        <v>48</v>
      </c>
      <c r="M60" s="78">
        <v>25400</v>
      </c>
      <c r="N60" s="22">
        <f t="shared" si="8"/>
        <v>1219200</v>
      </c>
      <c r="O60" s="35" t="s">
        <v>170</v>
      </c>
      <c r="P60" s="13" t="s">
        <v>182</v>
      </c>
      <c r="Q60" s="51">
        <v>0.1</v>
      </c>
      <c r="R60" s="51">
        <v>0.1</v>
      </c>
      <c r="S60" s="5">
        <f t="shared" si="9"/>
        <v>25400</v>
      </c>
      <c r="T60" s="5">
        <f t="shared" si="10"/>
        <v>1219200</v>
      </c>
      <c r="U60" s="12">
        <f t="shared" si="11"/>
        <v>18.47</v>
      </c>
      <c r="V60" s="45">
        <f t="shared" si="12"/>
        <v>886.56</v>
      </c>
      <c r="W60" s="79">
        <f t="shared" si="13"/>
        <v>121920</v>
      </c>
      <c r="X60" s="65">
        <f t="shared" si="14"/>
        <v>88.65</v>
      </c>
      <c r="Y60" s="64">
        <f t="shared" si="15"/>
        <v>975.20999999999992</v>
      </c>
      <c r="Z60" s="37"/>
      <c r="AA60" s="52"/>
      <c r="AB60" s="56"/>
      <c r="AC60" s="76"/>
    </row>
    <row r="61" spans="2:29" ht="20.100000000000001" customHeight="1" x14ac:dyDescent="0.3">
      <c r="B61" s="44">
        <v>57</v>
      </c>
      <c r="C61" s="8" t="s">
        <v>53</v>
      </c>
      <c r="D61" s="17"/>
      <c r="E61" s="81">
        <v>5</v>
      </c>
      <c r="F61" s="57" t="s">
        <v>27</v>
      </c>
      <c r="G61" s="57" t="s">
        <v>131</v>
      </c>
      <c r="H61" s="14" t="s">
        <v>126</v>
      </c>
      <c r="I61" s="14" t="s">
        <v>125</v>
      </c>
      <c r="J61" s="20" t="s">
        <v>11</v>
      </c>
      <c r="K61" s="21" t="s">
        <v>85</v>
      </c>
      <c r="L61" s="23">
        <v>16</v>
      </c>
      <c r="M61" s="78">
        <v>34000</v>
      </c>
      <c r="N61" s="22">
        <f t="shared" si="8"/>
        <v>544000</v>
      </c>
      <c r="O61" s="35" t="s">
        <v>170</v>
      </c>
      <c r="P61" s="13" t="s">
        <v>182</v>
      </c>
      <c r="Q61" s="51">
        <v>0.1</v>
      </c>
      <c r="R61" s="51">
        <v>0.1</v>
      </c>
      <c r="S61" s="5">
        <f t="shared" si="9"/>
        <v>34000</v>
      </c>
      <c r="T61" s="5">
        <f t="shared" si="10"/>
        <v>544000</v>
      </c>
      <c r="U61" s="12">
        <f t="shared" si="11"/>
        <v>24.72</v>
      </c>
      <c r="V61" s="45">
        <f t="shared" si="12"/>
        <v>395.52</v>
      </c>
      <c r="W61" s="79">
        <f t="shared" si="13"/>
        <v>54400</v>
      </c>
      <c r="X61" s="65">
        <f t="shared" si="14"/>
        <v>39.56</v>
      </c>
      <c r="Y61" s="64">
        <f t="shared" si="15"/>
        <v>435.08</v>
      </c>
      <c r="Z61" s="37"/>
      <c r="AA61" s="52"/>
      <c r="AB61" s="56"/>
      <c r="AC61" s="76"/>
    </row>
    <row r="62" spans="2:29" ht="20.100000000000001" customHeight="1" x14ac:dyDescent="0.3">
      <c r="B62" s="44">
        <v>58</v>
      </c>
      <c r="C62" s="8" t="s">
        <v>53</v>
      </c>
      <c r="D62" s="17"/>
      <c r="E62" s="81">
        <v>5</v>
      </c>
      <c r="F62" s="57" t="s">
        <v>27</v>
      </c>
      <c r="G62" s="57" t="s">
        <v>134</v>
      </c>
      <c r="H62" s="14" t="s">
        <v>126</v>
      </c>
      <c r="I62" s="14" t="s">
        <v>125</v>
      </c>
      <c r="J62" s="20" t="s">
        <v>11</v>
      </c>
      <c r="K62" s="21" t="s">
        <v>85</v>
      </c>
      <c r="L62" s="23">
        <v>16</v>
      </c>
      <c r="M62" s="78">
        <v>26000</v>
      </c>
      <c r="N62" s="22">
        <f t="shared" si="8"/>
        <v>416000</v>
      </c>
      <c r="O62" s="35" t="s">
        <v>170</v>
      </c>
      <c r="P62" s="13" t="s">
        <v>182</v>
      </c>
      <c r="Q62" s="51">
        <v>0.1</v>
      </c>
      <c r="R62" s="51">
        <v>0.1</v>
      </c>
      <c r="S62" s="5">
        <f t="shared" si="9"/>
        <v>26000</v>
      </c>
      <c r="T62" s="5">
        <f t="shared" si="10"/>
        <v>416000</v>
      </c>
      <c r="U62" s="12">
        <f t="shared" si="11"/>
        <v>18.91</v>
      </c>
      <c r="V62" s="45">
        <f t="shared" si="12"/>
        <v>302.56</v>
      </c>
      <c r="W62" s="79">
        <f t="shared" si="13"/>
        <v>41600</v>
      </c>
      <c r="X62" s="65">
        <f t="shared" si="14"/>
        <v>30.25</v>
      </c>
      <c r="Y62" s="64">
        <f t="shared" si="15"/>
        <v>332.81</v>
      </c>
      <c r="Z62" s="37"/>
      <c r="AA62" s="52"/>
      <c r="AB62" s="56"/>
      <c r="AC62" s="76"/>
    </row>
    <row r="63" spans="2:29" ht="20.100000000000001" customHeight="1" x14ac:dyDescent="0.3">
      <c r="B63" s="44">
        <v>59</v>
      </c>
      <c r="C63" s="8" t="s">
        <v>53</v>
      </c>
      <c r="D63" s="17"/>
      <c r="E63" s="81">
        <v>5</v>
      </c>
      <c r="F63" s="19" t="s">
        <v>150</v>
      </c>
      <c r="G63" s="57" t="s">
        <v>168</v>
      </c>
      <c r="H63" s="14" t="s">
        <v>165</v>
      </c>
      <c r="I63" s="14" t="s">
        <v>154</v>
      </c>
      <c r="J63" s="20" t="s">
        <v>11</v>
      </c>
      <c r="K63" s="21" t="s">
        <v>85</v>
      </c>
      <c r="L63" s="23">
        <v>56</v>
      </c>
      <c r="M63" s="78">
        <v>49980</v>
      </c>
      <c r="N63" s="22">
        <f t="shared" si="8"/>
        <v>2798880</v>
      </c>
      <c r="O63" s="35" t="s">
        <v>170</v>
      </c>
      <c r="P63" s="13" t="s">
        <v>186</v>
      </c>
      <c r="Q63" s="51">
        <v>0.1</v>
      </c>
      <c r="R63" s="51">
        <v>0.08</v>
      </c>
      <c r="S63" s="5">
        <f t="shared" si="9"/>
        <v>49980</v>
      </c>
      <c r="T63" s="5">
        <f t="shared" si="10"/>
        <v>2798880</v>
      </c>
      <c r="U63" s="12">
        <f t="shared" si="11"/>
        <v>36.340000000000003</v>
      </c>
      <c r="V63" s="45">
        <f t="shared" si="12"/>
        <v>2035.0400000000002</v>
      </c>
      <c r="W63" s="79">
        <f t="shared" si="13"/>
        <v>279888</v>
      </c>
      <c r="X63" s="65">
        <f t="shared" si="14"/>
        <v>203.52</v>
      </c>
      <c r="Y63" s="64">
        <f t="shared" si="15"/>
        <v>2238.5600000000004</v>
      </c>
      <c r="Z63" s="37"/>
      <c r="AA63" s="52"/>
      <c r="AB63" s="55"/>
      <c r="AC63" s="76"/>
    </row>
    <row r="64" spans="2:29" ht="20.100000000000001" customHeight="1" x14ac:dyDescent="0.3">
      <c r="B64" s="44">
        <v>60</v>
      </c>
      <c r="C64" s="8" t="s">
        <v>53</v>
      </c>
      <c r="D64" s="17"/>
      <c r="E64" s="81">
        <v>5</v>
      </c>
      <c r="F64" s="28" t="s">
        <v>166</v>
      </c>
      <c r="G64" s="57" t="s">
        <v>167</v>
      </c>
      <c r="H64" s="14" t="s">
        <v>165</v>
      </c>
      <c r="I64" s="14" t="s">
        <v>154</v>
      </c>
      <c r="J64" s="20" t="s">
        <v>11</v>
      </c>
      <c r="K64" s="21" t="s">
        <v>86</v>
      </c>
      <c r="L64" s="23">
        <v>24</v>
      </c>
      <c r="M64" s="78">
        <v>5840</v>
      </c>
      <c r="N64" s="22">
        <f t="shared" si="8"/>
        <v>140160</v>
      </c>
      <c r="O64" s="35" t="s">
        <v>170</v>
      </c>
      <c r="P64" s="13" t="s">
        <v>195</v>
      </c>
      <c r="Q64" s="51">
        <v>0.15</v>
      </c>
      <c r="R64" s="51">
        <v>0.1</v>
      </c>
      <c r="S64" s="5">
        <f t="shared" si="9"/>
        <v>5840</v>
      </c>
      <c r="T64" s="5">
        <f t="shared" si="10"/>
        <v>140160</v>
      </c>
      <c r="U64" s="12">
        <f t="shared" si="11"/>
        <v>4.25</v>
      </c>
      <c r="V64" s="45">
        <f t="shared" si="12"/>
        <v>102</v>
      </c>
      <c r="W64" s="79">
        <f t="shared" si="13"/>
        <v>21024</v>
      </c>
      <c r="X64" s="65">
        <f t="shared" si="14"/>
        <v>15.29</v>
      </c>
      <c r="Y64" s="64">
        <f t="shared" si="15"/>
        <v>117.28999999999999</v>
      </c>
      <c r="Z64" s="37"/>
      <c r="AA64" s="52"/>
      <c r="AB64" s="53"/>
      <c r="AC64" s="76"/>
    </row>
    <row r="65" spans="2:29" ht="20.100000000000001" customHeight="1" x14ac:dyDescent="0.3">
      <c r="B65" s="44">
        <v>61</v>
      </c>
      <c r="C65" s="8" t="s">
        <v>53</v>
      </c>
      <c r="D65" s="17"/>
      <c r="E65" s="81">
        <v>5</v>
      </c>
      <c r="F65" s="28" t="s">
        <v>166</v>
      </c>
      <c r="G65" s="57" t="s">
        <v>169</v>
      </c>
      <c r="H65" s="14" t="s">
        <v>165</v>
      </c>
      <c r="I65" s="14" t="s">
        <v>154</v>
      </c>
      <c r="J65" s="20" t="s">
        <v>11</v>
      </c>
      <c r="K65" s="21" t="s">
        <v>86</v>
      </c>
      <c r="L65" s="23">
        <v>24</v>
      </c>
      <c r="M65" s="78">
        <v>6380</v>
      </c>
      <c r="N65" s="22">
        <f t="shared" si="8"/>
        <v>153120</v>
      </c>
      <c r="O65" s="35" t="s">
        <v>170</v>
      </c>
      <c r="P65" s="13" t="s">
        <v>195</v>
      </c>
      <c r="Q65" s="51">
        <v>0.15</v>
      </c>
      <c r="R65" s="51">
        <v>0.1</v>
      </c>
      <c r="S65" s="5">
        <f t="shared" si="9"/>
        <v>6380</v>
      </c>
      <c r="T65" s="5">
        <f t="shared" si="10"/>
        <v>153120</v>
      </c>
      <c r="U65" s="12">
        <f t="shared" si="11"/>
        <v>4.6399999999999997</v>
      </c>
      <c r="V65" s="45">
        <f t="shared" si="12"/>
        <v>111.35999999999999</v>
      </c>
      <c r="W65" s="79">
        <f t="shared" si="13"/>
        <v>22968</v>
      </c>
      <c r="X65" s="65">
        <f t="shared" si="14"/>
        <v>16.7</v>
      </c>
      <c r="Y65" s="64">
        <f t="shared" si="15"/>
        <v>128.05999999999997</v>
      </c>
      <c r="Z65" s="37"/>
      <c r="AA65" s="52"/>
      <c r="AB65" s="53"/>
      <c r="AC65" s="76"/>
    </row>
    <row r="66" spans="2:29" ht="20.100000000000001" customHeight="1" x14ac:dyDescent="0.3">
      <c r="B66" s="44">
        <v>62</v>
      </c>
      <c r="C66" s="8" t="s">
        <v>53</v>
      </c>
      <c r="D66" s="17"/>
      <c r="E66" s="17">
        <v>6</v>
      </c>
      <c r="F66" s="14" t="s">
        <v>28</v>
      </c>
      <c r="G66" s="14" t="s">
        <v>161</v>
      </c>
      <c r="H66" s="14" t="s">
        <v>162</v>
      </c>
      <c r="I66" s="14" t="s">
        <v>21</v>
      </c>
      <c r="J66" s="20" t="s">
        <v>11</v>
      </c>
      <c r="K66" s="21" t="s">
        <v>86</v>
      </c>
      <c r="L66" s="58">
        <v>4</v>
      </c>
      <c r="M66" s="80">
        <v>320000</v>
      </c>
      <c r="N66" s="22">
        <f t="shared" si="8"/>
        <v>1280000</v>
      </c>
      <c r="O66" s="35" t="s">
        <v>170</v>
      </c>
      <c r="P66" s="13" t="s">
        <v>192</v>
      </c>
      <c r="Q66" s="51">
        <v>0.15</v>
      </c>
      <c r="R66" s="51">
        <v>0.1</v>
      </c>
      <c r="S66" s="5">
        <f t="shared" si="9"/>
        <v>320000</v>
      </c>
      <c r="T66" s="5">
        <f t="shared" si="10"/>
        <v>1280000</v>
      </c>
      <c r="U66" s="12">
        <f t="shared" si="11"/>
        <v>232.69</v>
      </c>
      <c r="V66" s="45">
        <f t="shared" si="12"/>
        <v>930.76</v>
      </c>
      <c r="W66" s="79">
        <f t="shared" si="13"/>
        <v>192000</v>
      </c>
      <c r="X66" s="65">
        <f t="shared" si="14"/>
        <v>139.61000000000001</v>
      </c>
      <c r="Y66" s="64">
        <f t="shared" si="15"/>
        <v>1070.3699999999999</v>
      </c>
      <c r="Z66" s="37"/>
      <c r="AA66" s="52"/>
      <c r="AB66" s="56"/>
      <c r="AC66" s="76"/>
    </row>
    <row r="67" spans="2:29" ht="20.100000000000001" customHeight="1" x14ac:dyDescent="0.3">
      <c r="B67" s="44">
        <v>63</v>
      </c>
      <c r="C67" s="8" t="s">
        <v>53</v>
      </c>
      <c r="D67" s="17"/>
      <c r="E67" s="17">
        <v>7</v>
      </c>
      <c r="F67" s="14" t="s">
        <v>28</v>
      </c>
      <c r="G67" s="14" t="s">
        <v>161</v>
      </c>
      <c r="H67" s="14" t="s">
        <v>162</v>
      </c>
      <c r="I67" s="14" t="s">
        <v>21</v>
      </c>
      <c r="J67" s="20" t="s">
        <v>11</v>
      </c>
      <c r="K67" s="21" t="s">
        <v>86</v>
      </c>
      <c r="L67" s="58">
        <v>4</v>
      </c>
      <c r="M67" s="80">
        <v>320000</v>
      </c>
      <c r="N67" s="22">
        <f t="shared" si="8"/>
        <v>1280000</v>
      </c>
      <c r="O67" s="35" t="s">
        <v>170</v>
      </c>
      <c r="P67" s="13" t="s">
        <v>192</v>
      </c>
      <c r="Q67" s="51">
        <v>0.15</v>
      </c>
      <c r="R67" s="51">
        <v>0.1</v>
      </c>
      <c r="S67" s="5">
        <f t="shared" si="9"/>
        <v>320000</v>
      </c>
      <c r="T67" s="5">
        <f t="shared" si="10"/>
        <v>1280000</v>
      </c>
      <c r="U67" s="12">
        <f t="shared" si="11"/>
        <v>232.69</v>
      </c>
      <c r="V67" s="45">
        <f t="shared" si="12"/>
        <v>930.76</v>
      </c>
      <c r="W67" s="79">
        <f t="shared" si="13"/>
        <v>192000</v>
      </c>
      <c r="X67" s="65">
        <f t="shared" si="14"/>
        <v>139.61000000000001</v>
      </c>
      <c r="Y67" s="64">
        <f t="shared" si="15"/>
        <v>1070.3699999999999</v>
      </c>
      <c r="Z67" s="37"/>
      <c r="AA67" s="52"/>
      <c r="AB67" s="56"/>
      <c r="AC67" s="76"/>
    </row>
    <row r="68" spans="2:29" ht="20.100000000000001" customHeight="1" x14ac:dyDescent="0.3">
      <c r="B68" s="44">
        <v>64</v>
      </c>
      <c r="C68" s="8" t="s">
        <v>53</v>
      </c>
      <c r="D68" s="17"/>
      <c r="E68" s="17">
        <v>8</v>
      </c>
      <c r="F68" s="57" t="s">
        <v>144</v>
      </c>
      <c r="G68" s="57" t="s">
        <v>145</v>
      </c>
      <c r="H68" s="14" t="s">
        <v>143</v>
      </c>
      <c r="I68" s="14" t="s">
        <v>154</v>
      </c>
      <c r="J68" s="20" t="s">
        <v>11</v>
      </c>
      <c r="K68" s="21" t="s">
        <v>86</v>
      </c>
      <c r="L68" s="23">
        <v>64</v>
      </c>
      <c r="M68" s="78">
        <v>13149</v>
      </c>
      <c r="N68" s="22">
        <f t="shared" si="8"/>
        <v>841536</v>
      </c>
      <c r="O68" s="35" t="s">
        <v>170</v>
      </c>
      <c r="P68" s="13">
        <v>73269099</v>
      </c>
      <c r="Q68" s="51">
        <v>0.1</v>
      </c>
      <c r="R68" s="51">
        <v>0.1</v>
      </c>
      <c r="S68" s="5">
        <f t="shared" si="9"/>
        <v>13149</v>
      </c>
      <c r="T68" s="5">
        <f t="shared" si="10"/>
        <v>841536</v>
      </c>
      <c r="U68" s="12">
        <f t="shared" si="11"/>
        <v>9.56</v>
      </c>
      <c r="V68" s="45">
        <f t="shared" si="12"/>
        <v>611.84</v>
      </c>
      <c r="W68" s="79">
        <f t="shared" si="13"/>
        <v>84153.600000000006</v>
      </c>
      <c r="X68" s="65">
        <f t="shared" si="14"/>
        <v>61.19</v>
      </c>
      <c r="Y68" s="64">
        <f t="shared" si="15"/>
        <v>673.03</v>
      </c>
      <c r="Z68" s="37"/>
      <c r="AA68" s="52"/>
      <c r="AB68" s="56"/>
      <c r="AC68" s="76"/>
    </row>
    <row r="69" spans="2:29" ht="20.100000000000001" customHeight="1" x14ac:dyDescent="0.3">
      <c r="B69" s="44">
        <v>65</v>
      </c>
      <c r="C69" s="8" t="s">
        <v>53</v>
      </c>
      <c r="D69" s="17"/>
      <c r="E69" s="17">
        <v>5</v>
      </c>
      <c r="F69" s="24" t="s">
        <v>71</v>
      </c>
      <c r="G69" s="25" t="s">
        <v>72</v>
      </c>
      <c r="H69" s="25" t="s">
        <v>69</v>
      </c>
      <c r="I69" s="14" t="s">
        <v>29</v>
      </c>
      <c r="J69" s="20" t="s">
        <v>70</v>
      </c>
      <c r="K69" s="21" t="s">
        <v>86</v>
      </c>
      <c r="L69" s="23">
        <v>9</v>
      </c>
      <c r="M69" s="78">
        <v>20000</v>
      </c>
      <c r="N69" s="22">
        <f t="shared" ref="N69:N91" si="16">L69*M69</f>
        <v>180000</v>
      </c>
      <c r="O69" s="35" t="s">
        <v>170</v>
      </c>
      <c r="P69" s="13" t="s">
        <v>190</v>
      </c>
      <c r="Q69" s="51">
        <v>0.2</v>
      </c>
      <c r="R69" s="51">
        <v>0.08</v>
      </c>
      <c r="S69" s="5">
        <f t="shared" ref="S69:S91" si="17">++IF(Q69=0,M69*$S$3,M69)</f>
        <v>20000</v>
      </c>
      <c r="T69" s="5">
        <f t="shared" ref="T69:T91" si="18">++L69*S69</f>
        <v>180000</v>
      </c>
      <c r="U69" s="12">
        <f t="shared" ref="U69:U91" si="19">++ROUND(S69/$U$3,2)</f>
        <v>14.54</v>
      </c>
      <c r="V69" s="45">
        <f t="shared" ref="V69:V91" si="20">++L69*U69</f>
        <v>130.85999999999999</v>
      </c>
      <c r="W69" s="79">
        <f t="shared" ref="W69:W91" si="21">++T69*Q69</f>
        <v>36000</v>
      </c>
      <c r="X69" s="65">
        <f t="shared" ref="X69:X91" si="22">++ROUND(W69/$U$3,2)</f>
        <v>26.18</v>
      </c>
      <c r="Y69" s="64">
        <f t="shared" ref="Y69:Y91" si="23">++V69+X69</f>
        <v>157.04</v>
      </c>
      <c r="Z69" s="37"/>
      <c r="AA69" s="52"/>
      <c r="AB69" s="56"/>
      <c r="AC69" s="76"/>
    </row>
    <row r="70" spans="2:29" ht="20.100000000000001" customHeight="1" x14ac:dyDescent="0.3">
      <c r="B70" s="44">
        <v>66</v>
      </c>
      <c r="C70" s="8" t="s">
        <v>53</v>
      </c>
      <c r="D70" s="17"/>
      <c r="E70" s="17">
        <v>5</v>
      </c>
      <c r="F70" s="26" t="s">
        <v>64</v>
      </c>
      <c r="G70" s="25" t="s">
        <v>65</v>
      </c>
      <c r="H70" s="27" t="s">
        <v>63</v>
      </c>
      <c r="I70" s="14" t="s">
        <v>29</v>
      </c>
      <c r="J70" s="20" t="s">
        <v>20</v>
      </c>
      <c r="K70" s="21" t="s">
        <v>86</v>
      </c>
      <c r="L70" s="23">
        <v>8</v>
      </c>
      <c r="M70" s="78">
        <v>2000</v>
      </c>
      <c r="N70" s="22">
        <f t="shared" si="16"/>
        <v>16000</v>
      </c>
      <c r="O70" s="35" t="s">
        <v>170</v>
      </c>
      <c r="P70" s="13">
        <v>39259000</v>
      </c>
      <c r="Q70" s="51">
        <v>0.2</v>
      </c>
      <c r="R70" s="51">
        <v>0.08</v>
      </c>
      <c r="S70" s="5">
        <f t="shared" si="17"/>
        <v>2000</v>
      </c>
      <c r="T70" s="5">
        <f t="shared" si="18"/>
        <v>16000</v>
      </c>
      <c r="U70" s="12">
        <f t="shared" si="19"/>
        <v>1.45</v>
      </c>
      <c r="V70" s="45">
        <f t="shared" si="20"/>
        <v>11.6</v>
      </c>
      <c r="W70" s="79">
        <f t="shared" si="21"/>
        <v>3200</v>
      </c>
      <c r="X70" s="65">
        <f t="shared" si="22"/>
        <v>2.33</v>
      </c>
      <c r="Y70" s="64">
        <f t="shared" si="23"/>
        <v>13.93</v>
      </c>
      <c r="Z70" s="37"/>
      <c r="AA70" s="52"/>
      <c r="AB70" s="56"/>
      <c r="AC70" s="76"/>
    </row>
    <row r="71" spans="2:29" ht="20.100000000000001" customHeight="1" x14ac:dyDescent="0.3">
      <c r="B71" s="44">
        <v>67</v>
      </c>
      <c r="C71" s="8" t="s">
        <v>53</v>
      </c>
      <c r="D71" s="17"/>
      <c r="E71" s="17">
        <v>17</v>
      </c>
      <c r="F71" s="24" t="s">
        <v>71</v>
      </c>
      <c r="G71" s="25" t="s">
        <v>73</v>
      </c>
      <c r="H71" s="25" t="s">
        <v>69</v>
      </c>
      <c r="I71" s="14" t="s">
        <v>29</v>
      </c>
      <c r="J71" s="20" t="s">
        <v>70</v>
      </c>
      <c r="K71" s="21" t="s">
        <v>86</v>
      </c>
      <c r="L71" s="23">
        <v>8</v>
      </c>
      <c r="M71" s="78">
        <v>22000</v>
      </c>
      <c r="N71" s="22">
        <f t="shared" si="16"/>
        <v>176000</v>
      </c>
      <c r="O71" s="35" t="s">
        <v>170</v>
      </c>
      <c r="P71" s="13" t="s">
        <v>190</v>
      </c>
      <c r="Q71" s="51">
        <v>0.2</v>
      </c>
      <c r="R71" s="51">
        <v>0.08</v>
      </c>
      <c r="S71" s="5">
        <f t="shared" si="17"/>
        <v>22000</v>
      </c>
      <c r="T71" s="5">
        <f t="shared" si="18"/>
        <v>176000</v>
      </c>
      <c r="U71" s="12">
        <f t="shared" si="19"/>
        <v>16</v>
      </c>
      <c r="V71" s="45">
        <f t="shared" si="20"/>
        <v>128</v>
      </c>
      <c r="W71" s="79">
        <f t="shared" si="21"/>
        <v>35200</v>
      </c>
      <c r="X71" s="65">
        <f t="shared" si="22"/>
        <v>25.6</v>
      </c>
      <c r="Y71" s="64">
        <f t="shared" si="23"/>
        <v>153.6</v>
      </c>
      <c r="Z71" s="37"/>
      <c r="AA71" s="52"/>
      <c r="AB71" s="56"/>
      <c r="AC71" s="76"/>
    </row>
    <row r="72" spans="2:29" ht="20.100000000000001" customHeight="1" x14ac:dyDescent="0.3">
      <c r="B72" s="44">
        <v>68</v>
      </c>
      <c r="C72" s="8" t="s">
        <v>53</v>
      </c>
      <c r="D72" s="17"/>
      <c r="E72" s="17">
        <v>5</v>
      </c>
      <c r="F72" s="26" t="s">
        <v>64</v>
      </c>
      <c r="G72" s="25" t="s">
        <v>66</v>
      </c>
      <c r="H72" s="27" t="s">
        <v>63</v>
      </c>
      <c r="I72" s="14" t="s">
        <v>29</v>
      </c>
      <c r="J72" s="20" t="s">
        <v>20</v>
      </c>
      <c r="K72" s="21" t="s">
        <v>86</v>
      </c>
      <c r="L72" s="58">
        <v>8</v>
      </c>
      <c r="M72" s="78">
        <v>2400</v>
      </c>
      <c r="N72" s="22">
        <f t="shared" si="16"/>
        <v>19200</v>
      </c>
      <c r="O72" s="35" t="s">
        <v>170</v>
      </c>
      <c r="P72" s="13">
        <v>39259000</v>
      </c>
      <c r="Q72" s="51">
        <v>0.2</v>
      </c>
      <c r="R72" s="51">
        <v>0.08</v>
      </c>
      <c r="S72" s="5">
        <f t="shared" si="17"/>
        <v>2400</v>
      </c>
      <c r="T72" s="5">
        <f t="shared" si="18"/>
        <v>19200</v>
      </c>
      <c r="U72" s="12">
        <f t="shared" si="19"/>
        <v>1.75</v>
      </c>
      <c r="V72" s="45">
        <f t="shared" si="20"/>
        <v>14</v>
      </c>
      <c r="W72" s="79">
        <f t="shared" si="21"/>
        <v>3840</v>
      </c>
      <c r="X72" s="65">
        <f t="shared" si="22"/>
        <v>2.79</v>
      </c>
      <c r="Y72" s="64">
        <f t="shared" si="23"/>
        <v>16.79</v>
      </c>
      <c r="Z72" s="37"/>
      <c r="AA72" s="52"/>
      <c r="AB72" s="56"/>
      <c r="AC72" s="76"/>
    </row>
    <row r="73" spans="2:29" ht="20.100000000000001" customHeight="1" x14ac:dyDescent="0.3">
      <c r="B73" s="44">
        <v>69</v>
      </c>
      <c r="C73" s="8" t="s">
        <v>53</v>
      </c>
      <c r="D73" s="17"/>
      <c r="E73" s="17">
        <v>5</v>
      </c>
      <c r="F73" s="24" t="s">
        <v>71</v>
      </c>
      <c r="G73" s="25" t="s">
        <v>74</v>
      </c>
      <c r="H73" s="25" t="s">
        <v>69</v>
      </c>
      <c r="I73" s="14" t="s">
        <v>29</v>
      </c>
      <c r="J73" s="20" t="s">
        <v>70</v>
      </c>
      <c r="K73" s="21" t="s">
        <v>86</v>
      </c>
      <c r="L73" s="58">
        <v>5</v>
      </c>
      <c r="M73" s="78">
        <v>19500</v>
      </c>
      <c r="N73" s="22">
        <f t="shared" si="16"/>
        <v>97500</v>
      </c>
      <c r="O73" s="35" t="s">
        <v>170</v>
      </c>
      <c r="P73" s="13" t="s">
        <v>190</v>
      </c>
      <c r="Q73" s="51">
        <v>0.2</v>
      </c>
      <c r="R73" s="51">
        <v>0.08</v>
      </c>
      <c r="S73" s="5">
        <f t="shared" si="17"/>
        <v>19500</v>
      </c>
      <c r="T73" s="5">
        <f t="shared" si="18"/>
        <v>97500</v>
      </c>
      <c r="U73" s="12">
        <f t="shared" si="19"/>
        <v>14.18</v>
      </c>
      <c r="V73" s="45">
        <f t="shared" si="20"/>
        <v>70.900000000000006</v>
      </c>
      <c r="W73" s="79">
        <f t="shared" si="21"/>
        <v>19500</v>
      </c>
      <c r="X73" s="65">
        <f t="shared" si="22"/>
        <v>14.18</v>
      </c>
      <c r="Y73" s="64">
        <f t="shared" si="23"/>
        <v>85.080000000000013</v>
      </c>
      <c r="Z73" s="37"/>
      <c r="AA73" s="52"/>
      <c r="AB73" s="56"/>
      <c r="AC73" s="76"/>
    </row>
    <row r="74" spans="2:29" ht="20.100000000000001" customHeight="1" x14ac:dyDescent="0.3">
      <c r="B74" s="44">
        <v>70</v>
      </c>
      <c r="C74" s="8" t="s">
        <v>53</v>
      </c>
      <c r="D74" s="17"/>
      <c r="E74" s="17">
        <v>5</v>
      </c>
      <c r="F74" s="24" t="s">
        <v>64</v>
      </c>
      <c r="G74" s="25" t="s">
        <v>67</v>
      </c>
      <c r="H74" s="25" t="s">
        <v>63</v>
      </c>
      <c r="I74" s="14" t="s">
        <v>29</v>
      </c>
      <c r="J74" s="20" t="s">
        <v>20</v>
      </c>
      <c r="K74" s="21" t="s">
        <v>86</v>
      </c>
      <c r="L74" s="23">
        <v>16</v>
      </c>
      <c r="M74" s="78">
        <v>2000</v>
      </c>
      <c r="N74" s="22">
        <f t="shared" si="16"/>
        <v>32000</v>
      </c>
      <c r="O74" s="35" t="s">
        <v>170</v>
      </c>
      <c r="P74" s="13">
        <v>39259000</v>
      </c>
      <c r="Q74" s="51">
        <v>0.2</v>
      </c>
      <c r="R74" s="51">
        <v>0.08</v>
      </c>
      <c r="S74" s="5">
        <f t="shared" si="17"/>
        <v>2000</v>
      </c>
      <c r="T74" s="5">
        <f t="shared" si="18"/>
        <v>32000</v>
      </c>
      <c r="U74" s="12">
        <f t="shared" si="19"/>
        <v>1.45</v>
      </c>
      <c r="V74" s="45">
        <f t="shared" si="20"/>
        <v>23.2</v>
      </c>
      <c r="W74" s="79">
        <f t="shared" si="21"/>
        <v>6400</v>
      </c>
      <c r="X74" s="65">
        <f t="shared" si="22"/>
        <v>4.6500000000000004</v>
      </c>
      <c r="Y74" s="64">
        <f t="shared" si="23"/>
        <v>27.85</v>
      </c>
      <c r="Z74" s="37"/>
      <c r="AA74" s="52"/>
      <c r="AB74" s="56"/>
      <c r="AC74" s="76"/>
    </row>
    <row r="75" spans="2:29" ht="20.100000000000001" customHeight="1" x14ac:dyDescent="0.3">
      <c r="B75" s="44">
        <v>71</v>
      </c>
      <c r="C75" s="8" t="s">
        <v>53</v>
      </c>
      <c r="D75" s="17"/>
      <c r="E75" s="17">
        <v>17</v>
      </c>
      <c r="F75" s="24" t="s">
        <v>71</v>
      </c>
      <c r="G75" s="25" t="s">
        <v>73</v>
      </c>
      <c r="H75" s="25" t="s">
        <v>69</v>
      </c>
      <c r="I75" s="14" t="s">
        <v>29</v>
      </c>
      <c r="J75" s="20" t="s">
        <v>70</v>
      </c>
      <c r="K75" s="21" t="s">
        <v>86</v>
      </c>
      <c r="L75" s="23">
        <v>12</v>
      </c>
      <c r="M75" s="78">
        <v>22000</v>
      </c>
      <c r="N75" s="22">
        <f t="shared" si="16"/>
        <v>264000</v>
      </c>
      <c r="O75" s="35" t="s">
        <v>170</v>
      </c>
      <c r="P75" s="13" t="s">
        <v>190</v>
      </c>
      <c r="Q75" s="51">
        <v>0.2</v>
      </c>
      <c r="R75" s="51">
        <v>0.08</v>
      </c>
      <c r="S75" s="5">
        <f t="shared" si="17"/>
        <v>22000</v>
      </c>
      <c r="T75" s="5">
        <f t="shared" si="18"/>
        <v>264000</v>
      </c>
      <c r="U75" s="12">
        <f t="shared" si="19"/>
        <v>16</v>
      </c>
      <c r="V75" s="45">
        <f t="shared" si="20"/>
        <v>192</v>
      </c>
      <c r="W75" s="79">
        <f t="shared" si="21"/>
        <v>52800</v>
      </c>
      <c r="X75" s="65">
        <f t="shared" si="22"/>
        <v>38.39</v>
      </c>
      <c r="Y75" s="64">
        <f t="shared" si="23"/>
        <v>230.39</v>
      </c>
      <c r="Z75" s="37"/>
      <c r="AA75" s="52"/>
      <c r="AB75" s="56"/>
      <c r="AC75" s="76"/>
    </row>
    <row r="76" spans="2:29" ht="20.100000000000001" customHeight="1" x14ac:dyDescent="0.3">
      <c r="B76" s="44">
        <v>72</v>
      </c>
      <c r="C76" s="8" t="s">
        <v>53</v>
      </c>
      <c r="D76" s="17"/>
      <c r="E76" s="17">
        <v>5</v>
      </c>
      <c r="F76" s="26" t="s">
        <v>64</v>
      </c>
      <c r="G76" s="25" t="s">
        <v>66</v>
      </c>
      <c r="H76" s="27" t="s">
        <v>63</v>
      </c>
      <c r="I76" s="14" t="s">
        <v>29</v>
      </c>
      <c r="J76" s="20" t="s">
        <v>20</v>
      </c>
      <c r="K76" s="21" t="s">
        <v>86</v>
      </c>
      <c r="L76" s="23">
        <v>16</v>
      </c>
      <c r="M76" s="78">
        <v>2400</v>
      </c>
      <c r="N76" s="22">
        <f t="shared" si="16"/>
        <v>38400</v>
      </c>
      <c r="O76" s="35" t="s">
        <v>170</v>
      </c>
      <c r="P76" s="13">
        <v>39259000</v>
      </c>
      <c r="Q76" s="51">
        <v>0.2</v>
      </c>
      <c r="R76" s="51">
        <v>0.08</v>
      </c>
      <c r="S76" s="5">
        <f t="shared" si="17"/>
        <v>2400</v>
      </c>
      <c r="T76" s="5">
        <f t="shared" si="18"/>
        <v>38400</v>
      </c>
      <c r="U76" s="12">
        <f t="shared" si="19"/>
        <v>1.75</v>
      </c>
      <c r="V76" s="45">
        <f t="shared" si="20"/>
        <v>28</v>
      </c>
      <c r="W76" s="79">
        <f t="shared" si="21"/>
        <v>7680</v>
      </c>
      <c r="X76" s="65">
        <f t="shared" si="22"/>
        <v>5.58</v>
      </c>
      <c r="Y76" s="64">
        <f t="shared" si="23"/>
        <v>33.58</v>
      </c>
      <c r="Z76" s="37"/>
      <c r="AA76" s="52"/>
      <c r="AB76" s="56"/>
      <c r="AC76" s="76"/>
    </row>
    <row r="77" spans="2:29" ht="20.100000000000001" customHeight="1" x14ac:dyDescent="0.3">
      <c r="B77" s="44">
        <v>73</v>
      </c>
      <c r="C77" s="8" t="s">
        <v>53</v>
      </c>
      <c r="D77" s="17"/>
      <c r="E77" s="17">
        <v>5</v>
      </c>
      <c r="F77" s="24" t="s">
        <v>71</v>
      </c>
      <c r="G77" s="25" t="s">
        <v>75</v>
      </c>
      <c r="H77" s="25" t="s">
        <v>69</v>
      </c>
      <c r="I77" s="14" t="s">
        <v>29</v>
      </c>
      <c r="J77" s="20" t="s">
        <v>70</v>
      </c>
      <c r="K77" s="21" t="s">
        <v>86</v>
      </c>
      <c r="L77" s="23">
        <v>10</v>
      </c>
      <c r="M77" s="78">
        <v>18500</v>
      </c>
      <c r="N77" s="22">
        <f t="shared" si="16"/>
        <v>185000</v>
      </c>
      <c r="O77" s="35" t="s">
        <v>170</v>
      </c>
      <c r="P77" s="13" t="s">
        <v>190</v>
      </c>
      <c r="Q77" s="51">
        <v>0.2</v>
      </c>
      <c r="R77" s="51">
        <v>0.08</v>
      </c>
      <c r="S77" s="5">
        <f t="shared" si="17"/>
        <v>18500</v>
      </c>
      <c r="T77" s="5">
        <f t="shared" si="18"/>
        <v>185000</v>
      </c>
      <c r="U77" s="12">
        <f t="shared" si="19"/>
        <v>13.45</v>
      </c>
      <c r="V77" s="45">
        <f t="shared" si="20"/>
        <v>134.5</v>
      </c>
      <c r="W77" s="79">
        <f t="shared" si="21"/>
        <v>37000</v>
      </c>
      <c r="X77" s="65">
        <f t="shared" si="22"/>
        <v>26.9</v>
      </c>
      <c r="Y77" s="64">
        <f t="shared" si="23"/>
        <v>161.4</v>
      </c>
      <c r="Z77" s="37"/>
      <c r="AA77" s="52"/>
      <c r="AB77" s="56"/>
      <c r="AC77" s="76"/>
    </row>
    <row r="78" spans="2:29" ht="20.100000000000001" customHeight="1" x14ac:dyDescent="0.3">
      <c r="B78" s="44">
        <v>74</v>
      </c>
      <c r="C78" s="8" t="s">
        <v>53</v>
      </c>
      <c r="D78" s="17"/>
      <c r="E78" s="17">
        <v>5</v>
      </c>
      <c r="F78" s="24" t="s">
        <v>64</v>
      </c>
      <c r="G78" s="25" t="s">
        <v>68</v>
      </c>
      <c r="H78" s="25" t="s">
        <v>63</v>
      </c>
      <c r="I78" s="14" t="s">
        <v>29</v>
      </c>
      <c r="J78" s="20" t="s">
        <v>20</v>
      </c>
      <c r="K78" s="21" t="s">
        <v>86</v>
      </c>
      <c r="L78" s="23">
        <v>16</v>
      </c>
      <c r="M78" s="78">
        <v>1600</v>
      </c>
      <c r="N78" s="22">
        <f t="shared" si="16"/>
        <v>25600</v>
      </c>
      <c r="O78" s="35" t="s">
        <v>170</v>
      </c>
      <c r="P78" s="13">
        <v>39259000</v>
      </c>
      <c r="Q78" s="51">
        <v>0.2</v>
      </c>
      <c r="R78" s="51">
        <v>0.08</v>
      </c>
      <c r="S78" s="5">
        <f t="shared" si="17"/>
        <v>1600</v>
      </c>
      <c r="T78" s="5">
        <f t="shared" si="18"/>
        <v>25600</v>
      </c>
      <c r="U78" s="12">
        <f t="shared" si="19"/>
        <v>1.1599999999999999</v>
      </c>
      <c r="V78" s="45">
        <f t="shared" si="20"/>
        <v>18.559999999999999</v>
      </c>
      <c r="W78" s="79">
        <f t="shared" si="21"/>
        <v>5120</v>
      </c>
      <c r="X78" s="65">
        <f t="shared" si="22"/>
        <v>3.72</v>
      </c>
      <c r="Y78" s="64">
        <f t="shared" si="23"/>
        <v>22.279999999999998</v>
      </c>
      <c r="Z78" s="37"/>
      <c r="AA78" s="52"/>
      <c r="AB78" s="56"/>
      <c r="AC78" s="76"/>
    </row>
    <row r="79" spans="2:29" ht="20.100000000000001" customHeight="1" x14ac:dyDescent="0.3">
      <c r="B79" s="44">
        <v>75</v>
      </c>
      <c r="C79" s="8" t="s">
        <v>53</v>
      </c>
      <c r="D79" s="17"/>
      <c r="E79" s="17">
        <v>5</v>
      </c>
      <c r="F79" s="24" t="s">
        <v>71</v>
      </c>
      <c r="G79" s="25" t="s">
        <v>76</v>
      </c>
      <c r="H79" s="25" t="s">
        <v>69</v>
      </c>
      <c r="I79" s="14" t="s">
        <v>29</v>
      </c>
      <c r="J79" s="20" t="s">
        <v>70</v>
      </c>
      <c r="K79" s="21" t="s">
        <v>86</v>
      </c>
      <c r="L79" s="23">
        <v>6</v>
      </c>
      <c r="M79" s="78">
        <v>18500</v>
      </c>
      <c r="N79" s="22">
        <f t="shared" si="16"/>
        <v>111000</v>
      </c>
      <c r="O79" s="35" t="s">
        <v>170</v>
      </c>
      <c r="P79" s="13" t="s">
        <v>190</v>
      </c>
      <c r="Q79" s="51">
        <v>0.2</v>
      </c>
      <c r="R79" s="51">
        <v>0.08</v>
      </c>
      <c r="S79" s="5">
        <f t="shared" si="17"/>
        <v>18500</v>
      </c>
      <c r="T79" s="5">
        <f t="shared" si="18"/>
        <v>111000</v>
      </c>
      <c r="U79" s="12">
        <f t="shared" si="19"/>
        <v>13.45</v>
      </c>
      <c r="V79" s="45">
        <f t="shared" si="20"/>
        <v>80.699999999999989</v>
      </c>
      <c r="W79" s="79">
        <f t="shared" si="21"/>
        <v>22200</v>
      </c>
      <c r="X79" s="65">
        <f t="shared" si="22"/>
        <v>16.14</v>
      </c>
      <c r="Y79" s="64">
        <f t="shared" si="23"/>
        <v>96.839999999999989</v>
      </c>
      <c r="Z79" s="37"/>
      <c r="AA79" s="52"/>
      <c r="AB79" s="56"/>
      <c r="AC79" s="76"/>
    </row>
    <row r="80" spans="2:29" ht="20.100000000000001" customHeight="1" x14ac:dyDescent="0.3">
      <c r="B80" s="44">
        <v>76</v>
      </c>
      <c r="C80" s="8" t="s">
        <v>53</v>
      </c>
      <c r="D80" s="17"/>
      <c r="E80" s="17">
        <v>5</v>
      </c>
      <c r="F80" s="62" t="s">
        <v>64</v>
      </c>
      <c r="G80" s="61" t="s">
        <v>68</v>
      </c>
      <c r="H80" s="61" t="s">
        <v>63</v>
      </c>
      <c r="I80" s="14" t="s">
        <v>29</v>
      </c>
      <c r="J80" s="20" t="s">
        <v>20</v>
      </c>
      <c r="K80" s="21" t="s">
        <v>86</v>
      </c>
      <c r="L80" s="23">
        <v>16</v>
      </c>
      <c r="M80" s="78">
        <v>1600</v>
      </c>
      <c r="N80" s="22">
        <f t="shared" si="16"/>
        <v>25600</v>
      </c>
      <c r="O80" s="35" t="s">
        <v>170</v>
      </c>
      <c r="P80" s="13">
        <v>39259000</v>
      </c>
      <c r="Q80" s="51">
        <v>0.2</v>
      </c>
      <c r="R80" s="51">
        <v>0.08</v>
      </c>
      <c r="S80" s="5">
        <f t="shared" si="17"/>
        <v>1600</v>
      </c>
      <c r="T80" s="5">
        <f t="shared" si="18"/>
        <v>25600</v>
      </c>
      <c r="U80" s="12">
        <f t="shared" si="19"/>
        <v>1.1599999999999999</v>
      </c>
      <c r="V80" s="45">
        <f t="shared" si="20"/>
        <v>18.559999999999999</v>
      </c>
      <c r="W80" s="79">
        <f t="shared" si="21"/>
        <v>5120</v>
      </c>
      <c r="X80" s="65">
        <f t="shared" si="22"/>
        <v>3.72</v>
      </c>
      <c r="Y80" s="64">
        <f t="shared" si="23"/>
        <v>22.279999999999998</v>
      </c>
      <c r="Z80" s="37"/>
      <c r="AA80" s="52"/>
      <c r="AB80" s="56"/>
      <c r="AC80" s="76"/>
    </row>
    <row r="81" spans="2:29" ht="20.100000000000001" customHeight="1" x14ac:dyDescent="0.3">
      <c r="B81" s="44">
        <v>77</v>
      </c>
      <c r="C81" s="8" t="s">
        <v>53</v>
      </c>
      <c r="D81" s="17"/>
      <c r="E81" s="17">
        <v>9</v>
      </c>
      <c r="F81" s="57" t="s">
        <v>27</v>
      </c>
      <c r="G81" s="57" t="s">
        <v>132</v>
      </c>
      <c r="H81" s="14" t="s">
        <v>126</v>
      </c>
      <c r="I81" s="14" t="s">
        <v>125</v>
      </c>
      <c r="J81" s="20" t="s">
        <v>11</v>
      </c>
      <c r="K81" s="21" t="s">
        <v>85</v>
      </c>
      <c r="L81" s="23">
        <v>8</v>
      </c>
      <c r="M81" s="78">
        <v>81000</v>
      </c>
      <c r="N81" s="22">
        <f t="shared" si="16"/>
        <v>648000</v>
      </c>
      <c r="O81" s="35" t="s">
        <v>170</v>
      </c>
      <c r="P81" s="13" t="s">
        <v>182</v>
      </c>
      <c r="Q81" s="51">
        <v>0.1</v>
      </c>
      <c r="R81" s="51">
        <v>0.1</v>
      </c>
      <c r="S81" s="5">
        <f t="shared" si="17"/>
        <v>81000</v>
      </c>
      <c r="T81" s="5">
        <f t="shared" si="18"/>
        <v>648000</v>
      </c>
      <c r="U81" s="12">
        <f t="shared" si="19"/>
        <v>58.9</v>
      </c>
      <c r="V81" s="45">
        <f t="shared" si="20"/>
        <v>471.2</v>
      </c>
      <c r="W81" s="79">
        <f t="shared" si="21"/>
        <v>64800</v>
      </c>
      <c r="X81" s="65">
        <f t="shared" si="22"/>
        <v>47.12</v>
      </c>
      <c r="Y81" s="64">
        <f t="shared" si="23"/>
        <v>518.31999999999994</v>
      </c>
      <c r="Z81" s="37"/>
      <c r="AA81" s="52"/>
      <c r="AB81" s="56"/>
      <c r="AC81" s="76"/>
    </row>
    <row r="82" spans="2:29" ht="20.100000000000001" customHeight="1" x14ac:dyDescent="0.3">
      <c r="B82" s="44">
        <v>78</v>
      </c>
      <c r="C82" s="8" t="s">
        <v>53</v>
      </c>
      <c r="D82" s="17"/>
      <c r="E82" s="17">
        <v>9</v>
      </c>
      <c r="F82" s="14" t="s">
        <v>27</v>
      </c>
      <c r="G82" s="14" t="s">
        <v>137</v>
      </c>
      <c r="H82" s="14" t="s">
        <v>126</v>
      </c>
      <c r="I82" s="14" t="s">
        <v>125</v>
      </c>
      <c r="J82" s="20" t="s">
        <v>11</v>
      </c>
      <c r="K82" s="21" t="s">
        <v>85</v>
      </c>
      <c r="L82" s="23">
        <v>8</v>
      </c>
      <c r="M82" s="78">
        <v>66000</v>
      </c>
      <c r="N82" s="22">
        <f t="shared" si="16"/>
        <v>528000</v>
      </c>
      <c r="O82" s="35" t="s">
        <v>170</v>
      </c>
      <c r="P82" s="13" t="s">
        <v>182</v>
      </c>
      <c r="Q82" s="51">
        <v>0.1</v>
      </c>
      <c r="R82" s="51">
        <v>0.1</v>
      </c>
      <c r="S82" s="5">
        <f t="shared" si="17"/>
        <v>66000</v>
      </c>
      <c r="T82" s="5">
        <f t="shared" si="18"/>
        <v>528000</v>
      </c>
      <c r="U82" s="12">
        <f t="shared" si="19"/>
        <v>47.99</v>
      </c>
      <c r="V82" s="45">
        <f t="shared" si="20"/>
        <v>383.92</v>
      </c>
      <c r="W82" s="79">
        <f t="shared" si="21"/>
        <v>52800</v>
      </c>
      <c r="X82" s="65">
        <f t="shared" si="22"/>
        <v>38.39</v>
      </c>
      <c r="Y82" s="64">
        <f t="shared" si="23"/>
        <v>422.31</v>
      </c>
      <c r="Z82" s="37"/>
      <c r="AA82" s="52"/>
      <c r="AB82" s="56"/>
      <c r="AC82" s="76"/>
    </row>
    <row r="83" spans="2:29" ht="20.100000000000001" customHeight="1" x14ac:dyDescent="0.3">
      <c r="B83" s="44">
        <v>79</v>
      </c>
      <c r="C83" s="8" t="s">
        <v>53</v>
      </c>
      <c r="D83" s="8"/>
      <c r="E83" s="8">
        <v>11</v>
      </c>
      <c r="F83" s="57" t="s">
        <v>27</v>
      </c>
      <c r="G83" s="57" t="s">
        <v>127</v>
      </c>
      <c r="H83" s="14" t="s">
        <v>126</v>
      </c>
      <c r="I83" s="14" t="s">
        <v>125</v>
      </c>
      <c r="J83" s="20" t="s">
        <v>11</v>
      </c>
      <c r="K83" s="21" t="s">
        <v>85</v>
      </c>
      <c r="L83" s="23">
        <v>8</v>
      </c>
      <c r="M83" s="78">
        <v>68000</v>
      </c>
      <c r="N83" s="22">
        <f t="shared" si="16"/>
        <v>544000</v>
      </c>
      <c r="O83" s="35" t="s">
        <v>170</v>
      </c>
      <c r="P83" s="13" t="s">
        <v>182</v>
      </c>
      <c r="Q83" s="51">
        <v>0.1</v>
      </c>
      <c r="R83" s="51">
        <v>0.1</v>
      </c>
      <c r="S83" s="5">
        <f t="shared" si="17"/>
        <v>68000</v>
      </c>
      <c r="T83" s="5">
        <f t="shared" si="18"/>
        <v>544000</v>
      </c>
      <c r="U83" s="12">
        <f t="shared" si="19"/>
        <v>49.45</v>
      </c>
      <c r="V83" s="45">
        <f t="shared" si="20"/>
        <v>395.6</v>
      </c>
      <c r="W83" s="79">
        <f t="shared" si="21"/>
        <v>54400</v>
      </c>
      <c r="X83" s="65">
        <f t="shared" si="22"/>
        <v>39.56</v>
      </c>
      <c r="Y83" s="64">
        <f t="shared" si="23"/>
        <v>435.16</v>
      </c>
      <c r="Z83" s="37"/>
      <c r="AA83" s="52"/>
      <c r="AB83" s="56"/>
      <c r="AC83" s="76"/>
    </row>
    <row r="84" spans="2:29" ht="20.100000000000001" customHeight="1" x14ac:dyDescent="0.3">
      <c r="B84" s="44">
        <v>80</v>
      </c>
      <c r="C84" s="8" t="s">
        <v>53</v>
      </c>
      <c r="D84" s="17"/>
      <c r="E84" s="17">
        <v>14</v>
      </c>
      <c r="F84" s="57" t="s">
        <v>27</v>
      </c>
      <c r="G84" s="57" t="s">
        <v>138</v>
      </c>
      <c r="H84" s="14" t="s">
        <v>126</v>
      </c>
      <c r="I84" s="14" t="s">
        <v>125</v>
      </c>
      <c r="J84" s="20" t="s">
        <v>11</v>
      </c>
      <c r="K84" s="21" t="s">
        <v>85</v>
      </c>
      <c r="L84" s="23">
        <v>16</v>
      </c>
      <c r="M84" s="78">
        <v>57000</v>
      </c>
      <c r="N84" s="22">
        <f t="shared" si="16"/>
        <v>912000</v>
      </c>
      <c r="O84" s="35" t="s">
        <v>170</v>
      </c>
      <c r="P84" s="13" t="s">
        <v>182</v>
      </c>
      <c r="Q84" s="51">
        <v>0.1</v>
      </c>
      <c r="R84" s="51">
        <v>0.1</v>
      </c>
      <c r="S84" s="5">
        <f t="shared" si="17"/>
        <v>57000</v>
      </c>
      <c r="T84" s="5">
        <f t="shared" si="18"/>
        <v>912000</v>
      </c>
      <c r="U84" s="12">
        <f t="shared" si="19"/>
        <v>41.45</v>
      </c>
      <c r="V84" s="45">
        <f t="shared" si="20"/>
        <v>663.2</v>
      </c>
      <c r="W84" s="79">
        <f t="shared" si="21"/>
        <v>91200</v>
      </c>
      <c r="X84" s="65">
        <f t="shared" si="22"/>
        <v>66.319999999999993</v>
      </c>
      <c r="Y84" s="64">
        <f t="shared" si="23"/>
        <v>729.52</v>
      </c>
      <c r="Z84" s="37"/>
      <c r="AA84" s="52"/>
      <c r="AB84" s="56"/>
      <c r="AC84" s="76"/>
    </row>
    <row r="85" spans="2:29" ht="20.100000000000001" customHeight="1" x14ac:dyDescent="0.3">
      <c r="B85" s="44">
        <v>81</v>
      </c>
      <c r="C85" s="8" t="s">
        <v>53</v>
      </c>
      <c r="D85" s="17"/>
      <c r="E85" s="17">
        <v>15</v>
      </c>
      <c r="F85" s="57" t="s">
        <v>27</v>
      </c>
      <c r="G85" s="57" t="s">
        <v>133</v>
      </c>
      <c r="H85" s="14" t="s">
        <v>126</v>
      </c>
      <c r="I85" s="14" t="s">
        <v>125</v>
      </c>
      <c r="J85" s="20" t="s">
        <v>11</v>
      </c>
      <c r="K85" s="21" t="s">
        <v>85</v>
      </c>
      <c r="L85" s="23">
        <v>16</v>
      </c>
      <c r="M85" s="78">
        <v>42000</v>
      </c>
      <c r="N85" s="22">
        <f t="shared" si="16"/>
        <v>672000</v>
      </c>
      <c r="O85" s="35" t="s">
        <v>170</v>
      </c>
      <c r="P85" s="13" t="s">
        <v>182</v>
      </c>
      <c r="Q85" s="51">
        <v>0.1</v>
      </c>
      <c r="R85" s="51">
        <v>0.1</v>
      </c>
      <c r="S85" s="5">
        <f t="shared" si="17"/>
        <v>42000</v>
      </c>
      <c r="T85" s="5">
        <f t="shared" si="18"/>
        <v>672000</v>
      </c>
      <c r="U85" s="12">
        <f t="shared" si="19"/>
        <v>30.54</v>
      </c>
      <c r="V85" s="45">
        <f t="shared" si="20"/>
        <v>488.64</v>
      </c>
      <c r="W85" s="79">
        <f t="shared" si="21"/>
        <v>67200</v>
      </c>
      <c r="X85" s="65">
        <f t="shared" si="22"/>
        <v>48.86</v>
      </c>
      <c r="Y85" s="64">
        <f t="shared" si="23"/>
        <v>537.5</v>
      </c>
      <c r="Z85" s="37"/>
      <c r="AA85" s="52"/>
      <c r="AB85" s="56"/>
      <c r="AC85" s="76"/>
    </row>
    <row r="86" spans="2:29" ht="20.100000000000001" customHeight="1" x14ac:dyDescent="0.3">
      <c r="B86" s="44">
        <v>82</v>
      </c>
      <c r="C86" s="8" t="s">
        <v>53</v>
      </c>
      <c r="D86" s="17"/>
      <c r="E86" s="17">
        <v>16</v>
      </c>
      <c r="F86" s="57" t="s">
        <v>27</v>
      </c>
      <c r="G86" s="57" t="s">
        <v>133</v>
      </c>
      <c r="H86" s="14" t="s">
        <v>126</v>
      </c>
      <c r="I86" s="14" t="s">
        <v>125</v>
      </c>
      <c r="J86" s="20" t="s">
        <v>11</v>
      </c>
      <c r="K86" s="21" t="s">
        <v>85</v>
      </c>
      <c r="L86" s="23">
        <v>16</v>
      </c>
      <c r="M86" s="78">
        <v>42000</v>
      </c>
      <c r="N86" s="22">
        <f t="shared" ref="N86" si="24">L86*M86</f>
        <v>672000</v>
      </c>
      <c r="O86" s="35" t="s">
        <v>170</v>
      </c>
      <c r="P86" s="13" t="s">
        <v>182</v>
      </c>
      <c r="Q86" s="51">
        <v>0.1</v>
      </c>
      <c r="R86" s="51">
        <v>0.1</v>
      </c>
      <c r="S86" s="5">
        <f t="shared" ref="S86" si="25">++IF(Q86=0,M86*$S$3,M86)</f>
        <v>42000</v>
      </c>
      <c r="T86" s="5">
        <f t="shared" ref="T86" si="26">++L86*S86</f>
        <v>672000</v>
      </c>
      <c r="U86" s="12">
        <f t="shared" ref="U86" si="27">++ROUND(S86/$U$3,2)</f>
        <v>30.54</v>
      </c>
      <c r="V86" s="45">
        <f t="shared" ref="V86" si="28">++L86*U86</f>
        <v>488.64</v>
      </c>
      <c r="W86" s="79">
        <f t="shared" ref="W86" si="29">++T86*Q86</f>
        <v>67200</v>
      </c>
      <c r="X86" s="65">
        <f t="shared" ref="X86" si="30">++ROUND(W86/$U$3,2)</f>
        <v>48.86</v>
      </c>
      <c r="Y86" s="64">
        <f t="shared" ref="Y86" si="31">++V86+X86</f>
        <v>537.5</v>
      </c>
      <c r="Z86" s="37"/>
      <c r="AA86" s="52"/>
      <c r="AB86" s="56"/>
      <c r="AC86" s="76"/>
    </row>
    <row r="87" spans="2:29" ht="20.100000000000001" customHeight="1" x14ac:dyDescent="0.3">
      <c r="B87" s="44">
        <v>83</v>
      </c>
      <c r="C87" s="8" t="s">
        <v>53</v>
      </c>
      <c r="D87" s="17"/>
      <c r="E87" s="17">
        <v>11</v>
      </c>
      <c r="F87" s="57" t="s">
        <v>130</v>
      </c>
      <c r="G87" s="57" t="s">
        <v>129</v>
      </c>
      <c r="H87" s="14" t="s">
        <v>128</v>
      </c>
      <c r="I87" s="14" t="s">
        <v>125</v>
      </c>
      <c r="J87" s="20" t="s">
        <v>11</v>
      </c>
      <c r="K87" s="21" t="s">
        <v>86</v>
      </c>
      <c r="L87" s="23">
        <v>8</v>
      </c>
      <c r="M87" s="78">
        <v>161000</v>
      </c>
      <c r="N87" s="22">
        <f t="shared" si="16"/>
        <v>1288000</v>
      </c>
      <c r="O87" s="35" t="s">
        <v>170</v>
      </c>
      <c r="P87" s="13" t="s">
        <v>182</v>
      </c>
      <c r="Q87" s="51">
        <v>0.1</v>
      </c>
      <c r="R87" s="51">
        <v>0.1</v>
      </c>
      <c r="S87" s="5">
        <f t="shared" si="17"/>
        <v>161000</v>
      </c>
      <c r="T87" s="5">
        <f t="shared" si="18"/>
        <v>1288000</v>
      </c>
      <c r="U87" s="12">
        <f t="shared" si="19"/>
        <v>117.07</v>
      </c>
      <c r="V87" s="45">
        <f t="shared" si="20"/>
        <v>936.56</v>
      </c>
      <c r="W87" s="79">
        <f t="shared" si="21"/>
        <v>128800</v>
      </c>
      <c r="X87" s="65">
        <f t="shared" si="22"/>
        <v>93.66</v>
      </c>
      <c r="Y87" s="64">
        <f t="shared" si="23"/>
        <v>1030.22</v>
      </c>
      <c r="Z87" s="37"/>
      <c r="AA87" s="52"/>
      <c r="AB87" s="56"/>
      <c r="AC87" s="76"/>
    </row>
    <row r="88" spans="2:29" ht="20.100000000000001" customHeight="1" x14ac:dyDescent="0.3">
      <c r="B88" s="44">
        <v>84</v>
      </c>
      <c r="C88" s="8" t="s">
        <v>53</v>
      </c>
      <c r="D88" s="17"/>
      <c r="E88" s="17">
        <v>10</v>
      </c>
      <c r="F88" s="14" t="s">
        <v>171</v>
      </c>
      <c r="G88" s="14" t="s">
        <v>172</v>
      </c>
      <c r="H88" s="14" t="s">
        <v>173</v>
      </c>
      <c r="I88" s="14" t="s">
        <v>177</v>
      </c>
      <c r="J88" s="20" t="s">
        <v>11</v>
      </c>
      <c r="K88" s="21" t="s">
        <v>86</v>
      </c>
      <c r="L88" s="23">
        <v>8</v>
      </c>
      <c r="M88" s="78">
        <v>215000</v>
      </c>
      <c r="N88" s="22">
        <f t="shared" si="16"/>
        <v>1720000</v>
      </c>
      <c r="O88" s="35" t="s">
        <v>170</v>
      </c>
      <c r="P88" s="13" t="s">
        <v>184</v>
      </c>
      <c r="Q88" s="51">
        <v>0.1</v>
      </c>
      <c r="R88" s="51">
        <v>0.08</v>
      </c>
      <c r="S88" s="5">
        <f t="shared" si="17"/>
        <v>215000</v>
      </c>
      <c r="T88" s="5">
        <f t="shared" si="18"/>
        <v>1720000</v>
      </c>
      <c r="U88" s="12">
        <f t="shared" si="19"/>
        <v>156.34</v>
      </c>
      <c r="V88" s="45">
        <f t="shared" si="20"/>
        <v>1250.72</v>
      </c>
      <c r="W88" s="79">
        <f t="shared" si="21"/>
        <v>172000</v>
      </c>
      <c r="X88" s="65">
        <f t="shared" si="22"/>
        <v>125.07</v>
      </c>
      <c r="Y88" s="64">
        <f t="shared" si="23"/>
        <v>1375.79</v>
      </c>
      <c r="Z88" s="37"/>
      <c r="AA88" s="52"/>
      <c r="AB88" s="53"/>
      <c r="AC88" s="76"/>
    </row>
    <row r="89" spans="2:29" ht="20.100000000000001" customHeight="1" x14ac:dyDescent="0.3">
      <c r="B89" s="44">
        <v>85</v>
      </c>
      <c r="C89" s="8" t="s">
        <v>53</v>
      </c>
      <c r="D89" s="17"/>
      <c r="E89" s="17">
        <v>12</v>
      </c>
      <c r="F89" s="28" t="s">
        <v>171</v>
      </c>
      <c r="G89" s="57" t="s">
        <v>174</v>
      </c>
      <c r="H89" s="14" t="s">
        <v>173</v>
      </c>
      <c r="I89" s="14" t="s">
        <v>177</v>
      </c>
      <c r="J89" s="20" t="s">
        <v>11</v>
      </c>
      <c r="K89" s="21" t="s">
        <v>86</v>
      </c>
      <c r="L89" s="23">
        <v>8</v>
      </c>
      <c r="M89" s="78">
        <v>157000</v>
      </c>
      <c r="N89" s="22">
        <f t="shared" si="16"/>
        <v>1256000</v>
      </c>
      <c r="O89" s="35" t="s">
        <v>170</v>
      </c>
      <c r="P89" s="13" t="s">
        <v>184</v>
      </c>
      <c r="Q89" s="51">
        <v>0.1</v>
      </c>
      <c r="R89" s="51">
        <v>0.08</v>
      </c>
      <c r="S89" s="5">
        <f t="shared" si="17"/>
        <v>157000</v>
      </c>
      <c r="T89" s="5">
        <f t="shared" si="18"/>
        <v>1256000</v>
      </c>
      <c r="U89" s="12">
        <f t="shared" si="19"/>
        <v>114.16</v>
      </c>
      <c r="V89" s="45">
        <f t="shared" si="20"/>
        <v>913.28</v>
      </c>
      <c r="W89" s="79">
        <f t="shared" si="21"/>
        <v>125600</v>
      </c>
      <c r="X89" s="65">
        <f t="shared" si="22"/>
        <v>91.33</v>
      </c>
      <c r="Y89" s="64">
        <f t="shared" si="23"/>
        <v>1004.61</v>
      </c>
      <c r="Z89" s="37"/>
      <c r="AA89" s="52"/>
      <c r="AB89" s="53"/>
      <c r="AC89" s="76"/>
    </row>
    <row r="90" spans="2:29" ht="20.100000000000001" customHeight="1" x14ac:dyDescent="0.3">
      <c r="B90" s="44">
        <v>86</v>
      </c>
      <c r="C90" s="8" t="s">
        <v>53</v>
      </c>
      <c r="D90" s="17"/>
      <c r="E90" s="17">
        <v>13</v>
      </c>
      <c r="F90" s="28" t="s">
        <v>171</v>
      </c>
      <c r="G90" s="57" t="s">
        <v>174</v>
      </c>
      <c r="H90" s="14" t="s">
        <v>173</v>
      </c>
      <c r="I90" s="14" t="s">
        <v>177</v>
      </c>
      <c r="J90" s="20" t="s">
        <v>11</v>
      </c>
      <c r="K90" s="21" t="s">
        <v>86</v>
      </c>
      <c r="L90" s="23">
        <v>8</v>
      </c>
      <c r="M90" s="78">
        <v>157000</v>
      </c>
      <c r="N90" s="22">
        <f t="shared" ref="N90" si="32">L90*M90</f>
        <v>1256000</v>
      </c>
      <c r="O90" s="35" t="s">
        <v>170</v>
      </c>
      <c r="P90" s="13" t="s">
        <v>184</v>
      </c>
      <c r="Q90" s="51">
        <v>0.1</v>
      </c>
      <c r="R90" s="51">
        <v>0.08</v>
      </c>
      <c r="S90" s="5">
        <f t="shared" ref="S90" si="33">++IF(Q90=0,M90*$S$3,M90)</f>
        <v>157000</v>
      </c>
      <c r="T90" s="5">
        <f t="shared" ref="T90" si="34">++L90*S90</f>
        <v>1256000</v>
      </c>
      <c r="U90" s="12">
        <f t="shared" ref="U90" si="35">++ROUND(S90/$U$3,2)</f>
        <v>114.16</v>
      </c>
      <c r="V90" s="45">
        <f t="shared" ref="V90" si="36">++L90*U90</f>
        <v>913.28</v>
      </c>
      <c r="W90" s="79">
        <f t="shared" ref="W90" si="37">++T90*Q90</f>
        <v>125600</v>
      </c>
      <c r="X90" s="65">
        <f t="shared" ref="X90" si="38">++ROUND(W90/$U$3,2)</f>
        <v>91.33</v>
      </c>
      <c r="Y90" s="64">
        <f t="shared" ref="Y90" si="39">++V90+X90</f>
        <v>1004.61</v>
      </c>
      <c r="Z90" s="37"/>
      <c r="AA90" s="52"/>
      <c r="AB90" s="53"/>
      <c r="AC90" s="76"/>
    </row>
    <row r="91" spans="2:29" ht="20.100000000000001" customHeight="1" x14ac:dyDescent="0.3">
      <c r="B91" s="44">
        <v>87</v>
      </c>
      <c r="C91" s="8" t="s">
        <v>53</v>
      </c>
      <c r="D91" s="17"/>
      <c r="E91" s="17">
        <v>8</v>
      </c>
      <c r="F91" s="28" t="s">
        <v>175</v>
      </c>
      <c r="G91" s="57" t="s">
        <v>176</v>
      </c>
      <c r="H91" s="14" t="s">
        <v>47</v>
      </c>
      <c r="I91" s="14" t="s">
        <v>177</v>
      </c>
      <c r="J91" s="20" t="s">
        <v>11</v>
      </c>
      <c r="K91" s="21" t="s">
        <v>86</v>
      </c>
      <c r="L91" s="23">
        <v>8</v>
      </c>
      <c r="M91" s="78">
        <v>27900</v>
      </c>
      <c r="N91" s="22">
        <f t="shared" si="16"/>
        <v>223200</v>
      </c>
      <c r="O91" s="83" t="s">
        <v>214</v>
      </c>
      <c r="P91" s="13" t="s">
        <v>184</v>
      </c>
      <c r="Q91" s="51">
        <v>0.1</v>
      </c>
      <c r="R91" s="51">
        <v>0.08</v>
      </c>
      <c r="S91" s="5">
        <f t="shared" si="17"/>
        <v>27900</v>
      </c>
      <c r="T91" s="5">
        <f t="shared" si="18"/>
        <v>223200</v>
      </c>
      <c r="U91" s="12">
        <f t="shared" si="19"/>
        <v>20.29</v>
      </c>
      <c r="V91" s="45">
        <f t="shared" si="20"/>
        <v>162.32</v>
      </c>
      <c r="W91" s="79">
        <f t="shared" si="21"/>
        <v>22320</v>
      </c>
      <c r="X91" s="65">
        <f t="shared" si="22"/>
        <v>16.23</v>
      </c>
      <c r="Y91" s="64">
        <f t="shared" si="23"/>
        <v>178.54999999999998</v>
      </c>
      <c r="Z91" s="37"/>
      <c r="AA91" s="52"/>
      <c r="AB91" s="53"/>
      <c r="AC91" s="76"/>
    </row>
    <row r="92" spans="2:29" ht="20.100000000000001" customHeight="1" x14ac:dyDescent="0.3">
      <c r="B92" s="44">
        <v>88</v>
      </c>
      <c r="C92" s="8"/>
      <c r="D92" s="17"/>
      <c r="E92" s="17"/>
      <c r="F92" s="49"/>
      <c r="G92" s="50"/>
      <c r="H92" s="32"/>
      <c r="I92" s="14"/>
      <c r="J92" s="20"/>
      <c r="K92" s="21"/>
      <c r="L92" s="23"/>
      <c r="M92" s="78"/>
      <c r="N92" s="22">
        <f t="shared" ref="N92:N95" si="40">L92*M92</f>
        <v>0</v>
      </c>
      <c r="O92" s="35"/>
      <c r="P92" s="13"/>
      <c r="Q92" s="33"/>
      <c r="R92" s="33"/>
      <c r="S92" s="5">
        <f t="shared" ref="S92:S95" si="41">++IF(Q92=0,M92*$S$3,M92)</f>
        <v>0</v>
      </c>
      <c r="T92" s="5">
        <f t="shared" ref="T92:T95" si="42">++L92*S92</f>
        <v>0</v>
      </c>
      <c r="U92" s="12">
        <f t="shared" ref="U92:U95" si="43">++ROUND(S92/$U$3,2)</f>
        <v>0</v>
      </c>
      <c r="V92" s="45">
        <f t="shared" ref="V92:V95" si="44">++L92*U92</f>
        <v>0</v>
      </c>
      <c r="W92" s="79">
        <f t="shared" ref="W92:W95" si="45">++T92*Q92</f>
        <v>0</v>
      </c>
      <c r="X92" s="65">
        <f t="shared" ref="X92:X95" si="46">++ROUND(W92/$U$3,2)</f>
        <v>0</v>
      </c>
      <c r="Y92" s="64">
        <f t="shared" ref="Y92:Y95" si="47">++V92+X92</f>
        <v>0</v>
      </c>
      <c r="Z92" s="37"/>
      <c r="AA92" s="52"/>
      <c r="AB92" s="53"/>
    </row>
    <row r="93" spans="2:29" ht="20.100000000000001" customHeight="1" x14ac:dyDescent="0.3">
      <c r="B93" s="44">
        <v>89</v>
      </c>
      <c r="C93" s="8"/>
      <c r="D93" s="17"/>
      <c r="E93" s="17"/>
      <c r="F93" s="49"/>
      <c r="G93" s="50"/>
      <c r="H93" s="32"/>
      <c r="I93" s="14"/>
      <c r="J93" s="20"/>
      <c r="K93" s="21"/>
      <c r="L93" s="23"/>
      <c r="M93" s="78"/>
      <c r="N93" s="22">
        <f t="shared" si="40"/>
        <v>0</v>
      </c>
      <c r="O93" s="35"/>
      <c r="P93" s="13"/>
      <c r="Q93" s="33"/>
      <c r="R93" s="33"/>
      <c r="S93" s="5">
        <f t="shared" si="41"/>
        <v>0</v>
      </c>
      <c r="T93" s="5">
        <f t="shared" si="42"/>
        <v>0</v>
      </c>
      <c r="U93" s="12">
        <f t="shared" si="43"/>
        <v>0</v>
      </c>
      <c r="V93" s="45">
        <f t="shared" si="44"/>
        <v>0</v>
      </c>
      <c r="W93" s="79">
        <f t="shared" si="45"/>
        <v>0</v>
      </c>
      <c r="X93" s="65">
        <f t="shared" si="46"/>
        <v>0</v>
      </c>
      <c r="Y93" s="64">
        <f t="shared" si="47"/>
        <v>0</v>
      </c>
      <c r="Z93" s="37"/>
      <c r="AA93" s="52"/>
      <c r="AB93" s="53"/>
    </row>
    <row r="94" spans="2:29" ht="20.100000000000001" customHeight="1" x14ac:dyDescent="0.3">
      <c r="B94" s="44">
        <v>90</v>
      </c>
      <c r="C94" s="8"/>
      <c r="D94" s="17"/>
      <c r="E94" s="17"/>
      <c r="F94" s="49"/>
      <c r="G94" s="50"/>
      <c r="H94" s="32"/>
      <c r="I94" s="14"/>
      <c r="J94" s="20"/>
      <c r="K94" s="21"/>
      <c r="L94" s="23"/>
      <c r="M94" s="78"/>
      <c r="N94" s="22">
        <f t="shared" si="40"/>
        <v>0</v>
      </c>
      <c r="O94" s="35"/>
      <c r="P94" s="13"/>
      <c r="Q94" s="33"/>
      <c r="R94" s="33"/>
      <c r="S94" s="5">
        <f t="shared" si="41"/>
        <v>0</v>
      </c>
      <c r="T94" s="5">
        <f t="shared" si="42"/>
        <v>0</v>
      </c>
      <c r="U94" s="12">
        <f t="shared" si="43"/>
        <v>0</v>
      </c>
      <c r="V94" s="45">
        <f t="shared" si="44"/>
        <v>0</v>
      </c>
      <c r="W94" s="79">
        <f t="shared" si="45"/>
        <v>0</v>
      </c>
      <c r="X94" s="65">
        <f t="shared" si="46"/>
        <v>0</v>
      </c>
      <c r="Y94" s="64">
        <f t="shared" si="47"/>
        <v>0</v>
      </c>
      <c r="Z94" s="37"/>
      <c r="AA94" s="52"/>
      <c r="AB94" s="53"/>
    </row>
    <row r="95" spans="2:29" ht="20.100000000000001" customHeight="1" x14ac:dyDescent="0.3">
      <c r="B95" s="44">
        <v>91</v>
      </c>
      <c r="C95" s="8"/>
      <c r="D95" s="17"/>
      <c r="E95" s="17"/>
      <c r="F95" s="49"/>
      <c r="G95" s="50"/>
      <c r="H95" s="32"/>
      <c r="I95" s="14"/>
      <c r="J95" s="20"/>
      <c r="K95" s="21"/>
      <c r="L95" s="23"/>
      <c r="M95" s="78"/>
      <c r="N95" s="22">
        <f t="shared" si="40"/>
        <v>0</v>
      </c>
      <c r="O95" s="35"/>
      <c r="P95" s="13"/>
      <c r="Q95" s="33"/>
      <c r="R95" s="33"/>
      <c r="S95" s="5">
        <f t="shared" si="41"/>
        <v>0</v>
      </c>
      <c r="T95" s="5">
        <f t="shared" si="42"/>
        <v>0</v>
      </c>
      <c r="U95" s="12">
        <f t="shared" si="43"/>
        <v>0</v>
      </c>
      <c r="V95" s="45">
        <f t="shared" si="44"/>
        <v>0</v>
      </c>
      <c r="W95" s="79">
        <f t="shared" si="45"/>
        <v>0</v>
      </c>
      <c r="X95" s="65">
        <f t="shared" si="46"/>
        <v>0</v>
      </c>
      <c r="Y95" s="64">
        <f t="shared" si="47"/>
        <v>0</v>
      </c>
      <c r="Z95" s="37"/>
      <c r="AA95" s="52"/>
      <c r="AB95" s="53"/>
    </row>
    <row r="96" spans="2:29" ht="20.100000000000001" customHeight="1" x14ac:dyDescent="0.3">
      <c r="B96" s="44"/>
      <c r="C96" s="8"/>
      <c r="D96" s="17"/>
      <c r="E96" s="17"/>
      <c r="F96" s="32"/>
      <c r="G96" s="31"/>
      <c r="H96" s="30"/>
      <c r="I96" s="14"/>
      <c r="J96" s="20"/>
      <c r="K96" s="21"/>
      <c r="L96" s="23"/>
      <c r="M96" s="78"/>
      <c r="N96" s="22"/>
      <c r="O96" s="35"/>
      <c r="P96" s="13"/>
      <c r="Q96" s="33"/>
      <c r="R96" s="33"/>
      <c r="S96" s="5"/>
      <c r="T96" s="5"/>
      <c r="U96" s="12"/>
      <c r="V96" s="45"/>
      <c r="W96" s="66"/>
      <c r="X96" s="65"/>
      <c r="Y96" s="64"/>
      <c r="Z96" s="37"/>
      <c r="AA96" s="52"/>
      <c r="AB96" s="53"/>
    </row>
    <row r="97" spans="2:29" ht="30.75" customHeight="1" thickBot="1" x14ac:dyDescent="0.35">
      <c r="B97" s="67"/>
      <c r="C97" s="68"/>
      <c r="D97" s="68"/>
      <c r="E97" s="68"/>
      <c r="F97" s="68"/>
      <c r="G97" s="68"/>
      <c r="H97" s="68"/>
      <c r="I97" s="68"/>
      <c r="J97" s="68"/>
      <c r="K97" s="74" t="s">
        <v>1</v>
      </c>
      <c r="L97" s="69">
        <f>SUBTOTAL(9,L5:L96)</f>
        <v>2956</v>
      </c>
      <c r="M97" s="69"/>
      <c r="N97" s="69">
        <f>SUBTOTAL(9,N5:N96)</f>
        <v>59612628</v>
      </c>
      <c r="O97" s="70"/>
      <c r="P97" s="69"/>
      <c r="Q97" s="71"/>
      <c r="R97" s="71"/>
      <c r="S97" s="69">
        <f>SUBTOTAL(9,S5:S96)</f>
        <v>3595709</v>
      </c>
      <c r="T97" s="69">
        <f>SUBTOTAL(9,T5:T96)</f>
        <v>69579908</v>
      </c>
      <c r="U97" s="46"/>
      <c r="V97" s="47">
        <f>++SUBTOTAL(9,V5:V96)</f>
        <v>50596.999999999971</v>
      </c>
      <c r="W97" s="77">
        <f>++SUBTOTAL(9,W5:W96)</f>
        <v>5480208</v>
      </c>
      <c r="X97" s="72">
        <f>++SUBTOTAL(9,X5:X96)</f>
        <v>3984.9199999999992</v>
      </c>
      <c r="Y97" s="72">
        <f>++SUBTOTAL(9,Y5:Y96)</f>
        <v>54581.920000000013</v>
      </c>
      <c r="Z97" s="73"/>
      <c r="AA97" s="4"/>
      <c r="AB97" s="9">
        <f>SUM(AB4:AB96)+6</f>
        <v>6</v>
      </c>
      <c r="AC97" s="76"/>
    </row>
    <row r="98" spans="2:29" ht="16.149999999999999" thickTop="1" x14ac:dyDescent="0.55000000000000004">
      <c r="L98" s="7"/>
      <c r="M98" s="3"/>
      <c r="N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11"/>
      <c r="AA98" s="3"/>
      <c r="AB98" s="7"/>
    </row>
    <row r="99" spans="2:29" x14ac:dyDescent="0.55000000000000004">
      <c r="L99" s="7"/>
      <c r="M99" s="3"/>
      <c r="N99" s="3"/>
      <c r="P99" s="3"/>
      <c r="Q99" s="3"/>
      <c r="R99" s="3"/>
      <c r="S99" s="75" t="s">
        <v>212</v>
      </c>
      <c r="T99" s="84">
        <f>++T97/N97</f>
        <v>1.1672008152366642</v>
      </c>
      <c r="U99" s="3"/>
      <c r="V99" s="3"/>
      <c r="W99" s="3"/>
      <c r="X99" s="3"/>
      <c r="Y99" s="3"/>
      <c r="Z99" s="11"/>
      <c r="AA99" s="3"/>
      <c r="AB99" s="7"/>
    </row>
    <row r="100" spans="2:29" x14ac:dyDescent="0.55000000000000004">
      <c r="L100" s="7"/>
      <c r="M100" s="3"/>
      <c r="N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11"/>
      <c r="AA100" s="3"/>
      <c r="AB100" s="7"/>
    </row>
    <row r="101" spans="2:29" x14ac:dyDescent="0.55000000000000004">
      <c r="L101" s="7"/>
      <c r="M101" s="3"/>
      <c r="N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11"/>
      <c r="AA101" s="3"/>
      <c r="AB101" s="7"/>
    </row>
    <row r="102" spans="2:29" x14ac:dyDescent="0.55000000000000004">
      <c r="L102" s="7"/>
      <c r="M102" s="3"/>
      <c r="N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11"/>
      <c r="AA102" s="3"/>
      <c r="AB102" s="7"/>
    </row>
    <row r="103" spans="2:29" x14ac:dyDescent="0.55000000000000004">
      <c r="L103" s="7"/>
      <c r="M103" s="3"/>
      <c r="N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11"/>
      <c r="AA103" s="3"/>
      <c r="AB103" s="7"/>
    </row>
    <row r="104" spans="2:29" x14ac:dyDescent="0.55000000000000004">
      <c r="L104" s="7"/>
      <c r="M104" s="3"/>
      <c r="N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11"/>
      <c r="AA104" s="3"/>
      <c r="AB104" s="7"/>
    </row>
    <row r="105" spans="2:29" x14ac:dyDescent="0.55000000000000004">
      <c r="L105" s="7"/>
      <c r="M105" s="3"/>
      <c r="N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11"/>
      <c r="AA105" s="3"/>
      <c r="AB105" s="7"/>
    </row>
    <row r="106" spans="2:29" x14ac:dyDescent="0.55000000000000004">
      <c r="L106" s="7"/>
      <c r="M106" s="3"/>
      <c r="N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11"/>
      <c r="AA106" s="3"/>
      <c r="AB106" s="7"/>
    </row>
    <row r="107" spans="2:29" x14ac:dyDescent="0.55000000000000004">
      <c r="L107" s="7"/>
      <c r="M107" s="3"/>
      <c r="N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11"/>
      <c r="AA107" s="3"/>
      <c r="AB107" s="7"/>
    </row>
    <row r="108" spans="2:29" x14ac:dyDescent="0.55000000000000004">
      <c r="L108" s="7"/>
      <c r="M108" s="3"/>
      <c r="N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11"/>
      <c r="AA108" s="3"/>
      <c r="AB108" s="7"/>
    </row>
    <row r="109" spans="2:29" x14ac:dyDescent="0.55000000000000004">
      <c r="L109" s="7"/>
      <c r="M109" s="3"/>
      <c r="N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11"/>
      <c r="AA109" s="3"/>
      <c r="AB109" s="7"/>
    </row>
    <row r="110" spans="2:29" x14ac:dyDescent="0.55000000000000004">
      <c r="L110" s="7"/>
      <c r="M110" s="3"/>
      <c r="N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11"/>
      <c r="AA110" s="3"/>
      <c r="AB110" s="7"/>
    </row>
    <row r="111" spans="2:29" x14ac:dyDescent="0.55000000000000004">
      <c r="L111" s="7"/>
      <c r="M111" s="3"/>
      <c r="N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11"/>
      <c r="AA111" s="3"/>
      <c r="AB111" s="7"/>
    </row>
  </sheetData>
  <autoFilter ref="B4:AB96" xr:uid="{89A037B6-499C-464E-8E48-9C5DFEEEDBE8}">
    <sortState xmlns:xlrd2="http://schemas.microsoft.com/office/spreadsheetml/2017/richdata2" ref="B5:AB91">
      <sortCondition ref="B4:B96"/>
    </sortState>
  </autoFilter>
  <mergeCells count="2">
    <mergeCell ref="B2:AB2"/>
    <mergeCell ref="W4:X4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2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2</vt:i4>
      </vt:variant>
    </vt:vector>
  </HeadingPairs>
  <TitlesOfParts>
    <vt:vector size="3" baseType="lpstr">
      <vt:lpstr>정식 PACKING LIST</vt:lpstr>
      <vt:lpstr>'정식 PACKING LIST'!Print_Area</vt:lpstr>
      <vt:lpstr>'정식 PACKING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세형 김</dc:creator>
  <cp:lastModifiedBy>정락 김</cp:lastModifiedBy>
  <cp:lastPrinted>2025-09-01T08:55:30Z</cp:lastPrinted>
  <dcterms:created xsi:type="dcterms:W3CDTF">2024-10-08T09:08:29Z</dcterms:created>
  <dcterms:modified xsi:type="dcterms:W3CDTF">2026-05-08T04:33:14Z</dcterms:modified>
</cp:coreProperties>
</file>