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1.자동화장비\삼성전자 (구미)\#공통자료\출고목록\해상\"/>
    </mc:Choice>
  </mc:AlternateContent>
  <xr:revisionPtr revIDLastSave="0" documentId="13_ncr:1_{4D4E6B80-FF72-4A61-A474-5DE0F9A0CF25}" xr6:coauthVersionLast="47" xr6:coauthVersionMax="47" xr10:uidLastSave="{00000000-0000-0000-0000-000000000000}"/>
  <bookViews>
    <workbookView xWindow="-120" yWindow="-120" windowWidth="29040" windowHeight="17640" activeTab="32" xr2:uid="{00000000-000D-0000-FFFF-FFFF00000000}"/>
  </bookViews>
  <sheets>
    <sheet name="001M2603" sheetId="72" r:id="rId1"/>
    <sheet name="BOX-2" sheetId="79" state="hidden" r:id="rId2"/>
    <sheet name="BOX-3" sheetId="80" state="hidden" r:id="rId3"/>
    <sheet name="BOX-4" sheetId="81" state="hidden" r:id="rId4"/>
    <sheet name="BOX-5" sheetId="82" state="hidden" r:id="rId5"/>
    <sheet name="BOX-6" sheetId="83" state="hidden" r:id="rId6"/>
    <sheet name="BOX-7 " sheetId="85" state="hidden" r:id="rId7"/>
    <sheet name="BOX-8" sheetId="86" state="hidden" r:id="rId8"/>
    <sheet name="BOX-9" sheetId="87" state="hidden" r:id="rId9"/>
    <sheet name="BOX-10" sheetId="88" state="hidden" r:id="rId10"/>
    <sheet name="BOX-11" sheetId="89" state="hidden" r:id="rId11"/>
    <sheet name="BOX-1-2" sheetId="90" state="hidden" r:id="rId12"/>
    <sheet name="BOX-2-2" sheetId="91" state="hidden" r:id="rId13"/>
    <sheet name="BOX-3-2 " sheetId="92" state="hidden" r:id="rId14"/>
    <sheet name="BOX-4-2 " sheetId="93" state="hidden" r:id="rId15"/>
    <sheet name="BOX-5-2 " sheetId="94" state="hidden" r:id="rId16"/>
    <sheet name="BOX-6-2 " sheetId="95" state="hidden" r:id="rId17"/>
    <sheet name="BOX-7-2  " sheetId="96" state="hidden" r:id="rId18"/>
    <sheet name="BOX-8-2  " sheetId="97" state="hidden" r:id="rId19"/>
    <sheet name="BOX-9-2 " sheetId="98" state="hidden" r:id="rId20"/>
    <sheet name="BOX-10-2  " sheetId="99" state="hidden" r:id="rId21"/>
    <sheet name="BOX-11-2" sheetId="100" state="hidden" r:id="rId22"/>
    <sheet name="BOX-12-2" sheetId="101" state="hidden" r:id="rId23"/>
    <sheet name="BOX-13-2 " sheetId="102" state="hidden" r:id="rId24"/>
    <sheet name="BOX-14-2  " sheetId="103" state="hidden" r:id="rId25"/>
    <sheet name="BOX-15-2  " sheetId="104" state="hidden" r:id="rId26"/>
    <sheet name="BOX-16-2  " sheetId="105" state="hidden" r:id="rId27"/>
    <sheet name="BOX-17-2" sheetId="106" state="hidden" r:id="rId28"/>
    <sheet name="002M2603 " sheetId="152" r:id="rId29"/>
    <sheet name="003M2603" sheetId="154" r:id="rId30"/>
    <sheet name="004M2603" sheetId="156" r:id="rId31"/>
    <sheet name="005M2603" sheetId="158" r:id="rId32"/>
    <sheet name="002M2508" sheetId="151" r:id="rId33"/>
  </sheets>
  <definedNames>
    <definedName name="_xlnm._FilterDatabase" localSheetId="0" hidden="1">'001M2603'!$B$4:$AE$188</definedName>
    <definedName name="_xlnm._FilterDatabase" localSheetId="32" hidden="1">'002M2508'!$B$4:$AE$178</definedName>
    <definedName name="_xlnm._FilterDatabase" localSheetId="28" hidden="1">'002M2603 '!$B$4:$AE$180</definedName>
    <definedName name="_xlnm._FilterDatabase" localSheetId="29" hidden="1">'003M2603'!$B$4:$AE$128</definedName>
    <definedName name="_xlnm._FilterDatabase" localSheetId="30" hidden="1">'004M2603'!$B$4:$AE$128</definedName>
    <definedName name="_xlnm._FilterDatabase" localSheetId="31" hidden="1">'005M2603'!$B$4:$AE$115</definedName>
    <definedName name="_xlnm._FilterDatabase" localSheetId="9" hidden="1">'BOX-10'!$A$4:$M$4</definedName>
    <definedName name="_xlnm._FilterDatabase" localSheetId="20" hidden="1">'BOX-10-2  '!$A$4:$M$4</definedName>
    <definedName name="_xlnm._FilterDatabase" localSheetId="10" hidden="1">'BOX-11'!$A$4:$M$4</definedName>
    <definedName name="_xlnm._FilterDatabase" localSheetId="21" hidden="1">'BOX-11-2'!$A$4:$M$4</definedName>
    <definedName name="_xlnm._FilterDatabase" localSheetId="11" hidden="1">'BOX-1-2'!$A$4:$M$42</definedName>
    <definedName name="_xlnm._FilterDatabase" localSheetId="22" hidden="1">'BOX-12-2'!$A$4:$M$4</definedName>
    <definedName name="_xlnm._FilterDatabase" localSheetId="23" hidden="1">'BOX-13-2 '!$A$4:$M$4</definedName>
    <definedName name="_xlnm._FilterDatabase" localSheetId="24" hidden="1">'BOX-14-2  '!$A$4:$M$4</definedName>
    <definedName name="_xlnm._FilterDatabase" localSheetId="25" hidden="1">'BOX-15-2  '!$A$4:$M$4</definedName>
    <definedName name="_xlnm._FilterDatabase" localSheetId="26" hidden="1">'BOX-16-2  '!$A$4:$M$4</definedName>
    <definedName name="_xlnm._FilterDatabase" localSheetId="27" hidden="1">'BOX-17-2'!$A$4:$M$4</definedName>
    <definedName name="_xlnm._FilterDatabase" localSheetId="1" hidden="1">'BOX-2'!$A$4:$M$4</definedName>
    <definedName name="_xlnm._FilterDatabase" localSheetId="12" hidden="1">'BOX-2-2'!$A$4:$M$4</definedName>
    <definedName name="_xlnm._FilterDatabase" localSheetId="2" hidden="1">'BOX-3'!$A$4:$M$4</definedName>
    <definedName name="_xlnm._FilterDatabase" localSheetId="13" hidden="1">'BOX-3-2 '!$A$4:$M$4</definedName>
    <definedName name="_xlnm._FilterDatabase" localSheetId="3" hidden="1">'BOX-4'!$A$4:$M$4</definedName>
    <definedName name="_xlnm._FilterDatabase" localSheetId="14" hidden="1">'BOX-4-2 '!$A$4:$M$4</definedName>
    <definedName name="_xlnm._FilterDatabase" localSheetId="4" hidden="1">'BOX-5'!$A$4:$M$4</definedName>
    <definedName name="_xlnm._FilterDatabase" localSheetId="15" hidden="1">'BOX-5-2 '!$A$4:$M$4</definedName>
    <definedName name="_xlnm._FilterDatabase" localSheetId="5" hidden="1">'BOX-6'!$A$4:$M$4</definedName>
    <definedName name="_xlnm._FilterDatabase" localSheetId="16" hidden="1">'BOX-6-2 '!$A$4:$M$4</definedName>
    <definedName name="_xlnm._FilterDatabase" localSheetId="6" hidden="1">'BOX-7 '!$A$4:$M$4</definedName>
    <definedName name="_xlnm._FilterDatabase" localSheetId="17" hidden="1">'BOX-7-2  '!$A$4:$M$4</definedName>
    <definedName name="_xlnm._FilterDatabase" localSheetId="7" hidden="1">'BOX-8'!$A$4:$M$4</definedName>
    <definedName name="_xlnm._FilterDatabase" localSheetId="18" hidden="1">'BOX-8-2  '!$A$4:$M$4</definedName>
    <definedName name="_xlnm._FilterDatabase" localSheetId="8" hidden="1">'BOX-9'!$A$4:$M$4</definedName>
    <definedName name="_xlnm._FilterDatabase" localSheetId="19" hidden="1">'BOX-9-2 '!$A$4:$M$4</definedName>
    <definedName name="_xlnm.Print_Area" localSheetId="0">'001M2603'!$A$1:$AC$189</definedName>
    <definedName name="_xlnm.Print_Area" localSheetId="32">'002M2508'!$A$1:$AC$179</definedName>
    <definedName name="_xlnm.Print_Area" localSheetId="28">'002M2603 '!$A$1:$AC$181</definedName>
    <definedName name="_xlnm.Print_Area" localSheetId="29">'003M2603'!$A$1:$AC$129</definedName>
    <definedName name="_xlnm.Print_Area" localSheetId="30">'004M2603'!$A$1:$AC$129</definedName>
    <definedName name="_xlnm.Print_Area" localSheetId="31">'005M2603'!$A$1:$AC$116</definedName>
    <definedName name="_xlnm.Print_Area" localSheetId="9">'BOX-10'!$A$1:$M$11</definedName>
    <definedName name="_xlnm.Print_Area" localSheetId="20">'BOX-10-2  '!$A$1:$M$15</definedName>
    <definedName name="_xlnm.Print_Area" localSheetId="10">'BOX-11'!$A$1:$M$9</definedName>
    <definedName name="_xlnm.Print_Area" localSheetId="21">'BOX-11-2'!$A$1:$M$62</definedName>
    <definedName name="_xlnm.Print_Area" localSheetId="11">'BOX-1-2'!$A$1:$M$42</definedName>
    <definedName name="_xlnm.Print_Area" localSheetId="22">'BOX-12-2'!$A$1:$M$14</definedName>
    <definedName name="_xlnm.Print_Area" localSheetId="23">'BOX-13-2 '!$A$1:$M$17</definedName>
    <definedName name="_xlnm.Print_Area" localSheetId="24">'BOX-14-2  '!$A$1:$M$8</definedName>
    <definedName name="_xlnm.Print_Area" localSheetId="25">'BOX-15-2  '!$A$1:$M$11</definedName>
    <definedName name="_xlnm.Print_Area" localSheetId="26">'BOX-16-2  '!$A$1:$M$6</definedName>
    <definedName name="_xlnm.Print_Area" localSheetId="27">'BOX-17-2'!$A$1:$M$13</definedName>
    <definedName name="_xlnm.Print_Area" localSheetId="1">'BOX-2'!$A$1:$M$34</definedName>
    <definedName name="_xlnm.Print_Area" localSheetId="12">'BOX-2-2'!$A$1:$M$40</definedName>
    <definedName name="_xlnm.Print_Area" localSheetId="2">'BOX-3'!$A$1:$M$21</definedName>
    <definedName name="_xlnm.Print_Area" localSheetId="13">'BOX-3-2 '!$A$1:$M$12</definedName>
    <definedName name="_xlnm.Print_Area" localSheetId="3">'BOX-4'!$A$1:$M$18</definedName>
    <definedName name="_xlnm.Print_Area" localSheetId="14">'BOX-4-2 '!$A$1:$M$6</definedName>
    <definedName name="_xlnm.Print_Area" localSheetId="4">'BOX-5'!$A$1:$M$6</definedName>
    <definedName name="_xlnm.Print_Area" localSheetId="15">'BOX-5-2 '!$A$1:$M$12</definedName>
    <definedName name="_xlnm.Print_Area" localSheetId="5">'BOX-6'!$A$1:$M$6</definedName>
    <definedName name="_xlnm.Print_Area" localSheetId="16">'BOX-6-2 '!$A$1:$M$20</definedName>
    <definedName name="_xlnm.Print_Area" localSheetId="6">'BOX-7 '!$A$1:$M$11</definedName>
    <definedName name="_xlnm.Print_Area" localSheetId="17">'BOX-7-2  '!$A$1:$M$22</definedName>
    <definedName name="_xlnm.Print_Area" localSheetId="7">'BOX-8'!$A$1:$M$25</definedName>
    <definedName name="_xlnm.Print_Area" localSheetId="18">'BOX-8-2  '!$A$1:$M$34</definedName>
    <definedName name="_xlnm.Print_Area" localSheetId="8">'BOX-9'!$A$1:$M$23</definedName>
    <definedName name="_xlnm.Print_Area" localSheetId="19">'BOX-9-2 '!$A$1:$M$73</definedName>
    <definedName name="_xlnm.Print_Titles" localSheetId="0">'001M2603'!$4:$4</definedName>
    <definedName name="_xlnm.Print_Titles" localSheetId="32">'002M2508'!$4:$4</definedName>
    <definedName name="_xlnm.Print_Titles" localSheetId="28">'002M2603 '!$4:$4</definedName>
    <definedName name="_xlnm.Print_Titles" localSheetId="29">'003M2603'!$4:$4</definedName>
    <definedName name="_xlnm.Print_Titles" localSheetId="30">'004M2603'!$4:$4</definedName>
    <definedName name="_xlnm.Print_Titles" localSheetId="31">'005M2603'!$4:$4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29" i="156" l="1"/>
  <c r="P189" i="72"/>
  <c r="V6" i="156"/>
  <c r="X6" i="156" s="1"/>
  <c r="Y6" i="156" s="1"/>
  <c r="V7" i="156"/>
  <c r="W7" i="156" s="1"/>
  <c r="V8" i="156"/>
  <c r="W8" i="156" s="1"/>
  <c r="V9" i="156"/>
  <c r="X9" i="156" s="1"/>
  <c r="Y9" i="156" s="1"/>
  <c r="V10" i="156"/>
  <c r="W10" i="156" s="1"/>
  <c r="V11" i="156"/>
  <c r="W11" i="156" s="1"/>
  <c r="V12" i="156"/>
  <c r="X12" i="156" s="1"/>
  <c r="Y12" i="156" s="1"/>
  <c r="V13" i="156"/>
  <c r="W13" i="156" s="1"/>
  <c r="V14" i="156"/>
  <c r="W14" i="156" s="1"/>
  <c r="V15" i="156"/>
  <c r="X15" i="156" s="1"/>
  <c r="Y15" i="156" s="1"/>
  <c r="W15" i="156"/>
  <c r="V16" i="156"/>
  <c r="W16" i="156" s="1"/>
  <c r="V17" i="156"/>
  <c r="W17" i="156" s="1"/>
  <c r="V18" i="156"/>
  <c r="X18" i="156" s="1"/>
  <c r="Y18" i="156" s="1"/>
  <c r="V19" i="156"/>
  <c r="W19" i="156" s="1"/>
  <c r="V20" i="156"/>
  <c r="W20" i="156" s="1"/>
  <c r="V21" i="156"/>
  <c r="X21" i="156" s="1"/>
  <c r="Y21" i="156" s="1"/>
  <c r="V22" i="156"/>
  <c r="W22" i="156" s="1"/>
  <c r="V23" i="156"/>
  <c r="W23" i="156" s="1"/>
  <c r="V24" i="156"/>
  <c r="X24" i="156" s="1"/>
  <c r="Y24" i="156" s="1"/>
  <c r="W24" i="156"/>
  <c r="V25" i="156"/>
  <c r="W25" i="156" s="1"/>
  <c r="V26" i="156"/>
  <c r="W26" i="156" s="1"/>
  <c r="V27" i="156"/>
  <c r="X27" i="156" s="1"/>
  <c r="Y27" i="156" s="1"/>
  <c r="V28" i="156"/>
  <c r="W28" i="156" s="1"/>
  <c r="V29" i="156"/>
  <c r="W29" i="156" s="1"/>
  <c r="V30" i="156"/>
  <c r="X30" i="156" s="1"/>
  <c r="Y30" i="156" s="1"/>
  <c r="V31" i="156"/>
  <c r="W31" i="156" s="1"/>
  <c r="V32" i="156"/>
  <c r="W32" i="156" s="1"/>
  <c r="V33" i="156"/>
  <c r="X33" i="156" s="1"/>
  <c r="Y33" i="156" s="1"/>
  <c r="V34" i="156"/>
  <c r="W34" i="156" s="1"/>
  <c r="V35" i="156"/>
  <c r="W35" i="156" s="1"/>
  <c r="V36" i="156"/>
  <c r="X36" i="156" s="1"/>
  <c r="Y36" i="156" s="1"/>
  <c r="W36" i="156"/>
  <c r="V37" i="156"/>
  <c r="W37" i="156" s="1"/>
  <c r="V38" i="156"/>
  <c r="W38" i="156" s="1"/>
  <c r="V39" i="156"/>
  <c r="X39" i="156" s="1"/>
  <c r="Y39" i="156" s="1"/>
  <c r="V40" i="156"/>
  <c r="W40" i="156" s="1"/>
  <c r="V41" i="156"/>
  <c r="W41" i="156" s="1"/>
  <c r="V42" i="156"/>
  <c r="X42" i="156" s="1"/>
  <c r="Y42" i="156" s="1"/>
  <c r="V43" i="156"/>
  <c r="W43" i="156" s="1"/>
  <c r="V44" i="156"/>
  <c r="W44" i="156" s="1"/>
  <c r="V45" i="156"/>
  <c r="X45" i="156" s="1"/>
  <c r="Y45" i="156" s="1"/>
  <c r="V46" i="156"/>
  <c r="W46" i="156" s="1"/>
  <c r="V47" i="156"/>
  <c r="W47" i="156" s="1"/>
  <c r="V48" i="156"/>
  <c r="X48" i="156" s="1"/>
  <c r="Y48" i="156" s="1"/>
  <c r="V49" i="156"/>
  <c r="W49" i="156" s="1"/>
  <c r="V50" i="156"/>
  <c r="W50" i="156" s="1"/>
  <c r="V51" i="156"/>
  <c r="X51" i="156" s="1"/>
  <c r="Y51" i="156" s="1"/>
  <c r="V52" i="156"/>
  <c r="W52" i="156" s="1"/>
  <c r="V53" i="156"/>
  <c r="W53" i="156" s="1"/>
  <c r="V54" i="156"/>
  <c r="X54" i="156" s="1"/>
  <c r="Y54" i="156" s="1"/>
  <c r="V55" i="156"/>
  <c r="W55" i="156" s="1"/>
  <c r="V56" i="156"/>
  <c r="W56" i="156" s="1"/>
  <c r="V57" i="156"/>
  <c r="X57" i="156" s="1"/>
  <c r="Y57" i="156" s="1"/>
  <c r="V58" i="156"/>
  <c r="W58" i="156" s="1"/>
  <c r="V59" i="156"/>
  <c r="W59" i="156" s="1"/>
  <c r="V60" i="156"/>
  <c r="X60" i="156" s="1"/>
  <c r="Y60" i="156" s="1"/>
  <c r="V61" i="156"/>
  <c r="W61" i="156" s="1"/>
  <c r="V62" i="156"/>
  <c r="W62" i="156" s="1"/>
  <c r="V63" i="156"/>
  <c r="X63" i="156" s="1"/>
  <c r="Y63" i="156" s="1"/>
  <c r="V64" i="156"/>
  <c r="W64" i="156" s="1"/>
  <c r="V65" i="156"/>
  <c r="W65" i="156" s="1"/>
  <c r="V66" i="156"/>
  <c r="X66" i="156" s="1"/>
  <c r="Y66" i="156" s="1"/>
  <c r="V67" i="156"/>
  <c r="W67" i="156" s="1"/>
  <c r="V68" i="156"/>
  <c r="W68" i="156" s="1"/>
  <c r="V69" i="156"/>
  <c r="X69" i="156" s="1"/>
  <c r="Y69" i="156" s="1"/>
  <c r="V70" i="156"/>
  <c r="W70" i="156" s="1"/>
  <c r="V71" i="156"/>
  <c r="W71" i="156" s="1"/>
  <c r="V72" i="156"/>
  <c r="X72" i="156" s="1"/>
  <c r="Y72" i="156" s="1"/>
  <c r="V73" i="156"/>
  <c r="W73" i="156" s="1"/>
  <c r="V74" i="156"/>
  <c r="W74" i="156" s="1"/>
  <c r="V75" i="156"/>
  <c r="X75" i="156" s="1"/>
  <c r="Y75" i="156" s="1"/>
  <c r="V76" i="156"/>
  <c r="W76" i="156" s="1"/>
  <c r="V77" i="156"/>
  <c r="W77" i="156" s="1"/>
  <c r="V78" i="156"/>
  <c r="X78" i="156" s="1"/>
  <c r="Y78" i="156" s="1"/>
  <c r="V79" i="156"/>
  <c r="W79" i="156" s="1"/>
  <c r="V80" i="156"/>
  <c r="W80" i="156" s="1"/>
  <c r="V81" i="156"/>
  <c r="X81" i="156" s="1"/>
  <c r="Y81" i="156" s="1"/>
  <c r="V82" i="156"/>
  <c r="W82" i="156" s="1"/>
  <c r="V83" i="156"/>
  <c r="W83" i="156" s="1"/>
  <c r="V84" i="156"/>
  <c r="X84" i="156" s="1"/>
  <c r="Y84" i="156" s="1"/>
  <c r="V85" i="156"/>
  <c r="W85" i="156" s="1"/>
  <c r="V86" i="156"/>
  <c r="W86" i="156" s="1"/>
  <c r="V87" i="156"/>
  <c r="X87" i="156" s="1"/>
  <c r="Y87" i="156" s="1"/>
  <c r="V88" i="156"/>
  <c r="W88" i="156" s="1"/>
  <c r="V89" i="156"/>
  <c r="W89" i="156" s="1"/>
  <c r="V90" i="156"/>
  <c r="X90" i="156" s="1"/>
  <c r="Y90" i="156" s="1"/>
  <c r="V91" i="156"/>
  <c r="W91" i="156" s="1"/>
  <c r="V92" i="156"/>
  <c r="W92" i="156" s="1"/>
  <c r="V93" i="156"/>
  <c r="X93" i="156" s="1"/>
  <c r="Y93" i="156" s="1"/>
  <c r="V94" i="156"/>
  <c r="W94" i="156" s="1"/>
  <c r="V95" i="156"/>
  <c r="W95" i="156" s="1"/>
  <c r="V96" i="156"/>
  <c r="X96" i="156" s="1"/>
  <c r="Y96" i="156" s="1"/>
  <c r="V97" i="156"/>
  <c r="W97" i="156" s="1"/>
  <c r="V98" i="156"/>
  <c r="W98" i="156" s="1"/>
  <c r="V99" i="156"/>
  <c r="X99" i="156" s="1"/>
  <c r="Y99" i="156" s="1"/>
  <c r="V100" i="156"/>
  <c r="W100" i="156" s="1"/>
  <c r="V101" i="156"/>
  <c r="W101" i="156" s="1"/>
  <c r="V102" i="156"/>
  <c r="X102" i="156" s="1"/>
  <c r="Y102" i="156" s="1"/>
  <c r="V103" i="156"/>
  <c r="W103" i="156" s="1"/>
  <c r="V104" i="156"/>
  <c r="W104" i="156" s="1"/>
  <c r="V105" i="156"/>
  <c r="X105" i="156" s="1"/>
  <c r="Y105" i="156" s="1"/>
  <c r="V106" i="156"/>
  <c r="W106" i="156" s="1"/>
  <c r="V107" i="156"/>
  <c r="W107" i="156" s="1"/>
  <c r="V108" i="156"/>
  <c r="X108" i="156" s="1"/>
  <c r="Y108" i="156" s="1"/>
  <c r="W108" i="156"/>
  <c r="V109" i="156"/>
  <c r="W109" i="156" s="1"/>
  <c r="V110" i="156"/>
  <c r="W110" i="156" s="1"/>
  <c r="V111" i="156"/>
  <c r="X111" i="156" s="1"/>
  <c r="Y111" i="156" s="1"/>
  <c r="V112" i="156"/>
  <c r="W112" i="156" s="1"/>
  <c r="V113" i="156"/>
  <c r="W113" i="156" s="1"/>
  <c r="V114" i="156"/>
  <c r="X114" i="156" s="1"/>
  <c r="Y114" i="156" s="1"/>
  <c r="V115" i="156"/>
  <c r="W115" i="156" s="1"/>
  <c r="V116" i="156"/>
  <c r="W116" i="156" s="1"/>
  <c r="V117" i="156"/>
  <c r="X117" i="156" s="1"/>
  <c r="Y117" i="156" s="1"/>
  <c r="V118" i="156"/>
  <c r="W118" i="156" s="1"/>
  <c r="V119" i="156"/>
  <c r="W119" i="156" s="1"/>
  <c r="V120" i="156"/>
  <c r="X120" i="156" s="1"/>
  <c r="Y120" i="156" s="1"/>
  <c r="W120" i="156"/>
  <c r="V121" i="156"/>
  <c r="W121" i="156" s="1"/>
  <c r="V122" i="156"/>
  <c r="W122" i="156" s="1"/>
  <c r="V123" i="156"/>
  <c r="X123" i="156" s="1"/>
  <c r="Y123" i="156" s="1"/>
  <c r="V124" i="156"/>
  <c r="W124" i="156" s="1"/>
  <c r="V125" i="156"/>
  <c r="W125" i="156" s="1"/>
  <c r="V126" i="156"/>
  <c r="X126" i="156" s="1"/>
  <c r="Y126" i="156" s="1"/>
  <c r="V127" i="156"/>
  <c r="W127" i="156" s="1"/>
  <c r="V128" i="156"/>
  <c r="W128" i="156" s="1"/>
  <c r="V6" i="151"/>
  <c r="W6" i="151" s="1"/>
  <c r="V7" i="151"/>
  <c r="W7" i="151" s="1"/>
  <c r="V8" i="151"/>
  <c r="W8" i="151" s="1"/>
  <c r="V9" i="151"/>
  <c r="W9" i="151" s="1"/>
  <c r="V10" i="151"/>
  <c r="W10" i="151" s="1"/>
  <c r="V11" i="151"/>
  <c r="W11" i="151" s="1"/>
  <c r="V12" i="151"/>
  <c r="W12" i="151" s="1"/>
  <c r="V13" i="151"/>
  <c r="W13" i="151" s="1"/>
  <c r="V14" i="151"/>
  <c r="X14" i="151" s="1"/>
  <c r="Y14" i="151" s="1"/>
  <c r="V15" i="151"/>
  <c r="W15" i="151" s="1"/>
  <c r="V16" i="151"/>
  <c r="W16" i="151" s="1"/>
  <c r="V17" i="151"/>
  <c r="W17" i="151" s="1"/>
  <c r="V18" i="151"/>
  <c r="W18" i="151" s="1"/>
  <c r="V19" i="151"/>
  <c r="W19" i="151" s="1"/>
  <c r="V20" i="151"/>
  <c r="X20" i="151" s="1"/>
  <c r="Y20" i="151" s="1"/>
  <c r="V21" i="151"/>
  <c r="W21" i="151" s="1"/>
  <c r="V22" i="151"/>
  <c r="W22" i="151" s="1"/>
  <c r="V23" i="151"/>
  <c r="W23" i="151" s="1"/>
  <c r="V24" i="151"/>
  <c r="W24" i="151" s="1"/>
  <c r="V25" i="151"/>
  <c r="W25" i="151" s="1"/>
  <c r="V26" i="151"/>
  <c r="W26" i="151" s="1"/>
  <c r="V27" i="151"/>
  <c r="W27" i="151" s="1"/>
  <c r="V28" i="151"/>
  <c r="W28" i="151" s="1"/>
  <c r="V29" i="151"/>
  <c r="X29" i="151" s="1"/>
  <c r="Y29" i="151" s="1"/>
  <c r="V30" i="151"/>
  <c r="W30" i="151" s="1"/>
  <c r="V31" i="151"/>
  <c r="W31" i="151" s="1"/>
  <c r="V32" i="151"/>
  <c r="W32" i="151" s="1"/>
  <c r="V33" i="151"/>
  <c r="W33" i="151" s="1"/>
  <c r="V34" i="151"/>
  <c r="W34" i="151" s="1"/>
  <c r="V35" i="151"/>
  <c r="W35" i="151" s="1"/>
  <c r="V36" i="151"/>
  <c r="W36" i="151" s="1"/>
  <c r="V37" i="151"/>
  <c r="W37" i="151" s="1"/>
  <c r="V38" i="151"/>
  <c r="W38" i="151" s="1"/>
  <c r="V39" i="151"/>
  <c r="W39" i="151" s="1"/>
  <c r="V40" i="151"/>
  <c r="W40" i="151" s="1"/>
  <c r="V41" i="151"/>
  <c r="W41" i="151" s="1"/>
  <c r="V42" i="151"/>
  <c r="W42" i="151" s="1"/>
  <c r="V43" i="151"/>
  <c r="W43" i="151" s="1"/>
  <c r="V44" i="151"/>
  <c r="W44" i="151" s="1"/>
  <c r="V45" i="151"/>
  <c r="W45" i="151" s="1"/>
  <c r="V46" i="151"/>
  <c r="W46" i="151" s="1"/>
  <c r="V47" i="151"/>
  <c r="W47" i="151" s="1"/>
  <c r="V48" i="151"/>
  <c r="W48" i="151" s="1"/>
  <c r="V49" i="151"/>
  <c r="W49" i="151" s="1"/>
  <c r="V50" i="151"/>
  <c r="X50" i="151" s="1"/>
  <c r="Y50" i="151" s="1"/>
  <c r="V51" i="151"/>
  <c r="W51" i="151" s="1"/>
  <c r="V52" i="151"/>
  <c r="W52" i="151" s="1"/>
  <c r="V53" i="151"/>
  <c r="W53" i="151" s="1"/>
  <c r="V54" i="151"/>
  <c r="W54" i="151" s="1"/>
  <c r="V55" i="151"/>
  <c r="W55" i="151" s="1"/>
  <c r="V56" i="151"/>
  <c r="W56" i="151" s="1"/>
  <c r="V57" i="151"/>
  <c r="W57" i="151" s="1"/>
  <c r="V58" i="151"/>
  <c r="W58" i="151" s="1"/>
  <c r="V59" i="151"/>
  <c r="X59" i="151" s="1"/>
  <c r="Y59" i="151" s="1"/>
  <c r="V60" i="151"/>
  <c r="W60" i="151" s="1"/>
  <c r="V61" i="151"/>
  <c r="W61" i="151" s="1"/>
  <c r="V62" i="151"/>
  <c r="X62" i="151" s="1"/>
  <c r="Y62" i="151" s="1"/>
  <c r="V63" i="151"/>
  <c r="W63" i="151" s="1"/>
  <c r="V64" i="151"/>
  <c r="W64" i="151" s="1"/>
  <c r="V65" i="151"/>
  <c r="W65" i="151" s="1"/>
  <c r="V66" i="151"/>
  <c r="W66" i="151" s="1"/>
  <c r="V67" i="151"/>
  <c r="W67" i="151" s="1"/>
  <c r="V68" i="151"/>
  <c r="W68" i="151" s="1"/>
  <c r="V69" i="151"/>
  <c r="W69" i="151" s="1"/>
  <c r="V70" i="151"/>
  <c r="W70" i="151" s="1"/>
  <c r="V71" i="151"/>
  <c r="W71" i="151" s="1"/>
  <c r="V72" i="151"/>
  <c r="W72" i="151" s="1"/>
  <c r="V73" i="151"/>
  <c r="W73" i="151" s="1"/>
  <c r="V74" i="151"/>
  <c r="W74" i="151" s="1"/>
  <c r="V75" i="151"/>
  <c r="W75" i="151" s="1"/>
  <c r="V76" i="151"/>
  <c r="W76" i="151" s="1"/>
  <c r="V77" i="151"/>
  <c r="W77" i="151" s="1"/>
  <c r="V78" i="151"/>
  <c r="W78" i="151" s="1"/>
  <c r="V79" i="151"/>
  <c r="W79" i="151" s="1"/>
  <c r="V80" i="151"/>
  <c r="X80" i="151" s="1"/>
  <c r="Y80" i="151" s="1"/>
  <c r="V81" i="151"/>
  <c r="W81" i="151" s="1"/>
  <c r="V82" i="151"/>
  <c r="W82" i="151" s="1"/>
  <c r="V83" i="151"/>
  <c r="X83" i="151" s="1"/>
  <c r="Y83" i="151" s="1"/>
  <c r="V84" i="151"/>
  <c r="W84" i="151" s="1"/>
  <c r="V85" i="151"/>
  <c r="W85" i="151" s="1"/>
  <c r="V86" i="151"/>
  <c r="W86" i="151" s="1"/>
  <c r="V87" i="151"/>
  <c r="W87" i="151" s="1"/>
  <c r="V88" i="151"/>
  <c r="W88" i="151" s="1"/>
  <c r="V89" i="151"/>
  <c r="X89" i="151" s="1"/>
  <c r="Y89" i="151" s="1"/>
  <c r="V90" i="151"/>
  <c r="W90" i="151" s="1"/>
  <c r="V91" i="151"/>
  <c r="W91" i="151" s="1"/>
  <c r="V92" i="151"/>
  <c r="W92" i="151" s="1"/>
  <c r="V93" i="151"/>
  <c r="W93" i="151" s="1"/>
  <c r="V94" i="151"/>
  <c r="W94" i="151" s="1"/>
  <c r="V95" i="151"/>
  <c r="X95" i="151" s="1"/>
  <c r="Y95" i="151" s="1"/>
  <c r="V96" i="151"/>
  <c r="W96" i="151" s="1"/>
  <c r="V97" i="151"/>
  <c r="W97" i="151" s="1"/>
  <c r="V98" i="151"/>
  <c r="W98" i="151" s="1"/>
  <c r="V99" i="151"/>
  <c r="W99" i="151" s="1"/>
  <c r="V100" i="151"/>
  <c r="W100" i="151" s="1"/>
  <c r="V101" i="151"/>
  <c r="W101" i="151" s="1"/>
  <c r="V102" i="151"/>
  <c r="W102" i="151" s="1"/>
  <c r="V103" i="151"/>
  <c r="W103" i="151" s="1"/>
  <c r="V104" i="151"/>
  <c r="W104" i="151" s="1"/>
  <c r="V105" i="151"/>
  <c r="W105" i="151" s="1"/>
  <c r="V106" i="151"/>
  <c r="W106" i="151" s="1"/>
  <c r="V107" i="151"/>
  <c r="W107" i="151" s="1"/>
  <c r="V108" i="151"/>
  <c r="W108" i="151" s="1"/>
  <c r="V109" i="151"/>
  <c r="W109" i="151" s="1"/>
  <c r="V110" i="151"/>
  <c r="W110" i="151" s="1"/>
  <c r="V111" i="151"/>
  <c r="X111" i="151" s="1"/>
  <c r="Y111" i="151" s="1"/>
  <c r="V112" i="151"/>
  <c r="W112" i="151" s="1"/>
  <c r="V113" i="151"/>
  <c r="W113" i="151" s="1"/>
  <c r="V114" i="151"/>
  <c r="X114" i="151" s="1"/>
  <c r="Y114" i="151" s="1"/>
  <c r="V115" i="151"/>
  <c r="W115" i="151" s="1"/>
  <c r="V116" i="151"/>
  <c r="W116" i="151" s="1"/>
  <c r="V117" i="151"/>
  <c r="X117" i="151" s="1"/>
  <c r="Y117" i="151" s="1"/>
  <c r="V118" i="151"/>
  <c r="W118" i="151" s="1"/>
  <c r="V119" i="151"/>
  <c r="W119" i="151" s="1"/>
  <c r="V120" i="151"/>
  <c r="X120" i="151" s="1"/>
  <c r="Y120" i="151" s="1"/>
  <c r="V121" i="151"/>
  <c r="W121" i="151" s="1"/>
  <c r="V122" i="151"/>
  <c r="W122" i="151" s="1"/>
  <c r="V123" i="151"/>
  <c r="X123" i="151" s="1"/>
  <c r="Y123" i="151" s="1"/>
  <c r="V124" i="151"/>
  <c r="W124" i="151" s="1"/>
  <c r="V125" i="151"/>
  <c r="W125" i="151" s="1"/>
  <c r="V126" i="151"/>
  <c r="X126" i="151" s="1"/>
  <c r="Y126" i="151" s="1"/>
  <c r="V127" i="151"/>
  <c r="W127" i="151" s="1"/>
  <c r="V128" i="151"/>
  <c r="W128" i="151" s="1"/>
  <c r="V129" i="151"/>
  <c r="X129" i="151" s="1"/>
  <c r="Y129" i="151" s="1"/>
  <c r="V130" i="151"/>
  <c r="W130" i="151" s="1"/>
  <c r="V131" i="151"/>
  <c r="W131" i="151" s="1"/>
  <c r="V132" i="151"/>
  <c r="X132" i="151" s="1"/>
  <c r="Y132" i="151" s="1"/>
  <c r="V133" i="151"/>
  <c r="W133" i="151" s="1"/>
  <c r="V134" i="151"/>
  <c r="W134" i="151" s="1"/>
  <c r="V135" i="151"/>
  <c r="X135" i="151" s="1"/>
  <c r="Y135" i="151" s="1"/>
  <c r="V136" i="151"/>
  <c r="W136" i="151" s="1"/>
  <c r="V137" i="151"/>
  <c r="W137" i="151" s="1"/>
  <c r="V138" i="151"/>
  <c r="X138" i="151" s="1"/>
  <c r="Y138" i="151" s="1"/>
  <c r="V139" i="151"/>
  <c r="W139" i="151" s="1"/>
  <c r="V140" i="151"/>
  <c r="W140" i="151" s="1"/>
  <c r="V141" i="151"/>
  <c r="X141" i="151" s="1"/>
  <c r="Y141" i="151" s="1"/>
  <c r="V142" i="151"/>
  <c r="W142" i="151" s="1"/>
  <c r="V143" i="151"/>
  <c r="W143" i="151" s="1"/>
  <c r="V144" i="151"/>
  <c r="X144" i="151" s="1"/>
  <c r="Y144" i="151" s="1"/>
  <c r="V145" i="151"/>
  <c r="W145" i="151" s="1"/>
  <c r="V146" i="151"/>
  <c r="W146" i="151" s="1"/>
  <c r="V147" i="151"/>
  <c r="X147" i="151" s="1"/>
  <c r="Y147" i="151" s="1"/>
  <c r="V148" i="151"/>
  <c r="W148" i="151" s="1"/>
  <c r="V149" i="151"/>
  <c r="W149" i="151" s="1"/>
  <c r="V150" i="151"/>
  <c r="X150" i="151" s="1"/>
  <c r="Y150" i="151" s="1"/>
  <c r="V151" i="151"/>
  <c r="W151" i="151" s="1"/>
  <c r="V152" i="151"/>
  <c r="W152" i="151" s="1"/>
  <c r="V153" i="151"/>
  <c r="X153" i="151" s="1"/>
  <c r="Y153" i="151" s="1"/>
  <c r="V154" i="151"/>
  <c r="W154" i="151" s="1"/>
  <c r="V155" i="151"/>
  <c r="W155" i="151" s="1"/>
  <c r="V156" i="151"/>
  <c r="X156" i="151" s="1"/>
  <c r="Y156" i="151" s="1"/>
  <c r="V157" i="151"/>
  <c r="W157" i="151" s="1"/>
  <c r="V158" i="151"/>
  <c r="W158" i="151" s="1"/>
  <c r="V159" i="151"/>
  <c r="X159" i="151" s="1"/>
  <c r="Y159" i="151" s="1"/>
  <c r="V160" i="151"/>
  <c r="W160" i="151" s="1"/>
  <c r="V161" i="151"/>
  <c r="W161" i="151" s="1"/>
  <c r="V162" i="151"/>
  <c r="X162" i="151" s="1"/>
  <c r="Y162" i="151" s="1"/>
  <c r="V163" i="151"/>
  <c r="W163" i="151" s="1"/>
  <c r="V164" i="151"/>
  <c r="W164" i="151" s="1"/>
  <c r="V165" i="151"/>
  <c r="X165" i="151" s="1"/>
  <c r="Y165" i="151" s="1"/>
  <c r="V166" i="151"/>
  <c r="W166" i="151" s="1"/>
  <c r="V167" i="151"/>
  <c r="W167" i="151" s="1"/>
  <c r="V168" i="151"/>
  <c r="X168" i="151" s="1"/>
  <c r="Y168" i="151" s="1"/>
  <c r="V169" i="151"/>
  <c r="W169" i="151" s="1"/>
  <c r="V170" i="151"/>
  <c r="W170" i="151" s="1"/>
  <c r="V171" i="151"/>
  <c r="X171" i="151" s="1"/>
  <c r="Y171" i="151" s="1"/>
  <c r="V172" i="151"/>
  <c r="W172" i="151" s="1"/>
  <c r="V173" i="151"/>
  <c r="W173" i="151" s="1"/>
  <c r="V174" i="151"/>
  <c r="X174" i="151" s="1"/>
  <c r="Y174" i="151" s="1"/>
  <c r="V175" i="151"/>
  <c r="W175" i="151" s="1"/>
  <c r="V176" i="151"/>
  <c r="W176" i="151" s="1"/>
  <c r="V177" i="151"/>
  <c r="W177" i="151" s="1"/>
  <c r="V178" i="151"/>
  <c r="W178" i="151" s="1"/>
  <c r="V5" i="151"/>
  <c r="X5" i="151" s="1"/>
  <c r="Y5" i="151" s="1"/>
  <c r="V6" i="158"/>
  <c r="W6" i="158" s="1"/>
  <c r="V7" i="158"/>
  <c r="W7" i="158" s="1"/>
  <c r="V8" i="158"/>
  <c r="X8" i="158" s="1"/>
  <c r="Y8" i="158" s="1"/>
  <c r="W8" i="158"/>
  <c r="V9" i="158"/>
  <c r="W9" i="158" s="1"/>
  <c r="V10" i="158"/>
  <c r="W10" i="158" s="1"/>
  <c r="V11" i="158"/>
  <c r="W11" i="158" s="1"/>
  <c r="V12" i="158"/>
  <c r="W12" i="158" s="1"/>
  <c r="V13" i="158"/>
  <c r="W13" i="158" s="1"/>
  <c r="V14" i="158"/>
  <c r="W14" i="158" s="1"/>
  <c r="V15" i="158"/>
  <c r="W15" i="158" s="1"/>
  <c r="V16" i="158"/>
  <c r="W16" i="158" s="1"/>
  <c r="V17" i="158"/>
  <c r="W17" i="158" s="1"/>
  <c r="V18" i="158"/>
  <c r="W18" i="158" s="1"/>
  <c r="V19" i="158"/>
  <c r="W19" i="158" s="1"/>
  <c r="V20" i="158"/>
  <c r="W20" i="158" s="1"/>
  <c r="V21" i="158"/>
  <c r="W21" i="158" s="1"/>
  <c r="V22" i="158"/>
  <c r="W22" i="158" s="1"/>
  <c r="V23" i="158"/>
  <c r="W23" i="158" s="1"/>
  <c r="V24" i="158"/>
  <c r="W24" i="158" s="1"/>
  <c r="V25" i="158"/>
  <c r="W25" i="158" s="1"/>
  <c r="V26" i="158"/>
  <c r="W26" i="158" s="1"/>
  <c r="V27" i="158"/>
  <c r="W27" i="158" s="1"/>
  <c r="V28" i="158"/>
  <c r="W28" i="158" s="1"/>
  <c r="V29" i="158"/>
  <c r="X29" i="158" s="1"/>
  <c r="Y29" i="158" s="1"/>
  <c r="V30" i="158"/>
  <c r="W30" i="158" s="1"/>
  <c r="V31" i="158"/>
  <c r="W31" i="158" s="1"/>
  <c r="V32" i="158"/>
  <c r="W32" i="158" s="1"/>
  <c r="V33" i="158"/>
  <c r="W33" i="158" s="1"/>
  <c r="V34" i="158"/>
  <c r="W34" i="158" s="1"/>
  <c r="V35" i="158"/>
  <c r="W35" i="158" s="1"/>
  <c r="V36" i="158"/>
  <c r="W36" i="158" s="1"/>
  <c r="V37" i="158"/>
  <c r="W37" i="158" s="1"/>
  <c r="V38" i="158"/>
  <c r="W38" i="158" s="1"/>
  <c r="V39" i="158"/>
  <c r="W39" i="158" s="1"/>
  <c r="V40" i="158"/>
  <c r="W40" i="158" s="1"/>
  <c r="V41" i="158"/>
  <c r="X41" i="158" s="1"/>
  <c r="Y41" i="158" s="1"/>
  <c r="V42" i="158"/>
  <c r="W42" i="158" s="1"/>
  <c r="V43" i="158"/>
  <c r="W43" i="158" s="1"/>
  <c r="V44" i="158"/>
  <c r="W44" i="158" s="1"/>
  <c r="V45" i="158"/>
  <c r="W45" i="158" s="1"/>
  <c r="V46" i="158"/>
  <c r="W46" i="158" s="1"/>
  <c r="X46" i="158"/>
  <c r="Y46" i="158" s="1"/>
  <c r="V47" i="158"/>
  <c r="X47" i="158" s="1"/>
  <c r="Y47" i="158" s="1"/>
  <c r="V48" i="158"/>
  <c r="W48" i="158" s="1"/>
  <c r="V49" i="158"/>
  <c r="W49" i="158" s="1"/>
  <c r="V50" i="158"/>
  <c r="W50" i="158" s="1"/>
  <c r="V51" i="158"/>
  <c r="W51" i="158" s="1"/>
  <c r="V52" i="158"/>
  <c r="W52" i="158" s="1"/>
  <c r="V53" i="158"/>
  <c r="W53" i="158" s="1"/>
  <c r="X53" i="158"/>
  <c r="Y53" i="158" s="1"/>
  <c r="V54" i="158"/>
  <c r="W54" i="158" s="1"/>
  <c r="V55" i="158"/>
  <c r="W55" i="158" s="1"/>
  <c r="V56" i="158"/>
  <c r="X56" i="158" s="1"/>
  <c r="Y56" i="158" s="1"/>
  <c r="V57" i="158"/>
  <c r="W57" i="158" s="1"/>
  <c r="V58" i="158"/>
  <c r="W58" i="158" s="1"/>
  <c r="V59" i="158"/>
  <c r="W59" i="158" s="1"/>
  <c r="V60" i="158"/>
  <c r="W60" i="158" s="1"/>
  <c r="V61" i="158"/>
  <c r="W61" i="158" s="1"/>
  <c r="V62" i="158"/>
  <c r="W62" i="158" s="1"/>
  <c r="V63" i="158"/>
  <c r="W63" i="158" s="1"/>
  <c r="V64" i="158"/>
  <c r="W64" i="158" s="1"/>
  <c r="V65" i="158"/>
  <c r="W65" i="158" s="1"/>
  <c r="V66" i="158"/>
  <c r="W66" i="158" s="1"/>
  <c r="V67" i="158"/>
  <c r="W67" i="158" s="1"/>
  <c r="V68" i="158"/>
  <c r="W68" i="158" s="1"/>
  <c r="V69" i="158"/>
  <c r="W69" i="158" s="1"/>
  <c r="V70" i="158"/>
  <c r="W70" i="158" s="1"/>
  <c r="V71" i="158"/>
  <c r="W71" i="158" s="1"/>
  <c r="V72" i="158"/>
  <c r="W72" i="158" s="1"/>
  <c r="V73" i="158"/>
  <c r="W73" i="158" s="1"/>
  <c r="V74" i="158"/>
  <c r="W74" i="158" s="1"/>
  <c r="X74" i="158"/>
  <c r="Y74" i="158" s="1"/>
  <c r="V75" i="158"/>
  <c r="W75" i="158" s="1"/>
  <c r="V76" i="158"/>
  <c r="W76" i="158" s="1"/>
  <c r="V77" i="158"/>
  <c r="X77" i="158" s="1"/>
  <c r="Y77" i="158" s="1"/>
  <c r="V78" i="158"/>
  <c r="W78" i="158" s="1"/>
  <c r="V79" i="158"/>
  <c r="W79" i="158" s="1"/>
  <c r="V80" i="158"/>
  <c r="W80" i="158" s="1"/>
  <c r="V81" i="158"/>
  <c r="W81" i="158" s="1"/>
  <c r="V82" i="158"/>
  <c r="W82" i="158" s="1"/>
  <c r="V83" i="158"/>
  <c r="W83" i="158" s="1"/>
  <c r="V84" i="158"/>
  <c r="W84" i="158" s="1"/>
  <c r="V85" i="158"/>
  <c r="W85" i="158" s="1"/>
  <c r="V86" i="158"/>
  <c r="W86" i="158" s="1"/>
  <c r="V87" i="158"/>
  <c r="W87" i="158" s="1"/>
  <c r="V88" i="158"/>
  <c r="W88" i="158" s="1"/>
  <c r="X88" i="158"/>
  <c r="Y88" i="158" s="1"/>
  <c r="V89" i="158"/>
  <c r="X89" i="158" s="1"/>
  <c r="Y89" i="158" s="1"/>
  <c r="V90" i="158"/>
  <c r="W90" i="158" s="1"/>
  <c r="V91" i="158"/>
  <c r="W91" i="158" s="1"/>
  <c r="V92" i="158"/>
  <c r="W92" i="158" s="1"/>
  <c r="V93" i="158"/>
  <c r="W93" i="158" s="1"/>
  <c r="V94" i="158"/>
  <c r="W94" i="158" s="1"/>
  <c r="X94" i="158"/>
  <c r="Y94" i="158" s="1"/>
  <c r="V95" i="158"/>
  <c r="W95" i="158" s="1"/>
  <c r="V96" i="158"/>
  <c r="W96" i="158" s="1"/>
  <c r="V97" i="158"/>
  <c r="W97" i="158" s="1"/>
  <c r="V98" i="158"/>
  <c r="W98" i="158" s="1"/>
  <c r="V99" i="158"/>
  <c r="W99" i="158" s="1"/>
  <c r="V100" i="158"/>
  <c r="W100" i="158" s="1"/>
  <c r="V101" i="158"/>
  <c r="W101" i="158" s="1"/>
  <c r="X101" i="158"/>
  <c r="Y101" i="158" s="1"/>
  <c r="V102" i="158"/>
  <c r="W102" i="158" s="1"/>
  <c r="V103" i="158"/>
  <c r="W103" i="158" s="1"/>
  <c r="V104" i="158"/>
  <c r="W104" i="158" s="1"/>
  <c r="V105" i="158"/>
  <c r="W105" i="158" s="1"/>
  <c r="V106" i="158"/>
  <c r="W106" i="158" s="1"/>
  <c r="V107" i="158"/>
  <c r="W107" i="158" s="1"/>
  <c r="V108" i="158"/>
  <c r="W108" i="158" s="1"/>
  <c r="V109" i="158"/>
  <c r="W109" i="158" s="1"/>
  <c r="V110" i="158"/>
  <c r="W110" i="158" s="1"/>
  <c r="V111" i="158"/>
  <c r="W111" i="158" s="1"/>
  <c r="V112" i="158"/>
  <c r="W112" i="158" s="1"/>
  <c r="V113" i="158"/>
  <c r="W113" i="158" s="1"/>
  <c r="V114" i="158"/>
  <c r="W114" i="158" s="1"/>
  <c r="V115" i="158"/>
  <c r="W115" i="158" s="1"/>
  <c r="V5" i="156"/>
  <c r="X5" i="156" s="1"/>
  <c r="V6" i="154"/>
  <c r="X6" i="154" s="1"/>
  <c r="Y6" i="154" s="1"/>
  <c r="W6" i="154"/>
  <c r="V7" i="154"/>
  <c r="X7" i="154" s="1"/>
  <c r="Y7" i="154" s="1"/>
  <c r="V8" i="154"/>
  <c r="W8" i="154" s="1"/>
  <c r="V9" i="154"/>
  <c r="X9" i="154" s="1"/>
  <c r="Y9" i="154" s="1"/>
  <c r="V10" i="154"/>
  <c r="X10" i="154" s="1"/>
  <c r="Y10" i="154" s="1"/>
  <c r="V11" i="154"/>
  <c r="W11" i="154" s="1"/>
  <c r="V12" i="154"/>
  <c r="X12" i="154" s="1"/>
  <c r="Y12" i="154" s="1"/>
  <c r="V13" i="154"/>
  <c r="X13" i="154" s="1"/>
  <c r="Y13" i="154" s="1"/>
  <c r="W13" i="154"/>
  <c r="V14" i="154"/>
  <c r="W14" i="154" s="1"/>
  <c r="V15" i="154"/>
  <c r="X15" i="154" s="1"/>
  <c r="Y15" i="154" s="1"/>
  <c r="V16" i="154"/>
  <c r="X16" i="154" s="1"/>
  <c r="Y16" i="154" s="1"/>
  <c r="V17" i="154"/>
  <c r="W17" i="154" s="1"/>
  <c r="V18" i="154"/>
  <c r="X18" i="154" s="1"/>
  <c r="Y18" i="154" s="1"/>
  <c r="W18" i="154"/>
  <c r="V19" i="154"/>
  <c r="X19" i="154" s="1"/>
  <c r="Y19" i="154" s="1"/>
  <c r="V20" i="154"/>
  <c r="W20" i="154" s="1"/>
  <c r="V21" i="154"/>
  <c r="X21" i="154" s="1"/>
  <c r="Y21" i="154" s="1"/>
  <c r="V22" i="154"/>
  <c r="X22" i="154" s="1"/>
  <c r="Y22" i="154" s="1"/>
  <c r="V23" i="154"/>
  <c r="W23" i="154" s="1"/>
  <c r="V24" i="154"/>
  <c r="X24" i="154" s="1"/>
  <c r="Y24" i="154" s="1"/>
  <c r="W24" i="154"/>
  <c r="V25" i="154"/>
  <c r="X25" i="154" s="1"/>
  <c r="Y25" i="154" s="1"/>
  <c r="W25" i="154"/>
  <c r="V26" i="154"/>
  <c r="W26" i="154" s="1"/>
  <c r="V27" i="154"/>
  <c r="X27" i="154" s="1"/>
  <c r="Y27" i="154" s="1"/>
  <c r="W27" i="154"/>
  <c r="V28" i="154"/>
  <c r="X28" i="154" s="1"/>
  <c r="Y28" i="154" s="1"/>
  <c r="V29" i="154"/>
  <c r="W29" i="154" s="1"/>
  <c r="V30" i="154"/>
  <c r="X30" i="154" s="1"/>
  <c r="Y30" i="154" s="1"/>
  <c r="W30" i="154"/>
  <c r="V31" i="154"/>
  <c r="X31" i="154" s="1"/>
  <c r="Y31" i="154" s="1"/>
  <c r="V32" i="154"/>
  <c r="W32" i="154" s="1"/>
  <c r="V33" i="154"/>
  <c r="X33" i="154" s="1"/>
  <c r="Y33" i="154" s="1"/>
  <c r="V34" i="154"/>
  <c r="X34" i="154" s="1"/>
  <c r="Y34" i="154" s="1"/>
  <c r="V35" i="154"/>
  <c r="W35" i="154" s="1"/>
  <c r="V36" i="154"/>
  <c r="X36" i="154" s="1"/>
  <c r="Y36" i="154" s="1"/>
  <c r="V37" i="154"/>
  <c r="X37" i="154" s="1"/>
  <c r="Y37" i="154" s="1"/>
  <c r="W37" i="154"/>
  <c r="V38" i="154"/>
  <c r="W38" i="154" s="1"/>
  <c r="V39" i="154"/>
  <c r="X39" i="154" s="1"/>
  <c r="Y39" i="154" s="1"/>
  <c r="V40" i="154"/>
  <c r="X40" i="154" s="1"/>
  <c r="Y40" i="154" s="1"/>
  <c r="W40" i="154"/>
  <c r="V41" i="154"/>
  <c r="W41" i="154" s="1"/>
  <c r="V42" i="154"/>
  <c r="X42" i="154" s="1"/>
  <c r="Y42" i="154" s="1"/>
  <c r="V43" i="154"/>
  <c r="X43" i="154" s="1"/>
  <c r="Y43" i="154" s="1"/>
  <c r="W43" i="154"/>
  <c r="V44" i="154"/>
  <c r="W44" i="154" s="1"/>
  <c r="V45" i="154"/>
  <c r="X45" i="154" s="1"/>
  <c r="Y45" i="154" s="1"/>
  <c r="V46" i="154"/>
  <c r="X46" i="154" s="1"/>
  <c r="Y46" i="154" s="1"/>
  <c r="W46" i="154"/>
  <c r="V47" i="154"/>
  <c r="W47" i="154" s="1"/>
  <c r="V48" i="154"/>
  <c r="X48" i="154" s="1"/>
  <c r="Y48" i="154" s="1"/>
  <c r="W48" i="154"/>
  <c r="V49" i="154"/>
  <c r="X49" i="154" s="1"/>
  <c r="Y49" i="154" s="1"/>
  <c r="W49" i="154"/>
  <c r="V50" i="154"/>
  <c r="W50" i="154" s="1"/>
  <c r="V51" i="154"/>
  <c r="X51" i="154" s="1"/>
  <c r="Y51" i="154" s="1"/>
  <c r="V52" i="154"/>
  <c r="X52" i="154" s="1"/>
  <c r="Y52" i="154" s="1"/>
  <c r="V53" i="154"/>
  <c r="W53" i="154" s="1"/>
  <c r="V54" i="154"/>
  <c r="X54" i="154" s="1"/>
  <c r="Y54" i="154" s="1"/>
  <c r="W54" i="154"/>
  <c r="V55" i="154"/>
  <c r="X55" i="154" s="1"/>
  <c r="Y55" i="154" s="1"/>
  <c r="V56" i="154"/>
  <c r="W56" i="154" s="1"/>
  <c r="V57" i="154"/>
  <c r="X57" i="154" s="1"/>
  <c r="Y57" i="154" s="1"/>
  <c r="V58" i="154"/>
  <c r="X58" i="154" s="1"/>
  <c r="Y58" i="154" s="1"/>
  <c r="V59" i="154"/>
  <c r="W59" i="154" s="1"/>
  <c r="V60" i="154"/>
  <c r="X60" i="154" s="1"/>
  <c r="Y60" i="154" s="1"/>
  <c r="V61" i="154"/>
  <c r="X61" i="154" s="1"/>
  <c r="Y61" i="154" s="1"/>
  <c r="W61" i="154"/>
  <c r="V62" i="154"/>
  <c r="W62" i="154" s="1"/>
  <c r="V63" i="154"/>
  <c r="X63" i="154" s="1"/>
  <c r="Y63" i="154" s="1"/>
  <c r="V64" i="154"/>
  <c r="X64" i="154" s="1"/>
  <c r="Y64" i="154" s="1"/>
  <c r="V65" i="154"/>
  <c r="W65" i="154" s="1"/>
  <c r="V66" i="154"/>
  <c r="X66" i="154" s="1"/>
  <c r="Y66" i="154" s="1"/>
  <c r="V67" i="154"/>
  <c r="X67" i="154" s="1"/>
  <c r="Y67" i="154" s="1"/>
  <c r="V68" i="154"/>
  <c r="W68" i="154" s="1"/>
  <c r="V69" i="154"/>
  <c r="X69" i="154" s="1"/>
  <c r="Y69" i="154" s="1"/>
  <c r="V70" i="154"/>
  <c r="X70" i="154" s="1"/>
  <c r="Y70" i="154" s="1"/>
  <c r="V71" i="154"/>
  <c r="W71" i="154" s="1"/>
  <c r="V72" i="154"/>
  <c r="X72" i="154" s="1"/>
  <c r="Y72" i="154" s="1"/>
  <c r="W72" i="154"/>
  <c r="V73" i="154"/>
  <c r="X73" i="154" s="1"/>
  <c r="Y73" i="154" s="1"/>
  <c r="W73" i="154"/>
  <c r="V74" i="154"/>
  <c r="W74" i="154" s="1"/>
  <c r="V75" i="154"/>
  <c r="X75" i="154" s="1"/>
  <c r="Y75" i="154" s="1"/>
  <c r="W75" i="154"/>
  <c r="V76" i="154"/>
  <c r="X76" i="154" s="1"/>
  <c r="Y76" i="154" s="1"/>
  <c r="V77" i="154"/>
  <c r="W77" i="154" s="1"/>
  <c r="V78" i="154"/>
  <c r="X78" i="154" s="1"/>
  <c r="Y78" i="154" s="1"/>
  <c r="V79" i="154"/>
  <c r="X79" i="154" s="1"/>
  <c r="Y79" i="154" s="1"/>
  <c r="V80" i="154"/>
  <c r="W80" i="154" s="1"/>
  <c r="V81" i="154"/>
  <c r="X81" i="154" s="1"/>
  <c r="Y81" i="154" s="1"/>
  <c r="V82" i="154"/>
  <c r="X82" i="154" s="1"/>
  <c r="Y82" i="154" s="1"/>
  <c r="V83" i="154"/>
  <c r="W83" i="154" s="1"/>
  <c r="V84" i="154"/>
  <c r="X84" i="154" s="1"/>
  <c r="Y84" i="154" s="1"/>
  <c r="V85" i="154"/>
  <c r="X85" i="154" s="1"/>
  <c r="Y85" i="154" s="1"/>
  <c r="W85" i="154"/>
  <c r="V86" i="154"/>
  <c r="W86" i="154" s="1"/>
  <c r="V87" i="154"/>
  <c r="X87" i="154" s="1"/>
  <c r="Y87" i="154" s="1"/>
  <c r="V88" i="154"/>
  <c r="X88" i="154" s="1"/>
  <c r="Y88" i="154" s="1"/>
  <c r="V89" i="154"/>
  <c r="W89" i="154" s="1"/>
  <c r="V90" i="154"/>
  <c r="X90" i="154" s="1"/>
  <c r="Y90" i="154" s="1"/>
  <c r="V91" i="154"/>
  <c r="X91" i="154" s="1"/>
  <c r="Y91" i="154" s="1"/>
  <c r="W91" i="154"/>
  <c r="V92" i="154"/>
  <c r="W92" i="154" s="1"/>
  <c r="V93" i="154"/>
  <c r="X93" i="154" s="1"/>
  <c r="Y93" i="154" s="1"/>
  <c r="V94" i="154"/>
  <c r="X94" i="154" s="1"/>
  <c r="Y94" i="154" s="1"/>
  <c r="W94" i="154"/>
  <c r="V95" i="154"/>
  <c r="W95" i="154" s="1"/>
  <c r="V96" i="154"/>
  <c r="X96" i="154" s="1"/>
  <c r="Y96" i="154" s="1"/>
  <c r="W96" i="154"/>
  <c r="V97" i="154"/>
  <c r="X97" i="154" s="1"/>
  <c r="Y97" i="154" s="1"/>
  <c r="V98" i="154"/>
  <c r="W98" i="154" s="1"/>
  <c r="V99" i="154"/>
  <c r="X99" i="154" s="1"/>
  <c r="Y99" i="154" s="1"/>
  <c r="V100" i="154"/>
  <c r="X100" i="154" s="1"/>
  <c r="Y100" i="154" s="1"/>
  <c r="V101" i="154"/>
  <c r="W101" i="154" s="1"/>
  <c r="V102" i="154"/>
  <c r="X102" i="154" s="1"/>
  <c r="Y102" i="154" s="1"/>
  <c r="V103" i="154"/>
  <c r="X103" i="154" s="1"/>
  <c r="Y103" i="154" s="1"/>
  <c r="V104" i="154"/>
  <c r="W104" i="154" s="1"/>
  <c r="V105" i="154"/>
  <c r="X105" i="154" s="1"/>
  <c r="Y105" i="154" s="1"/>
  <c r="V106" i="154"/>
  <c r="X106" i="154" s="1"/>
  <c r="Y106" i="154" s="1"/>
  <c r="V107" i="154"/>
  <c r="W107" i="154" s="1"/>
  <c r="V108" i="154"/>
  <c r="X108" i="154" s="1"/>
  <c r="Y108" i="154" s="1"/>
  <c r="V109" i="154"/>
  <c r="X109" i="154" s="1"/>
  <c r="Y109" i="154" s="1"/>
  <c r="V110" i="154"/>
  <c r="W110" i="154" s="1"/>
  <c r="V111" i="154"/>
  <c r="X111" i="154" s="1"/>
  <c r="Y111" i="154" s="1"/>
  <c r="V112" i="154"/>
  <c r="X112" i="154" s="1"/>
  <c r="Y112" i="154" s="1"/>
  <c r="V113" i="154"/>
  <c r="W113" i="154" s="1"/>
  <c r="V114" i="154"/>
  <c r="X114" i="154" s="1"/>
  <c r="Y114" i="154" s="1"/>
  <c r="W114" i="154"/>
  <c r="V115" i="154"/>
  <c r="X115" i="154" s="1"/>
  <c r="Y115" i="154" s="1"/>
  <c r="V116" i="154"/>
  <c r="W116" i="154" s="1"/>
  <c r="V117" i="154"/>
  <c r="X117" i="154" s="1"/>
  <c r="Y117" i="154" s="1"/>
  <c r="W117" i="154"/>
  <c r="V118" i="154"/>
  <c r="X118" i="154" s="1"/>
  <c r="Y118" i="154" s="1"/>
  <c r="V119" i="154"/>
  <c r="W119" i="154" s="1"/>
  <c r="V120" i="154"/>
  <c r="X120" i="154" s="1"/>
  <c r="Y120" i="154" s="1"/>
  <c r="W120" i="154"/>
  <c r="V121" i="154"/>
  <c r="X121" i="154" s="1"/>
  <c r="Y121" i="154" s="1"/>
  <c r="W121" i="154"/>
  <c r="V122" i="154"/>
  <c r="W122" i="154" s="1"/>
  <c r="V123" i="154"/>
  <c r="X123" i="154" s="1"/>
  <c r="Y123" i="154" s="1"/>
  <c r="W123" i="154"/>
  <c r="V124" i="154"/>
  <c r="X124" i="154" s="1"/>
  <c r="Y124" i="154" s="1"/>
  <c r="V125" i="154"/>
  <c r="W125" i="154" s="1"/>
  <c r="V126" i="154"/>
  <c r="X126" i="154" s="1"/>
  <c r="Y126" i="154" s="1"/>
  <c r="V127" i="154"/>
  <c r="X127" i="154" s="1"/>
  <c r="Y127" i="154" s="1"/>
  <c r="V128" i="154"/>
  <c r="W128" i="154" s="1"/>
  <c r="V5" i="154"/>
  <c r="X5" i="154" s="1"/>
  <c r="Y5" i="154" s="1"/>
  <c r="V6" i="152"/>
  <c r="W6" i="152" s="1"/>
  <c r="V7" i="152"/>
  <c r="W7" i="152" s="1"/>
  <c r="V8" i="152"/>
  <c r="W8" i="152" s="1"/>
  <c r="V9" i="152"/>
  <c r="W9" i="152" s="1"/>
  <c r="V10" i="152"/>
  <c r="W10" i="152" s="1"/>
  <c r="V11" i="152"/>
  <c r="W11" i="152"/>
  <c r="X11" i="152"/>
  <c r="Y11" i="152" s="1"/>
  <c r="V12" i="152"/>
  <c r="W12" i="152" s="1"/>
  <c r="V13" i="152"/>
  <c r="W13" i="152" s="1"/>
  <c r="V14" i="152"/>
  <c r="X14" i="152" s="1"/>
  <c r="Y14" i="152" s="1"/>
  <c r="W14" i="152"/>
  <c r="V15" i="152"/>
  <c r="W15" i="152"/>
  <c r="X15" i="152"/>
  <c r="Y15" i="152" s="1"/>
  <c r="V16" i="152"/>
  <c r="W16" i="152" s="1"/>
  <c r="V17" i="152"/>
  <c r="W17" i="152"/>
  <c r="X17" i="152"/>
  <c r="Y17" i="152" s="1"/>
  <c r="V18" i="152"/>
  <c r="W18" i="152" s="1"/>
  <c r="V19" i="152"/>
  <c r="W19" i="152" s="1"/>
  <c r="V20" i="152"/>
  <c r="X20" i="152" s="1"/>
  <c r="Y20" i="152" s="1"/>
  <c r="W20" i="152"/>
  <c r="V21" i="152"/>
  <c r="W21" i="152"/>
  <c r="X21" i="152"/>
  <c r="Y21" i="152" s="1"/>
  <c r="V22" i="152"/>
  <c r="W22" i="152" s="1"/>
  <c r="X22" i="152"/>
  <c r="Y22" i="152" s="1"/>
  <c r="V23" i="152"/>
  <c r="W23" i="152" s="1"/>
  <c r="V24" i="152"/>
  <c r="W24" i="152" s="1"/>
  <c r="V25" i="152"/>
  <c r="W25" i="152" s="1"/>
  <c r="X25" i="152"/>
  <c r="Y25" i="152" s="1"/>
  <c r="V26" i="152"/>
  <c r="X26" i="152" s="1"/>
  <c r="Y26" i="152" s="1"/>
  <c r="W26" i="152"/>
  <c r="V27" i="152"/>
  <c r="W27" i="152" s="1"/>
  <c r="V28" i="152"/>
  <c r="W28" i="152" s="1"/>
  <c r="X28" i="152"/>
  <c r="Y28" i="152" s="1"/>
  <c r="V29" i="152"/>
  <c r="W29" i="152" s="1"/>
  <c r="X29" i="152"/>
  <c r="Y29" i="152" s="1"/>
  <c r="V30" i="152"/>
  <c r="W30" i="152" s="1"/>
  <c r="V31" i="152"/>
  <c r="W31" i="152" s="1"/>
  <c r="V32" i="152"/>
  <c r="X32" i="152" s="1"/>
  <c r="Y32" i="152" s="1"/>
  <c r="W32" i="152"/>
  <c r="V33" i="152"/>
  <c r="W33" i="152" s="1"/>
  <c r="V34" i="152"/>
  <c r="W34" i="152" s="1"/>
  <c r="V35" i="152"/>
  <c r="W35" i="152" s="1"/>
  <c r="V36" i="152"/>
  <c r="W36" i="152" s="1"/>
  <c r="X36" i="152"/>
  <c r="Y36" i="152" s="1"/>
  <c r="V37" i="152"/>
  <c r="W37" i="152" s="1"/>
  <c r="V38" i="152"/>
  <c r="X38" i="152" s="1"/>
  <c r="Y38" i="152" s="1"/>
  <c r="V39" i="152"/>
  <c r="W39" i="152" s="1"/>
  <c r="V40" i="152"/>
  <c r="W40" i="152" s="1"/>
  <c r="V41" i="152"/>
  <c r="W41" i="152" s="1"/>
  <c r="X41" i="152"/>
  <c r="Y41" i="152" s="1"/>
  <c r="V42" i="152"/>
  <c r="W42" i="152" s="1"/>
  <c r="X42" i="152"/>
  <c r="Y42" i="152" s="1"/>
  <c r="V43" i="152"/>
  <c r="W43" i="152" s="1"/>
  <c r="X43" i="152"/>
  <c r="Y43" i="152" s="1"/>
  <c r="V44" i="152"/>
  <c r="W44" i="152" s="1"/>
  <c r="V45" i="152"/>
  <c r="W45" i="152" s="1"/>
  <c r="V46" i="152"/>
  <c r="W46" i="152" s="1"/>
  <c r="V47" i="152"/>
  <c r="W47" i="152"/>
  <c r="X47" i="152"/>
  <c r="Y47" i="152" s="1"/>
  <c r="V48" i="152"/>
  <c r="W48" i="152" s="1"/>
  <c r="X48" i="152"/>
  <c r="Y48" i="152" s="1"/>
  <c r="V49" i="152"/>
  <c r="W49" i="152" s="1"/>
  <c r="V50" i="152"/>
  <c r="X50" i="152" s="1"/>
  <c r="Y50" i="152" s="1"/>
  <c r="W50" i="152"/>
  <c r="V51" i="152"/>
  <c r="W51" i="152" s="1"/>
  <c r="X51" i="152"/>
  <c r="Y51" i="152" s="1"/>
  <c r="V52" i="152"/>
  <c r="W52" i="152" s="1"/>
  <c r="V53" i="152"/>
  <c r="W53" i="152" s="1"/>
  <c r="V54" i="152"/>
  <c r="W54" i="152" s="1"/>
  <c r="V55" i="152"/>
  <c r="W55" i="152" s="1"/>
  <c r="V56" i="152"/>
  <c r="W56" i="152"/>
  <c r="X56" i="152"/>
  <c r="Y56" i="152" s="1"/>
  <c r="V57" i="152"/>
  <c r="W57" i="152" s="1"/>
  <c r="V58" i="152"/>
  <c r="W58" i="152" s="1"/>
  <c r="V59" i="152"/>
  <c r="W59" i="152" s="1"/>
  <c r="V60" i="152"/>
  <c r="W60" i="152" s="1"/>
  <c r="V61" i="152"/>
  <c r="W61" i="152" s="1"/>
  <c r="V62" i="152"/>
  <c r="W62" i="152" s="1"/>
  <c r="X62" i="152"/>
  <c r="Y62" i="152" s="1"/>
  <c r="V63" i="152"/>
  <c r="W63" i="152" s="1"/>
  <c r="V64" i="152"/>
  <c r="W64" i="152" s="1"/>
  <c r="V65" i="152"/>
  <c r="W65" i="152" s="1"/>
  <c r="X65" i="152"/>
  <c r="Y65" i="152" s="1"/>
  <c r="V66" i="152"/>
  <c r="W66" i="152" s="1"/>
  <c r="V67" i="152"/>
  <c r="W67" i="152" s="1"/>
  <c r="V68" i="152"/>
  <c r="W68" i="152" s="1"/>
  <c r="V69" i="152"/>
  <c r="W69" i="152" s="1"/>
  <c r="V70" i="152"/>
  <c r="W70" i="152" s="1"/>
  <c r="V71" i="152"/>
  <c r="W71" i="152" s="1"/>
  <c r="V72" i="152"/>
  <c r="W72" i="152" s="1"/>
  <c r="V73" i="152"/>
  <c r="W73" i="152" s="1"/>
  <c r="V74" i="152"/>
  <c r="W74" i="152" s="1"/>
  <c r="V75" i="152"/>
  <c r="W75" i="152" s="1"/>
  <c r="V76" i="152"/>
  <c r="W76" i="152" s="1"/>
  <c r="V77" i="152"/>
  <c r="W77" i="152" s="1"/>
  <c r="V78" i="152"/>
  <c r="W78" i="152" s="1"/>
  <c r="V79" i="152"/>
  <c r="W79" i="152" s="1"/>
  <c r="V80" i="152"/>
  <c r="X80" i="152" s="1"/>
  <c r="Y80" i="152" s="1"/>
  <c r="V81" i="152"/>
  <c r="W81" i="152" s="1"/>
  <c r="X81" i="152"/>
  <c r="Y81" i="152" s="1"/>
  <c r="V82" i="152"/>
  <c r="W82" i="152" s="1"/>
  <c r="V83" i="152"/>
  <c r="W83" i="152" s="1"/>
  <c r="V84" i="152"/>
  <c r="W84" i="152" s="1"/>
  <c r="V85" i="152"/>
  <c r="W85" i="152" s="1"/>
  <c r="V86" i="152"/>
  <c r="X86" i="152" s="1"/>
  <c r="Y86" i="152" s="1"/>
  <c r="W86" i="152"/>
  <c r="V87" i="152"/>
  <c r="W87" i="152" s="1"/>
  <c r="V88" i="152"/>
  <c r="W88" i="152" s="1"/>
  <c r="V89" i="152"/>
  <c r="W89" i="152" s="1"/>
  <c r="V90" i="152"/>
  <c r="W90" i="152" s="1"/>
  <c r="X90" i="152"/>
  <c r="Y90" i="152" s="1"/>
  <c r="V91" i="152"/>
  <c r="W91" i="152" s="1"/>
  <c r="V92" i="152"/>
  <c r="W92" i="152" s="1"/>
  <c r="V93" i="152"/>
  <c r="W93" i="152" s="1"/>
  <c r="V94" i="152"/>
  <c r="W94" i="152" s="1"/>
  <c r="V95" i="152"/>
  <c r="W95" i="152"/>
  <c r="X95" i="152"/>
  <c r="Y95" i="152" s="1"/>
  <c r="V96" i="152"/>
  <c r="W96" i="152" s="1"/>
  <c r="V97" i="152"/>
  <c r="W97" i="152" s="1"/>
  <c r="V98" i="152"/>
  <c r="X98" i="152" s="1"/>
  <c r="Y98" i="152" s="1"/>
  <c r="V99" i="152"/>
  <c r="W99" i="152" s="1"/>
  <c r="X99" i="152"/>
  <c r="Y99" i="152" s="1"/>
  <c r="V100" i="152"/>
  <c r="W100" i="152" s="1"/>
  <c r="V101" i="152"/>
  <c r="W101" i="152" s="1"/>
  <c r="V102" i="152"/>
  <c r="W102" i="152" s="1"/>
  <c r="V103" i="152"/>
  <c r="W103" i="152" s="1"/>
  <c r="V104" i="152"/>
  <c r="W104" i="152"/>
  <c r="X104" i="152"/>
  <c r="Y104" i="152" s="1"/>
  <c r="V105" i="152"/>
  <c r="W105" i="152" s="1"/>
  <c r="V106" i="152"/>
  <c r="W106" i="152" s="1"/>
  <c r="X106" i="152"/>
  <c r="Y106" i="152" s="1"/>
  <c r="V107" i="152"/>
  <c r="W107" i="152" s="1"/>
  <c r="V108" i="152"/>
  <c r="W108" i="152" s="1"/>
  <c r="V109" i="152"/>
  <c r="W109" i="152" s="1"/>
  <c r="V110" i="152"/>
  <c r="X110" i="152" s="1"/>
  <c r="Y110" i="152" s="1"/>
  <c r="W110" i="152"/>
  <c r="V111" i="152"/>
  <c r="W111" i="152" s="1"/>
  <c r="V112" i="152"/>
  <c r="W112" i="152" s="1"/>
  <c r="V113" i="152"/>
  <c r="W113" i="152" s="1"/>
  <c r="V114" i="152"/>
  <c r="W114" i="152" s="1"/>
  <c r="X114" i="152"/>
  <c r="Y114" i="152" s="1"/>
  <c r="V115" i="152"/>
  <c r="W115" i="152" s="1"/>
  <c r="X115" i="152"/>
  <c r="Y115" i="152" s="1"/>
  <c r="V116" i="152"/>
  <c r="W116" i="152" s="1"/>
  <c r="V117" i="152"/>
  <c r="W117" i="152" s="1"/>
  <c r="V118" i="152"/>
  <c r="W118" i="152" s="1"/>
  <c r="V119" i="152"/>
  <c r="W119" i="152" s="1"/>
  <c r="V120" i="152"/>
  <c r="W120" i="152" s="1"/>
  <c r="X120" i="152"/>
  <c r="Y120" i="152" s="1"/>
  <c r="V121" i="152"/>
  <c r="W121" i="152" s="1"/>
  <c r="X121" i="152"/>
  <c r="Y121" i="152" s="1"/>
  <c r="V122" i="152"/>
  <c r="W122" i="152" s="1"/>
  <c r="V123" i="152"/>
  <c r="W123" i="152" s="1"/>
  <c r="V124" i="152"/>
  <c r="W124" i="152" s="1"/>
  <c r="V125" i="152"/>
  <c r="W125" i="152" s="1"/>
  <c r="V126" i="152"/>
  <c r="W126" i="152" s="1"/>
  <c r="V127" i="152"/>
  <c r="W127" i="152" s="1"/>
  <c r="V128" i="152"/>
  <c r="X128" i="152" s="1"/>
  <c r="Y128" i="152" s="1"/>
  <c r="V129" i="152"/>
  <c r="W129" i="152" s="1"/>
  <c r="X129" i="152"/>
  <c r="Y129" i="152" s="1"/>
  <c r="V130" i="152"/>
  <c r="W130" i="152" s="1"/>
  <c r="V131" i="152"/>
  <c r="W131" i="152" s="1"/>
  <c r="X131" i="152"/>
  <c r="Y131" i="152" s="1"/>
  <c r="V132" i="152"/>
  <c r="W132" i="152" s="1"/>
  <c r="V133" i="152"/>
  <c r="W133" i="152" s="1"/>
  <c r="V134" i="152"/>
  <c r="X134" i="152" s="1"/>
  <c r="Y134" i="152" s="1"/>
  <c r="W134" i="152"/>
  <c r="V135" i="152"/>
  <c r="W135" i="152" s="1"/>
  <c r="V136" i="152"/>
  <c r="W136" i="152" s="1"/>
  <c r="X136" i="152"/>
  <c r="Y136" i="152" s="1"/>
  <c r="V137" i="152"/>
  <c r="W137" i="152" s="1"/>
  <c r="V138" i="152"/>
  <c r="W138" i="152" s="1"/>
  <c r="X138" i="152"/>
  <c r="Y138" i="152" s="1"/>
  <c r="V139" i="152"/>
  <c r="W139" i="152" s="1"/>
  <c r="X139" i="152"/>
  <c r="Y139" i="152" s="1"/>
  <c r="V140" i="152"/>
  <c r="W140" i="152" s="1"/>
  <c r="V141" i="152"/>
  <c r="W141" i="152" s="1"/>
  <c r="V142" i="152"/>
  <c r="W142" i="152" s="1"/>
  <c r="V143" i="152"/>
  <c r="W143" i="152" s="1"/>
  <c r="X143" i="152"/>
  <c r="Y143" i="152" s="1"/>
  <c r="V144" i="152"/>
  <c r="W144" i="152" s="1"/>
  <c r="X144" i="152"/>
  <c r="Y144" i="152" s="1"/>
  <c r="V145" i="152"/>
  <c r="W145" i="152" s="1"/>
  <c r="X145" i="152"/>
  <c r="Y145" i="152" s="1"/>
  <c r="V146" i="152"/>
  <c r="X146" i="152" s="1"/>
  <c r="Y146" i="152" s="1"/>
  <c r="V147" i="152"/>
  <c r="W147" i="152" s="1"/>
  <c r="X147" i="152"/>
  <c r="Y147" i="152" s="1"/>
  <c r="V148" i="152"/>
  <c r="W148" i="152" s="1"/>
  <c r="V149" i="152"/>
  <c r="W149" i="152" s="1"/>
  <c r="V150" i="152"/>
  <c r="W150" i="152" s="1"/>
  <c r="V151" i="152"/>
  <c r="W151" i="152" s="1"/>
  <c r="V152" i="152"/>
  <c r="W152" i="152" s="1"/>
  <c r="X152" i="152"/>
  <c r="Y152" i="152" s="1"/>
  <c r="V153" i="152"/>
  <c r="W153" i="152" s="1"/>
  <c r="V154" i="152"/>
  <c r="W154" i="152" s="1"/>
  <c r="V155" i="152"/>
  <c r="W155" i="152" s="1"/>
  <c r="V156" i="152"/>
  <c r="W156" i="152" s="1"/>
  <c r="V157" i="152"/>
  <c r="W157" i="152" s="1"/>
  <c r="V158" i="152"/>
  <c r="W158" i="152"/>
  <c r="X158" i="152"/>
  <c r="Y158" i="152" s="1"/>
  <c r="V159" i="152"/>
  <c r="W159" i="152" s="1"/>
  <c r="V160" i="152"/>
  <c r="W160" i="152" s="1"/>
  <c r="V161" i="152"/>
  <c r="W161" i="152" s="1"/>
  <c r="V162" i="152"/>
  <c r="W162" i="152" s="1"/>
  <c r="X162" i="152"/>
  <c r="Y162" i="152" s="1"/>
  <c r="V163" i="152"/>
  <c r="W163" i="152" s="1"/>
  <c r="V164" i="152"/>
  <c r="W164" i="152" s="1"/>
  <c r="V165" i="152"/>
  <c r="W165" i="152" s="1"/>
  <c r="V166" i="152"/>
  <c r="W166" i="152" s="1"/>
  <c r="X166" i="152"/>
  <c r="Y166" i="152" s="1"/>
  <c r="V167" i="152"/>
  <c r="X167" i="152" s="1"/>
  <c r="Y167" i="152" s="1"/>
  <c r="W167" i="152"/>
  <c r="V168" i="152"/>
  <c r="W168" i="152" s="1"/>
  <c r="X168" i="152"/>
  <c r="Y168" i="152" s="1"/>
  <c r="V169" i="152"/>
  <c r="W169" i="152" s="1"/>
  <c r="V170" i="152"/>
  <c r="W170" i="152" s="1"/>
  <c r="V171" i="152"/>
  <c r="W171" i="152" s="1"/>
  <c r="V172" i="152"/>
  <c r="W172" i="152" s="1"/>
  <c r="X172" i="152"/>
  <c r="Y172" i="152" s="1"/>
  <c r="V173" i="152"/>
  <c r="W173" i="152" s="1"/>
  <c r="X173" i="152"/>
  <c r="Y173" i="152" s="1"/>
  <c r="V174" i="152"/>
  <c r="W174" i="152" s="1"/>
  <c r="V175" i="152"/>
  <c r="W175" i="152" s="1"/>
  <c r="V176" i="152"/>
  <c r="W176" i="152" s="1"/>
  <c r="V177" i="152"/>
  <c r="W177" i="152" s="1"/>
  <c r="X177" i="152"/>
  <c r="Y177" i="152" s="1"/>
  <c r="V178" i="152"/>
  <c r="W178" i="152" s="1"/>
  <c r="V179" i="152"/>
  <c r="X179" i="152" s="1"/>
  <c r="Y179" i="152" s="1"/>
  <c r="V180" i="152"/>
  <c r="W180" i="152" s="1"/>
  <c r="V5" i="152"/>
  <c r="X5" i="152" s="1"/>
  <c r="X13" i="151" l="1"/>
  <c r="Y13" i="151" s="1"/>
  <c r="X73" i="151"/>
  <c r="Y73" i="151" s="1"/>
  <c r="X100" i="151"/>
  <c r="Y100" i="151" s="1"/>
  <c r="X122" i="151"/>
  <c r="Y122" i="151" s="1"/>
  <c r="X143" i="151"/>
  <c r="Y143" i="151" s="1"/>
  <c r="X134" i="151"/>
  <c r="Y134" i="151" s="1"/>
  <c r="X98" i="151"/>
  <c r="Y98" i="151" s="1"/>
  <c r="X68" i="151"/>
  <c r="Y68" i="151" s="1"/>
  <c r="X139" i="151"/>
  <c r="Y139" i="151" s="1"/>
  <c r="W89" i="151"/>
  <c r="W50" i="151"/>
  <c r="X26" i="151"/>
  <c r="Y26" i="151" s="1"/>
  <c r="X106" i="151"/>
  <c r="Y106" i="151" s="1"/>
  <c r="X175" i="151"/>
  <c r="Y175" i="151" s="1"/>
  <c r="X154" i="151"/>
  <c r="Y154" i="151" s="1"/>
  <c r="X103" i="151"/>
  <c r="Y103" i="151" s="1"/>
  <c r="X91" i="151"/>
  <c r="Y91" i="151" s="1"/>
  <c r="X61" i="151"/>
  <c r="Y61" i="151" s="1"/>
  <c r="X55" i="151"/>
  <c r="Y55" i="151" s="1"/>
  <c r="W147" i="151"/>
  <c r="W129" i="151"/>
  <c r="X67" i="151"/>
  <c r="Y67" i="151" s="1"/>
  <c r="X158" i="151"/>
  <c r="Y158" i="151" s="1"/>
  <c r="X152" i="151"/>
  <c r="Y152" i="151" s="1"/>
  <c r="W83" i="151"/>
  <c r="X76" i="151"/>
  <c r="Y76" i="151" s="1"/>
  <c r="X70" i="151"/>
  <c r="Y70" i="151" s="1"/>
  <c r="W59" i="151"/>
  <c r="X53" i="151"/>
  <c r="Y53" i="151" s="1"/>
  <c r="X47" i="151"/>
  <c r="Y47" i="151" s="1"/>
  <c r="X19" i="151"/>
  <c r="Y19" i="151" s="1"/>
  <c r="X163" i="151"/>
  <c r="Y163" i="151" s="1"/>
  <c r="W144" i="151"/>
  <c r="W132" i="151"/>
  <c r="W120" i="151"/>
  <c r="X38" i="151"/>
  <c r="Y38" i="151" s="1"/>
  <c r="X11" i="151"/>
  <c r="Y11" i="151" s="1"/>
  <c r="X170" i="151"/>
  <c r="Y170" i="151" s="1"/>
  <c r="W138" i="151"/>
  <c r="X127" i="151"/>
  <c r="Y127" i="151" s="1"/>
  <c r="X115" i="151"/>
  <c r="Y115" i="151" s="1"/>
  <c r="X110" i="151"/>
  <c r="Y110" i="151" s="1"/>
  <c r="X104" i="151"/>
  <c r="Y104" i="151" s="1"/>
  <c r="W95" i="151"/>
  <c r="W80" i="151"/>
  <c r="X74" i="151"/>
  <c r="Y74" i="151" s="1"/>
  <c r="W29" i="151"/>
  <c r="W20" i="151"/>
  <c r="W14" i="151"/>
  <c r="W168" i="151"/>
  <c r="X146" i="151"/>
  <c r="Y146" i="151" s="1"/>
  <c r="X136" i="151"/>
  <c r="Y136" i="151" s="1"/>
  <c r="W62" i="151"/>
  <c r="X52" i="151"/>
  <c r="Y52" i="151" s="1"/>
  <c r="X22" i="151"/>
  <c r="Y22" i="151" s="1"/>
  <c r="X7" i="151"/>
  <c r="Y7" i="151" s="1"/>
  <c r="W156" i="151"/>
  <c r="X151" i="151"/>
  <c r="Y151" i="151" s="1"/>
  <c r="X113" i="151"/>
  <c r="Y113" i="151" s="1"/>
  <c r="X88" i="151"/>
  <c r="Y88" i="151" s="1"/>
  <c r="X82" i="151"/>
  <c r="Y82" i="151" s="1"/>
  <c r="X161" i="151"/>
  <c r="Y161" i="151" s="1"/>
  <c r="X145" i="151"/>
  <c r="Y145" i="151" s="1"/>
  <c r="X43" i="151"/>
  <c r="Y43" i="151" s="1"/>
  <c r="X113" i="158"/>
  <c r="Y113" i="158" s="1"/>
  <c r="W77" i="158"/>
  <c r="W56" i="158"/>
  <c r="X38" i="158"/>
  <c r="Y38" i="158" s="1"/>
  <c r="X31" i="158"/>
  <c r="Y31" i="158" s="1"/>
  <c r="W47" i="158"/>
  <c r="W41" i="158"/>
  <c r="W29" i="158"/>
  <c r="X40" i="158"/>
  <c r="Y40" i="158" s="1"/>
  <c r="X65" i="158"/>
  <c r="Y65" i="158" s="1"/>
  <c r="X22" i="158"/>
  <c r="Y22" i="158" s="1"/>
  <c r="X97" i="158"/>
  <c r="Y97" i="158" s="1"/>
  <c r="X82" i="158"/>
  <c r="Y82" i="158" s="1"/>
  <c r="X32" i="158"/>
  <c r="Y32" i="158" s="1"/>
  <c r="X70" i="158"/>
  <c r="Y70" i="158" s="1"/>
  <c r="X26" i="158"/>
  <c r="Y26" i="158" s="1"/>
  <c r="X86" i="158"/>
  <c r="Y86" i="158" s="1"/>
  <c r="X80" i="158"/>
  <c r="Y80" i="158" s="1"/>
  <c r="X104" i="158"/>
  <c r="Y104" i="158" s="1"/>
  <c r="X95" i="158"/>
  <c r="Y95" i="158" s="1"/>
  <c r="X17" i="158"/>
  <c r="Y17" i="158" s="1"/>
  <c r="W89" i="158"/>
  <c r="X79" i="158"/>
  <c r="Y79" i="158" s="1"/>
  <c r="X49" i="158"/>
  <c r="Y49" i="158" s="1"/>
  <c r="X34" i="158"/>
  <c r="Y34" i="158" s="1"/>
  <c r="W84" i="156"/>
  <c r="W60" i="156"/>
  <c r="W96" i="156"/>
  <c r="W72" i="156"/>
  <c r="W48" i="156"/>
  <c r="W12" i="156"/>
  <c r="W88" i="154"/>
  <c r="W69" i="154"/>
  <c r="W21" i="154"/>
  <c r="W5" i="154"/>
  <c r="W67" i="154"/>
  <c r="W42" i="154"/>
  <c r="W115" i="154"/>
  <c r="W109" i="154"/>
  <c r="W102" i="154"/>
  <c r="W90" i="154"/>
  <c r="W66" i="154"/>
  <c r="W179" i="152"/>
  <c r="X151" i="152"/>
  <c r="Y151" i="152" s="1"/>
  <c r="X127" i="152"/>
  <c r="Y127" i="152" s="1"/>
  <c r="X97" i="152"/>
  <c r="Y97" i="152" s="1"/>
  <c r="X88" i="152"/>
  <c r="Y88" i="152" s="1"/>
  <c r="X83" i="152"/>
  <c r="Y83" i="152" s="1"/>
  <c r="X73" i="152"/>
  <c r="Y73" i="152" s="1"/>
  <c r="X67" i="152"/>
  <c r="Y67" i="152" s="1"/>
  <c r="X58" i="152"/>
  <c r="Y58" i="152" s="1"/>
  <c r="X19" i="152"/>
  <c r="Y19" i="152" s="1"/>
  <c r="X163" i="152"/>
  <c r="Y163" i="152" s="1"/>
  <c r="X154" i="152"/>
  <c r="Y154" i="152" s="1"/>
  <c r="X96" i="152"/>
  <c r="Y96" i="152" s="1"/>
  <c r="X91" i="152"/>
  <c r="Y91" i="152" s="1"/>
  <c r="X72" i="152"/>
  <c r="Y72" i="152" s="1"/>
  <c r="X66" i="152"/>
  <c r="Y66" i="152" s="1"/>
  <c r="W38" i="152"/>
  <c r="X33" i="152"/>
  <c r="Y33" i="152" s="1"/>
  <c r="W5" i="152"/>
  <c r="X9" i="152"/>
  <c r="Y9" i="152" s="1"/>
  <c r="X113" i="152"/>
  <c r="Y113" i="152" s="1"/>
  <c r="W80" i="152"/>
  <c r="X74" i="152"/>
  <c r="Y74" i="152" s="1"/>
  <c r="X60" i="152"/>
  <c r="Y60" i="152" s="1"/>
  <c r="X13" i="152"/>
  <c r="Y13" i="152" s="1"/>
  <c r="X175" i="152"/>
  <c r="Y175" i="152" s="1"/>
  <c r="X161" i="152"/>
  <c r="Y161" i="152" s="1"/>
  <c r="W128" i="152"/>
  <c r="X122" i="152"/>
  <c r="Y122" i="152" s="1"/>
  <c r="X108" i="152"/>
  <c r="Y108" i="152" s="1"/>
  <c r="W98" i="152"/>
  <c r="X89" i="152"/>
  <c r="Y89" i="152" s="1"/>
  <c r="X84" i="152"/>
  <c r="Y84" i="152" s="1"/>
  <c r="X55" i="152"/>
  <c r="Y55" i="152" s="1"/>
  <c r="X31" i="152"/>
  <c r="Y31" i="152" s="1"/>
  <c r="X27" i="152"/>
  <c r="Y27" i="152" s="1"/>
  <c r="X23" i="152"/>
  <c r="Y23" i="152" s="1"/>
  <c r="X16" i="152"/>
  <c r="Y16" i="152" s="1"/>
  <c r="X165" i="152"/>
  <c r="Y165" i="152" s="1"/>
  <c r="X156" i="152"/>
  <c r="Y156" i="152" s="1"/>
  <c r="W146" i="152"/>
  <c r="X137" i="152"/>
  <c r="Y137" i="152" s="1"/>
  <c r="X132" i="152"/>
  <c r="Y132" i="152" s="1"/>
  <c r="X103" i="152"/>
  <c r="Y103" i="152" s="1"/>
  <c r="X79" i="152"/>
  <c r="Y79" i="152" s="1"/>
  <c r="X49" i="152"/>
  <c r="Y49" i="152" s="1"/>
  <c r="X40" i="152"/>
  <c r="Y40" i="152" s="1"/>
  <c r="X35" i="152"/>
  <c r="Y35" i="152" s="1"/>
  <c r="X170" i="152"/>
  <c r="Y170" i="152" s="1"/>
  <c r="X149" i="152"/>
  <c r="Y149" i="152" s="1"/>
  <c r="X101" i="152"/>
  <c r="Y101" i="152" s="1"/>
  <c r="X53" i="152"/>
  <c r="Y53" i="152" s="1"/>
  <c r="W126" i="154"/>
  <c r="W97" i="154"/>
  <c r="W78" i="154"/>
  <c r="X106" i="158"/>
  <c r="Y106" i="158" s="1"/>
  <c r="X92" i="158"/>
  <c r="Y92" i="158" s="1"/>
  <c r="X58" i="158"/>
  <c r="Y58" i="158" s="1"/>
  <c r="X44" i="158"/>
  <c r="Y44" i="158" s="1"/>
  <c r="X10" i="158"/>
  <c r="Y10" i="158" s="1"/>
  <c r="X86" i="151"/>
  <c r="Y86" i="151" s="1"/>
  <c r="X65" i="151"/>
  <c r="Y65" i="151" s="1"/>
  <c r="X31" i="151"/>
  <c r="Y31" i="151" s="1"/>
  <c r="X17" i="151"/>
  <c r="Y17" i="151" s="1"/>
  <c r="X142" i="152"/>
  <c r="Y142" i="152" s="1"/>
  <c r="X135" i="152"/>
  <c r="Y135" i="152" s="1"/>
  <c r="X94" i="152"/>
  <c r="Y94" i="152" s="1"/>
  <c r="X87" i="152"/>
  <c r="Y87" i="152" s="1"/>
  <c r="X46" i="152"/>
  <c r="Y46" i="152" s="1"/>
  <c r="X39" i="152"/>
  <c r="Y39" i="152" s="1"/>
  <c r="W106" i="154"/>
  <c r="W87" i="154"/>
  <c r="W58" i="154"/>
  <c r="W39" i="154"/>
  <c r="W10" i="154"/>
  <c r="X85" i="158"/>
  <c r="Y85" i="158" s="1"/>
  <c r="X71" i="158"/>
  <c r="Y71" i="158" s="1"/>
  <c r="X37" i="158"/>
  <c r="Y37" i="158" s="1"/>
  <c r="X23" i="158"/>
  <c r="Y23" i="158" s="1"/>
  <c r="X149" i="151"/>
  <c r="Y149" i="151" s="1"/>
  <c r="X142" i="151"/>
  <c r="Y142" i="151" s="1"/>
  <c r="W135" i="151"/>
  <c r="X79" i="151"/>
  <c r="Y79" i="151" s="1"/>
  <c r="X58" i="151"/>
  <c r="Y58" i="151" s="1"/>
  <c r="X44" i="151"/>
  <c r="Y44" i="151" s="1"/>
  <c r="X10" i="151"/>
  <c r="Y10" i="151" s="1"/>
  <c r="W123" i="156"/>
  <c r="W111" i="156"/>
  <c r="W99" i="156"/>
  <c r="W87" i="156"/>
  <c r="W75" i="156"/>
  <c r="W63" i="156"/>
  <c r="W51" i="156"/>
  <c r="W39" i="156"/>
  <c r="W27" i="156"/>
  <c r="X176" i="152"/>
  <c r="Y176" i="152" s="1"/>
  <c r="X155" i="152"/>
  <c r="Y155" i="152" s="1"/>
  <c r="X107" i="152"/>
  <c r="Y107" i="152" s="1"/>
  <c r="X59" i="152"/>
  <c r="Y59" i="152" s="1"/>
  <c r="X8" i="152"/>
  <c r="Y8" i="152" s="1"/>
  <c r="W19" i="154"/>
  <c r="X112" i="158"/>
  <c r="Y112" i="158" s="1"/>
  <c r="X98" i="158"/>
  <c r="Y98" i="158" s="1"/>
  <c r="X64" i="158"/>
  <c r="Y64" i="158" s="1"/>
  <c r="X50" i="158"/>
  <c r="Y50" i="158" s="1"/>
  <c r="X16" i="158"/>
  <c r="Y16" i="158" s="1"/>
  <c r="X176" i="151"/>
  <c r="Y176" i="151" s="1"/>
  <c r="X169" i="151"/>
  <c r="Y169" i="151" s="1"/>
  <c r="W162" i="151"/>
  <c r="X128" i="151"/>
  <c r="Y128" i="151" s="1"/>
  <c r="X121" i="151"/>
  <c r="Y121" i="151" s="1"/>
  <c r="W114" i="151"/>
  <c r="X107" i="151"/>
  <c r="Y107" i="151" s="1"/>
  <c r="X92" i="151"/>
  <c r="Y92" i="151" s="1"/>
  <c r="X37" i="151"/>
  <c r="Y37" i="151" s="1"/>
  <c r="X23" i="151"/>
  <c r="Y23" i="151" s="1"/>
  <c r="X169" i="152"/>
  <c r="Y169" i="152" s="1"/>
  <c r="X148" i="152"/>
  <c r="Y148" i="152" s="1"/>
  <c r="X141" i="152"/>
  <c r="Y141" i="152" s="1"/>
  <c r="X100" i="152"/>
  <c r="Y100" i="152" s="1"/>
  <c r="X93" i="152"/>
  <c r="Y93" i="152" s="1"/>
  <c r="X52" i="152"/>
  <c r="Y52" i="152" s="1"/>
  <c r="X45" i="152"/>
  <c r="Y45" i="152" s="1"/>
  <c r="W124" i="154"/>
  <c r="W105" i="154"/>
  <c r="W76" i="154"/>
  <c r="W57" i="154"/>
  <c r="W28" i="154"/>
  <c r="W9" i="154"/>
  <c r="X91" i="158"/>
  <c r="Y91" i="158" s="1"/>
  <c r="X43" i="158"/>
  <c r="Y43" i="158" s="1"/>
  <c r="X155" i="151"/>
  <c r="Y155" i="151" s="1"/>
  <c r="X148" i="151"/>
  <c r="Y148" i="151" s="1"/>
  <c r="W141" i="151"/>
  <c r="X85" i="151"/>
  <c r="Y85" i="151" s="1"/>
  <c r="X71" i="151"/>
  <c r="Y71" i="151" s="1"/>
  <c r="X64" i="151"/>
  <c r="Y64" i="151" s="1"/>
  <c r="X16" i="151"/>
  <c r="Y16" i="151" s="1"/>
  <c r="X92" i="152"/>
  <c r="Y92" i="152" s="1"/>
  <c r="X83" i="158"/>
  <c r="Y83" i="158" s="1"/>
  <c r="X35" i="158"/>
  <c r="Y35" i="158" s="1"/>
  <c r="X77" i="151"/>
  <c r="Y77" i="151" s="1"/>
  <c r="X56" i="151"/>
  <c r="Y56" i="151" s="1"/>
  <c r="X8" i="151"/>
  <c r="Y8" i="151" s="1"/>
  <c r="X140" i="152"/>
  <c r="Y140" i="152" s="1"/>
  <c r="X44" i="152"/>
  <c r="Y44" i="152" s="1"/>
  <c r="X133" i="152"/>
  <c r="Y133" i="152" s="1"/>
  <c r="X126" i="152"/>
  <c r="Y126" i="152" s="1"/>
  <c r="X119" i="152"/>
  <c r="Y119" i="152" s="1"/>
  <c r="X85" i="152"/>
  <c r="Y85" i="152" s="1"/>
  <c r="X78" i="152"/>
  <c r="Y78" i="152" s="1"/>
  <c r="X71" i="152"/>
  <c r="Y71" i="152" s="1"/>
  <c r="X37" i="152"/>
  <c r="Y37" i="152" s="1"/>
  <c r="X30" i="152"/>
  <c r="Y30" i="152" s="1"/>
  <c r="X24" i="152"/>
  <c r="Y24" i="152" s="1"/>
  <c r="X18" i="152"/>
  <c r="Y18" i="152" s="1"/>
  <c r="X12" i="152"/>
  <c r="Y12" i="152" s="1"/>
  <c r="X7" i="152"/>
  <c r="Y7" i="152" s="1"/>
  <c r="W103" i="154"/>
  <c r="W84" i="154"/>
  <c r="W55" i="154"/>
  <c r="W36" i="154"/>
  <c r="W7" i="154"/>
  <c r="X110" i="158"/>
  <c r="Y110" i="158" s="1"/>
  <c r="X76" i="158"/>
  <c r="Y76" i="158" s="1"/>
  <c r="X62" i="158"/>
  <c r="Y62" i="158" s="1"/>
  <c r="X28" i="158"/>
  <c r="Y28" i="158" s="1"/>
  <c r="X14" i="158"/>
  <c r="Y14" i="158" s="1"/>
  <c r="W174" i="151"/>
  <c r="X140" i="151"/>
  <c r="Y140" i="151" s="1"/>
  <c r="X133" i="151"/>
  <c r="Y133" i="151" s="1"/>
  <c r="W126" i="151"/>
  <c r="X49" i="151"/>
  <c r="Y49" i="151" s="1"/>
  <c r="X35" i="151"/>
  <c r="Y35" i="151" s="1"/>
  <c r="X174" i="152"/>
  <c r="Y174" i="152" s="1"/>
  <c r="X160" i="152"/>
  <c r="Y160" i="152" s="1"/>
  <c r="X153" i="152"/>
  <c r="Y153" i="152" s="1"/>
  <c r="X112" i="152"/>
  <c r="Y112" i="152" s="1"/>
  <c r="X105" i="152"/>
  <c r="Y105" i="152" s="1"/>
  <c r="X64" i="152"/>
  <c r="Y64" i="152" s="1"/>
  <c r="X57" i="152"/>
  <c r="Y57" i="152" s="1"/>
  <c r="W112" i="154"/>
  <c r="W93" i="154"/>
  <c r="W64" i="154"/>
  <c r="W45" i="154"/>
  <c r="W16" i="154"/>
  <c r="X103" i="158"/>
  <c r="Y103" i="158" s="1"/>
  <c r="X55" i="158"/>
  <c r="Y55" i="158" s="1"/>
  <c r="X7" i="158"/>
  <c r="Y7" i="158" s="1"/>
  <c r="X167" i="151"/>
  <c r="Y167" i="151" s="1"/>
  <c r="X160" i="151"/>
  <c r="Y160" i="151" s="1"/>
  <c r="W153" i="151"/>
  <c r="X119" i="151"/>
  <c r="Y119" i="151" s="1"/>
  <c r="X112" i="151"/>
  <c r="Y112" i="151" s="1"/>
  <c r="X97" i="151"/>
  <c r="Y97" i="151" s="1"/>
  <c r="X28" i="151"/>
  <c r="Y28" i="151" s="1"/>
  <c r="X125" i="152"/>
  <c r="Y125" i="152" s="1"/>
  <c r="X77" i="152"/>
  <c r="Y77" i="152" s="1"/>
  <c r="X68" i="158"/>
  <c r="Y68" i="158" s="1"/>
  <c r="X20" i="158"/>
  <c r="Y20" i="158" s="1"/>
  <c r="X41" i="151"/>
  <c r="Y41" i="151" s="1"/>
  <c r="X180" i="152"/>
  <c r="Y180" i="152" s="1"/>
  <c r="X159" i="152"/>
  <c r="Y159" i="152" s="1"/>
  <c r="X118" i="152"/>
  <c r="Y118" i="152" s="1"/>
  <c r="X111" i="152"/>
  <c r="Y111" i="152" s="1"/>
  <c r="X70" i="152"/>
  <c r="Y70" i="152" s="1"/>
  <c r="X63" i="152"/>
  <c r="Y63" i="152" s="1"/>
  <c r="W111" i="154"/>
  <c r="W82" i="154"/>
  <c r="W63" i="154"/>
  <c r="W34" i="154"/>
  <c r="W15" i="154"/>
  <c r="X109" i="158"/>
  <c r="Y109" i="158" s="1"/>
  <c r="X61" i="158"/>
  <c r="Y61" i="158" s="1"/>
  <c r="X13" i="158"/>
  <c r="Y13" i="158" s="1"/>
  <c r="X173" i="151"/>
  <c r="Y173" i="151" s="1"/>
  <c r="X166" i="151"/>
  <c r="Y166" i="151" s="1"/>
  <c r="W159" i="151"/>
  <c r="X125" i="151"/>
  <c r="Y125" i="151" s="1"/>
  <c r="X118" i="151"/>
  <c r="Y118" i="151" s="1"/>
  <c r="W111" i="151"/>
  <c r="X34" i="151"/>
  <c r="Y34" i="151" s="1"/>
  <c r="W117" i="156"/>
  <c r="W105" i="156"/>
  <c r="W93" i="156"/>
  <c r="W81" i="156"/>
  <c r="W69" i="156"/>
  <c r="W57" i="156"/>
  <c r="W45" i="156"/>
  <c r="W33" i="156"/>
  <c r="W21" i="156"/>
  <c r="W9" i="156"/>
  <c r="X124" i="152"/>
  <c r="Y124" i="152" s="1"/>
  <c r="X117" i="152"/>
  <c r="Y117" i="152" s="1"/>
  <c r="X76" i="152"/>
  <c r="Y76" i="152" s="1"/>
  <c r="X69" i="152"/>
  <c r="Y69" i="152" s="1"/>
  <c r="W100" i="154"/>
  <c r="W81" i="154"/>
  <c r="W52" i="154"/>
  <c r="W33" i="154"/>
  <c r="X115" i="158"/>
  <c r="Y115" i="158" s="1"/>
  <c r="X67" i="158"/>
  <c r="Y67" i="158" s="1"/>
  <c r="X19" i="158"/>
  <c r="Y19" i="158" s="1"/>
  <c r="W5" i="151"/>
  <c r="X172" i="151"/>
  <c r="Y172" i="151" s="1"/>
  <c r="W165" i="151"/>
  <c r="X131" i="151"/>
  <c r="Y131" i="151" s="1"/>
  <c r="X124" i="151"/>
  <c r="Y124" i="151" s="1"/>
  <c r="W117" i="151"/>
  <c r="X40" i="151"/>
  <c r="Y40" i="151" s="1"/>
  <c r="X130" i="152"/>
  <c r="Y130" i="152" s="1"/>
  <c r="X123" i="152"/>
  <c r="Y123" i="152" s="1"/>
  <c r="X116" i="152"/>
  <c r="Y116" i="152" s="1"/>
  <c r="X82" i="152"/>
  <c r="Y82" i="152" s="1"/>
  <c r="X75" i="152"/>
  <c r="Y75" i="152" s="1"/>
  <c r="X68" i="152"/>
  <c r="Y68" i="152" s="1"/>
  <c r="X34" i="152"/>
  <c r="Y34" i="152" s="1"/>
  <c r="X10" i="152"/>
  <c r="Y10" i="152" s="1"/>
  <c r="W118" i="154"/>
  <c r="W99" i="154"/>
  <c r="W70" i="154"/>
  <c r="W51" i="154"/>
  <c r="W22" i="154"/>
  <c r="X107" i="158"/>
  <c r="Y107" i="158" s="1"/>
  <c r="X73" i="158"/>
  <c r="Y73" i="158" s="1"/>
  <c r="X59" i="158"/>
  <c r="Y59" i="158" s="1"/>
  <c r="X25" i="158"/>
  <c r="Y25" i="158" s="1"/>
  <c r="X11" i="158"/>
  <c r="Y11" i="158" s="1"/>
  <c r="W171" i="151"/>
  <c r="X137" i="151"/>
  <c r="Y137" i="151" s="1"/>
  <c r="X130" i="151"/>
  <c r="Y130" i="151" s="1"/>
  <c r="W123" i="151"/>
  <c r="X46" i="151"/>
  <c r="Y46" i="151" s="1"/>
  <c r="X32" i="151"/>
  <c r="Y32" i="151" s="1"/>
  <c r="W126" i="156"/>
  <c r="W114" i="156"/>
  <c r="W102" i="156"/>
  <c r="W90" i="156"/>
  <c r="W78" i="156"/>
  <c r="W66" i="156"/>
  <c r="W54" i="156"/>
  <c r="W42" i="156"/>
  <c r="W30" i="156"/>
  <c r="W18" i="156"/>
  <c r="W6" i="156"/>
  <c r="X178" i="152"/>
  <c r="Y178" i="152" s="1"/>
  <c r="X171" i="152"/>
  <c r="Y171" i="152" s="1"/>
  <c r="X164" i="152"/>
  <c r="Y164" i="152" s="1"/>
  <c r="X157" i="152"/>
  <c r="Y157" i="152" s="1"/>
  <c r="X150" i="152"/>
  <c r="Y150" i="152" s="1"/>
  <c r="X109" i="152"/>
  <c r="Y109" i="152" s="1"/>
  <c r="X102" i="152"/>
  <c r="Y102" i="152" s="1"/>
  <c r="X61" i="152"/>
  <c r="Y61" i="152" s="1"/>
  <c r="X54" i="152"/>
  <c r="Y54" i="152" s="1"/>
  <c r="W127" i="154"/>
  <c r="W108" i="154"/>
  <c r="W79" i="154"/>
  <c r="W60" i="154"/>
  <c r="W31" i="154"/>
  <c r="W12" i="154"/>
  <c r="X100" i="158"/>
  <c r="Y100" i="158" s="1"/>
  <c r="X52" i="158"/>
  <c r="Y52" i="158" s="1"/>
  <c r="X178" i="151"/>
  <c r="Y178" i="151" s="1"/>
  <c r="X164" i="151"/>
  <c r="Y164" i="151" s="1"/>
  <c r="X157" i="151"/>
  <c r="Y157" i="151" s="1"/>
  <c r="W150" i="151"/>
  <c r="X116" i="151"/>
  <c r="Y116" i="151" s="1"/>
  <c r="X109" i="151"/>
  <c r="Y109" i="151" s="1"/>
  <c r="X101" i="151"/>
  <c r="Y101" i="151" s="1"/>
  <c r="X94" i="151"/>
  <c r="Y94" i="151" s="1"/>
  <c r="X25" i="151"/>
  <c r="Y25" i="151" s="1"/>
  <c r="X128" i="156"/>
  <c r="Y128" i="156" s="1"/>
  <c r="X125" i="156"/>
  <c r="Y125" i="156" s="1"/>
  <c r="X122" i="156"/>
  <c r="Y122" i="156" s="1"/>
  <c r="X119" i="156"/>
  <c r="Y119" i="156" s="1"/>
  <c r="X116" i="156"/>
  <c r="Y116" i="156" s="1"/>
  <c r="X113" i="156"/>
  <c r="Y113" i="156" s="1"/>
  <c r="X110" i="156"/>
  <c r="Y110" i="156" s="1"/>
  <c r="X107" i="156"/>
  <c r="Y107" i="156" s="1"/>
  <c r="X104" i="156"/>
  <c r="Y104" i="156" s="1"/>
  <c r="X101" i="156"/>
  <c r="Y101" i="156" s="1"/>
  <c r="X98" i="156"/>
  <c r="Y98" i="156" s="1"/>
  <c r="X95" i="156"/>
  <c r="Y95" i="156" s="1"/>
  <c r="X92" i="156"/>
  <c r="Y92" i="156" s="1"/>
  <c r="X89" i="156"/>
  <c r="Y89" i="156" s="1"/>
  <c r="X86" i="156"/>
  <c r="Y86" i="156" s="1"/>
  <c r="X83" i="156"/>
  <c r="Y83" i="156" s="1"/>
  <c r="X80" i="156"/>
  <c r="Y80" i="156" s="1"/>
  <c r="X77" i="156"/>
  <c r="Y77" i="156" s="1"/>
  <c r="X74" i="156"/>
  <c r="Y74" i="156" s="1"/>
  <c r="X71" i="156"/>
  <c r="Y71" i="156" s="1"/>
  <c r="X68" i="156"/>
  <c r="Y68" i="156" s="1"/>
  <c r="X65" i="156"/>
  <c r="Y65" i="156" s="1"/>
  <c r="X62" i="156"/>
  <c r="Y62" i="156" s="1"/>
  <c r="X59" i="156"/>
  <c r="Y59" i="156" s="1"/>
  <c r="X56" i="156"/>
  <c r="Y56" i="156" s="1"/>
  <c r="X53" i="156"/>
  <c r="Y53" i="156" s="1"/>
  <c r="X50" i="156"/>
  <c r="Y50" i="156" s="1"/>
  <c r="X47" i="156"/>
  <c r="Y47" i="156" s="1"/>
  <c r="X44" i="156"/>
  <c r="Y44" i="156" s="1"/>
  <c r="X41" i="156"/>
  <c r="Y41" i="156" s="1"/>
  <c r="X38" i="156"/>
  <c r="Y38" i="156" s="1"/>
  <c r="X35" i="156"/>
  <c r="Y35" i="156" s="1"/>
  <c r="X32" i="156"/>
  <c r="Y32" i="156" s="1"/>
  <c r="X29" i="156"/>
  <c r="Y29" i="156" s="1"/>
  <c r="X26" i="156"/>
  <c r="Y26" i="156" s="1"/>
  <c r="X23" i="156"/>
  <c r="Y23" i="156" s="1"/>
  <c r="X20" i="156"/>
  <c r="Y20" i="156" s="1"/>
  <c r="X17" i="156"/>
  <c r="Y17" i="156" s="1"/>
  <c r="X14" i="156"/>
  <c r="Y14" i="156" s="1"/>
  <c r="X11" i="156"/>
  <c r="Y11" i="156" s="1"/>
  <c r="X8" i="156"/>
  <c r="Y8" i="156" s="1"/>
  <c r="X127" i="156"/>
  <c r="Y127" i="156" s="1"/>
  <c r="X124" i="156"/>
  <c r="Y124" i="156" s="1"/>
  <c r="X121" i="156"/>
  <c r="Y121" i="156" s="1"/>
  <c r="X118" i="156"/>
  <c r="Y118" i="156" s="1"/>
  <c r="X115" i="156"/>
  <c r="Y115" i="156" s="1"/>
  <c r="X112" i="156"/>
  <c r="Y112" i="156" s="1"/>
  <c r="X109" i="156"/>
  <c r="Y109" i="156" s="1"/>
  <c r="X106" i="156"/>
  <c r="Y106" i="156" s="1"/>
  <c r="X103" i="156"/>
  <c r="Y103" i="156" s="1"/>
  <c r="X100" i="156"/>
  <c r="Y100" i="156" s="1"/>
  <c r="X97" i="156"/>
  <c r="Y97" i="156" s="1"/>
  <c r="X94" i="156"/>
  <c r="Y94" i="156" s="1"/>
  <c r="X91" i="156"/>
  <c r="Y91" i="156" s="1"/>
  <c r="X88" i="156"/>
  <c r="Y88" i="156" s="1"/>
  <c r="X85" i="156"/>
  <c r="Y85" i="156" s="1"/>
  <c r="X82" i="156"/>
  <c r="Y82" i="156" s="1"/>
  <c r="X79" i="156"/>
  <c r="Y79" i="156" s="1"/>
  <c r="X76" i="156"/>
  <c r="Y76" i="156" s="1"/>
  <c r="X73" i="156"/>
  <c r="Y73" i="156" s="1"/>
  <c r="X70" i="156"/>
  <c r="Y70" i="156" s="1"/>
  <c r="X67" i="156"/>
  <c r="Y67" i="156" s="1"/>
  <c r="X64" i="156"/>
  <c r="Y64" i="156" s="1"/>
  <c r="X61" i="156"/>
  <c r="Y61" i="156" s="1"/>
  <c r="X58" i="156"/>
  <c r="Y58" i="156" s="1"/>
  <c r="X55" i="156"/>
  <c r="Y55" i="156" s="1"/>
  <c r="X52" i="156"/>
  <c r="Y52" i="156" s="1"/>
  <c r="X49" i="156"/>
  <c r="Y49" i="156" s="1"/>
  <c r="X46" i="156"/>
  <c r="Y46" i="156" s="1"/>
  <c r="X43" i="156"/>
  <c r="Y43" i="156" s="1"/>
  <c r="X40" i="156"/>
  <c r="Y40" i="156" s="1"/>
  <c r="X37" i="156"/>
  <c r="Y37" i="156" s="1"/>
  <c r="X34" i="156"/>
  <c r="Y34" i="156" s="1"/>
  <c r="X31" i="156"/>
  <c r="Y31" i="156" s="1"/>
  <c r="X28" i="156"/>
  <c r="Y28" i="156" s="1"/>
  <c r="X25" i="156"/>
  <c r="Y25" i="156" s="1"/>
  <c r="X22" i="156"/>
  <c r="Y22" i="156" s="1"/>
  <c r="X19" i="156"/>
  <c r="Y19" i="156" s="1"/>
  <c r="X16" i="156"/>
  <c r="Y16" i="156" s="1"/>
  <c r="X13" i="156"/>
  <c r="Y13" i="156" s="1"/>
  <c r="X10" i="156"/>
  <c r="Y10" i="156" s="1"/>
  <c r="X7" i="156"/>
  <c r="Y7" i="156" s="1"/>
  <c r="W5" i="156"/>
  <c r="X177" i="151"/>
  <c r="Y177" i="151" s="1"/>
  <c r="X108" i="151"/>
  <c r="Y108" i="151" s="1"/>
  <c r="X105" i="151"/>
  <c r="Y105" i="151" s="1"/>
  <c r="X102" i="151"/>
  <c r="Y102" i="151" s="1"/>
  <c r="X99" i="151"/>
  <c r="Y99" i="151" s="1"/>
  <c r="X96" i="151"/>
  <c r="Y96" i="151" s="1"/>
  <c r="X93" i="151"/>
  <c r="Y93" i="151" s="1"/>
  <c r="X90" i="151"/>
  <c r="Y90" i="151" s="1"/>
  <c r="X87" i="151"/>
  <c r="Y87" i="151" s="1"/>
  <c r="X84" i="151"/>
  <c r="Y84" i="151" s="1"/>
  <c r="X81" i="151"/>
  <c r="Y81" i="151" s="1"/>
  <c r="X78" i="151"/>
  <c r="Y78" i="151" s="1"/>
  <c r="X75" i="151"/>
  <c r="Y75" i="151" s="1"/>
  <c r="X72" i="151"/>
  <c r="Y72" i="151" s="1"/>
  <c r="X69" i="151"/>
  <c r="Y69" i="151" s="1"/>
  <c r="X66" i="151"/>
  <c r="Y66" i="151" s="1"/>
  <c r="X63" i="151"/>
  <c r="Y63" i="151" s="1"/>
  <c r="X60" i="151"/>
  <c r="Y60" i="151" s="1"/>
  <c r="X57" i="151"/>
  <c r="Y57" i="151" s="1"/>
  <c r="X54" i="151"/>
  <c r="Y54" i="151" s="1"/>
  <c r="X51" i="151"/>
  <c r="Y51" i="151" s="1"/>
  <c r="X48" i="151"/>
  <c r="Y48" i="151" s="1"/>
  <c r="X45" i="151"/>
  <c r="Y45" i="151" s="1"/>
  <c r="X42" i="151"/>
  <c r="Y42" i="151" s="1"/>
  <c r="X39" i="151"/>
  <c r="Y39" i="151" s="1"/>
  <c r="X36" i="151"/>
  <c r="Y36" i="151" s="1"/>
  <c r="X33" i="151"/>
  <c r="Y33" i="151" s="1"/>
  <c r="X30" i="151"/>
  <c r="Y30" i="151" s="1"/>
  <c r="X27" i="151"/>
  <c r="Y27" i="151" s="1"/>
  <c r="X24" i="151"/>
  <c r="Y24" i="151" s="1"/>
  <c r="X21" i="151"/>
  <c r="Y21" i="151" s="1"/>
  <c r="X18" i="151"/>
  <c r="Y18" i="151" s="1"/>
  <c r="X15" i="151"/>
  <c r="Y15" i="151" s="1"/>
  <c r="X12" i="151"/>
  <c r="Y12" i="151" s="1"/>
  <c r="X9" i="151"/>
  <c r="Y9" i="151" s="1"/>
  <c r="X6" i="151"/>
  <c r="Y6" i="151" s="1"/>
  <c r="X114" i="158"/>
  <c r="Y114" i="158" s="1"/>
  <c r="X111" i="158"/>
  <c r="Y111" i="158" s="1"/>
  <c r="X108" i="158"/>
  <c r="Y108" i="158" s="1"/>
  <c r="X105" i="158"/>
  <c r="Y105" i="158" s="1"/>
  <c r="X102" i="158"/>
  <c r="Y102" i="158" s="1"/>
  <c r="X99" i="158"/>
  <c r="Y99" i="158" s="1"/>
  <c r="X96" i="158"/>
  <c r="Y96" i="158" s="1"/>
  <c r="X93" i="158"/>
  <c r="Y93" i="158" s="1"/>
  <c r="X90" i="158"/>
  <c r="Y90" i="158" s="1"/>
  <c r="X87" i="158"/>
  <c r="Y87" i="158" s="1"/>
  <c r="X84" i="158"/>
  <c r="Y84" i="158" s="1"/>
  <c r="X81" i="158"/>
  <c r="Y81" i="158" s="1"/>
  <c r="X78" i="158"/>
  <c r="Y78" i="158" s="1"/>
  <c r="X75" i="158"/>
  <c r="Y75" i="158" s="1"/>
  <c r="X72" i="158"/>
  <c r="Y72" i="158" s="1"/>
  <c r="X69" i="158"/>
  <c r="Y69" i="158" s="1"/>
  <c r="X66" i="158"/>
  <c r="Y66" i="158" s="1"/>
  <c r="X63" i="158"/>
  <c r="Y63" i="158" s="1"/>
  <c r="X60" i="158"/>
  <c r="Y60" i="158" s="1"/>
  <c r="X57" i="158"/>
  <c r="Y57" i="158" s="1"/>
  <c r="X54" i="158"/>
  <c r="Y54" i="158" s="1"/>
  <c r="X51" i="158"/>
  <c r="Y51" i="158" s="1"/>
  <c r="X48" i="158"/>
  <c r="Y48" i="158" s="1"/>
  <c r="X45" i="158"/>
  <c r="Y45" i="158" s="1"/>
  <c r="X42" i="158"/>
  <c r="Y42" i="158" s="1"/>
  <c r="X39" i="158"/>
  <c r="Y39" i="158" s="1"/>
  <c r="X36" i="158"/>
  <c r="Y36" i="158" s="1"/>
  <c r="X33" i="158"/>
  <c r="Y33" i="158" s="1"/>
  <c r="X30" i="158"/>
  <c r="Y30" i="158" s="1"/>
  <c r="X27" i="158"/>
  <c r="Y27" i="158" s="1"/>
  <c r="X24" i="158"/>
  <c r="Y24" i="158" s="1"/>
  <c r="X21" i="158"/>
  <c r="Y21" i="158" s="1"/>
  <c r="X18" i="158"/>
  <c r="Y18" i="158" s="1"/>
  <c r="X15" i="158"/>
  <c r="Y15" i="158" s="1"/>
  <c r="X12" i="158"/>
  <c r="Y12" i="158" s="1"/>
  <c r="X9" i="158"/>
  <c r="Y9" i="158" s="1"/>
  <c r="X6" i="158"/>
  <c r="Y6" i="158" s="1"/>
  <c r="X128" i="154"/>
  <c r="Y128" i="154" s="1"/>
  <c r="X125" i="154"/>
  <c r="Y125" i="154" s="1"/>
  <c r="X122" i="154"/>
  <c r="Y122" i="154" s="1"/>
  <c r="X119" i="154"/>
  <c r="Y119" i="154" s="1"/>
  <c r="X116" i="154"/>
  <c r="Y116" i="154" s="1"/>
  <c r="X113" i="154"/>
  <c r="Y113" i="154" s="1"/>
  <c r="X110" i="154"/>
  <c r="Y110" i="154" s="1"/>
  <c r="X107" i="154"/>
  <c r="Y107" i="154" s="1"/>
  <c r="X104" i="154"/>
  <c r="Y104" i="154" s="1"/>
  <c r="X101" i="154"/>
  <c r="Y101" i="154" s="1"/>
  <c r="X98" i="154"/>
  <c r="Y98" i="154" s="1"/>
  <c r="X95" i="154"/>
  <c r="Y95" i="154" s="1"/>
  <c r="X92" i="154"/>
  <c r="Y92" i="154" s="1"/>
  <c r="X89" i="154"/>
  <c r="Y89" i="154" s="1"/>
  <c r="X86" i="154"/>
  <c r="Y86" i="154" s="1"/>
  <c r="X83" i="154"/>
  <c r="Y83" i="154" s="1"/>
  <c r="X80" i="154"/>
  <c r="Y80" i="154" s="1"/>
  <c r="X77" i="154"/>
  <c r="Y77" i="154" s="1"/>
  <c r="X74" i="154"/>
  <c r="Y74" i="154" s="1"/>
  <c r="X71" i="154"/>
  <c r="Y71" i="154" s="1"/>
  <c r="X68" i="154"/>
  <c r="Y68" i="154" s="1"/>
  <c r="X65" i="154"/>
  <c r="Y65" i="154" s="1"/>
  <c r="X62" i="154"/>
  <c r="Y62" i="154" s="1"/>
  <c r="X59" i="154"/>
  <c r="Y59" i="154" s="1"/>
  <c r="X56" i="154"/>
  <c r="Y56" i="154" s="1"/>
  <c r="X53" i="154"/>
  <c r="Y53" i="154" s="1"/>
  <c r="X50" i="154"/>
  <c r="Y50" i="154" s="1"/>
  <c r="X47" i="154"/>
  <c r="Y47" i="154" s="1"/>
  <c r="X44" i="154"/>
  <c r="Y44" i="154" s="1"/>
  <c r="X41" i="154"/>
  <c r="Y41" i="154" s="1"/>
  <c r="X38" i="154"/>
  <c r="Y38" i="154" s="1"/>
  <c r="X35" i="154"/>
  <c r="Y35" i="154" s="1"/>
  <c r="X32" i="154"/>
  <c r="Y32" i="154" s="1"/>
  <c r="X29" i="154"/>
  <c r="Y29" i="154" s="1"/>
  <c r="X26" i="154"/>
  <c r="Y26" i="154" s="1"/>
  <c r="X23" i="154"/>
  <c r="Y23" i="154" s="1"/>
  <c r="X20" i="154"/>
  <c r="Y20" i="154" s="1"/>
  <c r="X17" i="154"/>
  <c r="Y17" i="154" s="1"/>
  <c r="X14" i="154"/>
  <c r="Y14" i="154" s="1"/>
  <c r="X11" i="154"/>
  <c r="Y11" i="154" s="1"/>
  <c r="X8" i="154"/>
  <c r="Y8" i="154" s="1"/>
  <c r="X6" i="152"/>
  <c r="Y6" i="152" s="1"/>
  <c r="V6" i="72" l="1"/>
  <c r="X6" i="72" s="1"/>
  <c r="Y6" i="72" s="1"/>
  <c r="V7" i="72"/>
  <c r="W7" i="72" s="1"/>
  <c r="V8" i="72"/>
  <c r="W8" i="72" s="1"/>
  <c r="V9" i="72"/>
  <c r="X9" i="72" s="1"/>
  <c r="Y9" i="72" s="1"/>
  <c r="V10" i="72"/>
  <c r="W10" i="72" s="1"/>
  <c r="V11" i="72"/>
  <c r="W11" i="72" s="1"/>
  <c r="V12" i="72"/>
  <c r="X12" i="72" s="1"/>
  <c r="Y12" i="72" s="1"/>
  <c r="V13" i="72"/>
  <c r="W13" i="72" s="1"/>
  <c r="V14" i="72"/>
  <c r="W14" i="72" s="1"/>
  <c r="V15" i="72"/>
  <c r="X15" i="72" s="1"/>
  <c r="Y15" i="72" s="1"/>
  <c r="V16" i="72"/>
  <c r="W16" i="72" s="1"/>
  <c r="V17" i="72"/>
  <c r="W17" i="72" s="1"/>
  <c r="V18" i="72"/>
  <c r="X18" i="72" s="1"/>
  <c r="Y18" i="72" s="1"/>
  <c r="V19" i="72"/>
  <c r="W19" i="72" s="1"/>
  <c r="V20" i="72"/>
  <c r="W20" i="72" s="1"/>
  <c r="V21" i="72"/>
  <c r="X21" i="72" s="1"/>
  <c r="Y21" i="72" s="1"/>
  <c r="V22" i="72"/>
  <c r="W22" i="72" s="1"/>
  <c r="V23" i="72"/>
  <c r="W23" i="72" s="1"/>
  <c r="V24" i="72"/>
  <c r="X24" i="72" s="1"/>
  <c r="Y24" i="72" s="1"/>
  <c r="V25" i="72"/>
  <c r="W25" i="72" s="1"/>
  <c r="V26" i="72"/>
  <c r="W26" i="72" s="1"/>
  <c r="V27" i="72"/>
  <c r="X27" i="72" s="1"/>
  <c r="Y27" i="72" s="1"/>
  <c r="V28" i="72"/>
  <c r="W28" i="72" s="1"/>
  <c r="V29" i="72"/>
  <c r="W29" i="72" s="1"/>
  <c r="V30" i="72"/>
  <c r="X30" i="72" s="1"/>
  <c r="Y30" i="72" s="1"/>
  <c r="V31" i="72"/>
  <c r="W31" i="72" s="1"/>
  <c r="V32" i="72"/>
  <c r="W32" i="72" s="1"/>
  <c r="V33" i="72"/>
  <c r="X33" i="72" s="1"/>
  <c r="Y33" i="72" s="1"/>
  <c r="V34" i="72"/>
  <c r="W34" i="72" s="1"/>
  <c r="V35" i="72"/>
  <c r="W35" i="72" s="1"/>
  <c r="V36" i="72"/>
  <c r="X36" i="72" s="1"/>
  <c r="Y36" i="72" s="1"/>
  <c r="V37" i="72"/>
  <c r="W37" i="72" s="1"/>
  <c r="V38" i="72"/>
  <c r="W38" i="72" s="1"/>
  <c r="V39" i="72"/>
  <c r="X39" i="72" s="1"/>
  <c r="Y39" i="72" s="1"/>
  <c r="V40" i="72"/>
  <c r="W40" i="72" s="1"/>
  <c r="V41" i="72"/>
  <c r="W41" i="72" s="1"/>
  <c r="V42" i="72"/>
  <c r="X42" i="72" s="1"/>
  <c r="Y42" i="72" s="1"/>
  <c r="V43" i="72"/>
  <c r="W43" i="72" s="1"/>
  <c r="V44" i="72"/>
  <c r="W44" i="72" s="1"/>
  <c r="V45" i="72"/>
  <c r="X45" i="72" s="1"/>
  <c r="Y45" i="72" s="1"/>
  <c r="V46" i="72"/>
  <c r="W46" i="72" s="1"/>
  <c r="V47" i="72"/>
  <c r="W47" i="72" s="1"/>
  <c r="V48" i="72"/>
  <c r="X48" i="72" s="1"/>
  <c r="Y48" i="72" s="1"/>
  <c r="V49" i="72"/>
  <c r="W49" i="72" s="1"/>
  <c r="V50" i="72"/>
  <c r="W50" i="72" s="1"/>
  <c r="V51" i="72"/>
  <c r="X51" i="72" s="1"/>
  <c r="Y51" i="72" s="1"/>
  <c r="V52" i="72"/>
  <c r="W52" i="72" s="1"/>
  <c r="V53" i="72"/>
  <c r="W53" i="72" s="1"/>
  <c r="V54" i="72"/>
  <c r="X54" i="72" s="1"/>
  <c r="Y54" i="72" s="1"/>
  <c r="V55" i="72"/>
  <c r="W55" i="72" s="1"/>
  <c r="V56" i="72"/>
  <c r="W56" i="72" s="1"/>
  <c r="V57" i="72"/>
  <c r="X57" i="72" s="1"/>
  <c r="Y57" i="72" s="1"/>
  <c r="V58" i="72"/>
  <c r="W58" i="72" s="1"/>
  <c r="V59" i="72"/>
  <c r="W59" i="72" s="1"/>
  <c r="V60" i="72"/>
  <c r="X60" i="72" s="1"/>
  <c r="Y60" i="72" s="1"/>
  <c r="V61" i="72"/>
  <c r="W61" i="72" s="1"/>
  <c r="V62" i="72"/>
  <c r="W62" i="72" s="1"/>
  <c r="V63" i="72"/>
  <c r="X63" i="72" s="1"/>
  <c r="Y63" i="72" s="1"/>
  <c r="V64" i="72"/>
  <c r="W64" i="72" s="1"/>
  <c r="V65" i="72"/>
  <c r="W65" i="72" s="1"/>
  <c r="V66" i="72"/>
  <c r="X66" i="72" s="1"/>
  <c r="Y66" i="72" s="1"/>
  <c r="V67" i="72"/>
  <c r="W67" i="72" s="1"/>
  <c r="V68" i="72"/>
  <c r="W68" i="72" s="1"/>
  <c r="V69" i="72"/>
  <c r="X69" i="72" s="1"/>
  <c r="Y69" i="72" s="1"/>
  <c r="V70" i="72"/>
  <c r="W70" i="72" s="1"/>
  <c r="V71" i="72"/>
  <c r="W71" i="72" s="1"/>
  <c r="V72" i="72"/>
  <c r="X72" i="72" s="1"/>
  <c r="Y72" i="72" s="1"/>
  <c r="V73" i="72"/>
  <c r="W73" i="72" s="1"/>
  <c r="V74" i="72"/>
  <c r="W74" i="72" s="1"/>
  <c r="V75" i="72"/>
  <c r="X75" i="72" s="1"/>
  <c r="Y75" i="72" s="1"/>
  <c r="V76" i="72"/>
  <c r="V77" i="72"/>
  <c r="W77" i="72" s="1"/>
  <c r="V78" i="72"/>
  <c r="X78" i="72" s="1"/>
  <c r="Y78" i="72" s="1"/>
  <c r="V79" i="72"/>
  <c r="V80" i="72"/>
  <c r="W80" i="72" s="1"/>
  <c r="V81" i="72"/>
  <c r="X81" i="72" s="1"/>
  <c r="Y81" i="72" s="1"/>
  <c r="V82" i="72"/>
  <c r="V83" i="72"/>
  <c r="W83" i="72" s="1"/>
  <c r="V84" i="72"/>
  <c r="X84" i="72" s="1"/>
  <c r="Y84" i="72" s="1"/>
  <c r="V85" i="72"/>
  <c r="V86" i="72"/>
  <c r="W86" i="72" s="1"/>
  <c r="V87" i="72"/>
  <c r="X87" i="72" s="1"/>
  <c r="Y87" i="72" s="1"/>
  <c r="V88" i="72"/>
  <c r="V89" i="72"/>
  <c r="W89" i="72" s="1"/>
  <c r="V90" i="72"/>
  <c r="X90" i="72" s="1"/>
  <c r="Y90" i="72" s="1"/>
  <c r="V91" i="72"/>
  <c r="V92" i="72"/>
  <c r="W92" i="72" s="1"/>
  <c r="V93" i="72"/>
  <c r="X93" i="72" s="1"/>
  <c r="Y93" i="72" s="1"/>
  <c r="V94" i="72"/>
  <c r="V95" i="72"/>
  <c r="W95" i="72" s="1"/>
  <c r="V96" i="72"/>
  <c r="X96" i="72" s="1"/>
  <c r="Y96" i="72" s="1"/>
  <c r="V97" i="72"/>
  <c r="V98" i="72"/>
  <c r="W98" i="72" s="1"/>
  <c r="V99" i="72"/>
  <c r="X99" i="72" s="1"/>
  <c r="Y99" i="72" s="1"/>
  <c r="V100" i="72"/>
  <c r="V101" i="72"/>
  <c r="W101" i="72" s="1"/>
  <c r="V102" i="72"/>
  <c r="X102" i="72" s="1"/>
  <c r="Y102" i="72" s="1"/>
  <c r="V103" i="72"/>
  <c r="V104" i="72"/>
  <c r="W104" i="72" s="1"/>
  <c r="V105" i="72"/>
  <c r="X105" i="72" s="1"/>
  <c r="Y105" i="72" s="1"/>
  <c r="V106" i="72"/>
  <c r="V107" i="72"/>
  <c r="W107" i="72" s="1"/>
  <c r="V108" i="72"/>
  <c r="X108" i="72" s="1"/>
  <c r="Y108" i="72" s="1"/>
  <c r="V109" i="72"/>
  <c r="V110" i="72"/>
  <c r="W110" i="72" s="1"/>
  <c r="V111" i="72"/>
  <c r="X111" i="72" s="1"/>
  <c r="Y111" i="72" s="1"/>
  <c r="V112" i="72"/>
  <c r="V113" i="72"/>
  <c r="W113" i="72" s="1"/>
  <c r="V114" i="72"/>
  <c r="X114" i="72" s="1"/>
  <c r="Y114" i="72" s="1"/>
  <c r="V115" i="72"/>
  <c r="V116" i="72"/>
  <c r="W116" i="72" s="1"/>
  <c r="V117" i="72"/>
  <c r="X117" i="72" s="1"/>
  <c r="Y117" i="72" s="1"/>
  <c r="V118" i="72"/>
  <c r="V119" i="72"/>
  <c r="W119" i="72" s="1"/>
  <c r="V120" i="72"/>
  <c r="X120" i="72" s="1"/>
  <c r="Y120" i="72" s="1"/>
  <c r="V121" i="72"/>
  <c r="V122" i="72"/>
  <c r="W122" i="72" s="1"/>
  <c r="V123" i="72"/>
  <c r="X123" i="72" s="1"/>
  <c r="Y123" i="72" s="1"/>
  <c r="V124" i="72"/>
  <c r="V125" i="72"/>
  <c r="W125" i="72" s="1"/>
  <c r="V126" i="72"/>
  <c r="X126" i="72" s="1"/>
  <c r="Y126" i="72" s="1"/>
  <c r="V127" i="72"/>
  <c r="V128" i="72"/>
  <c r="W128" i="72" s="1"/>
  <c r="V129" i="72"/>
  <c r="X129" i="72" s="1"/>
  <c r="Y129" i="72" s="1"/>
  <c r="V130" i="72"/>
  <c r="V131" i="72"/>
  <c r="W131" i="72" s="1"/>
  <c r="V132" i="72"/>
  <c r="X132" i="72" s="1"/>
  <c r="Y132" i="72" s="1"/>
  <c r="V133" i="72"/>
  <c r="V134" i="72"/>
  <c r="W134" i="72" s="1"/>
  <c r="V135" i="72"/>
  <c r="X135" i="72" s="1"/>
  <c r="Y135" i="72" s="1"/>
  <c r="V136" i="72"/>
  <c r="V137" i="72"/>
  <c r="W137" i="72" s="1"/>
  <c r="V138" i="72"/>
  <c r="X138" i="72" s="1"/>
  <c r="Y138" i="72" s="1"/>
  <c r="V139" i="72"/>
  <c r="V140" i="72"/>
  <c r="W140" i="72" s="1"/>
  <c r="V141" i="72"/>
  <c r="X141" i="72" s="1"/>
  <c r="Y141" i="72" s="1"/>
  <c r="V142" i="72"/>
  <c r="V143" i="72"/>
  <c r="W143" i="72" s="1"/>
  <c r="V144" i="72"/>
  <c r="X144" i="72" s="1"/>
  <c r="Y144" i="72" s="1"/>
  <c r="V145" i="72"/>
  <c r="V146" i="72"/>
  <c r="W146" i="72" s="1"/>
  <c r="V147" i="72"/>
  <c r="X147" i="72" s="1"/>
  <c r="Y147" i="72" s="1"/>
  <c r="V148" i="72"/>
  <c r="V149" i="72"/>
  <c r="W149" i="72" s="1"/>
  <c r="V150" i="72"/>
  <c r="X150" i="72" s="1"/>
  <c r="Y150" i="72" s="1"/>
  <c r="V151" i="72"/>
  <c r="V152" i="72"/>
  <c r="W152" i="72" s="1"/>
  <c r="V153" i="72"/>
  <c r="X153" i="72" s="1"/>
  <c r="Y153" i="72" s="1"/>
  <c r="V154" i="72"/>
  <c r="V155" i="72"/>
  <c r="W155" i="72" s="1"/>
  <c r="V156" i="72"/>
  <c r="X156" i="72" s="1"/>
  <c r="Y156" i="72" s="1"/>
  <c r="V157" i="72"/>
  <c r="V158" i="72"/>
  <c r="W158" i="72" s="1"/>
  <c r="V159" i="72"/>
  <c r="X159" i="72" s="1"/>
  <c r="Y159" i="72" s="1"/>
  <c r="V160" i="72"/>
  <c r="V161" i="72"/>
  <c r="W161" i="72" s="1"/>
  <c r="V162" i="72"/>
  <c r="X162" i="72" s="1"/>
  <c r="Y162" i="72" s="1"/>
  <c r="V163" i="72"/>
  <c r="V164" i="72"/>
  <c r="W164" i="72" s="1"/>
  <c r="V165" i="72"/>
  <c r="X165" i="72" s="1"/>
  <c r="Y165" i="72" s="1"/>
  <c r="V166" i="72"/>
  <c r="V167" i="72"/>
  <c r="W167" i="72" s="1"/>
  <c r="V168" i="72"/>
  <c r="X168" i="72" s="1"/>
  <c r="Y168" i="72" s="1"/>
  <c r="V169" i="72"/>
  <c r="V170" i="72"/>
  <c r="W170" i="72" s="1"/>
  <c r="V171" i="72"/>
  <c r="X171" i="72" s="1"/>
  <c r="Y171" i="72" s="1"/>
  <c r="V172" i="72"/>
  <c r="V173" i="72"/>
  <c r="W173" i="72" s="1"/>
  <c r="V174" i="72"/>
  <c r="X174" i="72" s="1"/>
  <c r="Y174" i="72" s="1"/>
  <c r="V175" i="72"/>
  <c r="V176" i="72"/>
  <c r="W176" i="72" s="1"/>
  <c r="V177" i="72"/>
  <c r="X177" i="72" s="1"/>
  <c r="Y177" i="72" s="1"/>
  <c r="V178" i="72"/>
  <c r="V179" i="72"/>
  <c r="W179" i="72" s="1"/>
  <c r="V180" i="72"/>
  <c r="X180" i="72" s="1"/>
  <c r="Y180" i="72" s="1"/>
  <c r="V181" i="72"/>
  <c r="V182" i="72"/>
  <c r="W182" i="72" s="1"/>
  <c r="V183" i="72"/>
  <c r="X183" i="72" s="1"/>
  <c r="Y183" i="72" s="1"/>
  <c r="V184" i="72"/>
  <c r="V185" i="72"/>
  <c r="W185" i="72" s="1"/>
  <c r="V186" i="72"/>
  <c r="X186" i="72" s="1"/>
  <c r="Y186" i="72" s="1"/>
  <c r="V187" i="72"/>
  <c r="W187" i="72" s="1"/>
  <c r="V188" i="72"/>
  <c r="W188" i="72" s="1"/>
  <c r="W120" i="72" l="1"/>
  <c r="X113" i="72"/>
  <c r="Y113" i="72" s="1"/>
  <c r="X98" i="72"/>
  <c r="Y98" i="72" s="1"/>
  <c r="X71" i="72"/>
  <c r="Y71" i="72" s="1"/>
  <c r="W177" i="72"/>
  <c r="W156" i="72"/>
  <c r="W186" i="72"/>
  <c r="X179" i="72"/>
  <c r="Y179" i="72" s="1"/>
  <c r="X134" i="72"/>
  <c r="Y134" i="72" s="1"/>
  <c r="X188" i="72"/>
  <c r="Y188" i="72" s="1"/>
  <c r="X77" i="72"/>
  <c r="Y77" i="72" s="1"/>
  <c r="W135" i="72"/>
  <c r="W87" i="72"/>
  <c r="X185" i="72"/>
  <c r="Y185" i="72" s="1"/>
  <c r="W150" i="72"/>
  <c r="W33" i="72"/>
  <c r="X26" i="72"/>
  <c r="Y26" i="72" s="1"/>
  <c r="W159" i="72"/>
  <c r="W138" i="72"/>
  <c r="W96" i="72"/>
  <c r="X167" i="72"/>
  <c r="Y167" i="72" s="1"/>
  <c r="X44" i="72"/>
  <c r="Y44" i="72" s="1"/>
  <c r="W171" i="72"/>
  <c r="X131" i="72"/>
  <c r="Y131" i="72" s="1"/>
  <c r="W63" i="72"/>
  <c r="X89" i="72"/>
  <c r="Y89" i="72" s="1"/>
  <c r="X38" i="72"/>
  <c r="Y38" i="72" s="1"/>
  <c r="X128" i="72"/>
  <c r="Y128" i="72" s="1"/>
  <c r="X92" i="72"/>
  <c r="Y92" i="72" s="1"/>
  <c r="W21" i="72"/>
  <c r="W18" i="72"/>
  <c r="W132" i="72"/>
  <c r="W78" i="72"/>
  <c r="X8" i="72"/>
  <c r="Y8" i="72" s="1"/>
  <c r="X56" i="72"/>
  <c r="Y56" i="72" s="1"/>
  <c r="W6" i="72"/>
  <c r="X80" i="72"/>
  <c r="Y80" i="72" s="1"/>
  <c r="X170" i="72"/>
  <c r="Y170" i="72" s="1"/>
  <c r="W66" i="72"/>
  <c r="W141" i="72"/>
  <c r="W102" i="72"/>
  <c r="W51" i="72"/>
  <c r="W24" i="72"/>
  <c r="W174" i="72"/>
  <c r="X149" i="72"/>
  <c r="Y149" i="72" s="1"/>
  <c r="W123" i="72"/>
  <c r="W114" i="72"/>
  <c r="W105" i="72"/>
  <c r="W9" i="72"/>
  <c r="X164" i="72"/>
  <c r="Y164" i="72" s="1"/>
  <c r="X95" i="72"/>
  <c r="Y95" i="72" s="1"/>
  <c r="X50" i="72"/>
  <c r="Y50" i="72" s="1"/>
  <c r="X32" i="72"/>
  <c r="Y32" i="72" s="1"/>
  <c r="W15" i="72"/>
  <c r="W57" i="72"/>
  <c r="W39" i="72"/>
  <c r="X14" i="72"/>
  <c r="Y14" i="72" s="1"/>
  <c r="W84" i="72"/>
  <c r="X161" i="72"/>
  <c r="Y161" i="72" s="1"/>
  <c r="X152" i="72"/>
  <c r="Y152" i="72" s="1"/>
  <c r="X143" i="72"/>
  <c r="Y143" i="72" s="1"/>
  <c r="W99" i="72"/>
  <c r="X20" i="72"/>
  <c r="Y20" i="72" s="1"/>
  <c r="W12" i="72"/>
  <c r="W168" i="72"/>
  <c r="X125" i="72"/>
  <c r="Y125" i="72" s="1"/>
  <c r="X116" i="72"/>
  <c r="Y116" i="72" s="1"/>
  <c r="X107" i="72"/>
  <c r="Y107" i="72" s="1"/>
  <c r="W45" i="72"/>
  <c r="W27" i="72"/>
  <c r="W165" i="72"/>
  <c r="X158" i="72"/>
  <c r="Y158" i="72" s="1"/>
  <c r="W129" i="72"/>
  <c r="X122" i="72"/>
  <c r="Y122" i="72" s="1"/>
  <c r="W93" i="72"/>
  <c r="X86" i="72"/>
  <c r="Y86" i="72" s="1"/>
  <c r="X65" i="72"/>
  <c r="Y65" i="72" s="1"/>
  <c r="W162" i="72"/>
  <c r="X155" i="72"/>
  <c r="Y155" i="72" s="1"/>
  <c r="W126" i="72"/>
  <c r="X119" i="72"/>
  <c r="Y119" i="72" s="1"/>
  <c r="W90" i="72"/>
  <c r="X83" i="72"/>
  <c r="Y83" i="72" s="1"/>
  <c r="W69" i="72"/>
  <c r="X62" i="72"/>
  <c r="Y62" i="72" s="1"/>
  <c r="W183" i="72"/>
  <c r="X176" i="72"/>
  <c r="Y176" i="72" s="1"/>
  <c r="W147" i="72"/>
  <c r="X140" i="72"/>
  <c r="Y140" i="72" s="1"/>
  <c r="W111" i="72"/>
  <c r="X104" i="72"/>
  <c r="Y104" i="72" s="1"/>
  <c r="W75" i="72"/>
  <c r="X68" i="72"/>
  <c r="Y68" i="72" s="1"/>
  <c r="X182" i="72"/>
  <c r="Y182" i="72" s="1"/>
  <c r="W153" i="72"/>
  <c r="X146" i="72"/>
  <c r="Y146" i="72" s="1"/>
  <c r="W117" i="72"/>
  <c r="X110" i="72"/>
  <c r="Y110" i="72" s="1"/>
  <c r="W81" i="72"/>
  <c r="X74" i="72"/>
  <c r="Y74" i="72" s="1"/>
  <c r="W60" i="72"/>
  <c r="W54" i="72"/>
  <c r="W48" i="72"/>
  <c r="W42" i="72"/>
  <c r="W36" i="72"/>
  <c r="W30" i="72"/>
  <c r="X59" i="72"/>
  <c r="Y59" i="72" s="1"/>
  <c r="X53" i="72"/>
  <c r="Y53" i="72" s="1"/>
  <c r="X47" i="72"/>
  <c r="Y47" i="72" s="1"/>
  <c r="X41" i="72"/>
  <c r="Y41" i="72" s="1"/>
  <c r="X35" i="72"/>
  <c r="Y35" i="72" s="1"/>
  <c r="X29" i="72"/>
  <c r="Y29" i="72" s="1"/>
  <c r="X23" i="72"/>
  <c r="Y23" i="72" s="1"/>
  <c r="X17" i="72"/>
  <c r="Y17" i="72" s="1"/>
  <c r="X11" i="72"/>
  <c r="Y11" i="72" s="1"/>
  <c r="W180" i="72"/>
  <c r="X173" i="72"/>
  <c r="Y173" i="72" s="1"/>
  <c r="W144" i="72"/>
  <c r="X137" i="72"/>
  <c r="Y137" i="72" s="1"/>
  <c r="W108" i="72"/>
  <c r="X101" i="72"/>
  <c r="Y101" i="72" s="1"/>
  <c r="W72" i="72"/>
  <c r="W139" i="72"/>
  <c r="X139" i="72"/>
  <c r="Y139" i="72" s="1"/>
  <c r="W103" i="72"/>
  <c r="X103" i="72"/>
  <c r="Y103" i="72" s="1"/>
  <c r="W124" i="72"/>
  <c r="X124" i="72"/>
  <c r="Y124" i="72" s="1"/>
  <c r="W166" i="72"/>
  <c r="X166" i="72"/>
  <c r="Y166" i="72" s="1"/>
  <c r="W130" i="72"/>
  <c r="X130" i="72"/>
  <c r="Y130" i="72" s="1"/>
  <c r="W94" i="72"/>
  <c r="X94" i="72"/>
  <c r="Y94" i="72" s="1"/>
  <c r="W145" i="72"/>
  <c r="X145" i="72"/>
  <c r="Y145" i="72" s="1"/>
  <c r="W178" i="72"/>
  <c r="X178" i="72"/>
  <c r="Y178" i="72" s="1"/>
  <c r="W115" i="72"/>
  <c r="X115" i="72"/>
  <c r="Y115" i="72" s="1"/>
  <c r="W79" i="72"/>
  <c r="X79" i="72"/>
  <c r="Y79" i="72" s="1"/>
  <c r="W136" i="72"/>
  <c r="X136" i="72"/>
  <c r="Y136" i="72" s="1"/>
  <c r="W100" i="72"/>
  <c r="X100" i="72"/>
  <c r="Y100" i="72" s="1"/>
  <c r="W109" i="72"/>
  <c r="X109" i="72"/>
  <c r="Y109" i="72" s="1"/>
  <c r="W184" i="72"/>
  <c r="X184" i="72"/>
  <c r="Y184" i="72" s="1"/>
  <c r="W172" i="72"/>
  <c r="X172" i="72"/>
  <c r="Y172" i="72" s="1"/>
  <c r="W151" i="72"/>
  <c r="X151" i="72"/>
  <c r="Y151" i="72" s="1"/>
  <c r="W157" i="72"/>
  <c r="X157" i="72"/>
  <c r="Y157" i="72" s="1"/>
  <c r="W121" i="72"/>
  <c r="X121" i="72"/>
  <c r="Y121" i="72" s="1"/>
  <c r="W85" i="72"/>
  <c r="X85" i="72"/>
  <c r="Y85" i="72" s="1"/>
  <c r="W163" i="72"/>
  <c r="X163" i="72"/>
  <c r="Y163" i="72" s="1"/>
  <c r="W127" i="72"/>
  <c r="X127" i="72"/>
  <c r="Y127" i="72" s="1"/>
  <c r="W91" i="72"/>
  <c r="X91" i="72"/>
  <c r="Y91" i="72" s="1"/>
  <c r="X187" i="72"/>
  <c r="Y187" i="72" s="1"/>
  <c r="W148" i="72"/>
  <c r="X148" i="72"/>
  <c r="Y148" i="72" s="1"/>
  <c r="W112" i="72"/>
  <c r="X112" i="72"/>
  <c r="Y112" i="72" s="1"/>
  <c r="W142" i="72"/>
  <c r="X142" i="72"/>
  <c r="Y142" i="72" s="1"/>
  <c r="W106" i="72"/>
  <c r="X106" i="72"/>
  <c r="Y106" i="72" s="1"/>
  <c r="W181" i="72"/>
  <c r="X181" i="72"/>
  <c r="Y181" i="72" s="1"/>
  <c r="W175" i="72"/>
  <c r="X175" i="72"/>
  <c r="Y175" i="72" s="1"/>
  <c r="W169" i="72"/>
  <c r="X169" i="72"/>
  <c r="Y169" i="72" s="1"/>
  <c r="W133" i="72"/>
  <c r="X133" i="72"/>
  <c r="Y133" i="72" s="1"/>
  <c r="W97" i="72"/>
  <c r="X97" i="72"/>
  <c r="Y97" i="72" s="1"/>
  <c r="W76" i="72"/>
  <c r="X76" i="72"/>
  <c r="Y76" i="72" s="1"/>
  <c r="W154" i="72"/>
  <c r="X154" i="72"/>
  <c r="Y154" i="72" s="1"/>
  <c r="W118" i="72"/>
  <c r="X118" i="72"/>
  <c r="Y118" i="72" s="1"/>
  <c r="W82" i="72"/>
  <c r="X82" i="72"/>
  <c r="Y82" i="72" s="1"/>
  <c r="W160" i="72"/>
  <c r="X160" i="72"/>
  <c r="Y160" i="72" s="1"/>
  <c r="W88" i="72"/>
  <c r="X88" i="72"/>
  <c r="Y88" i="72" s="1"/>
  <c r="X73" i="72"/>
  <c r="Y73" i="72" s="1"/>
  <c r="X70" i="72"/>
  <c r="Y70" i="72" s="1"/>
  <c r="X67" i="72"/>
  <c r="Y67" i="72" s="1"/>
  <c r="X64" i="72"/>
  <c r="Y64" i="72" s="1"/>
  <c r="X61" i="72"/>
  <c r="Y61" i="72" s="1"/>
  <c r="X58" i="72"/>
  <c r="Y58" i="72" s="1"/>
  <c r="X55" i="72"/>
  <c r="Y55" i="72" s="1"/>
  <c r="X52" i="72"/>
  <c r="Y52" i="72" s="1"/>
  <c r="X49" i="72"/>
  <c r="Y49" i="72" s="1"/>
  <c r="X43" i="72"/>
  <c r="Y43" i="72" s="1"/>
  <c r="X40" i="72"/>
  <c r="Y40" i="72" s="1"/>
  <c r="X37" i="72"/>
  <c r="Y37" i="72" s="1"/>
  <c r="X34" i="72"/>
  <c r="Y34" i="72" s="1"/>
  <c r="X31" i="72"/>
  <c r="Y31" i="72" s="1"/>
  <c r="X28" i="72"/>
  <c r="Y28" i="72" s="1"/>
  <c r="X25" i="72"/>
  <c r="Y25" i="72" s="1"/>
  <c r="X22" i="72"/>
  <c r="Y22" i="72" s="1"/>
  <c r="X19" i="72"/>
  <c r="Y19" i="72" s="1"/>
  <c r="X16" i="72"/>
  <c r="Y16" i="72" s="1"/>
  <c r="X13" i="72"/>
  <c r="Y13" i="72" s="1"/>
  <c r="X10" i="72"/>
  <c r="Y10" i="72" s="1"/>
  <c r="X7" i="72"/>
  <c r="Y7" i="72" s="1"/>
  <c r="X46" i="72"/>
  <c r="Y46" i="72" s="1"/>
  <c r="V5" i="158" l="1"/>
  <c r="W5" i="158" l="1"/>
  <c r="X5" i="158"/>
  <c r="Y5" i="158" s="1"/>
  <c r="Y5" i="156"/>
  <c r="Q5" i="158" l="1"/>
  <c r="Q6" i="158"/>
  <c r="Q7" i="158"/>
  <c r="Q8" i="158"/>
  <c r="Q9" i="158"/>
  <c r="Q10" i="158"/>
  <c r="Q11" i="158"/>
  <c r="Q12" i="158"/>
  <c r="Q13" i="158"/>
  <c r="Q14" i="158"/>
  <c r="Q15" i="158"/>
  <c r="Q16" i="158"/>
  <c r="Q17" i="158"/>
  <c r="Q18" i="158"/>
  <c r="Q19" i="158"/>
  <c r="Q20" i="158"/>
  <c r="Q21" i="158"/>
  <c r="Q22" i="158"/>
  <c r="Q23" i="158"/>
  <c r="Q24" i="158"/>
  <c r="Q25" i="158"/>
  <c r="Q26" i="158"/>
  <c r="Q27" i="158"/>
  <c r="Q28" i="158"/>
  <c r="Q29" i="158"/>
  <c r="Q30" i="158"/>
  <c r="Q31" i="158"/>
  <c r="Q32" i="158"/>
  <c r="Q33" i="158"/>
  <c r="Q34" i="158"/>
  <c r="Q35" i="158"/>
  <c r="Q36" i="158"/>
  <c r="Q37" i="158"/>
  <c r="Q38" i="158"/>
  <c r="Q39" i="158"/>
  <c r="Q40" i="158"/>
  <c r="Q41" i="158"/>
  <c r="Q42" i="158"/>
  <c r="Q43" i="158"/>
  <c r="Q44" i="158"/>
  <c r="Q45" i="158"/>
  <c r="Q46" i="158"/>
  <c r="Q47" i="158"/>
  <c r="Q48" i="158"/>
  <c r="Q49" i="158"/>
  <c r="Q50" i="158"/>
  <c r="Q51" i="158"/>
  <c r="Q52" i="158"/>
  <c r="Q53" i="158"/>
  <c r="Q54" i="158"/>
  <c r="Q55" i="158"/>
  <c r="Q56" i="158"/>
  <c r="Q57" i="158"/>
  <c r="Q58" i="158"/>
  <c r="Q59" i="158"/>
  <c r="Q60" i="158"/>
  <c r="Q61" i="158"/>
  <c r="Q62" i="158"/>
  <c r="Q63" i="158"/>
  <c r="Q64" i="158"/>
  <c r="Q65" i="158"/>
  <c r="Q66" i="158"/>
  <c r="Q67" i="158"/>
  <c r="Q68" i="158"/>
  <c r="Q107" i="158"/>
  <c r="Q69" i="158"/>
  <c r="Q70" i="158"/>
  <c r="Q71" i="158"/>
  <c r="Q72" i="158"/>
  <c r="Q73" i="158"/>
  <c r="Q74" i="158"/>
  <c r="Q75" i="158"/>
  <c r="Q76" i="158"/>
  <c r="Q77" i="158"/>
  <c r="Q78" i="158"/>
  <c r="Q79" i="158"/>
  <c r="Q80" i="158"/>
  <c r="Q81" i="158"/>
  <c r="Q82" i="158"/>
  <c r="Q83" i="158"/>
  <c r="Q84" i="158"/>
  <c r="Q85" i="158"/>
  <c r="Q108" i="158"/>
  <c r="Q109" i="158"/>
  <c r="Q110" i="158"/>
  <c r="Q86" i="158"/>
  <c r="Q87" i="158"/>
  <c r="Q111" i="158"/>
  <c r="Q88" i="158"/>
  <c r="Q89" i="158"/>
  <c r="Q90" i="158"/>
  <c r="Q91" i="158"/>
  <c r="Q92" i="158"/>
  <c r="Q93" i="158"/>
  <c r="Q94" i="158"/>
  <c r="Q95" i="158"/>
  <c r="Q112" i="158"/>
  <c r="Q96" i="158"/>
  <c r="Q97" i="158"/>
  <c r="Q113" i="158"/>
  <c r="Q98" i="158"/>
  <c r="Q114" i="158"/>
  <c r="Q99" i="158"/>
  <c r="Q100" i="158"/>
  <c r="Q101" i="158"/>
  <c r="Q102" i="158"/>
  <c r="Q103" i="158"/>
  <c r="Q104" i="158"/>
  <c r="Q105" i="158"/>
  <c r="Q106" i="158"/>
  <c r="Q115" i="158"/>
  <c r="O116" i="158"/>
  <c r="Z116" i="158"/>
  <c r="AA116" i="158"/>
  <c r="AB116" i="158"/>
  <c r="AE116" i="158"/>
  <c r="W116" i="158" l="1"/>
  <c r="Y116" i="158"/>
  <c r="Q116" i="158"/>
  <c r="W118" i="158" l="1"/>
  <c r="Q19" i="156"/>
  <c r="Q20" i="156"/>
  <c r="Q21" i="156"/>
  <c r="Q22" i="156"/>
  <c r="Q23" i="156"/>
  <c r="Q24" i="156"/>
  <c r="Q25" i="156"/>
  <c r="Q26" i="156"/>
  <c r="Q27" i="156"/>
  <c r="Q28" i="156"/>
  <c r="Q29" i="156"/>
  <c r="Q30" i="156"/>
  <c r="Q31" i="156"/>
  <c r="Q32" i="156"/>
  <c r="Q33" i="156"/>
  <c r="Q34" i="156"/>
  <c r="Q35" i="156"/>
  <c r="Q36" i="156"/>
  <c r="Q37" i="156"/>
  <c r="Q38" i="156"/>
  <c r="Q39" i="156"/>
  <c r="Q40" i="156"/>
  <c r="Q41" i="156"/>
  <c r="Q42" i="156"/>
  <c r="Q43" i="156"/>
  <c r="Q44" i="156"/>
  <c r="Q45" i="156"/>
  <c r="Q46" i="156"/>
  <c r="Q47" i="156"/>
  <c r="Q48" i="156"/>
  <c r="Q49" i="156"/>
  <c r="Q50" i="156"/>
  <c r="Q74" i="156"/>
  <c r="Q75" i="156"/>
  <c r="Q76" i="156"/>
  <c r="Q77" i="156"/>
  <c r="Q78" i="156"/>
  <c r="Q79" i="156"/>
  <c r="Q80" i="156"/>
  <c r="Q81" i="156"/>
  <c r="Q82" i="156"/>
  <c r="Q83" i="156"/>
  <c r="Q84" i="156"/>
  <c r="Q85" i="156"/>
  <c r="Q86" i="156"/>
  <c r="Q87" i="156"/>
  <c r="Q88" i="156"/>
  <c r="Q89" i="156"/>
  <c r="Q90" i="156"/>
  <c r="Q91" i="156"/>
  <c r="Q92" i="156"/>
  <c r="Q93" i="156"/>
  <c r="Q94" i="156"/>
  <c r="Q95" i="156"/>
  <c r="Q96" i="156"/>
  <c r="Q97" i="156"/>
  <c r="Q98" i="156"/>
  <c r="Q99" i="156"/>
  <c r="Q100" i="156"/>
  <c r="Q101" i="156"/>
  <c r="Q102" i="156"/>
  <c r="Q103" i="156"/>
  <c r="Q104" i="156"/>
  <c r="Q105" i="156"/>
  <c r="Q106" i="156"/>
  <c r="Q107" i="156"/>
  <c r="Q108" i="156"/>
  <c r="Q109" i="156"/>
  <c r="Q110" i="156"/>
  <c r="Q111" i="156"/>
  <c r="Q112" i="156"/>
  <c r="Q113" i="156"/>
  <c r="Q5" i="156"/>
  <c r="Q6" i="156"/>
  <c r="Q7" i="156"/>
  <c r="Q8" i="156"/>
  <c r="Q9" i="156"/>
  <c r="Q10" i="156"/>
  <c r="Y129" i="156"/>
  <c r="Q11" i="156"/>
  <c r="Q12" i="156"/>
  <c r="Q13" i="156"/>
  <c r="Q14" i="156"/>
  <c r="Q15" i="156"/>
  <c r="Q51" i="156"/>
  <c r="Q52" i="156"/>
  <c r="Q68" i="156"/>
  <c r="Q69" i="156"/>
  <c r="Q70" i="156"/>
  <c r="Q16" i="156"/>
  <c r="Q71" i="156"/>
  <c r="Q17" i="156"/>
  <c r="Q18" i="156"/>
  <c r="Q72" i="156"/>
  <c r="Q73" i="156"/>
  <c r="Q53" i="156"/>
  <c r="Q114" i="156"/>
  <c r="Q115" i="156"/>
  <c r="Q116" i="156"/>
  <c r="Q117" i="156"/>
  <c r="Q118" i="156"/>
  <c r="Q119" i="156"/>
  <c r="Q120" i="156"/>
  <c r="Q54" i="156"/>
  <c r="Q55" i="156"/>
  <c r="Q121" i="156"/>
  <c r="Q56" i="156"/>
  <c r="Q57" i="156"/>
  <c r="Q58" i="156"/>
  <c r="Q59" i="156"/>
  <c r="Q60" i="156"/>
  <c r="Q122" i="156"/>
  <c r="Q123" i="156"/>
  <c r="Q61" i="156"/>
  <c r="Q62" i="156"/>
  <c r="Q124" i="156"/>
  <c r="Q125" i="156"/>
  <c r="Q63" i="156"/>
  <c r="Q126" i="156"/>
  <c r="Q64" i="156"/>
  <c r="Q65" i="156"/>
  <c r="Q66" i="156"/>
  <c r="Q67" i="156"/>
  <c r="Q127" i="156"/>
  <c r="Q128" i="156"/>
  <c r="Z129" i="156"/>
  <c r="AA129" i="156"/>
  <c r="AB129" i="156"/>
  <c r="AE129" i="156"/>
  <c r="W129" i="156" l="1"/>
  <c r="Q129" i="156"/>
  <c r="W131" i="156" l="1"/>
  <c r="Q5" i="154"/>
  <c r="Q6" i="154"/>
  <c r="Q7" i="154"/>
  <c r="Q8" i="154"/>
  <c r="Q9" i="154"/>
  <c r="Q10" i="154"/>
  <c r="Q11" i="154"/>
  <c r="Q12" i="154"/>
  <c r="Q13" i="154"/>
  <c r="Q14" i="154"/>
  <c r="Q15" i="154"/>
  <c r="Q16" i="154"/>
  <c r="Q17" i="154"/>
  <c r="Q18" i="154"/>
  <c r="Q19" i="154"/>
  <c r="Q20" i="154"/>
  <c r="Q21" i="154"/>
  <c r="Q22" i="154"/>
  <c r="Q23" i="154"/>
  <c r="Q24" i="154"/>
  <c r="Q25" i="154"/>
  <c r="Q26" i="154"/>
  <c r="Q27" i="154"/>
  <c r="Q28" i="154"/>
  <c r="Q29" i="154"/>
  <c r="Q30" i="154"/>
  <c r="Q31" i="154"/>
  <c r="Q32" i="154"/>
  <c r="Q33" i="154"/>
  <c r="Q34" i="154"/>
  <c r="Q35" i="154"/>
  <c r="Q36" i="154"/>
  <c r="Q67" i="154"/>
  <c r="Q68" i="154"/>
  <c r="Q69" i="154"/>
  <c r="Q70" i="154"/>
  <c r="Q71" i="154"/>
  <c r="Q72" i="154"/>
  <c r="Q73" i="154"/>
  <c r="Q74" i="154"/>
  <c r="Q75" i="154"/>
  <c r="Q76" i="154"/>
  <c r="Q77" i="154"/>
  <c r="Q78" i="154"/>
  <c r="Q79" i="154"/>
  <c r="Q80" i="154"/>
  <c r="Q81" i="154"/>
  <c r="Q82" i="154"/>
  <c r="Q83" i="154"/>
  <c r="Q84" i="154"/>
  <c r="Q85" i="154"/>
  <c r="Q86" i="154"/>
  <c r="Q87" i="154"/>
  <c r="Q88" i="154"/>
  <c r="Q89" i="154"/>
  <c r="Q90" i="154"/>
  <c r="Q91" i="154"/>
  <c r="Q92" i="154"/>
  <c r="Q93" i="154"/>
  <c r="Q94" i="154"/>
  <c r="Q95" i="154"/>
  <c r="Q96" i="154"/>
  <c r="Q97" i="154"/>
  <c r="Q98" i="154"/>
  <c r="Q99" i="154"/>
  <c r="Q100" i="154"/>
  <c r="Q101" i="154"/>
  <c r="Q102" i="154"/>
  <c r="Q103" i="154"/>
  <c r="Q104" i="154"/>
  <c r="Q105" i="154"/>
  <c r="Q106" i="154"/>
  <c r="Q37" i="154"/>
  <c r="Q38" i="154"/>
  <c r="Q39" i="154"/>
  <c r="Q40" i="154"/>
  <c r="Q41" i="154"/>
  <c r="Q42" i="154"/>
  <c r="Q43" i="154"/>
  <c r="Q44" i="154"/>
  <c r="Q45" i="154"/>
  <c r="Q46" i="154"/>
  <c r="Q47" i="154"/>
  <c r="Q48" i="154"/>
  <c r="Q49" i="154"/>
  <c r="Q107" i="154"/>
  <c r="Q108" i="154"/>
  <c r="Q109" i="154"/>
  <c r="Q50" i="154"/>
  <c r="Q110" i="154"/>
  <c r="Q51" i="154"/>
  <c r="Q52" i="154"/>
  <c r="Q53" i="154"/>
  <c r="Q111" i="154"/>
  <c r="Q112" i="154"/>
  <c r="Q113" i="154"/>
  <c r="Q114" i="154"/>
  <c r="Q54" i="154"/>
  <c r="Q115" i="154"/>
  <c r="Q116" i="154"/>
  <c r="Q117" i="154"/>
  <c r="Q118" i="154"/>
  <c r="Q119" i="154"/>
  <c r="Q120" i="154"/>
  <c r="Q121" i="154"/>
  <c r="Q122" i="154"/>
  <c r="Q123" i="154"/>
  <c r="Q124" i="154"/>
  <c r="Q55" i="154"/>
  <c r="Q56" i="154"/>
  <c r="Q57" i="154"/>
  <c r="Q58" i="154"/>
  <c r="Q59" i="154"/>
  <c r="Q60" i="154"/>
  <c r="Q61" i="154"/>
  <c r="Q125" i="154"/>
  <c r="Q126" i="154"/>
  <c r="Q62" i="154"/>
  <c r="Q63" i="154"/>
  <c r="Q64" i="154"/>
  <c r="Q65" i="154"/>
  <c r="Q66" i="154"/>
  <c r="Q127" i="154"/>
  <c r="Q128" i="154"/>
  <c r="O129" i="154"/>
  <c r="W129" i="154"/>
  <c r="Y129" i="154"/>
  <c r="Z129" i="154"/>
  <c r="AA129" i="154"/>
  <c r="AB129" i="154"/>
  <c r="AE129" i="154"/>
  <c r="Q129" i="154" l="1"/>
  <c r="W131" i="154" s="1"/>
  <c r="Q5" i="152" l="1"/>
  <c r="W181" i="152"/>
  <c r="Q6" i="152"/>
  <c r="Q7" i="152"/>
  <c r="Q8" i="152"/>
  <c r="Q9" i="152"/>
  <c r="Q10" i="152"/>
  <c r="Q11" i="152"/>
  <c r="Q12" i="152"/>
  <c r="Q13" i="152"/>
  <c r="Q14" i="152"/>
  <c r="Q15" i="152"/>
  <c r="Q16" i="152"/>
  <c r="Q17" i="152"/>
  <c r="Q18" i="152"/>
  <c r="Q19" i="152"/>
  <c r="Q20" i="152"/>
  <c r="Q21" i="152"/>
  <c r="Q22" i="152"/>
  <c r="Q23" i="152"/>
  <c r="Q24" i="152"/>
  <c r="Q25" i="152"/>
  <c r="Q26" i="152"/>
  <c r="Q27" i="152"/>
  <c r="Q28" i="152"/>
  <c r="Q29" i="152"/>
  <c r="Q30" i="152"/>
  <c r="Q31" i="152"/>
  <c r="Q32" i="152"/>
  <c r="Q33" i="152"/>
  <c r="Q34" i="152"/>
  <c r="Q35" i="152"/>
  <c r="Q36" i="152"/>
  <c r="Q37" i="152"/>
  <c r="Q38" i="152"/>
  <c r="Q39" i="152"/>
  <c r="Q40" i="152"/>
  <c r="Q41" i="152"/>
  <c r="Q42" i="152"/>
  <c r="Q43" i="152"/>
  <c r="Q44" i="152"/>
  <c r="Q45" i="152"/>
  <c r="Q46" i="152"/>
  <c r="Q47" i="152"/>
  <c r="Q48" i="152"/>
  <c r="Q49" i="152"/>
  <c r="Q50" i="152"/>
  <c r="Q51" i="152"/>
  <c r="Q52" i="152"/>
  <c r="Q53" i="152"/>
  <c r="Q54" i="152"/>
  <c r="Q55" i="152"/>
  <c r="Q56" i="152"/>
  <c r="Q57" i="152"/>
  <c r="Q58" i="152"/>
  <c r="Q59" i="152"/>
  <c r="Q60" i="152"/>
  <c r="Q61" i="152"/>
  <c r="Q62" i="152"/>
  <c r="Q63" i="152"/>
  <c r="Q64" i="152"/>
  <c r="Q65" i="152"/>
  <c r="Q66" i="152"/>
  <c r="Q67" i="152"/>
  <c r="Q68" i="152"/>
  <c r="Q69" i="152"/>
  <c r="Q70" i="152"/>
  <c r="Q71" i="152"/>
  <c r="Q72" i="152"/>
  <c r="Q73" i="152"/>
  <c r="Q74" i="152"/>
  <c r="Q75" i="152"/>
  <c r="Q76" i="152"/>
  <c r="Q77" i="152"/>
  <c r="Q78" i="152"/>
  <c r="Q79" i="152"/>
  <c r="Q80" i="152"/>
  <c r="Q81" i="152"/>
  <c r="Q82" i="152"/>
  <c r="Q83" i="152"/>
  <c r="Q84" i="152"/>
  <c r="Q85" i="152"/>
  <c r="Q86" i="152"/>
  <c r="Q87" i="152"/>
  <c r="Q88" i="152"/>
  <c r="Q89" i="152"/>
  <c r="Q90" i="152"/>
  <c r="Q91" i="152"/>
  <c r="Q92" i="152"/>
  <c r="Q93" i="152"/>
  <c r="Q94" i="152"/>
  <c r="Q95" i="152"/>
  <c r="Q96" i="152"/>
  <c r="Q97" i="152"/>
  <c r="Q98" i="152"/>
  <c r="Q99" i="152"/>
  <c r="Q100" i="152"/>
  <c r="Q101" i="152"/>
  <c r="Q102" i="152"/>
  <c r="Q103" i="152"/>
  <c r="Q104" i="152"/>
  <c r="Q105" i="152"/>
  <c r="Q106" i="152"/>
  <c r="Q107" i="152"/>
  <c r="Q108" i="152"/>
  <c r="Q109" i="152"/>
  <c r="Q110" i="152"/>
  <c r="Q111" i="152"/>
  <c r="Q112" i="152"/>
  <c r="Q113" i="152"/>
  <c r="Q114" i="152"/>
  <c r="Q115" i="152"/>
  <c r="Q116" i="152"/>
  <c r="Q117" i="152"/>
  <c r="Q118" i="152"/>
  <c r="Q119" i="152"/>
  <c r="Q120" i="152"/>
  <c r="Q121" i="152"/>
  <c r="Q122" i="152"/>
  <c r="Q123" i="152"/>
  <c r="Q124" i="152"/>
  <c r="Q125" i="152"/>
  <c r="Q126" i="152"/>
  <c r="Q176" i="152"/>
  <c r="Q177" i="152"/>
  <c r="Q178" i="152"/>
  <c r="Q179" i="152"/>
  <c r="Q127" i="152"/>
  <c r="Q128" i="152"/>
  <c r="Q129" i="152"/>
  <c r="Q130" i="152"/>
  <c r="Q131" i="152"/>
  <c r="Q132" i="152"/>
  <c r="Q133" i="152"/>
  <c r="Q134" i="152"/>
  <c r="Q135" i="152"/>
  <c r="Q136" i="152"/>
  <c r="Q137" i="152"/>
  <c r="Q138" i="152"/>
  <c r="Q139" i="152"/>
  <c r="Q140" i="152"/>
  <c r="Q141" i="152"/>
  <c r="Q142" i="152"/>
  <c r="Q143" i="152"/>
  <c r="Q144" i="152"/>
  <c r="Q145" i="152"/>
  <c r="Q146" i="152"/>
  <c r="Q147" i="152"/>
  <c r="Q148" i="152"/>
  <c r="Q149" i="152"/>
  <c r="Q150" i="152"/>
  <c r="Q151" i="152"/>
  <c r="Q152" i="152"/>
  <c r="Q153" i="152"/>
  <c r="Q154" i="152"/>
  <c r="Q155" i="152"/>
  <c r="Q156" i="152"/>
  <c r="Q157" i="152"/>
  <c r="Q158" i="152"/>
  <c r="Q159" i="152"/>
  <c r="Q160" i="152"/>
  <c r="Q161" i="152"/>
  <c r="Q162" i="152"/>
  <c r="Q163" i="152"/>
  <c r="Q164" i="152"/>
  <c r="Q165" i="152"/>
  <c r="Q166" i="152"/>
  <c r="Q167" i="152"/>
  <c r="Q168" i="152"/>
  <c r="Q169" i="152"/>
  <c r="Q170" i="152"/>
  <c r="Q171" i="152"/>
  <c r="Q172" i="152"/>
  <c r="Q173" i="152"/>
  <c r="Q174" i="152"/>
  <c r="Q175" i="152"/>
  <c r="Q180" i="152"/>
  <c r="O181" i="152"/>
  <c r="Z181" i="152"/>
  <c r="AA181" i="152"/>
  <c r="AB181" i="152"/>
  <c r="AE181" i="152"/>
  <c r="Q181" i="152" l="1"/>
  <c r="W183" i="152" s="1"/>
  <c r="Y5" i="152"/>
  <c r="Y181" i="152" s="1"/>
  <c r="Q5" i="151" l="1"/>
  <c r="Q6" i="151"/>
  <c r="Q7" i="151"/>
  <c r="Q8" i="151"/>
  <c r="Q9" i="151"/>
  <c r="Q10" i="151"/>
  <c r="Q11" i="151"/>
  <c r="Q12" i="151"/>
  <c r="Q13" i="151"/>
  <c r="Q14" i="151"/>
  <c r="Q15" i="151"/>
  <c r="Q16" i="151"/>
  <c r="Q17" i="151"/>
  <c r="Q18" i="151"/>
  <c r="Q19" i="151"/>
  <c r="Q20" i="151"/>
  <c r="Q21" i="151"/>
  <c r="Q22" i="151"/>
  <c r="Q23" i="151"/>
  <c r="Q24" i="151"/>
  <c r="Q154" i="151"/>
  <c r="Q25" i="151"/>
  <c r="Q26" i="151"/>
  <c r="Q27" i="151"/>
  <c r="Q28" i="151"/>
  <c r="Q29" i="151"/>
  <c r="Q30" i="151"/>
  <c r="Q31" i="151"/>
  <c r="Q32" i="151"/>
  <c r="Q33" i="151"/>
  <c r="Q34" i="151"/>
  <c r="Q35" i="151"/>
  <c r="Q36" i="151"/>
  <c r="Q37" i="151"/>
  <c r="Q38" i="151"/>
  <c r="Q39" i="151"/>
  <c r="Q40" i="151"/>
  <c r="Q41" i="151"/>
  <c r="Q42" i="151"/>
  <c r="Q43" i="151"/>
  <c r="Q155" i="151"/>
  <c r="Q44" i="151"/>
  <c r="Q45" i="151"/>
  <c r="Q46" i="151"/>
  <c r="Q47" i="151"/>
  <c r="Q48" i="151"/>
  <c r="Q49" i="151"/>
  <c r="Q50" i="151"/>
  <c r="Q51" i="151"/>
  <c r="Q52" i="151"/>
  <c r="Q53" i="151"/>
  <c r="Q54" i="151"/>
  <c r="Q55" i="151"/>
  <c r="Q56" i="151"/>
  <c r="Q57" i="151"/>
  <c r="Q58" i="151"/>
  <c r="Q59" i="151"/>
  <c r="Q60" i="151"/>
  <c r="Q61" i="151"/>
  <c r="Q62" i="151"/>
  <c r="Q63" i="151"/>
  <c r="Q64" i="151"/>
  <c r="Q65" i="151"/>
  <c r="Q66" i="151"/>
  <c r="Q67" i="151"/>
  <c r="Q68" i="151"/>
  <c r="Q69" i="151"/>
  <c r="Q70" i="151"/>
  <c r="Q71" i="151"/>
  <c r="Q72" i="151"/>
  <c r="Q73" i="151"/>
  <c r="Q74" i="151"/>
  <c r="Q75" i="151"/>
  <c r="Q76" i="151"/>
  <c r="Q77" i="151"/>
  <c r="Q78" i="151"/>
  <c r="Q79" i="151"/>
  <c r="Q80" i="151"/>
  <c r="Q156" i="151"/>
  <c r="Q81" i="151"/>
  <c r="Q82" i="151"/>
  <c r="Q83" i="151"/>
  <c r="Q84" i="151"/>
  <c r="Q85" i="151"/>
  <c r="Q86" i="151"/>
  <c r="Q87" i="151"/>
  <c r="Q88" i="151"/>
  <c r="Q89" i="151"/>
  <c r="Q90" i="151"/>
  <c r="Q91" i="151"/>
  <c r="Q92" i="151"/>
  <c r="Q157" i="151"/>
  <c r="Q93" i="151"/>
  <c r="Q94" i="151"/>
  <c r="Q95" i="151"/>
  <c r="Q96" i="151"/>
  <c r="Q97" i="151"/>
  <c r="Q98" i="151"/>
  <c r="Q158" i="151"/>
  <c r="Q159" i="151"/>
  <c r="Q99" i="151"/>
  <c r="Q100" i="151"/>
  <c r="Q101" i="151"/>
  <c r="Q102" i="151"/>
  <c r="Q103" i="151"/>
  <c r="Q104" i="151"/>
  <c r="Q105" i="151"/>
  <c r="Q106" i="151"/>
  <c r="Q107" i="151"/>
  <c r="Q108" i="151"/>
  <c r="Q109" i="151"/>
  <c r="Q110" i="151"/>
  <c r="Q111" i="151"/>
  <c r="Q112" i="151"/>
  <c r="Q113" i="151"/>
  <c r="Q114" i="151"/>
  <c r="Q115" i="151"/>
  <c r="Q116" i="151"/>
  <c r="Q117" i="151"/>
  <c r="Q118" i="151"/>
  <c r="Q160" i="151"/>
  <c r="Q119" i="151"/>
  <c r="Q120" i="151"/>
  <c r="Q121" i="151"/>
  <c r="Q122" i="151"/>
  <c r="Q123" i="151"/>
  <c r="Q124" i="151"/>
  <c r="Q125" i="151"/>
  <c r="Q126" i="151"/>
  <c r="Q127" i="151"/>
  <c r="Q161" i="151"/>
  <c r="Q162" i="151"/>
  <c r="Q163" i="151"/>
  <c r="Q164" i="151"/>
  <c r="Q165" i="151"/>
  <c r="Q166" i="151"/>
  <c r="Q167" i="151"/>
  <c r="Q168" i="151"/>
  <c r="Q169" i="151"/>
  <c r="Q170" i="151"/>
  <c r="Q171" i="151"/>
  <c r="Q172" i="151"/>
  <c r="Q173" i="151"/>
  <c r="Q128" i="151"/>
  <c r="Q129" i="151"/>
  <c r="Q130" i="151"/>
  <c r="Q131" i="151"/>
  <c r="Q132" i="151"/>
  <c r="Q174" i="151"/>
  <c r="Q133" i="151"/>
  <c r="Q134" i="151"/>
  <c r="Q135" i="151"/>
  <c r="Q136" i="151"/>
  <c r="Q137" i="151"/>
  <c r="Q138" i="151"/>
  <c r="Q139" i="151"/>
  <c r="Q140" i="151"/>
  <c r="Q141" i="151"/>
  <c r="Q142" i="151"/>
  <c r="Q143" i="151"/>
  <c r="Q144" i="151"/>
  <c r="Q145" i="151"/>
  <c r="Q146" i="151"/>
  <c r="Q175" i="151"/>
  <c r="Q176" i="151"/>
  <c r="Q147" i="151"/>
  <c r="Q148" i="151"/>
  <c r="Q149" i="151"/>
  <c r="Q150" i="151"/>
  <c r="Q151" i="151"/>
  <c r="Q177" i="151"/>
  <c r="Q152" i="151"/>
  <c r="Q153" i="151"/>
  <c r="Q178" i="151"/>
  <c r="O179" i="151"/>
  <c r="W179" i="151"/>
  <c r="Y179" i="151"/>
  <c r="Z179" i="151"/>
  <c r="AA179" i="151"/>
  <c r="AB179" i="151"/>
  <c r="AE179" i="151"/>
  <c r="Q179" i="151" l="1"/>
  <c r="W181" i="151" s="1"/>
  <c r="O189" i="72"/>
  <c r="Q51" i="72" l="1"/>
  <c r="Q52" i="72"/>
  <c r="Q53" i="72"/>
  <c r="Q54" i="72"/>
  <c r="Q55" i="72"/>
  <c r="Q98" i="72"/>
  <c r="Q99" i="72"/>
  <c r="Q56" i="72"/>
  <c r="Q57" i="72"/>
  <c r="Q58" i="72"/>
  <c r="Q59" i="72"/>
  <c r="Q60" i="72"/>
  <c r="Q61" i="72"/>
  <c r="Q62" i="72"/>
  <c r="Q63" i="72"/>
  <c r="Q64" i="72"/>
  <c r="Q65" i="72"/>
  <c r="Q66" i="72"/>
  <c r="Q67" i="72"/>
  <c r="Q68" i="72"/>
  <c r="Q69" i="72"/>
  <c r="Q70" i="72"/>
  <c r="Q71" i="72"/>
  <c r="Q72" i="72"/>
  <c r="Q73" i="72"/>
  <c r="Q74" i="72"/>
  <c r="Q75" i="72"/>
  <c r="Q76" i="72"/>
  <c r="Q77" i="72"/>
  <c r="Q78" i="72"/>
  <c r="Q79" i="72"/>
  <c r="Q80" i="72"/>
  <c r="Q81" i="72"/>
  <c r="Q82" i="72"/>
  <c r="Q109" i="72"/>
  <c r="Q110" i="72"/>
  <c r="Q111" i="72"/>
  <c r="Q112" i="72"/>
  <c r="Q113" i="72"/>
  <c r="Q114" i="72"/>
  <c r="Q115" i="72"/>
  <c r="Q120" i="72"/>
  <c r="Q121" i="72"/>
  <c r="Q122" i="72"/>
  <c r="Q123" i="72"/>
  <c r="Q124" i="72"/>
  <c r="Q125" i="72"/>
  <c r="Q126" i="72"/>
  <c r="Q127" i="72"/>
  <c r="Q163" i="72"/>
  <c r="Q164" i="72"/>
  <c r="Q165" i="72"/>
  <c r="Q166" i="72"/>
  <c r="Q167" i="72"/>
  <c r="Q168" i="72"/>
  <c r="Q29" i="72"/>
  <c r="Q30" i="72"/>
  <c r="Q31" i="72"/>
  <c r="Q32" i="72"/>
  <c r="Q33" i="72"/>
  <c r="Q100" i="72"/>
  <c r="Q83" i="72"/>
  <c r="Q84" i="72"/>
  <c r="Q85" i="72"/>
  <c r="Q86" i="72"/>
  <c r="Q87" i="72"/>
  <c r="Q88" i="72"/>
  <c r="Q89" i="72"/>
  <c r="Q90" i="72"/>
  <c r="Q91" i="72"/>
  <c r="Q92" i="72"/>
  <c r="Q101" i="72"/>
  <c r="Q93" i="72"/>
  <c r="Q94" i="72"/>
  <c r="Q95" i="72"/>
  <c r="Q157" i="72"/>
  <c r="Q96" i="72"/>
  <c r="Q158" i="72"/>
  <c r="Q102" i="72"/>
  <c r="Q162" i="72"/>
  <c r="Q136" i="72"/>
  <c r="Q147" i="72"/>
  <c r="Q148" i="72"/>
  <c r="Q149" i="72"/>
  <c r="Q150" i="72"/>
  <c r="Q151" i="72"/>
  <c r="Q152" i="72"/>
  <c r="Q170" i="72"/>
  <c r="Q159" i="72"/>
  <c r="Q160" i="72"/>
  <c r="Q161" i="72"/>
  <c r="Q137" i="72"/>
  <c r="Q138" i="72"/>
  <c r="Q139" i="72"/>
  <c r="Q144" i="72"/>
  <c r="Q140" i="72"/>
  <c r="Q141" i="72"/>
  <c r="Q142" i="72"/>
  <c r="Q145" i="72"/>
  <c r="Q143" i="72"/>
  <c r="Q146" i="72"/>
  <c r="Q172" i="72"/>
  <c r="Q173" i="72"/>
  <c r="Q174" i="72"/>
  <c r="Q175" i="72"/>
  <c r="Q176" i="72"/>
  <c r="Q177" i="72"/>
  <c r="Q178" i="72"/>
  <c r="Q179" i="72"/>
  <c r="Q180" i="72"/>
  <c r="Q181" i="72"/>
  <c r="Q182" i="72"/>
  <c r="Q183" i="72"/>
  <c r="Q184" i="72"/>
  <c r="Q171" i="72"/>
  <c r="Q185" i="72"/>
  <c r="Q153" i="72"/>
  <c r="Q169" i="72"/>
  <c r="Q154" i="72"/>
  <c r="Q155" i="72"/>
  <c r="Q186" i="72"/>
  <c r="Q187" i="72"/>
  <c r="Q188" i="72"/>
  <c r="Q6" i="72" l="1"/>
  <c r="Q7" i="72"/>
  <c r="Q8" i="72"/>
  <c r="Q9" i="72"/>
  <c r="Q10" i="72"/>
  <c r="Q11" i="72"/>
  <c r="Q12" i="72"/>
  <c r="Q13" i="72"/>
  <c r="Q14" i="72"/>
  <c r="Q15" i="72"/>
  <c r="Q16" i="72"/>
  <c r="Q17" i="72"/>
  <c r="Q18" i="72"/>
  <c r="Q19" i="72"/>
  <c r="Q20" i="72"/>
  <c r="Q21" i="72"/>
  <c r="Q22" i="72"/>
  <c r="Q23" i="72"/>
  <c r="Q24" i="72"/>
  <c r="Q25" i="72"/>
  <c r="Q26" i="72"/>
  <c r="Q27" i="72"/>
  <c r="Q28" i="72"/>
  <c r="Q34" i="72"/>
  <c r="Q35" i="72"/>
  <c r="Q36" i="72"/>
  <c r="Q37" i="72"/>
  <c r="Q38" i="72"/>
  <c r="Q39" i="72"/>
  <c r="Q40" i="72"/>
  <c r="Q103" i="72"/>
  <c r="Q104" i="72"/>
  <c r="Q105" i="72"/>
  <c r="Q106" i="72"/>
  <c r="Q107" i="72"/>
  <c r="Q108" i="72"/>
  <c r="Q116" i="72"/>
  <c r="Q117" i="72"/>
  <c r="Q118" i="72"/>
  <c r="Q119" i="72"/>
  <c r="Q128" i="72"/>
  <c r="Q129" i="72"/>
  <c r="Q130" i="72"/>
  <c r="Q131" i="72"/>
  <c r="Q132" i="72"/>
  <c r="Q133" i="72"/>
  <c r="Q134" i="72"/>
  <c r="Q135" i="72"/>
  <c r="Q156" i="72"/>
  <c r="Q41" i="72"/>
  <c r="Q42" i="72"/>
  <c r="Q97" i="72"/>
  <c r="Q43" i="72"/>
  <c r="Q44" i="72"/>
  <c r="Q45" i="72"/>
  <c r="Q46" i="72"/>
  <c r="Q47" i="72"/>
  <c r="Q48" i="72"/>
  <c r="Q49" i="72"/>
  <c r="Q50" i="72"/>
  <c r="V5" i="72" l="1"/>
  <c r="X5" i="72" s="1"/>
  <c r="Y5" i="72" s="1"/>
  <c r="Q5" i="72"/>
  <c r="Q189" i="72" s="1"/>
  <c r="Z189" i="72"/>
  <c r="AA189" i="72"/>
  <c r="AB189" i="72"/>
  <c r="AE189" i="72"/>
  <c r="J13" i="106"/>
  <c r="J6" i="105"/>
  <c r="J11" i="104"/>
  <c r="J8" i="103"/>
  <c r="J17" i="102"/>
  <c r="J14" i="101"/>
  <c r="J73" i="98"/>
  <c r="J62" i="100"/>
  <c r="J15" i="99"/>
  <c r="J34" i="97"/>
  <c r="J22" i="96"/>
  <c r="J20" i="95"/>
  <c r="J12" i="94"/>
  <c r="J6" i="93"/>
  <c r="J12" i="92"/>
  <c r="J40" i="91"/>
  <c r="J42" i="90"/>
  <c r="J9" i="89"/>
  <c r="J11" i="88"/>
  <c r="J23" i="87"/>
  <c r="J25" i="86"/>
  <c r="J11" i="85"/>
  <c r="J6" i="83"/>
  <c r="J6" i="82"/>
  <c r="J18" i="81"/>
  <c r="J21" i="80"/>
  <c r="J34" i="79"/>
  <c r="W5" i="72" l="1"/>
  <c r="Y189" i="72" l="1"/>
  <c r="W189" i="72"/>
  <c r="W191" i="72" s="1"/>
</calcChain>
</file>

<file path=xl/sharedStrings.xml><?xml version="1.0" encoding="utf-8"?>
<sst xmlns="http://schemas.openxmlformats.org/spreadsheetml/2006/main" count="12764" uniqueCount="1032">
  <si>
    <t>규격</t>
    <phoneticPr fontId="1" type="noConversion"/>
  </si>
  <si>
    <t>총 합 계</t>
    <phoneticPr fontId="1" type="noConversion"/>
  </si>
  <si>
    <t>중량
(kg)</t>
    <phoneticPr fontId="1" type="noConversion"/>
  </si>
  <si>
    <t>품명</t>
    <phoneticPr fontId="1" type="noConversion"/>
  </si>
  <si>
    <t>PACKING LIST</t>
    <phoneticPr fontId="1" type="noConversion"/>
  </si>
  <si>
    <t>업체명</t>
    <phoneticPr fontId="1" type="noConversion"/>
  </si>
  <si>
    <t>메이커</t>
    <phoneticPr fontId="1" type="noConversion"/>
  </si>
  <si>
    <t>출고
수량</t>
    <phoneticPr fontId="1" type="noConversion"/>
  </si>
  <si>
    <t>단가
(VAT 별도)</t>
    <phoneticPr fontId="1" type="noConversion"/>
  </si>
  <si>
    <t>금액
(VAT 별도)</t>
    <phoneticPr fontId="1" type="noConversion"/>
  </si>
  <si>
    <t>단
위</t>
    <phoneticPr fontId="1" type="noConversion"/>
  </si>
  <si>
    <t>단위</t>
    <phoneticPr fontId="1" type="noConversion"/>
  </si>
  <si>
    <t>EA</t>
    <phoneticPr fontId="1" type="noConversion"/>
  </si>
  <si>
    <t>순
번</t>
    <phoneticPr fontId="1" type="noConversion"/>
  </si>
  <si>
    <t>영업
관리
코드</t>
    <phoneticPr fontId="1" type="noConversion"/>
  </si>
  <si>
    <t>상세 내용</t>
  </si>
  <si>
    <t>인보이스 단가
(VAT 별도)</t>
    <phoneticPr fontId="1" type="noConversion"/>
  </si>
  <si>
    <t>인보이스 금액
(VAT 별도)</t>
    <phoneticPr fontId="1" type="noConversion"/>
  </si>
  <si>
    <t>인보이스 단가
(USD)</t>
    <phoneticPr fontId="1" type="noConversion"/>
  </si>
  <si>
    <t>인보이스 금액
(USD)</t>
    <phoneticPr fontId="1" type="noConversion"/>
  </si>
  <si>
    <t>원산지</t>
    <phoneticPr fontId="1" type="noConversion"/>
  </si>
  <si>
    <t>영업관리코드</t>
    <phoneticPr fontId="1" type="noConversion"/>
  </si>
  <si>
    <t>AUTONICS</t>
  </si>
  <si>
    <t>OMRON</t>
  </si>
  <si>
    <t>SENSOR</t>
  </si>
  <si>
    <t>LM GUIDE</t>
  </si>
  <si>
    <t>SMC</t>
  </si>
  <si>
    <t>CYLINDER</t>
  </si>
  <si>
    <t>FITTING</t>
  </si>
  <si>
    <t>입고 일정</t>
    <phoneticPr fontId="1" type="noConversion"/>
  </si>
  <si>
    <t>ETC</t>
  </si>
  <si>
    <t>KG AUTO</t>
  </si>
  <si>
    <t>SY3120-5LZ-C4</t>
  </si>
  <si>
    <t>SPEED CONTROLLER</t>
  </si>
  <si>
    <t>부영금속공업</t>
  </si>
  <si>
    <t>MAGNET</t>
  </si>
  <si>
    <t>HINGE</t>
  </si>
  <si>
    <t>PALLET SIZE
(가로*세로*높이)</t>
    <phoneticPr fontId="1" type="noConversion"/>
  </si>
  <si>
    <t>SPG</t>
  </si>
  <si>
    <t>GEAR HEAD</t>
  </si>
  <si>
    <t>PLUG</t>
  </si>
  <si>
    <t>MANIFOLD</t>
  </si>
  <si>
    <t>BEARING</t>
  </si>
  <si>
    <t>O-RING</t>
  </si>
  <si>
    <t>비고</t>
    <phoneticPr fontId="1" type="noConversion"/>
  </si>
  <si>
    <t>1. PACKING LIST</t>
    <phoneticPr fontId="1" type="noConversion"/>
  </si>
  <si>
    <t>LEVEL FOOT</t>
  </si>
  <si>
    <t>PANASONIC</t>
  </si>
  <si>
    <t>MISUMI</t>
  </si>
  <si>
    <t>HANSAN</t>
  </si>
  <si>
    <t>HS CODE</t>
    <phoneticPr fontId="1" type="noConversion"/>
  </si>
  <si>
    <t>최종 금액
(USD)</t>
    <phoneticPr fontId="1" type="noConversion"/>
  </si>
  <si>
    <t>DUTY</t>
    <phoneticPr fontId="1" type="noConversion"/>
  </si>
  <si>
    <t>VAT</t>
    <phoneticPr fontId="1" type="noConversion"/>
  </si>
  <si>
    <t>최종 상승률</t>
    <phoneticPr fontId="1" type="noConversion"/>
  </si>
  <si>
    <t>관세
(KRW)                (USD)</t>
    <phoneticPr fontId="1" type="noConversion"/>
  </si>
  <si>
    <t>스틸망</t>
  </si>
  <si>
    <t>D40A_1C2</t>
  </si>
  <si>
    <t>120*120</t>
  </si>
  <si>
    <t>BK10S-T2-2P</t>
  </si>
  <si>
    <t>LS산전</t>
  </si>
  <si>
    <t>오엔정보통신</t>
  </si>
  <si>
    <t>CLASS-104B-T</t>
  </si>
  <si>
    <t>Noise Filter</t>
  </si>
  <si>
    <t>COSEL</t>
  </si>
  <si>
    <t>NBH-30-432-D</t>
  </si>
  <si>
    <t>EX-13EB</t>
  </si>
  <si>
    <t>Master Board</t>
  </si>
  <si>
    <t>RS Automation</t>
  </si>
  <si>
    <t>MMC_BDP008PCB</t>
  </si>
  <si>
    <t>MICRO STAGE</t>
  </si>
  <si>
    <t>K400+</t>
  </si>
  <si>
    <t>KEY</t>
  </si>
  <si>
    <t>TFR-CV Cable</t>
  </si>
  <si>
    <t>4SQ / 3C / 4M</t>
  </si>
  <si>
    <t>DOOR LOCK</t>
  </si>
  <si>
    <t>HANDLE</t>
  </si>
  <si>
    <t>BY3-56-3</t>
  </si>
  <si>
    <t>BYR-5ST</t>
  </si>
  <si>
    <t>STOP  BUTTON</t>
  </si>
  <si>
    <t>KDX-QMD21G</t>
  </si>
  <si>
    <t>KDX-QMD21BK</t>
  </si>
  <si>
    <t>BUZZER</t>
  </si>
  <si>
    <t>KACON</t>
  </si>
  <si>
    <t>KSP-42S</t>
  </si>
  <si>
    <t>ELB</t>
  </si>
  <si>
    <t>ELB Cover</t>
  </si>
  <si>
    <t>BW9BTAA-S2</t>
  </si>
  <si>
    <t>FUJI</t>
  </si>
  <si>
    <t>S7KA15B</t>
  </si>
  <si>
    <t>CASTER WHEEL</t>
  </si>
  <si>
    <t>TOWER LAMP</t>
  </si>
  <si>
    <t>HDMI Cable</t>
  </si>
  <si>
    <t>TNT</t>
  </si>
  <si>
    <t>USB2.0 AM-BM Cable</t>
  </si>
  <si>
    <t>NETmate</t>
  </si>
  <si>
    <t>Concent Plug</t>
  </si>
  <si>
    <t>스토퍼</t>
  </si>
  <si>
    <t>전오전기</t>
  </si>
  <si>
    <t>QDC600F</t>
  </si>
  <si>
    <t>STL025-D51-3-N</t>
  </si>
  <si>
    <t>한영넉스</t>
  </si>
  <si>
    <t>NM-TNT121 (3M)</t>
  </si>
  <si>
    <t>NMC-UB250</t>
  </si>
  <si>
    <t>DYM-AL6 (2.5m)</t>
  </si>
  <si>
    <t>동양 (LUNEX)</t>
  </si>
  <si>
    <t>JTSN-2</t>
  </si>
  <si>
    <t>SERVO DRIVER</t>
  </si>
  <si>
    <t>MSMF022L1S1</t>
  </si>
  <si>
    <t>MADLN15BE</t>
  </si>
  <si>
    <t>MSMF042L1T1</t>
  </si>
  <si>
    <t>MBDLN25BE</t>
  </si>
  <si>
    <t>POWER CABLE</t>
  </si>
  <si>
    <t>ENCODER CABLE</t>
  </si>
  <si>
    <t>MFMCA0050NJD</t>
  </si>
  <si>
    <t>MFECA0050MJD</t>
  </si>
  <si>
    <t>MFMCA0040NJD</t>
  </si>
  <si>
    <t>MFECA0040MJD</t>
  </si>
  <si>
    <t>CPS</t>
  </si>
  <si>
    <t>DCP</t>
  </si>
  <si>
    <t>DRL-24V240W1EN</t>
  </si>
  <si>
    <t>DELTA</t>
  </si>
  <si>
    <t>DRL-24V75W1AZ</t>
  </si>
  <si>
    <t>AUTO CFT</t>
  </si>
  <si>
    <t>TIMING BELT</t>
  </si>
  <si>
    <t>COUPLING</t>
  </si>
  <si>
    <t>SUPPORT UNIT</t>
  </si>
  <si>
    <t>C-TEF12</t>
  </si>
  <si>
    <t>C-TEK12</t>
  </si>
  <si>
    <t>POWER LOCK</t>
  </si>
  <si>
    <t>E-MLM14</t>
  </si>
  <si>
    <t>E-MLM10</t>
  </si>
  <si>
    <t>C-HTBN300S5M-150</t>
  </si>
  <si>
    <t>Remote I/O (CPU)</t>
  </si>
  <si>
    <t>GL-9086</t>
  </si>
  <si>
    <t>Remote I/O (Input)</t>
  </si>
  <si>
    <t>GT-12DF</t>
  </si>
  <si>
    <t>Remote I/O (OutPut)</t>
  </si>
  <si>
    <t>GT-225F</t>
  </si>
  <si>
    <t>CREVIS</t>
  </si>
  <si>
    <t>SILENCER</t>
  </si>
  <si>
    <t>REGULATOR</t>
  </si>
  <si>
    <t>SOLENOID VALVE</t>
  </si>
  <si>
    <t>AS1201F-M5-04A</t>
  </si>
  <si>
    <t>SSR</t>
  </si>
  <si>
    <t>SRS1-C1202-2</t>
  </si>
  <si>
    <t>D-SUB HOOD</t>
  </si>
  <si>
    <t>PS-DS1001-25P</t>
  </si>
  <si>
    <t>CONNFLY</t>
  </si>
  <si>
    <t>MCB</t>
  </si>
  <si>
    <t>DACO</t>
  </si>
  <si>
    <t>DCP32DN 3A</t>
  </si>
  <si>
    <t>DCP32DN 15A</t>
  </si>
  <si>
    <t>냉각팬</t>
  </si>
  <si>
    <t>커버</t>
  </si>
  <si>
    <t>Safety Relay Coil</t>
  </si>
  <si>
    <t>Safety Relay Soket</t>
  </si>
  <si>
    <t>Safety PLC</t>
  </si>
  <si>
    <t>SSR Soket</t>
  </si>
  <si>
    <t>G7SA-2A2B</t>
  </si>
  <si>
    <t>P7SA-10F-ND</t>
  </si>
  <si>
    <t>G9SP-N10S</t>
  </si>
  <si>
    <t>PYF08A</t>
  </si>
  <si>
    <t>Magnetic Contactor</t>
  </si>
  <si>
    <t>Schneider</t>
  </si>
  <si>
    <t>MMS</t>
  </si>
  <si>
    <t>MMS 트립 접점</t>
  </si>
  <si>
    <t>LC1D126M7</t>
  </si>
  <si>
    <t>LC1D186BD</t>
  </si>
  <si>
    <t>GV2ME08</t>
  </si>
  <si>
    <t>GVAD1001</t>
  </si>
  <si>
    <t>GV2ME07</t>
  </si>
  <si>
    <t>EARTH BAR</t>
  </si>
  <si>
    <t>WSIG7-M425 / 25 Hole</t>
  </si>
  <si>
    <t>우성시스템</t>
  </si>
  <si>
    <t>WSIG7-M405 / 5 Hole</t>
  </si>
  <si>
    <t>WSIG7-M415 / 15 Hole</t>
  </si>
  <si>
    <t>PULLEY</t>
  </si>
  <si>
    <t>CNS</t>
  </si>
  <si>
    <t>KFV-10</t>
  </si>
  <si>
    <t>COM T/B</t>
  </si>
  <si>
    <t>SAMWON</t>
  </si>
  <si>
    <t>Relay</t>
  </si>
  <si>
    <t>Servo Inter Face T/B</t>
  </si>
  <si>
    <t>XTB-COM30T</t>
  </si>
  <si>
    <t>S4T-16P-202D</t>
  </si>
  <si>
    <t>SIO-PAB-E/R</t>
  </si>
  <si>
    <t>AN10-01</t>
  </si>
  <si>
    <t>AS1201F-M3-04A-X790</t>
  </si>
  <si>
    <t>AN30-03</t>
  </si>
  <si>
    <t>S7I15GD</t>
  </si>
  <si>
    <t>3. PACKING LIST</t>
    <phoneticPr fontId="1" type="noConversion"/>
  </si>
  <si>
    <t>KQ2U04-00A</t>
  </si>
  <si>
    <t>SS5Y3-20-02</t>
  </si>
  <si>
    <t>구분</t>
    <phoneticPr fontId="1" type="noConversion"/>
  </si>
  <si>
    <t>BOX
번호</t>
    <phoneticPr fontId="1" type="noConversion"/>
  </si>
  <si>
    <t>ANA1-02</t>
  </si>
  <si>
    <t>통관
분류</t>
    <phoneticPr fontId="1" type="noConversion"/>
  </si>
  <si>
    <t>STOPPER</t>
  </si>
  <si>
    <t>HAND VALVE</t>
  </si>
  <si>
    <t>AR20-02BG-D</t>
  </si>
  <si>
    <t>VHS30-02-D</t>
  </si>
  <si>
    <t>AW30-02BG-D</t>
  </si>
  <si>
    <t>MHF2-8D2-M9N</t>
  </si>
  <si>
    <t>MSQB10R-M9N</t>
  </si>
  <si>
    <t>OP BOX</t>
  </si>
  <si>
    <t>KFC-120</t>
  </si>
  <si>
    <t>UL PC 121208 (UL 94 V0)</t>
  </si>
  <si>
    <t>FI BOX</t>
  </si>
  <si>
    <t>KEYBOARD</t>
  </si>
  <si>
    <t>Q-INTOP</t>
  </si>
  <si>
    <t>BYH6060-30-BK</t>
  </si>
  <si>
    <t>BY183-3-BK</t>
  </si>
  <si>
    <t>D-SUB_(15 PIN)</t>
  </si>
  <si>
    <t>AC MOTOR</t>
  </si>
  <si>
    <t>S7KA30B</t>
  </si>
  <si>
    <t>FSSARL080-03A</t>
  </si>
  <si>
    <t>SENSOR BRACKET</t>
  </si>
  <si>
    <t>2. PACKING LIST</t>
    <phoneticPr fontId="1" type="noConversion"/>
  </si>
  <si>
    <t>SPD</t>
  </si>
  <si>
    <t>SPD CP</t>
  </si>
  <si>
    <t>KDE-Q3R2R(X)</t>
  </si>
  <si>
    <t>KGK-H2M2A</t>
  </si>
  <si>
    <t>KDX-QMD22Y</t>
  </si>
  <si>
    <t>SD10-T2-2P</t>
  </si>
  <si>
    <t>AFB1224SHE-R00</t>
  </si>
  <si>
    <t>EMG BUTTON</t>
  </si>
  <si>
    <t>FESTO</t>
  </si>
  <si>
    <t>산업용 PC</t>
  </si>
  <si>
    <t>YOI SYSTEM</t>
  </si>
  <si>
    <t>BERNOULLI GRIPPER</t>
  </si>
  <si>
    <t>OGGB-60-G18-2</t>
  </si>
  <si>
    <t>002M2509</t>
    <phoneticPr fontId="1" type="noConversion"/>
  </si>
  <si>
    <t>BS5-T1M</t>
  </si>
  <si>
    <t>BS5-Y1M</t>
  </si>
  <si>
    <t>SENSOR DOOR</t>
  </si>
  <si>
    <t>D40A-1C2</t>
  </si>
  <si>
    <t>LC1D256BD</t>
  </si>
  <si>
    <t>DCP32DN 5A</t>
  </si>
  <si>
    <t>G9SP-N20S</t>
  </si>
  <si>
    <t>LOGITEC</t>
  </si>
  <si>
    <t>BUTTON SWICH</t>
  </si>
  <si>
    <t>CONNECTOR</t>
  </si>
  <si>
    <t>OEM</t>
  </si>
  <si>
    <t xml:space="preserve">FITTING </t>
  </si>
  <si>
    <t>PRESSURE RELIEF VALVE</t>
  </si>
  <si>
    <t>VHS30-03-M-D</t>
  </si>
  <si>
    <t xml:space="preserve">Spacer With Bracket </t>
  </si>
  <si>
    <t>Y300T-D</t>
  </si>
  <si>
    <t>FILTER REGULATOR</t>
  </si>
  <si>
    <t>SS5Y3-20-05</t>
  </si>
  <si>
    <t>SY3320-5LZ-C4</t>
  </si>
  <si>
    <t>BLANKING PLATE</t>
  </si>
  <si>
    <t>KQ2U06-00A</t>
  </si>
  <si>
    <t>VACUUM EJECTOR</t>
  </si>
  <si>
    <t>ZH10DSA-06-06-08S</t>
  </si>
  <si>
    <t>KSH04-M5</t>
  </si>
  <si>
    <t>KQ2L10-03NS</t>
  </si>
  <si>
    <t>KQ2P-10</t>
  </si>
  <si>
    <t>AW30-03BG-D</t>
  </si>
  <si>
    <t>KQ2L08-03NS</t>
  </si>
  <si>
    <t>ROTARY FITTING</t>
  </si>
  <si>
    <t>PRESURE SENSOR</t>
  </si>
  <si>
    <t>MXQ16-50A-M9N</t>
  </si>
  <si>
    <t>KQ2ZT06-03NS</t>
  </si>
  <si>
    <t>AS2201F-01-04A</t>
  </si>
  <si>
    <t>AS2002F-04A</t>
  </si>
  <si>
    <t>M-3ALU-4</t>
  </si>
  <si>
    <t>VQ21A1-5G-C6</t>
  </si>
  <si>
    <t>AS2002F-06A</t>
  </si>
  <si>
    <t>KQ2H08-10A</t>
  </si>
  <si>
    <t>MY1B16-100L-M9N</t>
  </si>
  <si>
    <t>CXSJM6-20-M9N</t>
  </si>
  <si>
    <t>CDQ2B25-30DMZ-M9N</t>
  </si>
  <si>
    <t>MXQ12L-10-M9N</t>
  </si>
  <si>
    <t>CXSJM6-10-M9N</t>
  </si>
  <si>
    <t>MXQ12L-30A-M9N</t>
  </si>
  <si>
    <t>MXQ16-50A-M9B</t>
  </si>
  <si>
    <t>ZSE20-N-M5-LB</t>
  </si>
  <si>
    <t>CXSJM10-30-M9N</t>
  </si>
  <si>
    <t>VQ31A1-5G-C10</t>
  </si>
  <si>
    <t>GN-9386</t>
  </si>
  <si>
    <t>GEAR BOX</t>
  </si>
  <si>
    <t>SB060-10-S1-P2 (MSMF022L1S1)</t>
  </si>
  <si>
    <t>ACE</t>
  </si>
  <si>
    <t>SERVO MOTOR POWER CABLE</t>
  </si>
  <si>
    <t>SERVO MOTOR ENCODER CABLE</t>
  </si>
  <si>
    <t>SERVO MOTOR BRAKE CABLE</t>
  </si>
  <si>
    <t>MFMCB0050PJT</t>
  </si>
  <si>
    <t>MFMCA0030NJD</t>
  </si>
  <si>
    <t>MFECA0030MJD</t>
  </si>
  <si>
    <t>MFMCA0060NJD</t>
  </si>
  <si>
    <t>MFECA0060MJD</t>
  </si>
  <si>
    <t>MFMCA0080NJD</t>
  </si>
  <si>
    <t>MFECA0080MJD</t>
  </si>
  <si>
    <t>MFMCB0080PJT</t>
  </si>
  <si>
    <t>BRAKE CABLE</t>
  </si>
  <si>
    <t>MFMCB0030PJT</t>
  </si>
  <si>
    <t>CABLE CHAIN+END BKT</t>
  </si>
  <si>
    <t>BALL SCREW</t>
  </si>
  <si>
    <t>YOI-320B-TH</t>
  </si>
  <si>
    <t>ITOH DENKI</t>
  </si>
  <si>
    <t>FREE ROLLER</t>
  </si>
  <si>
    <t>FR50PL-290-12-JD-ZN</t>
  </si>
  <si>
    <t>POWER MOLLER CABLE</t>
  </si>
  <si>
    <t>EH-EXT-9PIN-1500</t>
  </si>
  <si>
    <t>POWER MOLLER+CONTROLER</t>
  </si>
  <si>
    <t>PM500FE-17-290-D-024 JD+CB-016N6</t>
  </si>
  <si>
    <t>E-LHTBO-S5M150-358</t>
  </si>
  <si>
    <t>E-LHTBO-S5M150-390</t>
  </si>
  <si>
    <t>E-LHTBO-S5M150-317</t>
  </si>
  <si>
    <t>E-LHTBO-S5M150-337</t>
  </si>
  <si>
    <t>E-LHTBO-S5M150-298</t>
  </si>
  <si>
    <t>HIR1510RC5T-729 R/D</t>
  </si>
  <si>
    <t>SERVO MOTOR DRIVER</t>
  </si>
  <si>
    <t>MADLN05BE</t>
  </si>
  <si>
    <t>SERVO MOTOR-Z AXIS</t>
  </si>
  <si>
    <t>MSMF012L1T1</t>
  </si>
  <si>
    <t>SERVO MOTOR-X AXIS</t>
  </si>
  <si>
    <t>SERVO MOTOR-Y AXIS</t>
  </si>
  <si>
    <t>SERVO MOTOR-Z BRAKE</t>
  </si>
  <si>
    <t>MSMF022L1T1</t>
  </si>
  <si>
    <t>SERVO MOTOR BRAKE</t>
  </si>
  <si>
    <t>MMC_BDP016PCB</t>
  </si>
  <si>
    <t>A-MR-20-180</t>
  </si>
  <si>
    <t>C-AHTF32S5M150</t>
  </si>
  <si>
    <t>C-AHTFW32-S5M150-12</t>
  </si>
  <si>
    <t>C-AHTFW40-S5M150-15</t>
  </si>
  <si>
    <t>FLOADTING JOINT</t>
  </si>
  <si>
    <t>C-HTBN210S3M-100</t>
  </si>
  <si>
    <t>SPRINGS</t>
  </si>
  <si>
    <t>E-GUY6-10</t>
  </si>
  <si>
    <t>E-HTLA32S5M150-E-16</t>
  </si>
  <si>
    <t>E-HTLA40S5M150-E-16</t>
  </si>
  <si>
    <t>BUSHING</t>
  </si>
  <si>
    <t>E-LBM8UU</t>
  </si>
  <si>
    <t>E-RPG80</t>
  </si>
  <si>
    <t>MANUAL STAGE</t>
  </si>
  <si>
    <t>CLAMP TIMING BELT</t>
  </si>
  <si>
    <t>TBCR-S5M150</t>
  </si>
  <si>
    <t>USUS8-25</t>
  </si>
  <si>
    <t>C-FJRHA10-1.25</t>
  </si>
  <si>
    <t>E-XPG80-CR</t>
  </si>
  <si>
    <t>SOH-32C-8-11</t>
  </si>
  <si>
    <t>인도향9</t>
  </si>
  <si>
    <t>4*4*15 2R</t>
  </si>
  <si>
    <t>E3T-FD11</t>
  </si>
  <si>
    <t>SILENCE</t>
  </si>
  <si>
    <t>001</t>
  </si>
  <si>
    <t>M</t>
  </si>
  <si>
    <t>COOLING FAN</t>
  </si>
  <si>
    <t>COOLING FAN COVER</t>
  </si>
  <si>
    <t>COOLING FAN STEEL COVER</t>
  </si>
  <si>
    <t>CP</t>
  </si>
  <si>
    <t>DCP32DN 2A</t>
  </si>
  <si>
    <t>KCP-32ANM 15A</t>
  </si>
  <si>
    <t>KCP-32ANM 3A</t>
  </si>
  <si>
    <t>KCP-32ANM 5A</t>
  </si>
  <si>
    <t>LC1D186M7</t>
  </si>
  <si>
    <t>스냅링</t>
  </si>
  <si>
    <t>NUT (NI)</t>
  </si>
  <si>
    <t>M12</t>
  </si>
  <si>
    <t>S-06</t>
  </si>
  <si>
    <t>TPC</t>
  </si>
  <si>
    <t>SHF10-10</t>
  </si>
  <si>
    <t>SQL10-02S-X2-R</t>
  </si>
  <si>
    <t>SQM08-02S-6-R</t>
  </si>
  <si>
    <t>SQL08-02S-X2-R</t>
  </si>
  <si>
    <t>SQL08-01S-X2-R</t>
  </si>
  <si>
    <t>SPACER</t>
  </si>
  <si>
    <t>RELIEF VALVE</t>
  </si>
  <si>
    <t>E/P REGULATOR</t>
  </si>
  <si>
    <t>Y300-D</t>
  </si>
  <si>
    <t>ITV1050-RC1CS</t>
  </si>
  <si>
    <t>ANA1-01</t>
  </si>
  <si>
    <t>SOL VALVE</t>
  </si>
  <si>
    <t>SY5220-5LZ-C4</t>
  </si>
  <si>
    <t>SS5Y5-20-02</t>
  </si>
  <si>
    <t>SS5Y5-20-07</t>
  </si>
  <si>
    <t>PLATE</t>
  </si>
  <si>
    <t>SY5000-26-20A</t>
  </si>
  <si>
    <t>SY5220-5LZ-C6</t>
  </si>
  <si>
    <t>SPEED CONTOROLLER</t>
  </si>
  <si>
    <t>AIR CYLINDER</t>
  </si>
  <si>
    <t>SY5240-5LZ-02</t>
  </si>
  <si>
    <t>MXQ16-50B-M9N</t>
  </si>
  <si>
    <t>MXQ16L-50B-M9N</t>
  </si>
  <si>
    <t>MY1B25G-300LZ-M9N</t>
  </si>
  <si>
    <t>CDQSB12-10D-M9NV</t>
  </si>
  <si>
    <t>AS2201F-02-08SA</t>
  </si>
  <si>
    <t>MDBB50-75Z-M9N</t>
  </si>
  <si>
    <t>MAGNET CATCH</t>
  </si>
  <si>
    <t>CAM LOCK</t>
  </si>
  <si>
    <t>EMO SWITCH</t>
  </si>
  <si>
    <t>SWITCH</t>
  </si>
  <si>
    <t>SELECTOR SWITCH</t>
  </si>
  <si>
    <t>MELODY BUZZER</t>
  </si>
  <si>
    <t xml:space="preserve">KMY4C-P </t>
  </si>
  <si>
    <t>CABLEVEYOR+END BKT</t>
  </si>
  <si>
    <t>EAC-06-472-D</t>
  </si>
  <si>
    <t>DRL-24V120W1EN</t>
  </si>
  <si>
    <t>LEVLINGFOOT</t>
  </si>
  <si>
    <t>A-MR-20-180-Φ78</t>
  </si>
  <si>
    <t>리니어부시</t>
  </si>
  <si>
    <t>E-LBHM12LUU</t>
  </si>
  <si>
    <t>SENSOR RAIL</t>
  </si>
  <si>
    <t>TIMING PULLY</t>
  </si>
  <si>
    <t>SOCKET SET SCREW</t>
  </si>
  <si>
    <t>MSSFS4-8</t>
  </si>
  <si>
    <t>MSWTMK2</t>
  </si>
  <si>
    <t>SNAP RING</t>
  </si>
  <si>
    <t>STWS12</t>
  </si>
  <si>
    <t>샤프트</t>
  </si>
  <si>
    <t>E-SSFAD12-217-F35-B35-P12-N5</t>
  </si>
  <si>
    <t>EAC-16-472-D</t>
  </si>
  <si>
    <t>120*120</t>
    <phoneticPr fontId="1" type="noConversion"/>
  </si>
  <si>
    <t>NSB022CRG.47.R35/FT-594L (DVS:2) / 27LK</t>
    <phoneticPr fontId="1" type="noConversion"/>
  </si>
  <si>
    <t>TK</t>
    <phoneticPr fontId="1" type="noConversion"/>
  </si>
  <si>
    <t>S6901ZZ</t>
    <phoneticPr fontId="1" type="noConversion"/>
  </si>
  <si>
    <t>C-HTBN234S3M-100</t>
    <phoneticPr fontId="1" type="noConversion"/>
  </si>
  <si>
    <t>E-HTPA25S3M100-A-NK10</t>
    <phoneticPr fontId="1" type="noConversion"/>
  </si>
  <si>
    <t>E-HLGH15-460-B2-R</t>
    <phoneticPr fontId="1" type="noConversion"/>
  </si>
  <si>
    <t>MISUMI</t>
    <phoneticPr fontId="1" type="noConversion"/>
  </si>
  <si>
    <t>인도향4</t>
  </si>
  <si>
    <t>PLASTIC BOX</t>
  </si>
  <si>
    <t>ROTARY FITING</t>
  </si>
  <si>
    <t>AR20-02BG-D</t>
    <phoneticPr fontId="1" type="noConversion"/>
  </si>
  <si>
    <t>KPT18</t>
    <phoneticPr fontId="1" type="noConversion"/>
  </si>
  <si>
    <t>KQ2H04-M5N</t>
    <phoneticPr fontId="1" type="noConversion"/>
  </si>
  <si>
    <t>KQ2H06-M5N</t>
    <phoneticPr fontId="1" type="noConversion"/>
  </si>
  <si>
    <t>KQ2H08-01NS</t>
    <phoneticPr fontId="1" type="noConversion"/>
  </si>
  <si>
    <t>KQ2L06-01NS</t>
    <phoneticPr fontId="1" type="noConversion"/>
  </si>
  <si>
    <t>KQ2L06-02NS</t>
    <phoneticPr fontId="1" type="noConversion"/>
  </si>
  <si>
    <t>KQ2L06-M5N</t>
    <phoneticPr fontId="1" type="noConversion"/>
  </si>
  <si>
    <t>KQ2L08-01NS</t>
    <phoneticPr fontId="1" type="noConversion"/>
  </si>
  <si>
    <t>KQ2S04-M5N</t>
    <phoneticPr fontId="1" type="noConversion"/>
  </si>
  <si>
    <t>KQ2S10-01NS</t>
    <phoneticPr fontId="1" type="noConversion"/>
  </si>
  <si>
    <t>KQ2VT10-03NS</t>
    <phoneticPr fontId="1" type="noConversion"/>
  </si>
  <si>
    <t>MGJ10-20-F8NS</t>
    <phoneticPr fontId="1" type="noConversion"/>
  </si>
  <si>
    <t>MGJ6-5-F8NS</t>
    <phoneticPr fontId="1" type="noConversion"/>
  </si>
  <si>
    <t>SY3000-26-9A</t>
    <phoneticPr fontId="1" type="noConversion"/>
  </si>
  <si>
    <t>VHK3A-04F-04FL</t>
    <phoneticPr fontId="1" type="noConversion"/>
  </si>
  <si>
    <t>RESET BUTTON_형번 확인 중</t>
  </si>
  <si>
    <t>LOTO KEYS_형번 확인 중</t>
  </si>
  <si>
    <t xml:space="preserve">AN-016 </t>
    <phoneticPr fontId="1" type="noConversion"/>
  </si>
  <si>
    <t>AN-019</t>
    <phoneticPr fontId="1" type="noConversion"/>
  </si>
  <si>
    <t>EW50AAG-2P030C 100mA</t>
    <phoneticPr fontId="1" type="noConversion"/>
  </si>
  <si>
    <t>KDX-QMD22Y</t>
    <phoneticPr fontId="1" type="noConversion"/>
  </si>
  <si>
    <t>KGK-H2M2A</t>
    <phoneticPr fontId="1" type="noConversion"/>
  </si>
  <si>
    <t>NSB020CR.20.R28/FT-300L / 15LK</t>
    <phoneticPr fontId="1" type="noConversion"/>
  </si>
  <si>
    <t>NSB020CR.20.R28/FT-720L / 36LK</t>
    <phoneticPr fontId="1" type="noConversion"/>
  </si>
  <si>
    <t>NSB020CR.40.R28/FT-280L / 14LK</t>
    <phoneticPr fontId="1" type="noConversion"/>
  </si>
  <si>
    <t>NSB020CR.40.R28/FT-620L / 31LK</t>
    <phoneticPr fontId="1" type="noConversion"/>
  </si>
  <si>
    <t>NSB020CR.40.R28/FT-680L / 34LK</t>
    <phoneticPr fontId="1" type="noConversion"/>
  </si>
  <si>
    <t>NSB022CR.27.R35/FT-484L / 22LK</t>
    <phoneticPr fontId="1" type="noConversion"/>
  </si>
  <si>
    <t>NSB022CR.77.R35/FT-814L (DV:1) / 37LK</t>
    <phoneticPr fontId="1" type="noConversion"/>
  </si>
  <si>
    <t>MONITOR(앵글브라켓포함)</t>
  </si>
  <si>
    <t>AF10_YJ</t>
    <phoneticPr fontId="1" type="noConversion"/>
  </si>
  <si>
    <t>AK10P5_YJ</t>
    <phoneticPr fontId="1" type="noConversion"/>
  </si>
  <si>
    <t>VACUUM PAD</t>
  </si>
  <si>
    <t>F-TEC</t>
  </si>
  <si>
    <t>VSC-025U-S-M5M</t>
    <phoneticPr fontId="1" type="noConversion"/>
  </si>
  <si>
    <t>688ZZ</t>
    <phoneticPr fontId="1" type="noConversion"/>
  </si>
  <si>
    <t>S6901ZZS</t>
    <phoneticPr fontId="1" type="noConversion"/>
  </si>
  <si>
    <t>LMG15HUU+260L R/D 10/10</t>
    <phoneticPr fontId="1" type="noConversion"/>
  </si>
  <si>
    <t>LMN5ST-40L 5/5 R/D</t>
    <phoneticPr fontId="1" type="noConversion"/>
  </si>
  <si>
    <t>LMN7LT+120L ES7.5 R/D</t>
    <phoneticPr fontId="1" type="noConversion"/>
  </si>
  <si>
    <t>LMNW12TUU+142L R/D 11/11</t>
    <phoneticPr fontId="1" type="noConversion"/>
  </si>
  <si>
    <t>LMNW12T2UU+142L RD 11/11</t>
    <phoneticPr fontId="1" type="noConversion"/>
  </si>
  <si>
    <t>LMG15TUU+110L R/D 25/25</t>
    <phoneticPr fontId="1" type="noConversion"/>
  </si>
  <si>
    <t>LMG15TUU+220L R/D 20/20</t>
    <phoneticPr fontId="1" type="noConversion"/>
  </si>
  <si>
    <t>CSK</t>
    <phoneticPr fontId="1" type="noConversion"/>
  </si>
  <si>
    <t>HXN8-3</t>
    <phoneticPr fontId="1" type="noConversion"/>
  </si>
  <si>
    <t>E-HTPA26S5M150-A-H23</t>
    <phoneticPr fontId="1" type="noConversion"/>
  </si>
  <si>
    <t>E-HTPA26S5M150-A-H28</t>
    <phoneticPr fontId="1" type="noConversion"/>
  </si>
  <si>
    <t>무게
(Kg)</t>
    <phoneticPr fontId="1" type="noConversion"/>
  </si>
  <si>
    <t>BOX
수량</t>
    <phoneticPr fontId="1" type="noConversion"/>
  </si>
  <si>
    <t>EW50AAG 2P015B 30mA</t>
  </si>
  <si>
    <t>4. PACKING LIST</t>
    <phoneticPr fontId="1" type="noConversion"/>
  </si>
  <si>
    <t>5. PACKING LIST</t>
    <phoneticPr fontId="1" type="noConversion"/>
  </si>
  <si>
    <t>6. PACKING LIST</t>
    <phoneticPr fontId="1" type="noConversion"/>
  </si>
  <si>
    <t>MONITOR(BKT+CABLE 포함)</t>
  </si>
  <si>
    <t>7. PACKING LIST</t>
    <phoneticPr fontId="1" type="noConversion"/>
  </si>
  <si>
    <t>8. PACKING LIST</t>
    <phoneticPr fontId="1" type="noConversion"/>
  </si>
  <si>
    <t>AS2201F-01-06SA</t>
  </si>
  <si>
    <t>9. PACKING LIST</t>
    <phoneticPr fontId="1" type="noConversion"/>
  </si>
  <si>
    <t>10. PACKING LIST</t>
    <phoneticPr fontId="1" type="noConversion"/>
  </si>
  <si>
    <t>11. PACKING LIST</t>
    <phoneticPr fontId="1" type="noConversion"/>
  </si>
  <si>
    <t>12. PACKING LIST</t>
    <phoneticPr fontId="1" type="noConversion"/>
  </si>
  <si>
    <t>13. PACKING LIST</t>
    <phoneticPr fontId="1" type="noConversion"/>
  </si>
  <si>
    <t>14. PACKING LIST</t>
    <phoneticPr fontId="1" type="noConversion"/>
  </si>
  <si>
    <t>15. PACKING LIST</t>
    <phoneticPr fontId="1" type="noConversion"/>
  </si>
  <si>
    <t>16. PACKING LIST</t>
    <phoneticPr fontId="1" type="noConversion"/>
  </si>
  <si>
    <t>17. PACKING LIST</t>
    <phoneticPr fontId="1" type="noConversion"/>
  </si>
  <si>
    <t>001M2509</t>
    <phoneticPr fontId="1" type="noConversion"/>
  </si>
  <si>
    <t>001</t>
    <phoneticPr fontId="1" type="noConversion"/>
  </si>
  <si>
    <t>PICKER CYLINDR</t>
  </si>
  <si>
    <t>PPRM12P-20-28E-PM-D-BM5SS1</t>
  </si>
  <si>
    <t>PROTEC</t>
  </si>
  <si>
    <t>피앤엠</t>
  </si>
  <si>
    <t>AFB1224M-F00/AFB1224M</t>
  </si>
  <si>
    <t>D-SUB 25 Pin / Female</t>
  </si>
  <si>
    <t>T-DFF120</t>
  </si>
  <si>
    <t>SPD_KS</t>
  </si>
  <si>
    <t>SPD CP_KS</t>
  </si>
  <si>
    <t>GV2ME10</t>
  </si>
  <si>
    <t>D-SUB 15Pin</t>
  </si>
  <si>
    <t>D-SUB 15pin female</t>
  </si>
  <si>
    <t>Adapter</t>
  </si>
  <si>
    <t>5V / 1A</t>
  </si>
  <si>
    <t>LAN CABLE 하네스</t>
  </si>
  <si>
    <t>SEN7-SSA-0.4M (BLACK)</t>
  </si>
  <si>
    <t>SEN7-SSA-3.5M (YELLOW)</t>
  </si>
  <si>
    <t>SEN7-SSA-2.5M (RED)</t>
  </si>
  <si>
    <t>SEN7-SSA-0.15M (BLACK)</t>
  </si>
  <si>
    <t>EMC Filter</t>
  </si>
  <si>
    <t xml:space="preserve">EAC-06-472-D </t>
  </si>
  <si>
    <t>NBH-06-432-D</t>
  </si>
  <si>
    <t>광원전기</t>
  </si>
  <si>
    <t>성화기전</t>
  </si>
  <si>
    <t>세림오토메틱스</t>
  </si>
  <si>
    <t>시그널웍스</t>
  </si>
  <si>
    <t>제일에프에이</t>
  </si>
  <si>
    <t>종선에프에이</t>
  </si>
  <si>
    <t>텔콤아이씨피</t>
  </si>
  <si>
    <t>피플</t>
  </si>
  <si>
    <t>2대</t>
  </si>
  <si>
    <t>2대</t>
    <phoneticPr fontId="1" type="noConversion"/>
  </si>
  <si>
    <t>SENSOR CABLE</t>
  </si>
  <si>
    <t>KEY BOARD</t>
  </si>
  <si>
    <t>CONECTOR</t>
  </si>
  <si>
    <t>D-SUB 15PIN</t>
  </si>
  <si>
    <t>FI BOX-&gt;화신박스</t>
  </si>
  <si>
    <t>START BUTTON</t>
  </si>
  <si>
    <t>RESET BUTTON</t>
  </si>
  <si>
    <t>KDX-QMD21Y</t>
  </si>
  <si>
    <t>LOTO KEYS</t>
  </si>
  <si>
    <t>KGK-H2M1A</t>
  </si>
  <si>
    <t>QINTOP</t>
  </si>
  <si>
    <t>BY183-3 CV</t>
  </si>
  <si>
    <t>BYC-103 CV</t>
  </si>
  <si>
    <t>MXQ6-20AS-M9BL</t>
  </si>
  <si>
    <t>MXQ6-20-M9B</t>
  </si>
  <si>
    <t>MXQ6L-20-M9B</t>
  </si>
  <si>
    <t>MXQ8-30AS-M9B</t>
  </si>
  <si>
    <t>MHF2-8D1-M9B</t>
  </si>
  <si>
    <t>JMHZ2-12D(30_0)</t>
  </si>
  <si>
    <t>KQ2L10-02NS</t>
  </si>
  <si>
    <t>M-3ALU-3</t>
  </si>
  <si>
    <t>AS1201F-M5-06A</t>
  </si>
  <si>
    <t>MY1B16-350L-M9B</t>
  </si>
  <si>
    <t>MXQ12L-20AS-M9B</t>
  </si>
  <si>
    <t>MXQ12-20AS-M9B</t>
  </si>
  <si>
    <t>CDJP2B6-15D-M9B</t>
  </si>
  <si>
    <t>LOCK VALVE</t>
  </si>
  <si>
    <t>KQ2P-06</t>
  </si>
  <si>
    <t>AN15-02</t>
  </si>
  <si>
    <t>SS5Y3-20-08</t>
  </si>
  <si>
    <t>SS5Y7-20-02</t>
  </si>
  <si>
    <t>SY3120-5LZ-C6</t>
  </si>
  <si>
    <t>SY7120-5LZ-C10</t>
  </si>
  <si>
    <t>SS5Y3-20-04</t>
  </si>
  <si>
    <t>Blanking Plate</t>
  </si>
  <si>
    <t>SY3000-26-09A</t>
  </si>
  <si>
    <t>BRACKET</t>
  </si>
  <si>
    <t>KQ2P-04</t>
  </si>
  <si>
    <t>BREAK CABLE</t>
  </si>
  <si>
    <t>MFMCB0040PJT</t>
  </si>
  <si>
    <t>CN-14A-C5</t>
  </si>
  <si>
    <t>INDUCTION MOTOR</t>
  </si>
  <si>
    <t>ROBO CHAIN+END BKT</t>
  </si>
  <si>
    <t>BALL SCREW_681L</t>
  </si>
  <si>
    <t>BALL SCREW_232L</t>
  </si>
  <si>
    <t>FASTECH</t>
  </si>
  <si>
    <t>POWER CABLE_가동형</t>
  </si>
  <si>
    <t>CSVO-M-007M</t>
  </si>
  <si>
    <t>ENCODER CABLE_가동형</t>
  </si>
  <si>
    <t>CSVO-E-007M</t>
  </si>
  <si>
    <t>MONITOR(BKT+케이블 포함)</t>
  </si>
  <si>
    <t>TIMING PULLEY</t>
  </si>
  <si>
    <t>C-HTPA14S5M100-A-N10</t>
  </si>
  <si>
    <t>REGULATOR+BKT</t>
  </si>
  <si>
    <t>MCH15N-2-680L R/D / LMG15H 2UU+680L ES10 R/D / E-HLGH15-680-B2-ES10-R</t>
  </si>
  <si>
    <t>BSQ/CSK/MISUMI</t>
  </si>
  <si>
    <t>MCH15N-1-470L R/D / LMG15HUU+470L ES25 R/D / E-HLGH15-470-ES25-R</t>
  </si>
  <si>
    <t>MCH15N-2-1070L R/D / LMG15H 2UU+1070L ES25 R/D / E-HLGH15-1070-B2-ES25-R</t>
  </si>
  <si>
    <t>MCM12W-2-162L R/D / LMNW12T 2UU+162L ES21 R/D / %ELLG-E-SMLGW7H-162-B2-ES21-R</t>
  </si>
  <si>
    <t>MCM9M-1-50L R/D / LMN9T+50L ES5 R/D / C-MLG9-50-ES5-R</t>
  </si>
  <si>
    <t>S6I06GD</t>
  </si>
  <si>
    <t>S6KA15B</t>
  </si>
  <si>
    <t>SERVO MOTOR</t>
  </si>
  <si>
    <t>PM-Y65</t>
  </si>
  <si>
    <t>C-HTBN200S5M-100</t>
  </si>
  <si>
    <t>NGB60</t>
  </si>
  <si>
    <t>SPROCKET</t>
  </si>
  <si>
    <t>SP25B16-N-10K</t>
  </si>
  <si>
    <t>SPROCKET CHAIN</t>
  </si>
  <si>
    <t>GSACL20-5-8</t>
  </si>
  <si>
    <t xml:space="preserve">Dovetail Slide, Rapid Feed Screw, X-Axis </t>
  </si>
  <si>
    <t>루포스</t>
  </si>
  <si>
    <t>서진산전</t>
  </si>
  <si>
    <t>씨피시스템</t>
  </si>
  <si>
    <t>앱솔루텍</t>
  </si>
  <si>
    <t>영일오토메이션</t>
  </si>
  <si>
    <t>케이닉스</t>
  </si>
  <si>
    <t>티에이치코리아</t>
  </si>
  <si>
    <t>티케이비앤티</t>
  </si>
  <si>
    <t>파익스</t>
  </si>
  <si>
    <t>한국미스미</t>
  </si>
  <si>
    <t>CHINA</t>
    <phoneticPr fontId="1" type="noConversion"/>
  </si>
  <si>
    <t>TAIWAN</t>
  </si>
  <si>
    <t>FRANCE</t>
  </si>
  <si>
    <t>JAPAN</t>
  </si>
  <si>
    <t>GERMANY</t>
  </si>
  <si>
    <t>여의시스템</t>
  </si>
  <si>
    <t>MXQ16-30A-M9B</t>
  </si>
  <si>
    <t>SOL V/V</t>
  </si>
  <si>
    <t>SY3220-5LZ-C4</t>
  </si>
  <si>
    <t>MXQ16-30AS-M9B</t>
  </si>
  <si>
    <t>ANA1-C08</t>
  </si>
  <si>
    <t>ZH10DSA-06-06-08</t>
  </si>
  <si>
    <t>PM-F65</t>
  </si>
  <si>
    <t>STEP MOTOR+DRIVE</t>
  </si>
  <si>
    <t>3*3*10 2R</t>
    <phoneticPr fontId="1" type="noConversion"/>
  </si>
  <si>
    <t>KDE-Q3R2R(X)</t>
    <phoneticPr fontId="1" type="noConversion"/>
  </si>
  <si>
    <t>4*4*25 2R</t>
    <phoneticPr fontId="1" type="noConversion"/>
  </si>
  <si>
    <t>S6901ZZS</t>
    <phoneticPr fontId="1" type="noConversion"/>
  </si>
  <si>
    <t>SS6702ZZ</t>
    <phoneticPr fontId="1" type="noConversion"/>
  </si>
  <si>
    <t>XFHT4060</t>
    <phoneticPr fontId="1" type="noConversion"/>
  </si>
  <si>
    <t>KQ2L06-M5N</t>
    <phoneticPr fontId="1" type="noConversion"/>
  </si>
  <si>
    <t>KQ2L06-01NS</t>
    <phoneticPr fontId="1" type="noConversion"/>
  </si>
  <si>
    <t>Y300T-D</t>
    <phoneticPr fontId="1" type="noConversion"/>
  </si>
  <si>
    <t>SAMWON</t>
    <phoneticPr fontId="1" type="noConversion"/>
  </si>
  <si>
    <t>E-HTPA14S5M100-A-N8</t>
    <phoneticPr fontId="1" type="noConversion"/>
  </si>
  <si>
    <t>AK10P5_YJ</t>
    <phoneticPr fontId="1" type="noConversion"/>
  </si>
  <si>
    <t>AF10_YJ</t>
    <phoneticPr fontId="1" type="noConversion"/>
  </si>
  <si>
    <t>C-SCPW34-8-11</t>
    <phoneticPr fontId="1" type="noConversion"/>
  </si>
  <si>
    <t>BS5-Y2M</t>
    <phoneticPr fontId="1" type="noConversion"/>
  </si>
  <si>
    <t>CT-02 5M</t>
    <phoneticPr fontId="1" type="noConversion"/>
  </si>
  <si>
    <t>4*4*10 2R</t>
    <phoneticPr fontId="1" type="noConversion"/>
  </si>
  <si>
    <t>4*4*15 2R</t>
    <phoneticPr fontId="1" type="noConversion"/>
  </si>
  <si>
    <t>BYH6060-30 CV</t>
    <phoneticPr fontId="1" type="noConversion"/>
  </si>
  <si>
    <t>CR1000-M5BG(AR10)</t>
    <phoneticPr fontId="1" type="noConversion"/>
  </si>
  <si>
    <t>Ezi-SERVOII-EC-TO-42S-A</t>
    <phoneticPr fontId="1" type="noConversion"/>
  </si>
  <si>
    <t>SS6000ZZS</t>
    <phoneticPr fontId="1" type="noConversion"/>
  </si>
  <si>
    <t>6001ZZS</t>
    <phoneticPr fontId="1" type="noConversion"/>
  </si>
  <si>
    <t>SS6800ZZ</t>
    <phoneticPr fontId="1" type="noConversion"/>
  </si>
  <si>
    <t>C-CHE25-240</t>
    <phoneticPr fontId="1" type="noConversion"/>
  </si>
  <si>
    <t>TK</t>
    <phoneticPr fontId="1" type="noConversion"/>
  </si>
  <si>
    <t>ETC</t>
    <phoneticPr fontId="1" type="noConversion"/>
  </si>
  <si>
    <t>MISUMI</t>
    <phoneticPr fontId="1" type="noConversion"/>
  </si>
  <si>
    <t>KPT14</t>
    <phoneticPr fontId="1" type="noConversion"/>
  </si>
  <si>
    <t>KPT18</t>
    <phoneticPr fontId="1" type="noConversion"/>
  </si>
  <si>
    <t>KQ2ZT06-02NS</t>
    <phoneticPr fontId="1" type="noConversion"/>
  </si>
  <si>
    <t>AW30-02BG-D</t>
    <phoneticPr fontId="1" type="noConversion"/>
  </si>
  <si>
    <t>VHS30-02-D</t>
    <phoneticPr fontId="1" type="noConversion"/>
  </si>
  <si>
    <t>KQ2S10-01NS</t>
    <phoneticPr fontId="1" type="noConversion"/>
  </si>
  <si>
    <t>MGPM12-30Z-M9BL</t>
    <phoneticPr fontId="1" type="noConversion"/>
  </si>
  <si>
    <t>E-XPG80-CR</t>
    <phoneticPr fontId="1" type="noConversion"/>
  </si>
  <si>
    <t>E-HTPA26S5M150-A-H23</t>
    <phoneticPr fontId="1" type="noConversion"/>
  </si>
  <si>
    <t>E-HTPA26S5M150-A-H28</t>
    <phoneticPr fontId="1" type="noConversion"/>
  </si>
  <si>
    <t>A-MR-24-150</t>
    <phoneticPr fontId="1" type="noConversion"/>
  </si>
  <si>
    <t>E-HTPA14S5M100-A-N10</t>
    <phoneticPr fontId="1" type="noConversion"/>
  </si>
  <si>
    <t>입고 완료</t>
    <phoneticPr fontId="1" type="noConversion"/>
  </si>
  <si>
    <t>NETmate</t>
    <phoneticPr fontId="1" type="noConversion"/>
  </si>
  <si>
    <t>KOREA</t>
    <phoneticPr fontId="1" type="noConversion"/>
  </si>
  <si>
    <t>JAPAN</t>
    <phoneticPr fontId="1" type="noConversion"/>
  </si>
  <si>
    <t>GERMANY</t>
    <phoneticPr fontId="1" type="noConversion"/>
  </si>
  <si>
    <t>SMC</t>
    <phoneticPr fontId="1" type="noConversion"/>
  </si>
  <si>
    <t>CHINA</t>
  </si>
  <si>
    <t>NSB020CR.40.R28/FT-220L / 11LK</t>
    <phoneticPr fontId="1" type="noConversion"/>
  </si>
  <si>
    <t>EW50AAG-2P030C 100mA</t>
    <phoneticPr fontId="1" type="noConversion"/>
  </si>
  <si>
    <t>TIWAN</t>
  </si>
  <si>
    <t>파익스</t>
    <phoneticPr fontId="1" type="noConversion"/>
  </si>
  <si>
    <t>S7I15GD</t>
    <phoneticPr fontId="1" type="noConversion"/>
  </si>
  <si>
    <t>NSB020CR.20.R28/FT-420L / 21LK</t>
    <phoneticPr fontId="1" type="noConversion"/>
  </si>
  <si>
    <t>CPS020.30.R28/B1T-380L / 19LK</t>
    <phoneticPr fontId="1" type="noConversion"/>
  </si>
  <si>
    <t>NSB022CR.77.R35/FT-638L / 29LK</t>
    <phoneticPr fontId="1" type="noConversion"/>
  </si>
  <si>
    <t>NSB022CR.67.R35/FT-418L / 19LK</t>
    <phoneticPr fontId="1" type="noConversion"/>
  </si>
  <si>
    <t>HIR1510RC7N-613 R/D</t>
    <phoneticPr fontId="1" type="noConversion"/>
  </si>
  <si>
    <t>HIR1210RC7N-171 R/D</t>
    <phoneticPr fontId="1" type="noConversion"/>
  </si>
  <si>
    <t>입고 완료</t>
    <phoneticPr fontId="1" type="noConversion"/>
  </si>
  <si>
    <t>EN-AGS111107</t>
    <phoneticPr fontId="1" type="noConversion"/>
  </si>
  <si>
    <t>OP BOX</t>
    <phoneticPr fontId="1" type="noConversion"/>
  </si>
  <si>
    <t>입고 완료</t>
  </si>
  <si>
    <t>HTPA14S5M100-A-N8-&gt;E-HTPA14S5M100-A-N8</t>
  </si>
  <si>
    <t>한국미스미</t>
    <phoneticPr fontId="1" type="noConversion"/>
  </si>
  <si>
    <t>EA</t>
    <phoneticPr fontId="1" type="noConversion"/>
  </si>
  <si>
    <t>JAPAN</t>
    <phoneticPr fontId="1" type="noConversion"/>
  </si>
  <si>
    <t>해상</t>
    <phoneticPr fontId="1" type="noConversion"/>
  </si>
  <si>
    <t>ㅗ</t>
    <phoneticPr fontId="1" type="noConversion"/>
  </si>
  <si>
    <t>사내재고</t>
    <phoneticPr fontId="1" type="noConversion"/>
  </si>
  <si>
    <t>사내재고</t>
    <phoneticPr fontId="1" type="noConversion"/>
  </si>
  <si>
    <t>사내재고 : 4EA</t>
    <phoneticPr fontId="1" type="noConversion"/>
  </si>
  <si>
    <t>사내재고 : 15EA</t>
    <phoneticPr fontId="1" type="noConversion"/>
  </si>
  <si>
    <t>1 , 2</t>
    <phoneticPr fontId="1" type="noConversion"/>
  </si>
  <si>
    <t>입고 완료</t>
    <phoneticPr fontId="1" type="noConversion"/>
  </si>
  <si>
    <t>보류 여부 확인</t>
    <phoneticPr fontId="1" type="noConversion"/>
  </si>
  <si>
    <t>SP25B16-N-12</t>
    <phoneticPr fontId="1" type="noConversion"/>
  </si>
  <si>
    <t>해상</t>
  </si>
  <si>
    <t>1대</t>
  </si>
  <si>
    <t>002</t>
  </si>
  <si>
    <t>SP25B16-N-10K</t>
    <phoneticPr fontId="1" type="noConversion"/>
  </si>
  <si>
    <t>FSSARS080-03A</t>
  </si>
  <si>
    <t>C-TBK15</t>
  </si>
  <si>
    <t>SUPPORT UNITS</t>
  </si>
  <si>
    <t>C-TBF15</t>
  </si>
  <si>
    <t>C-TBCR-S5M150</t>
  </si>
  <si>
    <t>BELT CLAMP</t>
  </si>
  <si>
    <t>C-TBCR-S5M100</t>
  </si>
  <si>
    <t>BLOCK CLAMP BELT</t>
  </si>
  <si>
    <t>C-HTBN535S5M-100</t>
  </si>
  <si>
    <t>TIMMING BELT</t>
  </si>
  <si>
    <t>CHE25-60</t>
  </si>
  <si>
    <t>C-BMSB10-15</t>
  </si>
  <si>
    <t>BEARING SHAFT SCREWS</t>
  </si>
  <si>
    <t>AUTOCFT</t>
  </si>
  <si>
    <t>PAIX</t>
  </si>
  <si>
    <t>NMC-X4-TB</t>
  </si>
  <si>
    <t>S9KB25BH</t>
    <phoneticPr fontId="1" type="noConversion"/>
  </si>
  <si>
    <t>S9I40GDH</t>
    <phoneticPr fontId="1" type="noConversion"/>
  </si>
  <si>
    <t>VFB6-N-M5M</t>
  </si>
  <si>
    <t>TAIWAN</t>
    <phoneticPr fontId="1" type="noConversion"/>
  </si>
  <si>
    <t>C-HTBN305S5M-150</t>
  </si>
  <si>
    <t>HTBOG-S5M150-640</t>
    <phoneticPr fontId="1" type="noConversion"/>
  </si>
  <si>
    <t>HTBOG-S5M150-430</t>
  </si>
  <si>
    <t>HTBOG-S5M150-400</t>
  </si>
  <si>
    <t>C-HTBN595S5M-150</t>
  </si>
  <si>
    <t>E-HTLA32S5M150-E-14</t>
  </si>
  <si>
    <t>E-HTLA32S5M150-E-12</t>
  </si>
  <si>
    <t>HTLA40S5M150-E-16</t>
  </si>
  <si>
    <t>C-AHTF32S5M100</t>
  </si>
  <si>
    <t>HTLA32S5M100-E-16</t>
  </si>
  <si>
    <t>HTLA32S5M150-E-16</t>
  </si>
  <si>
    <t>종로에프에이</t>
  </si>
  <si>
    <t>사내 재고</t>
  </si>
  <si>
    <t>CPS020.20.R28/B1T-600L / 30LK</t>
    <phoneticPr fontId="1" type="noConversion"/>
  </si>
  <si>
    <t>ROBO CHAIN_END BKT 포함</t>
  </si>
  <si>
    <t>CPS015.15.R18/B1T-420L / 28LK</t>
    <phoneticPr fontId="1" type="noConversion"/>
  </si>
  <si>
    <t>CPS033.67.R35/ET-594L / 18LK</t>
    <phoneticPr fontId="1" type="noConversion"/>
  </si>
  <si>
    <t>CPS033.47.R35/ET-528L / 16LK</t>
    <phoneticPr fontId="1" type="noConversion"/>
  </si>
  <si>
    <t>CPS020.40.R28/B1T-260L / 13LK</t>
    <phoneticPr fontId="1" type="noConversion"/>
  </si>
  <si>
    <t>CPS030.35.R38/B2T-570L / 19LK</t>
    <phoneticPr fontId="1" type="noConversion"/>
  </si>
  <si>
    <t>CPS020.40.R28/B2T-260L / 13LK</t>
    <phoneticPr fontId="1" type="noConversion"/>
  </si>
  <si>
    <t>CN-14A-C5</t>
    <phoneticPr fontId="1" type="noConversion"/>
  </si>
  <si>
    <t>MFMCB0080PJT</t>
    <phoneticPr fontId="1" type="noConversion"/>
  </si>
  <si>
    <t>MFMCA0080NJD</t>
    <phoneticPr fontId="1" type="noConversion"/>
  </si>
  <si>
    <t>MFECA0080MJD</t>
    <phoneticPr fontId="1" type="noConversion"/>
  </si>
  <si>
    <t>EX-19EB</t>
  </si>
  <si>
    <t>SB060-010-S2-P2 (MSMF022L1S1)</t>
    <phoneticPr fontId="1" type="noConversion"/>
  </si>
  <si>
    <t>SB060-010-S2-P2 (MSMF022L1T1)</t>
    <phoneticPr fontId="1" type="noConversion"/>
  </si>
  <si>
    <t>시그널시스템</t>
  </si>
  <si>
    <t>ZP2-TB15MTN-H5</t>
  </si>
  <si>
    <t>VACCUM PAD</t>
  </si>
  <si>
    <t>MY1M16-300L-M9N</t>
  </si>
  <si>
    <t>KQ2L10-03NS</t>
    <phoneticPr fontId="1" type="noConversion"/>
  </si>
  <si>
    <t>CQ2B12-10D</t>
  </si>
  <si>
    <t>AS1201F-M3-04A-X790</t>
    <phoneticPr fontId="1" type="noConversion"/>
  </si>
  <si>
    <t>AS2201F-01-06SA</t>
    <phoneticPr fontId="1" type="noConversion"/>
  </si>
  <si>
    <t>ZP3-T10BNJ10-B5</t>
  </si>
  <si>
    <t>MY1M16-700L-M9N</t>
    <phoneticPr fontId="1" type="noConversion"/>
  </si>
  <si>
    <t>MXQ20L-50AS-M9N</t>
    <phoneticPr fontId="1" type="noConversion"/>
  </si>
  <si>
    <t>MHZL2-20D-M9N</t>
    <phoneticPr fontId="1" type="noConversion"/>
  </si>
  <si>
    <t>MGPM20-50Z-M9N</t>
    <phoneticPr fontId="1" type="noConversion"/>
  </si>
  <si>
    <t>MGPM20-20Z-M9N</t>
    <phoneticPr fontId="1" type="noConversion"/>
  </si>
  <si>
    <t>MGPM16-10Z-M9N</t>
    <phoneticPr fontId="1" type="noConversion"/>
  </si>
  <si>
    <t>MGPM25-20Z-M9N</t>
    <phoneticPr fontId="1" type="noConversion"/>
  </si>
  <si>
    <t>MXQ6L-10AS-M9N</t>
  </si>
  <si>
    <t>MXQ6-10AS-M9N</t>
    <phoneticPr fontId="1" type="noConversion"/>
  </si>
  <si>
    <t>AS2201F-01-04SA</t>
    <phoneticPr fontId="1" type="noConversion"/>
  </si>
  <si>
    <t>MHF2-8D1-M9N</t>
  </si>
  <si>
    <t>ZH13DSA-08-10-10S</t>
  </si>
  <si>
    <t>브라켓 스페이서</t>
  </si>
  <si>
    <t>SOLENOILD VALVE</t>
  </si>
  <si>
    <t>VHS30-03-D</t>
    <phoneticPr fontId="1" type="noConversion"/>
  </si>
  <si>
    <t>잔압배기 V/V</t>
  </si>
  <si>
    <t>SY3000-26-9A</t>
  </si>
  <si>
    <t>SS5Y3-20-06</t>
  </si>
  <si>
    <t>KQ2ZT06-03NS</t>
    <phoneticPr fontId="1" type="noConversion"/>
  </si>
  <si>
    <t>KQ2UD06-08A</t>
  </si>
  <si>
    <t>KQ2UD04-06A</t>
  </si>
  <si>
    <t>KQ2U08-00A</t>
  </si>
  <si>
    <t>KQ2L08-02NS</t>
  </si>
  <si>
    <t>KQ2L06-08A</t>
  </si>
  <si>
    <t>KQ2L04-M5N</t>
    <phoneticPr fontId="1" type="noConversion"/>
  </si>
  <si>
    <t>KQ2H06-08A</t>
  </si>
  <si>
    <t>KQ2H04-06A</t>
  </si>
  <si>
    <t>KPT18</t>
  </si>
  <si>
    <t>KPT14</t>
  </si>
  <si>
    <t>AN20-02</t>
    <phoneticPr fontId="1" type="noConversion"/>
  </si>
  <si>
    <t>AC30A-03G-V-D</t>
    <phoneticPr fontId="1" type="noConversion"/>
  </si>
  <si>
    <t>강원전자</t>
  </si>
  <si>
    <t>NMC-UB250 5M</t>
    <phoneticPr fontId="1" type="noConversion"/>
  </si>
  <si>
    <t>프린터 케이블</t>
  </si>
  <si>
    <t>KMY4C</t>
  </si>
  <si>
    <t>LOTO KEY SWITCH</t>
  </si>
  <si>
    <t>KDX-QMD21W</t>
  </si>
  <si>
    <t>STOP BUTTON</t>
  </si>
  <si>
    <t>화신박스</t>
  </si>
  <si>
    <t>EN-AGS-1111-07</t>
  </si>
  <si>
    <t>DYM-AL6 / 2.5M</t>
  </si>
  <si>
    <t>2.5SQx3C / 3M</t>
  </si>
  <si>
    <t>Power Cable</t>
  </si>
  <si>
    <t>NX342 5M</t>
    <phoneticPr fontId="1" type="noConversion"/>
  </si>
  <si>
    <t>HDMI 케이블</t>
  </si>
  <si>
    <t>EW32AAG 2P 15A / 100mA</t>
  </si>
  <si>
    <t>HR-2-10 BK</t>
  </si>
  <si>
    <t>핸들푸쉬</t>
  </si>
  <si>
    <t>BYH6060-30 BK</t>
    <phoneticPr fontId="1" type="noConversion"/>
  </si>
  <si>
    <t>BYH-4040 BK</t>
    <phoneticPr fontId="1" type="noConversion"/>
  </si>
  <si>
    <t>경첩</t>
  </si>
  <si>
    <t>BY183-3 BK</t>
  </si>
  <si>
    <t>매드툴</t>
  </si>
  <si>
    <t>DINO</t>
  </si>
  <si>
    <t>AM4113ZT</t>
  </si>
  <si>
    <t>USB 현미경</t>
  </si>
  <si>
    <t>SWISS</t>
    <phoneticPr fontId="1" type="noConversion"/>
  </si>
  <si>
    <t>뉴스타자동화</t>
  </si>
  <si>
    <t>HIR2005RC5T-763 R/D</t>
  </si>
  <si>
    <t>WSIG7-M405</t>
  </si>
  <si>
    <t>FRANCE</t>
    <phoneticPr fontId="1" type="noConversion"/>
  </si>
  <si>
    <t>MMS 보조 접점</t>
  </si>
  <si>
    <t>GV2P07</t>
  </si>
  <si>
    <t>WAGO</t>
  </si>
  <si>
    <t>221-2411</t>
  </si>
  <si>
    <t>Concenter</t>
  </si>
  <si>
    <t>WSIG7-M415</t>
  </si>
  <si>
    <t>LC1D186BD</t>
    <phoneticPr fontId="1" type="noConversion"/>
  </si>
  <si>
    <t xml:space="preserve">SENSOR </t>
  </si>
  <si>
    <t>BS5-P1MD</t>
  </si>
  <si>
    <t>DOOR SENSOR</t>
  </si>
  <si>
    <t>AFB1224SHE-R00</t>
    <phoneticPr fontId="1" type="noConversion"/>
  </si>
  <si>
    <t>1대</t>
    <phoneticPr fontId="1" type="noConversion"/>
  </si>
  <si>
    <t>002</t>
    <phoneticPr fontId="1" type="noConversion"/>
  </si>
  <si>
    <t>사내 재고 : 2EA</t>
    <phoneticPr fontId="1" type="noConversion"/>
  </si>
  <si>
    <t>CHE25-40:1-&gt;C-CHE25-240</t>
  </si>
  <si>
    <t>XFHT4060</t>
  </si>
  <si>
    <t>DOVETAIL STAGE</t>
  </si>
  <si>
    <t>사내 재고</t>
    <phoneticPr fontId="1" type="noConversion"/>
  </si>
  <si>
    <t>M</t>
    <phoneticPr fontId="1" type="noConversion"/>
  </si>
  <si>
    <t>CNS</t>
    <phoneticPr fontId="1" type="noConversion"/>
  </si>
  <si>
    <t>EzM2-42S-A+EzS2-EC-TO-42S-A</t>
    <phoneticPr fontId="1" type="noConversion"/>
  </si>
  <si>
    <t>STEP MOTOR+DRIVER</t>
  </si>
  <si>
    <t>여의시스템</t>
    <phoneticPr fontId="1" type="noConversion"/>
  </si>
  <si>
    <t>사내 재고 : 5EA</t>
    <phoneticPr fontId="1" type="noConversion"/>
  </si>
  <si>
    <t>사내 재고 : 3EA</t>
    <phoneticPr fontId="1" type="noConversion"/>
  </si>
  <si>
    <t>MXQ16-30A_M9B</t>
  </si>
  <si>
    <t>KOREA</t>
  </si>
  <si>
    <t>KDX-QMD21Y</t>
    <phoneticPr fontId="1" type="noConversion"/>
  </si>
  <si>
    <t>BELT CLAPM</t>
  </si>
  <si>
    <t>003</t>
  </si>
  <si>
    <t>SXYK16</t>
  </si>
  <si>
    <t>PLUNGER</t>
  </si>
  <si>
    <t>STWN10</t>
  </si>
  <si>
    <t>C-SSRXN36Y16</t>
    <phoneticPr fontId="1" type="noConversion"/>
  </si>
  <si>
    <t>SLIDE RAIL</t>
  </si>
  <si>
    <t>C-SPA25B16-N-10K</t>
    <phoneticPr fontId="1" type="noConversion"/>
  </si>
  <si>
    <t>SAPL-T-16X24</t>
  </si>
  <si>
    <t>E-HTPA24S5M100-A-H23</t>
    <phoneticPr fontId="1" type="noConversion"/>
  </si>
  <si>
    <t>FSSARN080-03A</t>
  </si>
  <si>
    <t>E-MCK14</t>
  </si>
  <si>
    <t>CHAIN</t>
  </si>
  <si>
    <t>STRIPPER BOLT</t>
  </si>
  <si>
    <t>C-AHTF24S5M100</t>
  </si>
  <si>
    <t>A-MR20-180-78</t>
  </si>
  <si>
    <t>E-HTPA40S5M150-A-H24</t>
    <phoneticPr fontId="1" type="noConversion"/>
  </si>
  <si>
    <t>E-ELGH15SA-600-B2-R</t>
    <phoneticPr fontId="1" type="noConversion"/>
  </si>
  <si>
    <t>E-ELGH15SA-550-B2-R</t>
    <phoneticPr fontId="1" type="noConversion"/>
  </si>
  <si>
    <t>10126-300PE</t>
    <phoneticPr fontId="1" type="noConversion"/>
  </si>
  <si>
    <t>CONECTOR(BOX)</t>
  </si>
  <si>
    <t>10326-52A0-008</t>
    <phoneticPr fontId="1" type="noConversion"/>
  </si>
  <si>
    <t>AC SERVO MOTOR</t>
  </si>
  <si>
    <t>MBDLN25NE (400W)</t>
  </si>
  <si>
    <t>AC SERVO DRIVE</t>
  </si>
  <si>
    <t>MADLN15NE (200W)</t>
  </si>
  <si>
    <t>AHTFW40-S5M150-10</t>
  </si>
  <si>
    <t>C-HTBN400S5M-100</t>
  </si>
  <si>
    <t>C-HTBN1615S5M-150</t>
  </si>
  <si>
    <t>C-HTBN1475S5M-150</t>
  </si>
  <si>
    <t>MISUMI / 원에스티</t>
  </si>
  <si>
    <t>M15CUU2-150L 15_15 R/D</t>
    <phoneticPr fontId="1" type="noConversion"/>
  </si>
  <si>
    <t>KF-10</t>
  </si>
  <si>
    <t>Inductive Filter</t>
  </si>
  <si>
    <t>MURR</t>
  </si>
  <si>
    <t>10472(10A)</t>
  </si>
  <si>
    <t>YOI-320B-TH</t>
    <phoneticPr fontId="1" type="noConversion"/>
  </si>
  <si>
    <t>에이플러스</t>
  </si>
  <si>
    <t>Ajinextek</t>
  </si>
  <si>
    <t>PCIe-R0805-RTEX</t>
  </si>
  <si>
    <t>N3RTEX-DO32T</t>
  </si>
  <si>
    <t>N3RTEX-DI32</t>
  </si>
  <si>
    <t>Teminal Block</t>
  </si>
  <si>
    <t>ATG</t>
  </si>
  <si>
    <t>PGX62-H-10</t>
  </si>
  <si>
    <t>REDUCER</t>
  </si>
  <si>
    <t>S7KA20B</t>
  </si>
  <si>
    <t>SENOSR</t>
  </si>
  <si>
    <t>MFMCB0050PJT</t>
    <phoneticPr fontId="1" type="noConversion"/>
  </si>
  <si>
    <t>MOTOR BRAKE CABLE</t>
  </si>
  <si>
    <t>MFECA0050TJD</t>
    <phoneticPr fontId="1" type="noConversion"/>
  </si>
  <si>
    <t>MOTOR ENCODER CABLE</t>
  </si>
  <si>
    <t>MFMCA0050RJD</t>
    <phoneticPr fontId="1" type="noConversion"/>
  </si>
  <si>
    <t>MOTOR POWER CABLE</t>
  </si>
  <si>
    <t>MFECA0050MJD</t>
    <phoneticPr fontId="1" type="noConversion"/>
  </si>
  <si>
    <t>MFMCA0050NJD</t>
    <phoneticPr fontId="1" type="noConversion"/>
  </si>
  <si>
    <t>EX-14A</t>
  </si>
  <si>
    <t>003</t>
    <phoneticPr fontId="1" type="noConversion"/>
  </si>
  <si>
    <t>동양</t>
  </si>
  <si>
    <t>DYM-AL4-&gt;DYM-AL6(SC) 2.5M</t>
  </si>
  <si>
    <t>Concentric Plug</t>
  </si>
  <si>
    <t>EW32AAG 2P 15A/100mA</t>
    <phoneticPr fontId="1" type="noConversion"/>
  </si>
  <si>
    <t>MBK-DIN-1 (1M)</t>
  </si>
  <si>
    <t>Din Rail</t>
  </si>
  <si>
    <t>세기비즈</t>
  </si>
  <si>
    <t>SG-EB2-20P</t>
  </si>
  <si>
    <t>Bus Bar</t>
  </si>
  <si>
    <t xml:space="preserve">KMY4C </t>
  </si>
  <si>
    <t>ELB,MCB Cover</t>
  </si>
  <si>
    <t>BW32AAG 2P 5A</t>
  </si>
  <si>
    <t>BW32AAG 2P 3A</t>
  </si>
  <si>
    <t>BW32AAG 2P 15A</t>
  </si>
  <si>
    <t>WOONYOUNG</t>
  </si>
  <si>
    <t>WYFS15TD</t>
  </si>
  <si>
    <t>한신로보체인</t>
  </si>
  <si>
    <t>HSP0180-50 E/B</t>
  </si>
  <si>
    <t>ROBO CHAIN 브라켓</t>
  </si>
  <si>
    <t>HSP0180-50_28R</t>
    <phoneticPr fontId="1" type="noConversion"/>
  </si>
  <si>
    <t>ROBO CHAIN_1M</t>
  </si>
  <si>
    <t>HSP0180-15(1BN) E/B</t>
  </si>
  <si>
    <t>HSP0180-1BN-18R</t>
    <phoneticPr fontId="1" type="noConversion"/>
  </si>
  <si>
    <t>HSP 0320-35 E/B</t>
  </si>
  <si>
    <t>HSP0320-35B-37R</t>
    <phoneticPr fontId="1" type="noConversion"/>
  </si>
  <si>
    <t>HSP0320-50 E/B</t>
  </si>
  <si>
    <t>HSP0320-50-37R</t>
    <phoneticPr fontId="1" type="noConversion"/>
  </si>
  <si>
    <t>15PIN</t>
  </si>
  <si>
    <t>D-SUB</t>
  </si>
  <si>
    <t>BY183-3 CV</t>
    <phoneticPr fontId="1" type="noConversion"/>
  </si>
  <si>
    <t>HANDEL</t>
  </si>
  <si>
    <t>CASTER</t>
  </si>
  <si>
    <t>VTCF 2.5SQ 3C (5M)</t>
  </si>
  <si>
    <t>Main Power Cable</t>
  </si>
  <si>
    <t>VTCF 0.75SQ 3C (5M)</t>
  </si>
  <si>
    <t>PC Power Cable</t>
  </si>
  <si>
    <t>EN-AGS 111107</t>
  </si>
  <si>
    <t>FIBOX</t>
  </si>
  <si>
    <t>STL025-D51-3-N (DC24V)</t>
  </si>
  <si>
    <t>RESET S/W</t>
  </si>
  <si>
    <t>STOP S/W</t>
  </si>
  <si>
    <t>START S/W</t>
  </si>
  <si>
    <t>EMO S/W</t>
  </si>
  <si>
    <t>KD-EN22</t>
  </si>
  <si>
    <t>EMO COVER</t>
  </si>
  <si>
    <t>WYA2V12C25TBT</t>
  </si>
  <si>
    <t>4*4*25 1R</t>
    <phoneticPr fontId="1" type="noConversion"/>
  </si>
  <si>
    <t>4*4*10 1R</t>
    <phoneticPr fontId="1" type="noConversion"/>
  </si>
  <si>
    <t>4*4*30 2R</t>
    <phoneticPr fontId="1" type="noConversion"/>
  </si>
  <si>
    <t>D-M9BL</t>
  </si>
  <si>
    <t>AUTO SWITCH</t>
  </si>
  <si>
    <t>MHF2-8D2</t>
  </si>
  <si>
    <t>MSQB10R</t>
  </si>
  <si>
    <t>CXSJM10-20</t>
  </si>
  <si>
    <t>SOLVALVE</t>
  </si>
  <si>
    <t>KQ2L06-01NS</t>
  </si>
  <si>
    <t>KQ2L04-02NS</t>
  </si>
  <si>
    <t>KQ2L06-03NS</t>
  </si>
  <si>
    <t>AN101-01</t>
  </si>
  <si>
    <t>SLINCER</t>
  </si>
  <si>
    <t>RAGULATOR</t>
  </si>
  <si>
    <t>BRACKET SPACER</t>
  </si>
  <si>
    <t>AW30-03G-D</t>
  </si>
  <si>
    <t>VHS30-03-D</t>
  </si>
  <si>
    <t>VALVE</t>
  </si>
  <si>
    <t>SWITZERLAND</t>
    <phoneticPr fontId="1" type="noConversion"/>
  </si>
  <si>
    <t>LOGITECH</t>
  </si>
  <si>
    <t xml:space="preserve">K400+ </t>
  </si>
  <si>
    <t>SAFETY PLC</t>
  </si>
  <si>
    <t>MEANWELL</t>
  </si>
  <si>
    <t>RSP-150-24</t>
  </si>
  <si>
    <t>Power Supply</t>
  </si>
  <si>
    <t>KCP-32ANM-3A</t>
  </si>
  <si>
    <t>SPD Protector</t>
  </si>
  <si>
    <t>004</t>
  </si>
  <si>
    <t>PULLY</t>
  </si>
  <si>
    <t>E-MLG15S-150-B2-R</t>
    <phoneticPr fontId="1" type="noConversion"/>
  </si>
  <si>
    <t>C-ELGSA15-800-B2-ES10-R</t>
  </si>
  <si>
    <t>C-HTBN2100S5M-150</t>
  </si>
  <si>
    <t>C-HTBN1650S5M-150</t>
  </si>
  <si>
    <t>C-ELGSA15-625-B2-ES12.5-R</t>
  </si>
  <si>
    <t>004</t>
    <phoneticPr fontId="1" type="noConversion"/>
  </si>
  <si>
    <t>DYM-AL6(SC) 2.5M</t>
    <phoneticPr fontId="1" type="noConversion"/>
  </si>
  <si>
    <t>MAIN POWER CABLE</t>
  </si>
  <si>
    <t>PC POWER CABLE</t>
  </si>
  <si>
    <t>SLIENCER</t>
  </si>
  <si>
    <t>005</t>
  </si>
  <si>
    <t>MISUMI/CSK/BSQ</t>
  </si>
  <si>
    <t>EW50AAG 2P015B 30mA</t>
    <phoneticPr fontId="1" type="noConversion"/>
  </si>
  <si>
    <t>CZECHIA</t>
    <phoneticPr fontId="1" type="noConversion"/>
  </si>
  <si>
    <t>MONITOR</t>
  </si>
  <si>
    <t>SEN7-SSA-2M (RED)</t>
  </si>
  <si>
    <t>SEN7-SSA-0.35M (BLACK)</t>
  </si>
  <si>
    <t>DYM-AL4 (2.5m)-&gt;DYM-AL4(SC) 2.5M</t>
  </si>
  <si>
    <t>2.5SQ / 3C / 3M</t>
  </si>
  <si>
    <t>EN-AGS111107</t>
  </si>
  <si>
    <t>005</t>
    <phoneticPr fontId="1" type="noConversion"/>
  </si>
  <si>
    <t>DELTA</t>
    <phoneticPr fontId="1" type="noConversion"/>
  </si>
  <si>
    <t>CHTR</t>
    <phoneticPr fontId="1" type="noConversion"/>
  </si>
  <si>
    <t>CHTRH15B-1-203L R/D</t>
    <phoneticPr fontId="1" type="noConversion"/>
  </si>
  <si>
    <t>CHTRS15BS-4-1380L R/D</t>
    <phoneticPr fontId="1" type="noConversion"/>
  </si>
  <si>
    <t>CHTRS15BS-2-765L R/D</t>
    <phoneticPr fontId="1" type="noConversion"/>
  </si>
  <si>
    <t>CHTRS15BS-2-865L R/D</t>
    <phoneticPr fontId="1" type="noConversion"/>
  </si>
  <si>
    <t>원에스티</t>
    <phoneticPr fontId="1" type="noConversion"/>
  </si>
  <si>
    <t>BSQ</t>
    <phoneticPr fontId="1" type="noConversion"/>
  </si>
  <si>
    <t>M15CUU2-185L-B2 G12.5/12.5 R/D</t>
    <phoneticPr fontId="1" type="noConversion"/>
  </si>
  <si>
    <t>CHTRH15B-2-692L R/D</t>
    <phoneticPr fontId="1" type="noConversion"/>
  </si>
  <si>
    <t>CHTRH15B-1-840L R/D</t>
    <phoneticPr fontId="1" type="noConversion"/>
  </si>
  <si>
    <t>MCM7M-1-42 R/D</t>
    <phoneticPr fontId="1" type="noConversion"/>
  </si>
  <si>
    <t>확인중</t>
    <phoneticPr fontId="1" type="noConversion"/>
  </si>
  <si>
    <t>입고 완료</t>
    <phoneticPr fontId="1" type="noConversion"/>
  </si>
  <si>
    <t>SSFAD12-217-F35-B35-P12-N5</t>
    <phoneticPr fontId="1" type="noConversion"/>
  </si>
  <si>
    <t>E-HLGH15-460-B2-R / LMG15H 2UU+460L R/D / MCH15N-2-460L R/D</t>
    <phoneticPr fontId="1" type="noConversion"/>
  </si>
  <si>
    <t>입고 완료</t>
    <phoneticPr fontId="1" type="noConversion"/>
  </si>
  <si>
    <t>미입고</t>
    <phoneticPr fontId="1" type="noConversion"/>
  </si>
  <si>
    <t>1 , 2</t>
    <phoneticPr fontId="1" type="noConversion"/>
  </si>
  <si>
    <t>1, 2</t>
    <phoneticPr fontId="1" type="noConversion"/>
  </si>
  <si>
    <t>공용1</t>
    <phoneticPr fontId="1" type="noConversion"/>
  </si>
  <si>
    <t>입고 완료</t>
    <phoneticPr fontId="1" type="noConversion"/>
  </si>
  <si>
    <t>입고 완료</t>
    <phoneticPr fontId="1" type="noConversion"/>
  </si>
  <si>
    <t>KGK-H2M1A</t>
    <phoneticPr fontId="1" type="noConversion"/>
  </si>
  <si>
    <t>YOI-320B-TH</t>
    <phoneticPr fontId="1" type="noConversion"/>
  </si>
  <si>
    <t>AR20-02BG-D</t>
    <phoneticPr fontId="1" type="noConversion"/>
  </si>
  <si>
    <t>C-HTBN500S5M-100</t>
    <phoneticPr fontId="1" type="noConversion"/>
  </si>
  <si>
    <t>HSP0180-15(1BN) E/B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</si>
</sst>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#,##0_ ;[Red]\-#,##0\ "/>
    <numFmt numFmtId="177" formatCode="#,##0.0_ ;[Red]\-#,##0.0\ "/>
    <numFmt numFmtId="178" formatCode="_-[$$-409]* #,##0.00_ ;_-[$$-409]* \-#,##0.00\ ;_-[$$-409]* &quot;-&quot;??_ ;_-@_ "/>
    <numFmt numFmtId="179" formatCode="yyyy/mm/dd;@"/>
    <numFmt numFmtId="180" formatCode="_-* #,##0.00_-;\-* #,##0.00_-;_-* &quot;-&quot;_-;_-@_-"/>
    <numFmt numFmtId="181" formatCode="0.0%"/>
  </numFmts>
  <fonts count="17"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b/>
      <sz val="14"/>
      <name val="맑은 고딕"/>
      <family val="3"/>
      <charset val="129"/>
      <scheme val="major"/>
    </font>
    <font>
      <sz val="11"/>
      <name val="돋움"/>
      <family val="3"/>
      <charset val="129"/>
    </font>
    <font>
      <sz val="10"/>
      <color rgb="FFFF0000"/>
      <name val="맑은 고딕"/>
      <family val="3"/>
      <charset val="129"/>
      <scheme val="major"/>
    </font>
    <font>
      <b/>
      <sz val="10"/>
      <color rgb="FFFF0000"/>
      <name val="맑은 고딕"/>
      <family val="3"/>
      <charset val="129"/>
      <scheme val="maj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sz val="10"/>
      <color indexed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rgb="FFC0000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aj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56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double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auto="1"/>
      </right>
      <top style="medium">
        <color auto="1"/>
      </top>
      <bottom style="double">
        <color auto="1"/>
      </bottom>
      <diagonal/>
    </border>
    <border>
      <left style="thick">
        <color rgb="FFFF0000"/>
      </left>
      <right style="hair">
        <color auto="1"/>
      </right>
      <top style="thick">
        <color rgb="FFFF0000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thick">
        <color rgb="FFFF0000"/>
      </top>
      <bottom style="double">
        <color auto="1"/>
      </bottom>
      <diagonal/>
    </border>
    <border>
      <left style="hair">
        <color auto="1"/>
      </left>
      <right style="thick">
        <color rgb="FFFF0000"/>
      </right>
      <top style="thick">
        <color rgb="FFFF0000"/>
      </top>
      <bottom style="double">
        <color auto="1"/>
      </bottom>
      <diagonal/>
    </border>
    <border>
      <left style="thick">
        <color rgb="FFFF0000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ck">
        <color rgb="FFFF0000"/>
      </right>
      <top style="hair">
        <color indexed="64"/>
      </top>
      <bottom style="hair">
        <color indexed="64"/>
      </bottom>
      <diagonal/>
    </border>
    <border>
      <left style="thick">
        <color rgb="FFFF0000"/>
      </left>
      <right/>
      <top style="hair">
        <color auto="1"/>
      </top>
      <bottom style="thick">
        <color rgb="FFFF0000"/>
      </bottom>
      <diagonal/>
    </border>
    <border>
      <left/>
      <right/>
      <top style="hair">
        <color auto="1"/>
      </top>
      <bottom style="thick">
        <color rgb="FFFF0000"/>
      </bottom>
      <diagonal/>
    </border>
    <border>
      <left/>
      <right style="hair">
        <color auto="1"/>
      </right>
      <top style="hair">
        <color auto="1"/>
      </top>
      <bottom style="thick">
        <color rgb="FFFF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ck">
        <color rgb="FFFF0000"/>
      </bottom>
      <diagonal/>
    </border>
    <border>
      <left style="hair">
        <color auto="1"/>
      </left>
      <right style="thick">
        <color rgb="FFFF0000"/>
      </right>
      <top style="hair">
        <color auto="1"/>
      </top>
      <bottom style="thick">
        <color rgb="FFFF0000"/>
      </bottom>
      <diagonal/>
    </border>
    <border>
      <left style="hair">
        <color indexed="64"/>
      </left>
      <right style="medium">
        <color auto="1"/>
      </right>
      <top style="hair">
        <color indexed="64"/>
      </top>
      <bottom style="hair">
        <color indexed="64"/>
      </bottom>
      <diagonal/>
    </border>
    <border>
      <left style="thick">
        <color rgb="FFFF0000"/>
      </left>
      <right style="hair">
        <color auto="1"/>
      </right>
      <top style="thick">
        <color rgb="FF002060"/>
      </top>
      <bottom style="double">
        <color auto="1"/>
      </bottom>
      <diagonal/>
    </border>
    <border>
      <left style="hair">
        <color auto="1"/>
      </left>
      <right style="thick">
        <color rgb="FF002060"/>
      </right>
      <top style="thick">
        <color rgb="FF002060"/>
      </top>
      <bottom style="double">
        <color auto="1"/>
      </bottom>
      <diagonal/>
    </border>
    <border>
      <left style="hair">
        <color auto="1"/>
      </left>
      <right style="thick">
        <color rgb="FF002060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ck">
        <color rgb="FF002060"/>
      </right>
      <top style="hair">
        <color auto="1"/>
      </top>
      <bottom style="thick">
        <color rgb="FF002060"/>
      </bottom>
      <diagonal/>
    </border>
    <border>
      <left style="thick">
        <color rgb="FFFF0000"/>
      </left>
      <right style="hair">
        <color auto="1"/>
      </right>
      <top style="hair">
        <color auto="1"/>
      </top>
      <bottom style="thick">
        <color rgb="FF00206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auto="1"/>
      </right>
      <top style="thick">
        <color rgb="FFFF0000"/>
      </top>
      <bottom style="double">
        <color auto="1"/>
      </bottom>
      <diagonal/>
    </border>
    <border>
      <left style="hair">
        <color auto="1"/>
      </left>
      <right/>
      <top style="thick">
        <color rgb="FFFF0000"/>
      </top>
      <bottom style="double">
        <color auto="1"/>
      </bottom>
      <diagonal/>
    </border>
    <border>
      <left/>
      <right/>
      <top style="thick">
        <color rgb="FFFF0000"/>
      </top>
      <bottom style="double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thin">
        <color indexed="64"/>
      </bottom>
      <diagonal/>
    </border>
    <border>
      <left style="hair">
        <color auto="1"/>
      </left>
      <right/>
      <top style="medium">
        <color auto="1"/>
      </top>
      <bottom style="thin">
        <color indexed="64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 style="hair">
        <color auto="1"/>
      </right>
      <top style="medium">
        <color auto="1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auto="1"/>
      </top>
      <bottom style="thin">
        <color indexed="64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11">
    <xf numFmtId="0" fontId="0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5" fillId="0" borderId="0"/>
    <xf numFmtId="0" fontId="12" fillId="0" borderId="0">
      <alignment vertical="center"/>
    </xf>
    <xf numFmtId="0" fontId="5" fillId="0" borderId="0"/>
    <xf numFmtId="0" fontId="15" fillId="0" borderId="0">
      <alignment vertical="center"/>
    </xf>
  </cellStyleXfs>
  <cellXfs count="171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176" fontId="2" fillId="0" borderId="0" xfId="0" applyNumberFormat="1" applyFont="1" applyAlignment="1">
      <alignment horizontal="center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176" fontId="3" fillId="0" borderId="5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4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177" fontId="3" fillId="0" borderId="6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176" fontId="2" fillId="0" borderId="0" xfId="0" applyNumberFormat="1" applyFont="1" applyAlignment="1">
      <alignment horizontal="left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179" fontId="2" fillId="0" borderId="0" xfId="0" applyNumberFormat="1" applyFont="1" applyAlignment="1">
      <alignment horizontal="center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176" fontId="7" fillId="2" borderId="27" xfId="0" applyNumberFormat="1" applyFont="1" applyFill="1" applyBorder="1" applyAlignment="1">
      <alignment horizontal="right" vertical="center"/>
    </xf>
    <xf numFmtId="178" fontId="7" fillId="2" borderId="28" xfId="0" applyNumberFormat="1" applyFont="1" applyFill="1" applyBorder="1" applyAlignment="1">
      <alignment horizontal="right" vertical="center"/>
    </xf>
    <xf numFmtId="9" fontId="2" fillId="3" borderId="0" xfId="0" applyNumberFormat="1" applyFont="1" applyFill="1" applyAlignment="1">
      <alignment horizontal="center"/>
    </xf>
    <xf numFmtId="9" fontId="2" fillId="0" borderId="11" xfId="5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77" fontId="2" fillId="0" borderId="29" xfId="0" applyNumberFormat="1" applyFont="1" applyBorder="1" applyAlignment="1">
      <alignment horizontal="center" vertical="center"/>
    </xf>
    <xf numFmtId="0" fontId="6" fillId="4" borderId="31" xfId="0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176" fontId="3" fillId="2" borderId="27" xfId="0" applyNumberFormat="1" applyFont="1" applyFill="1" applyBorder="1" applyAlignment="1">
      <alignment horizontal="right" vertical="center"/>
    </xf>
    <xf numFmtId="176" fontId="3" fillId="2" borderId="27" xfId="0" applyNumberFormat="1" applyFont="1" applyFill="1" applyBorder="1" applyAlignment="1">
      <alignment horizontal="center" vertical="center"/>
    </xf>
    <xf numFmtId="178" fontId="7" fillId="2" borderId="33" xfId="0" applyNumberFormat="1" applyFont="1" applyFill="1" applyBorder="1" applyAlignment="1">
      <alignment horizontal="right" vertical="center"/>
    </xf>
    <xf numFmtId="176" fontId="3" fillId="2" borderId="12" xfId="0" applyNumberFormat="1" applyFont="1" applyFill="1" applyBorder="1" applyAlignment="1">
      <alignment horizontal="left" vertical="center"/>
    </xf>
    <xf numFmtId="176" fontId="6" fillId="6" borderId="35" xfId="0" applyNumberFormat="1" applyFont="1" applyFill="1" applyBorder="1" applyAlignment="1">
      <alignment horizontal="center"/>
    </xf>
    <xf numFmtId="41" fontId="0" fillId="0" borderId="0" xfId="4" applyFont="1" applyAlignment="1"/>
    <xf numFmtId="41" fontId="7" fillId="2" borderId="34" xfId="4" applyFont="1" applyFill="1" applyBorder="1" applyAlignment="1">
      <alignment horizontal="right" vertical="center"/>
    </xf>
    <xf numFmtId="176" fontId="9" fillId="0" borderId="1" xfId="4" applyNumberFormat="1" applyFont="1" applyFill="1" applyBorder="1" applyAlignment="1">
      <alignment horizontal="right" vertical="center"/>
    </xf>
    <xf numFmtId="180" fontId="2" fillId="3" borderId="0" xfId="4" applyNumberFormat="1" applyFont="1" applyFill="1" applyAlignment="1">
      <alignment horizontal="center"/>
    </xf>
    <xf numFmtId="181" fontId="13" fillId="6" borderId="35" xfId="5" applyNumberFormat="1" applyFont="1" applyFill="1" applyBorder="1" applyAlignment="1">
      <alignment horizontal="center"/>
    </xf>
    <xf numFmtId="0" fontId="2" fillId="0" borderId="22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176" fontId="2" fillId="0" borderId="1" xfId="0" applyNumberFormat="1" applyFont="1" applyBorder="1" applyAlignment="1">
      <alignment horizontal="right" vertical="center"/>
    </xf>
    <xf numFmtId="178" fontId="6" fillId="0" borderId="1" xfId="0" applyNumberFormat="1" applyFont="1" applyBorder="1" applyAlignment="1">
      <alignment horizontal="right" vertical="center"/>
    </xf>
    <xf numFmtId="178" fontId="6" fillId="0" borderId="23" xfId="0" applyNumberFormat="1" applyFont="1" applyBorder="1" applyAlignment="1">
      <alignment horizontal="right" vertical="center"/>
    </xf>
    <xf numFmtId="41" fontId="6" fillId="0" borderId="22" xfId="4" applyFont="1" applyFill="1" applyBorder="1" applyAlignment="1">
      <alignment horizontal="right" vertical="center"/>
    </xf>
    <xf numFmtId="177" fontId="2" fillId="0" borderId="9" xfId="0" applyNumberFormat="1" applyFont="1" applyBorder="1" applyAlignment="1">
      <alignment horizontal="center" vertical="center" wrapText="1"/>
    </xf>
    <xf numFmtId="0" fontId="2" fillId="0" borderId="11" xfId="0" applyFont="1" applyBorder="1" applyAlignment="1">
      <alignment horizontal="left" vertical="center"/>
    </xf>
    <xf numFmtId="176" fontId="9" fillId="0" borderId="15" xfId="0" applyNumberFormat="1" applyFont="1" applyBorder="1" applyAlignment="1">
      <alignment horizontal="center" vertical="center"/>
    </xf>
    <xf numFmtId="176" fontId="2" fillId="0" borderId="11" xfId="0" applyNumberFormat="1" applyFont="1" applyBorder="1" applyAlignment="1">
      <alignment horizontal="right" vertical="center"/>
    </xf>
    <xf numFmtId="49" fontId="8" fillId="0" borderId="1" xfId="0" applyNumberFormat="1" applyFont="1" applyBorder="1" applyAlignment="1">
      <alignment horizontal="left" vertical="center"/>
    </xf>
    <xf numFmtId="0" fontId="8" fillId="0" borderId="1" xfId="6" applyFont="1" applyBorder="1">
      <alignment vertical="center"/>
    </xf>
    <xf numFmtId="0" fontId="11" fillId="0" borderId="1" xfId="0" applyFont="1" applyBorder="1" applyAlignment="1">
      <alignment vertical="center"/>
    </xf>
    <xf numFmtId="49" fontId="8" fillId="0" borderId="8" xfId="0" applyNumberFormat="1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49" fontId="8" fillId="0" borderId="17" xfId="0" applyNumberFormat="1" applyFont="1" applyBorder="1" applyAlignment="1">
      <alignment horizontal="left" vertical="center"/>
    </xf>
    <xf numFmtId="0" fontId="8" fillId="0" borderId="36" xfId="0" applyFont="1" applyBorder="1" applyAlignment="1">
      <alignment horizontal="left" vertical="center"/>
    </xf>
    <xf numFmtId="0" fontId="2" fillId="0" borderId="37" xfId="0" applyFont="1" applyBorder="1" applyAlignment="1">
      <alignment horizontal="center" vertical="center" wrapText="1"/>
    </xf>
    <xf numFmtId="176" fontId="3" fillId="2" borderId="26" xfId="0" applyNumberFormat="1" applyFont="1" applyFill="1" applyBorder="1" applyAlignment="1">
      <alignment horizontal="right" vertical="center"/>
    </xf>
    <xf numFmtId="179" fontId="2" fillId="0" borderId="21" xfId="0" applyNumberFormat="1" applyFont="1" applyBorder="1" applyAlignment="1">
      <alignment horizontal="center" vertical="center" wrapText="1"/>
    </xf>
    <xf numFmtId="179" fontId="2" fillId="0" borderId="23" xfId="0" applyNumberFormat="1" applyFont="1" applyBorder="1" applyAlignment="1">
      <alignment horizontal="center" vertical="center"/>
    </xf>
    <xf numFmtId="179" fontId="3" fillId="2" borderId="28" xfId="0" applyNumberFormat="1" applyFont="1" applyFill="1" applyBorder="1" applyAlignment="1">
      <alignment horizontal="center" vertical="center"/>
    </xf>
    <xf numFmtId="178" fontId="6" fillId="0" borderId="32" xfId="0" applyNumberFormat="1" applyFont="1" applyBorder="1" applyAlignment="1">
      <alignment horizontal="right" vertical="center"/>
    </xf>
    <xf numFmtId="0" fontId="14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2" fillId="0" borderId="36" xfId="0" applyFont="1" applyBorder="1" applyAlignment="1">
      <alignment vertical="center"/>
    </xf>
    <xf numFmtId="49" fontId="9" fillId="0" borderId="1" xfId="0" applyNumberFormat="1" applyFont="1" applyBorder="1" applyAlignment="1">
      <alignment horizontal="left" vertical="center"/>
    </xf>
    <xf numFmtId="0" fontId="8" fillId="0" borderId="1" xfId="0" applyFont="1" applyBorder="1" applyAlignment="1">
      <alignment vertical="center"/>
    </xf>
    <xf numFmtId="176" fontId="8" fillId="0" borderId="15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49" fontId="10" fillId="0" borderId="1" xfId="0" applyNumberFormat="1" applyFont="1" applyBorder="1" applyAlignment="1">
      <alignment horizontal="left" vertical="center"/>
    </xf>
    <xf numFmtId="0" fontId="8" fillId="0" borderId="15" xfId="0" applyFont="1" applyBorder="1" applyAlignment="1">
      <alignment vertical="center"/>
    </xf>
    <xf numFmtId="0" fontId="14" fillId="0" borderId="1" xfId="0" applyFont="1" applyBorder="1" applyAlignment="1">
      <alignment vertical="center"/>
    </xf>
    <xf numFmtId="49" fontId="8" fillId="0" borderId="36" xfId="0" applyNumberFormat="1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 wrapText="1"/>
    </xf>
    <xf numFmtId="0" fontId="2" fillId="0" borderId="42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/>
    </xf>
    <xf numFmtId="0" fontId="2" fillId="0" borderId="36" xfId="0" applyFont="1" applyBorder="1" applyAlignment="1">
      <alignment horizontal="left" vertical="center"/>
    </xf>
    <xf numFmtId="0" fontId="2" fillId="0" borderId="43" xfId="0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 wrapText="1"/>
    </xf>
    <xf numFmtId="177" fontId="2" fillId="0" borderId="6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2" xfId="0" applyFont="1" applyBorder="1" applyAlignment="1">
      <alignment horizontal="center" vertical="center"/>
    </xf>
    <xf numFmtId="176" fontId="2" fillId="0" borderId="8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176" fontId="9" fillId="0" borderId="48" xfId="0" applyNumberFormat="1" applyFont="1" applyBorder="1" applyAlignment="1">
      <alignment horizontal="center" vertical="center"/>
    </xf>
    <xf numFmtId="177" fontId="2" fillId="0" borderId="16" xfId="0" applyNumberFormat="1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 wrapText="1"/>
    </xf>
    <xf numFmtId="0" fontId="2" fillId="0" borderId="52" xfId="0" applyFont="1" applyBorder="1" applyAlignment="1">
      <alignment horizontal="center" vertical="center" wrapText="1"/>
    </xf>
    <xf numFmtId="0" fontId="2" fillId="0" borderId="53" xfId="0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 wrapText="1"/>
    </xf>
    <xf numFmtId="0" fontId="2" fillId="0" borderId="54" xfId="0" applyFont="1" applyBorder="1" applyAlignment="1">
      <alignment horizontal="center" vertical="center" wrapText="1"/>
    </xf>
    <xf numFmtId="176" fontId="9" fillId="0" borderId="1" xfId="0" applyNumberFormat="1" applyFont="1" applyBorder="1" applyAlignment="1">
      <alignment horizontal="center" vertical="center"/>
    </xf>
    <xf numFmtId="0" fontId="2" fillId="0" borderId="42" xfId="0" applyFont="1" applyBorder="1" applyAlignment="1">
      <alignment vertical="center" wrapText="1"/>
    </xf>
    <xf numFmtId="0" fontId="14" fillId="0" borderId="36" xfId="0" applyFont="1" applyBorder="1" applyAlignment="1">
      <alignment vertical="center"/>
    </xf>
    <xf numFmtId="49" fontId="9" fillId="7" borderId="1" xfId="0" applyNumberFormat="1" applyFont="1" applyFill="1" applyBorder="1" applyAlignment="1">
      <alignment horizontal="left" vertical="center"/>
    </xf>
    <xf numFmtId="49" fontId="8" fillId="7" borderId="1" xfId="0" applyNumberFormat="1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left" vertical="center"/>
    </xf>
    <xf numFmtId="0" fontId="9" fillId="7" borderId="1" xfId="0" applyFont="1" applyFill="1" applyBorder="1" applyAlignment="1">
      <alignment vertical="center"/>
    </xf>
    <xf numFmtId="0" fontId="8" fillId="7" borderId="1" xfId="0" applyFont="1" applyFill="1" applyBorder="1" applyAlignment="1">
      <alignment vertical="center"/>
    </xf>
    <xf numFmtId="49" fontId="10" fillId="7" borderId="1" xfId="0" applyNumberFormat="1" applyFont="1" applyFill="1" applyBorder="1" applyAlignment="1">
      <alignment horizontal="left" vertical="center"/>
    </xf>
    <xf numFmtId="0" fontId="8" fillId="7" borderId="15" xfId="0" applyFont="1" applyFill="1" applyBorder="1" applyAlignment="1">
      <alignment vertical="center"/>
    </xf>
    <xf numFmtId="49" fontId="8" fillId="7" borderId="8" xfId="0" applyNumberFormat="1" applyFont="1" applyFill="1" applyBorder="1" applyAlignment="1">
      <alignment horizontal="left" vertical="center"/>
    </xf>
    <xf numFmtId="0" fontId="8" fillId="7" borderId="8" xfId="0" applyFont="1" applyFill="1" applyBorder="1" applyAlignment="1">
      <alignment horizontal="left" vertical="center"/>
    </xf>
    <xf numFmtId="49" fontId="2" fillId="0" borderId="0" xfId="0" applyNumberFormat="1" applyFont="1" applyAlignment="1">
      <alignment horizontal="center"/>
    </xf>
    <xf numFmtId="49" fontId="3" fillId="2" borderId="25" xfId="0" applyNumberFormat="1" applyFont="1" applyFill="1" applyBorder="1" applyAlignment="1">
      <alignment horizontal="center" vertical="center"/>
    </xf>
    <xf numFmtId="0" fontId="2" fillId="0" borderId="15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0" fontId="2" fillId="0" borderId="15" xfId="0" applyFont="1" applyBorder="1" applyAlignment="1">
      <alignment vertical="center" wrapText="1"/>
    </xf>
    <xf numFmtId="0" fontId="3" fillId="2" borderId="26" xfId="0" applyFont="1" applyFill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14" fillId="0" borderId="0" xfId="0" applyFont="1"/>
    <xf numFmtId="0" fontId="14" fillId="0" borderId="20" xfId="0" applyFont="1" applyBorder="1" applyAlignment="1">
      <alignment horizontal="center" vertical="center"/>
    </xf>
    <xf numFmtId="0" fontId="16" fillId="2" borderId="25" xfId="0" applyFont="1" applyFill="1" applyBorder="1" applyAlignment="1">
      <alignment horizontal="center" vertical="center"/>
    </xf>
    <xf numFmtId="176" fontId="6" fillId="0" borderId="11" xfId="0" applyNumberFormat="1" applyFont="1" applyBorder="1" applyAlignment="1">
      <alignment horizontal="left" vertical="center"/>
    </xf>
    <xf numFmtId="179" fontId="2" fillId="7" borderId="23" xfId="0" applyNumberFormat="1" applyFont="1" applyFill="1" applyBorder="1" applyAlignment="1">
      <alignment horizontal="center" vertical="center"/>
    </xf>
    <xf numFmtId="179" fontId="14" fillId="7" borderId="23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left" vertical="center"/>
    </xf>
    <xf numFmtId="0" fontId="2" fillId="3" borderId="15" xfId="0" applyFont="1" applyFill="1" applyBorder="1" applyAlignment="1">
      <alignment horizontal="left" vertical="center"/>
    </xf>
    <xf numFmtId="0" fontId="2" fillId="3" borderId="15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2" fillId="3" borderId="11" xfId="0" applyFont="1" applyFill="1" applyBorder="1" applyAlignment="1">
      <alignment horizontal="left" vertical="center"/>
    </xf>
    <xf numFmtId="0" fontId="2" fillId="3" borderId="15" xfId="0" applyFont="1" applyFill="1" applyBorder="1" applyAlignment="1">
      <alignment vertical="center" wrapText="1"/>
    </xf>
    <xf numFmtId="176" fontId="9" fillId="3" borderId="15" xfId="0" applyNumberFormat="1" applyFont="1" applyFill="1" applyBorder="1" applyAlignment="1">
      <alignment horizontal="center" vertical="center"/>
    </xf>
    <xf numFmtId="176" fontId="9" fillId="3" borderId="1" xfId="4" applyNumberFormat="1" applyFont="1" applyFill="1" applyBorder="1" applyAlignment="1">
      <alignment horizontal="right" vertical="center"/>
    </xf>
    <xf numFmtId="176" fontId="2" fillId="3" borderId="11" xfId="0" applyNumberFormat="1" applyFont="1" applyFill="1" applyBorder="1" applyAlignment="1">
      <alignment horizontal="right" vertical="center"/>
    </xf>
    <xf numFmtId="179" fontId="2" fillId="3" borderId="23" xfId="0" applyNumberFormat="1" applyFont="1" applyFill="1" applyBorder="1" applyAlignment="1">
      <alignment horizontal="center" vertical="center"/>
    </xf>
    <xf numFmtId="176" fontId="6" fillId="3" borderId="11" xfId="0" applyNumberFormat="1" applyFont="1" applyFill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6" fillId="5" borderId="30" xfId="0" applyFont="1" applyFill="1" applyBorder="1" applyAlignment="1">
      <alignment horizontal="center" vertical="center" wrapText="1"/>
    </xf>
    <xf numFmtId="0" fontId="6" fillId="5" borderId="31" xfId="0" applyFont="1" applyFill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5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 wrapText="1"/>
    </xf>
    <xf numFmtId="0" fontId="2" fillId="0" borderId="47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176" fontId="2" fillId="0" borderId="8" xfId="0" applyNumberFormat="1" applyFont="1" applyBorder="1" applyAlignment="1">
      <alignment horizontal="center" vertical="center"/>
    </xf>
    <xf numFmtId="176" fontId="2" fillId="0" borderId="42" xfId="0" applyNumberFormat="1" applyFont="1" applyBorder="1" applyAlignment="1">
      <alignment horizontal="center" vertical="center"/>
    </xf>
    <xf numFmtId="176" fontId="2" fillId="0" borderId="45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42" xfId="0" applyFont="1" applyBorder="1" applyAlignment="1">
      <alignment horizontal="center" vertical="center" wrapText="1"/>
    </xf>
    <xf numFmtId="0" fontId="2" fillId="0" borderId="50" xfId="0" applyFont="1" applyBorder="1" applyAlignment="1">
      <alignment horizontal="center" vertical="center" wrapText="1"/>
    </xf>
    <xf numFmtId="0" fontId="2" fillId="0" borderId="51" xfId="0" applyFont="1" applyBorder="1" applyAlignment="1">
      <alignment horizontal="center" vertical="center" wrapText="1"/>
    </xf>
    <xf numFmtId="0" fontId="2" fillId="0" borderId="52" xfId="0" applyFont="1" applyBorder="1" applyAlignment="1">
      <alignment horizontal="center" vertical="center" wrapText="1"/>
    </xf>
    <xf numFmtId="0" fontId="2" fillId="0" borderId="45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176" fontId="9" fillId="0" borderId="15" xfId="0" applyNumberFormat="1" applyFont="1" applyFill="1" applyBorder="1" applyAlignment="1">
      <alignment horizontal="center" vertical="center"/>
    </xf>
  </cellXfs>
  <cellStyles count="11">
    <cellStyle name="백분율" xfId="5" builtinId="5"/>
    <cellStyle name="쉼표 [0] 16" xfId="4" xr:uid="{00000000-0005-0000-0000-000001000000}"/>
    <cellStyle name="표준" xfId="0" builtinId="0"/>
    <cellStyle name="표준 10 2 3" xfId="8" xr:uid="{00000000-0005-0000-0000-000003000000}"/>
    <cellStyle name="표준 131" xfId="10" xr:uid="{00000000-0005-0000-0000-000004000000}"/>
    <cellStyle name="표준 19" xfId="3" xr:uid="{00000000-0005-0000-0000-000005000000}"/>
    <cellStyle name="표준 2" xfId="7" xr:uid="{00000000-0005-0000-0000-000006000000}"/>
    <cellStyle name="표준 2 13" xfId="1" xr:uid="{00000000-0005-0000-0000-000007000000}"/>
    <cellStyle name="표준 2 2 10" xfId="9" xr:uid="{00000000-0005-0000-0000-000008000000}"/>
    <cellStyle name="표준 3 10" xfId="6" xr:uid="{00000000-0005-0000-0000-000009000000}"/>
    <cellStyle name="표준 3 2" xfId="2" xr:uid="{00000000-0005-0000-0000-00000A000000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00"/>
      <color rgb="FF0000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B1:AF203"/>
  <sheetViews>
    <sheetView topLeftCell="D1" zoomScaleNormal="100" zoomScaleSheetLayoutView="100" workbookViewId="0">
      <pane ySplit="4" topLeftCell="A163" activePane="bottomLeft" state="frozen"/>
      <selection activeCell="V4" sqref="V4"/>
      <selection pane="bottomLeft" activeCell="L63" sqref="L63"/>
    </sheetView>
  </sheetViews>
  <sheetFormatPr defaultRowHeight="15"/>
  <cols>
    <col min="1" max="1" width="1" customWidth="1"/>
    <col min="2" max="2" width="5.33203125" style="1" customWidth="1"/>
    <col min="3" max="3" width="4" style="118" customWidth="1"/>
    <col min="4" max="4" width="2.77734375" style="1" customWidth="1"/>
    <col min="5" max="5" width="4.77734375" style="1" customWidth="1"/>
    <col min="6" max="6" width="5.88671875" style="1" customWidth="1"/>
    <col min="7" max="8" width="5.6640625" style="1" customWidth="1"/>
    <col min="9" max="9" width="17.21875" style="2" customWidth="1"/>
    <col min="10" max="10" width="32.88671875" style="125" customWidth="1"/>
    <col min="11" max="11" width="11.44140625" style="2" bestFit="1" customWidth="1"/>
    <col min="12" max="12" width="13.44140625" style="2" customWidth="1"/>
    <col min="13" max="13" width="4.21875" style="2" customWidth="1"/>
    <col min="14" max="14" width="10.44140625" style="2" customWidth="1"/>
    <col min="15" max="15" width="7.77734375" style="8" bestFit="1" customWidth="1"/>
    <col min="16" max="17" width="11.88671875" style="1" customWidth="1"/>
    <col min="18" max="18" width="10.21875" style="22" customWidth="1"/>
    <col min="19" max="19" width="10.5546875" style="1" hidden="1" customWidth="1"/>
    <col min="20" max="20" width="6.6640625" style="1" hidden="1" customWidth="1"/>
    <col min="21" max="21" width="6.109375" style="1" hidden="1" customWidth="1"/>
    <col min="22" max="25" width="11.77734375" style="1" customWidth="1"/>
    <col min="26" max="27" width="11.77734375" style="1" hidden="1" customWidth="1"/>
    <col min="28" max="28" width="1.33203125" style="1" hidden="1" customWidth="1"/>
    <col min="29" max="29" width="17.21875" style="16" bestFit="1" customWidth="1"/>
    <col min="30" max="30" width="16.44140625" style="1" hidden="1" customWidth="1"/>
    <col min="31" max="31" width="10.44140625" style="8" hidden="1" customWidth="1"/>
    <col min="32" max="32" width="12.6640625" bestFit="1" customWidth="1"/>
  </cols>
  <sheetData>
    <row r="1" spans="2:31" ht="4.5" customHeight="1">
      <c r="S1" s="1" t="s">
        <v>690</v>
      </c>
    </row>
    <row r="2" spans="2:31" ht="38.25" customHeight="1">
      <c r="B2" s="144" t="s">
        <v>4</v>
      </c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5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  <c r="AA2" s="144"/>
      <c r="AB2" s="144"/>
      <c r="AC2" s="144"/>
      <c r="AD2" s="144"/>
      <c r="AE2" s="144"/>
    </row>
    <row r="3" spans="2:31" ht="4.5" customHeight="1" thickBot="1">
      <c r="V3" s="31">
        <v>0.16</v>
      </c>
      <c r="X3" s="46">
        <v>1486.64</v>
      </c>
    </row>
    <row r="4" spans="2:31" ht="45" customHeight="1" thickTop="1" thickBot="1">
      <c r="B4" s="24" t="s">
        <v>13</v>
      </c>
      <c r="C4" s="148" t="s">
        <v>14</v>
      </c>
      <c r="D4" s="149"/>
      <c r="E4" s="150"/>
      <c r="F4" s="25" t="s">
        <v>194</v>
      </c>
      <c r="G4" s="25" t="s">
        <v>197</v>
      </c>
      <c r="H4" s="25" t="s">
        <v>195</v>
      </c>
      <c r="I4" s="26" t="s">
        <v>3</v>
      </c>
      <c r="J4" s="126" t="s">
        <v>0</v>
      </c>
      <c r="K4" s="26" t="s">
        <v>6</v>
      </c>
      <c r="L4" s="26" t="s">
        <v>5</v>
      </c>
      <c r="M4" s="25" t="s">
        <v>10</v>
      </c>
      <c r="N4" s="25" t="s">
        <v>20</v>
      </c>
      <c r="O4" s="25" t="s">
        <v>7</v>
      </c>
      <c r="P4" s="25" t="s">
        <v>8</v>
      </c>
      <c r="Q4" s="25" t="s">
        <v>9</v>
      </c>
      <c r="R4" s="68" t="s">
        <v>29</v>
      </c>
      <c r="S4" s="66" t="s">
        <v>50</v>
      </c>
      <c r="T4" s="25" t="s">
        <v>52</v>
      </c>
      <c r="U4" s="25" t="s">
        <v>53</v>
      </c>
      <c r="V4" s="25" t="s">
        <v>16</v>
      </c>
      <c r="W4" s="25" t="s">
        <v>17</v>
      </c>
      <c r="X4" s="27" t="s">
        <v>18</v>
      </c>
      <c r="Y4" s="28" t="s">
        <v>19</v>
      </c>
      <c r="Z4" s="146" t="s">
        <v>55</v>
      </c>
      <c r="AA4" s="147"/>
      <c r="AB4" s="35" t="s">
        <v>51</v>
      </c>
      <c r="AC4" s="23" t="s">
        <v>15</v>
      </c>
      <c r="AD4" s="20" t="s">
        <v>37</v>
      </c>
      <c r="AE4" s="21" t="s">
        <v>2</v>
      </c>
    </row>
    <row r="5" spans="2:31" ht="20.100000000000001" hidden="1" customHeight="1" thickTop="1">
      <c r="B5" s="48">
        <v>1</v>
      </c>
      <c r="C5" s="121" t="s">
        <v>495</v>
      </c>
      <c r="D5" s="120" t="s">
        <v>349</v>
      </c>
      <c r="E5" s="120">
        <v>2603</v>
      </c>
      <c r="F5" s="120" t="s">
        <v>527</v>
      </c>
      <c r="G5" s="120" t="s">
        <v>689</v>
      </c>
      <c r="H5" s="49">
        <v>2</v>
      </c>
      <c r="I5" s="50" t="s">
        <v>144</v>
      </c>
      <c r="J5" s="124" t="s">
        <v>145</v>
      </c>
      <c r="K5" s="50" t="s">
        <v>22</v>
      </c>
      <c r="L5" s="50" t="s">
        <v>518</v>
      </c>
      <c r="M5" s="56" t="s">
        <v>12</v>
      </c>
      <c r="N5" s="122" t="s">
        <v>665</v>
      </c>
      <c r="O5" s="57">
        <v>14</v>
      </c>
      <c r="P5" s="45">
        <v>12600</v>
      </c>
      <c r="Q5" s="58">
        <f t="shared" ref="Q5:Q36" si="0">O5*P5</f>
        <v>176400</v>
      </c>
      <c r="R5" s="129" t="s">
        <v>663</v>
      </c>
      <c r="S5" s="19"/>
      <c r="T5" s="32"/>
      <c r="U5" s="32"/>
      <c r="V5" s="51">
        <f>++P5*(1+$V$3)</f>
        <v>14615.999999999998</v>
      </c>
      <c r="W5" s="51">
        <f>++O5*V5</f>
        <v>204623.99999999997</v>
      </c>
      <c r="X5" s="52">
        <f>++ROUND(V5/$X$3,2)</f>
        <v>9.83</v>
      </c>
      <c r="Y5" s="53">
        <f>++O5*X5</f>
        <v>137.62</v>
      </c>
      <c r="Z5" s="54"/>
      <c r="AA5" s="71"/>
      <c r="AB5" s="71"/>
      <c r="AC5" s="128"/>
      <c r="AD5" s="33"/>
      <c r="AE5" s="55"/>
    </row>
    <row r="6" spans="2:31" ht="20.100000000000001" hidden="1" customHeight="1">
      <c r="B6" s="48">
        <v>2</v>
      </c>
      <c r="C6" s="121" t="s">
        <v>348</v>
      </c>
      <c r="D6" s="120" t="s">
        <v>349</v>
      </c>
      <c r="E6" s="120">
        <v>2603</v>
      </c>
      <c r="F6" s="120" t="s">
        <v>526</v>
      </c>
      <c r="G6" s="120" t="s">
        <v>689</v>
      </c>
      <c r="H6" s="49">
        <v>3</v>
      </c>
      <c r="I6" s="50" t="s">
        <v>146</v>
      </c>
      <c r="J6" s="124" t="s">
        <v>147</v>
      </c>
      <c r="K6" s="50" t="s">
        <v>148</v>
      </c>
      <c r="L6" s="50" t="s">
        <v>518</v>
      </c>
      <c r="M6" s="56" t="s">
        <v>12</v>
      </c>
      <c r="N6" s="122" t="s">
        <v>609</v>
      </c>
      <c r="O6" s="57">
        <v>4</v>
      </c>
      <c r="P6" s="45">
        <v>300</v>
      </c>
      <c r="Q6" s="58">
        <f t="shared" si="0"/>
        <v>1200</v>
      </c>
      <c r="R6" s="129" t="s">
        <v>663</v>
      </c>
      <c r="S6" s="19"/>
      <c r="T6" s="32"/>
      <c r="U6" s="32"/>
      <c r="V6" s="51">
        <f t="shared" ref="V6:V69" si="1">++P6*(1+$V$3)</f>
        <v>348</v>
      </c>
      <c r="W6" s="51">
        <f t="shared" ref="W6:W69" si="2">++O6*V6</f>
        <v>1392</v>
      </c>
      <c r="X6" s="52">
        <f t="shared" ref="X6:X69" si="3">++ROUND(V6/$X$3,2)</f>
        <v>0.23</v>
      </c>
      <c r="Y6" s="53">
        <f t="shared" ref="Y6:Y69" si="4">++O6*X6</f>
        <v>0.92</v>
      </c>
      <c r="Z6" s="54"/>
      <c r="AA6" s="71"/>
      <c r="AB6" s="71"/>
      <c r="AC6" s="128"/>
      <c r="AD6" s="33"/>
      <c r="AE6" s="55"/>
    </row>
    <row r="7" spans="2:31" ht="20.100000000000001" hidden="1" customHeight="1">
      <c r="B7" s="48">
        <v>3</v>
      </c>
      <c r="C7" s="121" t="s">
        <v>348</v>
      </c>
      <c r="D7" s="120" t="s">
        <v>349</v>
      </c>
      <c r="E7" s="120">
        <v>2603</v>
      </c>
      <c r="F7" s="120" t="s">
        <v>526</v>
      </c>
      <c r="G7" s="120" t="s">
        <v>689</v>
      </c>
      <c r="H7" s="49">
        <v>4</v>
      </c>
      <c r="I7" s="50" t="s">
        <v>149</v>
      </c>
      <c r="J7" s="124" t="s">
        <v>151</v>
      </c>
      <c r="K7" s="50" t="s">
        <v>150</v>
      </c>
      <c r="L7" s="50" t="s">
        <v>518</v>
      </c>
      <c r="M7" s="56" t="s">
        <v>12</v>
      </c>
      <c r="N7" s="122" t="s">
        <v>665</v>
      </c>
      <c r="O7" s="57">
        <v>14</v>
      </c>
      <c r="P7" s="45">
        <v>17700</v>
      </c>
      <c r="Q7" s="58">
        <f t="shared" si="0"/>
        <v>247800</v>
      </c>
      <c r="R7" s="129" t="s">
        <v>663</v>
      </c>
      <c r="S7" s="19"/>
      <c r="T7" s="32"/>
      <c r="U7" s="32"/>
      <c r="V7" s="51">
        <f t="shared" si="1"/>
        <v>20532</v>
      </c>
      <c r="W7" s="51">
        <f t="shared" si="2"/>
        <v>287448</v>
      </c>
      <c r="X7" s="52">
        <f t="shared" si="3"/>
        <v>13.81</v>
      </c>
      <c r="Y7" s="53">
        <f t="shared" si="4"/>
        <v>193.34</v>
      </c>
      <c r="Z7" s="54"/>
      <c r="AA7" s="71"/>
      <c r="AB7" s="71"/>
      <c r="AC7" s="128"/>
      <c r="AD7" s="33"/>
      <c r="AE7" s="55"/>
    </row>
    <row r="8" spans="2:31" ht="20.100000000000001" hidden="1" customHeight="1">
      <c r="B8" s="48">
        <v>4</v>
      </c>
      <c r="C8" s="121" t="s">
        <v>348</v>
      </c>
      <c r="D8" s="120" t="s">
        <v>349</v>
      </c>
      <c r="E8" s="120">
        <v>2603</v>
      </c>
      <c r="F8" s="120" t="s">
        <v>526</v>
      </c>
      <c r="G8" s="120" t="s">
        <v>689</v>
      </c>
      <c r="H8" s="49">
        <v>3</v>
      </c>
      <c r="I8" s="50" t="s">
        <v>149</v>
      </c>
      <c r="J8" s="124" t="s">
        <v>152</v>
      </c>
      <c r="K8" s="50" t="s">
        <v>150</v>
      </c>
      <c r="L8" s="50" t="s">
        <v>518</v>
      </c>
      <c r="M8" s="56" t="s">
        <v>12</v>
      </c>
      <c r="N8" s="122" t="s">
        <v>665</v>
      </c>
      <c r="O8" s="57">
        <v>2</v>
      </c>
      <c r="P8" s="45">
        <v>17700</v>
      </c>
      <c r="Q8" s="58">
        <f t="shared" si="0"/>
        <v>35400</v>
      </c>
      <c r="R8" s="69" t="s">
        <v>663</v>
      </c>
      <c r="S8" s="19"/>
      <c r="T8" s="32"/>
      <c r="U8" s="32"/>
      <c r="V8" s="51">
        <f t="shared" si="1"/>
        <v>20532</v>
      </c>
      <c r="W8" s="51">
        <f t="shared" si="2"/>
        <v>41064</v>
      </c>
      <c r="X8" s="52">
        <f t="shared" si="3"/>
        <v>13.81</v>
      </c>
      <c r="Y8" s="53">
        <f t="shared" si="4"/>
        <v>27.62</v>
      </c>
      <c r="Z8" s="54"/>
      <c r="AA8" s="71"/>
      <c r="AB8" s="71"/>
      <c r="AC8" s="128"/>
      <c r="AD8" s="33"/>
      <c r="AE8" s="55"/>
    </row>
    <row r="9" spans="2:31" ht="20.100000000000001" hidden="1" customHeight="1">
      <c r="B9" s="48">
        <v>5</v>
      </c>
      <c r="C9" s="121" t="s">
        <v>348</v>
      </c>
      <c r="D9" s="120" t="s">
        <v>349</v>
      </c>
      <c r="E9" s="120">
        <v>2603</v>
      </c>
      <c r="F9" s="120" t="s">
        <v>526</v>
      </c>
      <c r="G9" s="120" t="s">
        <v>689</v>
      </c>
      <c r="H9" s="49">
        <v>3</v>
      </c>
      <c r="I9" s="50" t="s">
        <v>153</v>
      </c>
      <c r="J9" s="124" t="s">
        <v>500</v>
      </c>
      <c r="K9" s="50" t="s">
        <v>121</v>
      </c>
      <c r="L9" s="50" t="s">
        <v>518</v>
      </c>
      <c r="M9" s="56" t="s">
        <v>12</v>
      </c>
      <c r="N9" s="122" t="s">
        <v>610</v>
      </c>
      <c r="O9" s="57">
        <v>2</v>
      </c>
      <c r="P9" s="45">
        <v>12000</v>
      </c>
      <c r="Q9" s="58">
        <f t="shared" si="0"/>
        <v>24000</v>
      </c>
      <c r="R9" s="69" t="s">
        <v>663</v>
      </c>
      <c r="S9" s="19"/>
      <c r="T9" s="32"/>
      <c r="U9" s="32"/>
      <c r="V9" s="51">
        <f t="shared" si="1"/>
        <v>13919.999999999998</v>
      </c>
      <c r="W9" s="51">
        <f t="shared" si="2"/>
        <v>27839.999999999996</v>
      </c>
      <c r="X9" s="52">
        <f t="shared" si="3"/>
        <v>9.36</v>
      </c>
      <c r="Y9" s="53">
        <f t="shared" si="4"/>
        <v>18.72</v>
      </c>
      <c r="Z9" s="54"/>
      <c r="AA9" s="71"/>
      <c r="AB9" s="71"/>
      <c r="AC9" s="128"/>
      <c r="AD9" s="33"/>
      <c r="AE9" s="55"/>
    </row>
    <row r="10" spans="2:31" ht="20.100000000000001" hidden="1" customHeight="1">
      <c r="B10" s="48">
        <v>6</v>
      </c>
      <c r="C10" s="121" t="s">
        <v>348</v>
      </c>
      <c r="D10" s="120" t="s">
        <v>349</v>
      </c>
      <c r="E10" s="120">
        <v>2603</v>
      </c>
      <c r="F10" s="120" t="s">
        <v>526</v>
      </c>
      <c r="G10" s="120" t="s">
        <v>689</v>
      </c>
      <c r="H10" s="49">
        <v>3</v>
      </c>
      <c r="I10" s="50" t="s">
        <v>153</v>
      </c>
      <c r="J10" s="124" t="s">
        <v>225</v>
      </c>
      <c r="K10" s="50" t="s">
        <v>121</v>
      </c>
      <c r="L10" s="50" t="s">
        <v>518</v>
      </c>
      <c r="M10" s="56" t="s">
        <v>12</v>
      </c>
      <c r="N10" s="122" t="s">
        <v>610</v>
      </c>
      <c r="O10" s="57">
        <v>2</v>
      </c>
      <c r="P10" s="45">
        <v>16200</v>
      </c>
      <c r="Q10" s="58">
        <f t="shared" si="0"/>
        <v>32400</v>
      </c>
      <c r="R10" s="69" t="s">
        <v>663</v>
      </c>
      <c r="S10" s="19"/>
      <c r="T10" s="32"/>
      <c r="U10" s="32"/>
      <c r="V10" s="51">
        <f t="shared" si="1"/>
        <v>18792</v>
      </c>
      <c r="W10" s="51">
        <f t="shared" si="2"/>
        <v>37584</v>
      </c>
      <c r="X10" s="52">
        <f t="shared" si="3"/>
        <v>12.64</v>
      </c>
      <c r="Y10" s="53">
        <f t="shared" si="4"/>
        <v>25.28</v>
      </c>
      <c r="Z10" s="54"/>
      <c r="AA10" s="71"/>
      <c r="AB10" s="71"/>
      <c r="AC10" s="128"/>
      <c r="AD10" s="33"/>
      <c r="AE10" s="55"/>
    </row>
    <row r="11" spans="2:31" ht="20.100000000000001" hidden="1" customHeight="1">
      <c r="B11" s="48">
        <v>7</v>
      </c>
      <c r="C11" s="121" t="s">
        <v>348</v>
      </c>
      <c r="D11" s="120" t="s">
        <v>349</v>
      </c>
      <c r="E11" s="120">
        <v>2603</v>
      </c>
      <c r="F11" s="120" t="s">
        <v>526</v>
      </c>
      <c r="G11" s="120" t="s">
        <v>689</v>
      </c>
      <c r="H11" s="49">
        <v>3</v>
      </c>
      <c r="I11" s="50" t="s">
        <v>501</v>
      </c>
      <c r="J11" s="124" t="s">
        <v>501</v>
      </c>
      <c r="K11" s="50" t="s">
        <v>30</v>
      </c>
      <c r="L11" s="50" t="s">
        <v>518</v>
      </c>
      <c r="M11" s="56" t="s">
        <v>12</v>
      </c>
      <c r="N11" s="122" t="s">
        <v>665</v>
      </c>
      <c r="O11" s="57">
        <v>4</v>
      </c>
      <c r="P11" s="45">
        <v>350</v>
      </c>
      <c r="Q11" s="58">
        <f t="shared" si="0"/>
        <v>1400</v>
      </c>
      <c r="R11" s="69" t="s">
        <v>663</v>
      </c>
      <c r="S11" s="19"/>
      <c r="T11" s="32"/>
      <c r="U11" s="32"/>
      <c r="V11" s="51">
        <f t="shared" si="1"/>
        <v>406</v>
      </c>
      <c r="W11" s="51">
        <f t="shared" si="2"/>
        <v>1624</v>
      </c>
      <c r="X11" s="52">
        <f t="shared" si="3"/>
        <v>0.27</v>
      </c>
      <c r="Y11" s="53">
        <f t="shared" si="4"/>
        <v>1.08</v>
      </c>
      <c r="Z11" s="54"/>
      <c r="AA11" s="71"/>
      <c r="AB11" s="71"/>
      <c r="AC11" s="128"/>
      <c r="AD11" s="33"/>
      <c r="AE11" s="55"/>
    </row>
    <row r="12" spans="2:31" ht="20.100000000000001" hidden="1" customHeight="1">
      <c r="B12" s="48">
        <v>8</v>
      </c>
      <c r="C12" s="121" t="s">
        <v>348</v>
      </c>
      <c r="D12" s="120" t="s">
        <v>349</v>
      </c>
      <c r="E12" s="120">
        <v>2603</v>
      </c>
      <c r="F12" s="120" t="s">
        <v>526</v>
      </c>
      <c r="G12" s="120" t="s">
        <v>689</v>
      </c>
      <c r="H12" s="49">
        <v>3</v>
      </c>
      <c r="I12" s="50" t="s">
        <v>154</v>
      </c>
      <c r="J12" s="124" t="s">
        <v>502</v>
      </c>
      <c r="K12" s="50" t="s">
        <v>30</v>
      </c>
      <c r="L12" s="50" t="s">
        <v>518</v>
      </c>
      <c r="M12" s="56" t="s">
        <v>12</v>
      </c>
      <c r="N12" s="122" t="s">
        <v>665</v>
      </c>
      <c r="O12" s="57">
        <v>4</v>
      </c>
      <c r="P12" s="45">
        <v>680</v>
      </c>
      <c r="Q12" s="58">
        <f t="shared" si="0"/>
        <v>2720</v>
      </c>
      <c r="R12" s="69" t="s">
        <v>663</v>
      </c>
      <c r="S12" s="19"/>
      <c r="T12" s="32"/>
      <c r="U12" s="32"/>
      <c r="V12" s="51">
        <f t="shared" si="1"/>
        <v>788.8</v>
      </c>
      <c r="W12" s="51">
        <f t="shared" si="2"/>
        <v>3155.2</v>
      </c>
      <c r="X12" s="52">
        <f t="shared" si="3"/>
        <v>0.53</v>
      </c>
      <c r="Y12" s="53">
        <f t="shared" si="4"/>
        <v>2.12</v>
      </c>
      <c r="Z12" s="54"/>
      <c r="AA12" s="71"/>
      <c r="AB12" s="71"/>
      <c r="AC12" s="128"/>
      <c r="AD12" s="33"/>
      <c r="AE12" s="55"/>
    </row>
    <row r="13" spans="2:31" ht="20.100000000000001" hidden="1" customHeight="1">
      <c r="B13" s="48">
        <v>9</v>
      </c>
      <c r="C13" s="121" t="s">
        <v>348</v>
      </c>
      <c r="D13" s="120" t="s">
        <v>349</v>
      </c>
      <c r="E13" s="120">
        <v>2603</v>
      </c>
      <c r="F13" s="120" t="s">
        <v>526</v>
      </c>
      <c r="G13" s="120" t="s">
        <v>689</v>
      </c>
      <c r="H13" s="49">
        <v>3</v>
      </c>
      <c r="I13" s="50" t="s">
        <v>56</v>
      </c>
      <c r="J13" s="124" t="s">
        <v>58</v>
      </c>
      <c r="K13" s="50" t="s">
        <v>30</v>
      </c>
      <c r="L13" s="50" t="s">
        <v>518</v>
      </c>
      <c r="M13" s="56" t="s">
        <v>12</v>
      </c>
      <c r="N13" s="122" t="s">
        <v>665</v>
      </c>
      <c r="O13" s="57">
        <v>4</v>
      </c>
      <c r="P13" s="45">
        <v>400</v>
      </c>
      <c r="Q13" s="58">
        <f t="shared" si="0"/>
        <v>1600</v>
      </c>
      <c r="R13" s="69" t="s">
        <v>663</v>
      </c>
      <c r="S13" s="19"/>
      <c r="T13" s="32"/>
      <c r="U13" s="32"/>
      <c r="V13" s="51">
        <f t="shared" si="1"/>
        <v>463.99999999999994</v>
      </c>
      <c r="W13" s="51">
        <f t="shared" si="2"/>
        <v>1855.9999999999998</v>
      </c>
      <c r="X13" s="52">
        <f t="shared" si="3"/>
        <v>0.31</v>
      </c>
      <c r="Y13" s="53">
        <f t="shared" si="4"/>
        <v>1.24</v>
      </c>
      <c r="Z13" s="54"/>
      <c r="AA13" s="71"/>
      <c r="AB13" s="71"/>
      <c r="AC13" s="128"/>
      <c r="AD13" s="33"/>
      <c r="AE13" s="55"/>
    </row>
    <row r="14" spans="2:31" ht="20.100000000000001" hidden="1" customHeight="1">
      <c r="B14" s="48">
        <v>10</v>
      </c>
      <c r="C14" s="121" t="s">
        <v>348</v>
      </c>
      <c r="D14" s="120" t="s">
        <v>349</v>
      </c>
      <c r="E14" s="120">
        <v>2603</v>
      </c>
      <c r="F14" s="120" t="s">
        <v>526</v>
      </c>
      <c r="G14" s="120" t="s">
        <v>689</v>
      </c>
      <c r="H14" s="49">
        <v>3</v>
      </c>
      <c r="I14" s="50" t="s">
        <v>503</v>
      </c>
      <c r="J14" s="124" t="s">
        <v>59</v>
      </c>
      <c r="K14" s="50" t="s">
        <v>60</v>
      </c>
      <c r="L14" s="50" t="s">
        <v>518</v>
      </c>
      <c r="M14" s="56" t="s">
        <v>12</v>
      </c>
      <c r="N14" s="122" t="s">
        <v>665</v>
      </c>
      <c r="O14" s="57">
        <v>2</v>
      </c>
      <c r="P14" s="45">
        <v>39800</v>
      </c>
      <c r="Q14" s="58">
        <f t="shared" si="0"/>
        <v>79600</v>
      </c>
      <c r="R14" s="69" t="s">
        <v>663</v>
      </c>
      <c r="S14" s="19"/>
      <c r="T14" s="32"/>
      <c r="U14" s="32"/>
      <c r="V14" s="51">
        <f t="shared" si="1"/>
        <v>46168</v>
      </c>
      <c r="W14" s="51">
        <f t="shared" si="2"/>
        <v>92336</v>
      </c>
      <c r="X14" s="52">
        <f t="shared" si="3"/>
        <v>31.06</v>
      </c>
      <c r="Y14" s="53">
        <f t="shared" si="4"/>
        <v>62.12</v>
      </c>
      <c r="Z14" s="54"/>
      <c r="AA14" s="71"/>
      <c r="AB14" s="71"/>
      <c r="AC14" s="128"/>
      <c r="AD14" s="33"/>
      <c r="AE14" s="55"/>
    </row>
    <row r="15" spans="2:31" ht="20.100000000000001" hidden="1" customHeight="1">
      <c r="B15" s="48">
        <v>11</v>
      </c>
      <c r="C15" s="121" t="s">
        <v>348</v>
      </c>
      <c r="D15" s="120" t="s">
        <v>349</v>
      </c>
      <c r="E15" s="120">
        <v>2603</v>
      </c>
      <c r="F15" s="120" t="s">
        <v>526</v>
      </c>
      <c r="G15" s="120" t="s">
        <v>689</v>
      </c>
      <c r="H15" s="49">
        <v>3</v>
      </c>
      <c r="I15" s="50" t="s">
        <v>504</v>
      </c>
      <c r="J15" s="124" t="s">
        <v>224</v>
      </c>
      <c r="K15" s="50" t="s">
        <v>60</v>
      </c>
      <c r="L15" s="50" t="s">
        <v>518</v>
      </c>
      <c r="M15" s="56" t="s">
        <v>12</v>
      </c>
      <c r="N15" s="122" t="s">
        <v>665</v>
      </c>
      <c r="O15" s="57">
        <v>2</v>
      </c>
      <c r="P15" s="45">
        <v>54800</v>
      </c>
      <c r="Q15" s="58">
        <f t="shared" si="0"/>
        <v>109600</v>
      </c>
      <c r="R15" s="69" t="s">
        <v>663</v>
      </c>
      <c r="S15" s="19"/>
      <c r="T15" s="32"/>
      <c r="U15" s="32"/>
      <c r="V15" s="51">
        <f t="shared" si="1"/>
        <v>63567.999999999993</v>
      </c>
      <c r="W15" s="51">
        <f t="shared" si="2"/>
        <v>127135.99999999999</v>
      </c>
      <c r="X15" s="52">
        <f t="shared" si="3"/>
        <v>42.76</v>
      </c>
      <c r="Y15" s="53">
        <f t="shared" si="4"/>
        <v>85.52</v>
      </c>
      <c r="Z15" s="54"/>
      <c r="AA15" s="71"/>
      <c r="AB15" s="71"/>
      <c r="AC15" s="128"/>
      <c r="AD15" s="33"/>
      <c r="AE15" s="55"/>
    </row>
    <row r="16" spans="2:31" ht="20.100000000000001" hidden="1" customHeight="1">
      <c r="B16" s="48">
        <v>12</v>
      </c>
      <c r="C16" s="121" t="s">
        <v>348</v>
      </c>
      <c r="D16" s="120" t="s">
        <v>349</v>
      </c>
      <c r="E16" s="120">
        <v>2603</v>
      </c>
      <c r="F16" s="120" t="s">
        <v>526</v>
      </c>
      <c r="G16" s="120" t="s">
        <v>689</v>
      </c>
      <c r="H16" s="49">
        <v>3</v>
      </c>
      <c r="I16" s="50" t="s">
        <v>155</v>
      </c>
      <c r="J16" s="124" t="s">
        <v>159</v>
      </c>
      <c r="K16" s="50" t="s">
        <v>23</v>
      </c>
      <c r="L16" s="50" t="s">
        <v>518</v>
      </c>
      <c r="M16" s="56" t="s">
        <v>12</v>
      </c>
      <c r="N16" s="122" t="s">
        <v>666</v>
      </c>
      <c r="O16" s="57">
        <v>8</v>
      </c>
      <c r="P16" s="45">
        <v>10500</v>
      </c>
      <c r="Q16" s="58">
        <f t="shared" si="0"/>
        <v>84000</v>
      </c>
      <c r="R16" s="69" t="s">
        <v>663</v>
      </c>
      <c r="S16" s="19"/>
      <c r="T16" s="32"/>
      <c r="U16" s="32"/>
      <c r="V16" s="51">
        <f t="shared" si="1"/>
        <v>12180</v>
      </c>
      <c r="W16" s="51">
        <f t="shared" si="2"/>
        <v>97440</v>
      </c>
      <c r="X16" s="52">
        <f t="shared" si="3"/>
        <v>8.19</v>
      </c>
      <c r="Y16" s="53">
        <f t="shared" si="4"/>
        <v>65.52</v>
      </c>
      <c r="Z16" s="54"/>
      <c r="AA16" s="71"/>
      <c r="AB16" s="71"/>
      <c r="AC16" s="128"/>
      <c r="AD16" s="33"/>
      <c r="AE16" s="55"/>
    </row>
    <row r="17" spans="2:31" ht="20.100000000000001" hidden="1" customHeight="1">
      <c r="B17" s="48">
        <v>13</v>
      </c>
      <c r="C17" s="121" t="s">
        <v>348</v>
      </c>
      <c r="D17" s="120" t="s">
        <v>349</v>
      </c>
      <c r="E17" s="120">
        <v>2603</v>
      </c>
      <c r="F17" s="120" t="s">
        <v>526</v>
      </c>
      <c r="G17" s="120" t="s">
        <v>689</v>
      </c>
      <c r="H17" s="49">
        <v>3</v>
      </c>
      <c r="I17" s="50" t="s">
        <v>156</v>
      </c>
      <c r="J17" s="124" t="s">
        <v>160</v>
      </c>
      <c r="K17" s="50" t="s">
        <v>23</v>
      </c>
      <c r="L17" s="50" t="s">
        <v>518</v>
      </c>
      <c r="M17" s="56" t="s">
        <v>12</v>
      </c>
      <c r="N17" s="122" t="s">
        <v>666</v>
      </c>
      <c r="O17" s="57">
        <v>8</v>
      </c>
      <c r="P17" s="45">
        <v>10600</v>
      </c>
      <c r="Q17" s="58">
        <f t="shared" si="0"/>
        <v>84800</v>
      </c>
      <c r="R17" s="69" t="s">
        <v>684</v>
      </c>
      <c r="S17" s="19"/>
      <c r="T17" s="32"/>
      <c r="U17" s="32"/>
      <c r="V17" s="51">
        <f t="shared" si="1"/>
        <v>12296</v>
      </c>
      <c r="W17" s="51">
        <f t="shared" si="2"/>
        <v>98368</v>
      </c>
      <c r="X17" s="52">
        <f t="shared" si="3"/>
        <v>8.27</v>
      </c>
      <c r="Y17" s="53">
        <f t="shared" si="4"/>
        <v>66.16</v>
      </c>
      <c r="Z17" s="54"/>
      <c r="AA17" s="71"/>
      <c r="AB17" s="71"/>
      <c r="AC17" s="128"/>
      <c r="AD17" s="33"/>
      <c r="AE17" s="55"/>
    </row>
    <row r="18" spans="2:31" ht="20.100000000000001" hidden="1" customHeight="1">
      <c r="B18" s="48">
        <v>14</v>
      </c>
      <c r="C18" s="121" t="s">
        <v>348</v>
      </c>
      <c r="D18" s="120" t="s">
        <v>349</v>
      </c>
      <c r="E18" s="120">
        <v>2603</v>
      </c>
      <c r="F18" s="120" t="s">
        <v>526</v>
      </c>
      <c r="G18" s="120" t="s">
        <v>689</v>
      </c>
      <c r="H18" s="49">
        <v>3</v>
      </c>
      <c r="I18" s="50" t="s">
        <v>157</v>
      </c>
      <c r="J18" s="124" t="s">
        <v>161</v>
      </c>
      <c r="K18" s="50" t="s">
        <v>23</v>
      </c>
      <c r="L18" s="50" t="s">
        <v>518</v>
      </c>
      <c r="M18" s="56" t="s">
        <v>12</v>
      </c>
      <c r="N18" s="122" t="s">
        <v>666</v>
      </c>
      <c r="O18" s="57">
        <v>2</v>
      </c>
      <c r="P18" s="45">
        <v>368000</v>
      </c>
      <c r="Q18" s="58">
        <f t="shared" si="0"/>
        <v>736000</v>
      </c>
      <c r="R18" s="69" t="s">
        <v>684</v>
      </c>
      <c r="S18" s="19"/>
      <c r="T18" s="32"/>
      <c r="U18" s="32"/>
      <c r="V18" s="51">
        <f t="shared" si="1"/>
        <v>426879.99999999994</v>
      </c>
      <c r="W18" s="51">
        <f t="shared" si="2"/>
        <v>853759.99999999988</v>
      </c>
      <c r="X18" s="52">
        <f t="shared" si="3"/>
        <v>287.14</v>
      </c>
      <c r="Y18" s="53">
        <f t="shared" si="4"/>
        <v>574.28</v>
      </c>
      <c r="Z18" s="54"/>
      <c r="AA18" s="71"/>
      <c r="AB18" s="71"/>
      <c r="AC18" s="128"/>
      <c r="AD18" s="33"/>
      <c r="AE18" s="55"/>
    </row>
    <row r="19" spans="2:31" ht="20.100000000000001" hidden="1" customHeight="1">
      <c r="B19" s="48">
        <v>15</v>
      </c>
      <c r="C19" s="121" t="s">
        <v>348</v>
      </c>
      <c r="D19" s="120" t="s">
        <v>349</v>
      </c>
      <c r="E19" s="120">
        <v>2603</v>
      </c>
      <c r="F19" s="120" t="s">
        <v>526</v>
      </c>
      <c r="G19" s="120" t="s">
        <v>689</v>
      </c>
      <c r="H19" s="49">
        <v>3</v>
      </c>
      <c r="I19" s="50" t="s">
        <v>158</v>
      </c>
      <c r="J19" s="124" t="s">
        <v>162</v>
      </c>
      <c r="K19" s="50" t="s">
        <v>23</v>
      </c>
      <c r="L19" s="50" t="s">
        <v>518</v>
      </c>
      <c r="M19" s="56" t="s">
        <v>12</v>
      </c>
      <c r="N19" s="122" t="s">
        <v>666</v>
      </c>
      <c r="O19" s="57">
        <v>14</v>
      </c>
      <c r="P19" s="45">
        <v>2200</v>
      </c>
      <c r="Q19" s="58">
        <f t="shared" si="0"/>
        <v>30800</v>
      </c>
      <c r="R19" s="69" t="s">
        <v>684</v>
      </c>
      <c r="S19" s="19"/>
      <c r="T19" s="32"/>
      <c r="U19" s="32"/>
      <c r="V19" s="51">
        <f t="shared" si="1"/>
        <v>2552</v>
      </c>
      <c r="W19" s="51">
        <f t="shared" si="2"/>
        <v>35728</v>
      </c>
      <c r="X19" s="52">
        <f t="shared" si="3"/>
        <v>1.72</v>
      </c>
      <c r="Y19" s="53">
        <f t="shared" si="4"/>
        <v>24.08</v>
      </c>
      <c r="Z19" s="54"/>
      <c r="AA19" s="71"/>
      <c r="AB19" s="71"/>
      <c r="AC19" s="128"/>
      <c r="AD19" s="33"/>
      <c r="AE19" s="55"/>
    </row>
    <row r="20" spans="2:31" ht="20.100000000000001" hidden="1" customHeight="1">
      <c r="B20" s="48">
        <v>16</v>
      </c>
      <c r="C20" s="121" t="s">
        <v>348</v>
      </c>
      <c r="D20" s="120" t="s">
        <v>349</v>
      </c>
      <c r="E20" s="120">
        <v>2603</v>
      </c>
      <c r="F20" s="120" t="s">
        <v>526</v>
      </c>
      <c r="G20" s="120" t="s">
        <v>689</v>
      </c>
      <c r="H20" s="49">
        <v>3</v>
      </c>
      <c r="I20" s="50" t="s">
        <v>163</v>
      </c>
      <c r="J20" s="124" t="s">
        <v>167</v>
      </c>
      <c r="K20" s="50" t="s">
        <v>164</v>
      </c>
      <c r="L20" s="50" t="s">
        <v>518</v>
      </c>
      <c r="M20" s="56" t="s">
        <v>12</v>
      </c>
      <c r="N20" s="122" t="s">
        <v>611</v>
      </c>
      <c r="O20" s="57">
        <v>2</v>
      </c>
      <c r="P20" s="45">
        <v>13000</v>
      </c>
      <c r="Q20" s="58">
        <f t="shared" si="0"/>
        <v>26000</v>
      </c>
      <c r="R20" s="69" t="s">
        <v>684</v>
      </c>
      <c r="S20" s="19"/>
      <c r="T20" s="32"/>
      <c r="U20" s="32"/>
      <c r="V20" s="51">
        <f t="shared" si="1"/>
        <v>15079.999999999998</v>
      </c>
      <c r="W20" s="51">
        <f t="shared" si="2"/>
        <v>30159.999999999996</v>
      </c>
      <c r="X20" s="52">
        <f t="shared" si="3"/>
        <v>10.14</v>
      </c>
      <c r="Y20" s="53">
        <f t="shared" si="4"/>
        <v>20.28</v>
      </c>
      <c r="Z20" s="54"/>
      <c r="AA20" s="71"/>
      <c r="AB20" s="71"/>
      <c r="AC20" s="128"/>
      <c r="AD20" s="33"/>
      <c r="AE20" s="55"/>
    </row>
    <row r="21" spans="2:31" ht="20.100000000000001" hidden="1" customHeight="1">
      <c r="B21" s="48">
        <v>17</v>
      </c>
      <c r="C21" s="121" t="s">
        <v>348</v>
      </c>
      <c r="D21" s="120" t="s">
        <v>349</v>
      </c>
      <c r="E21" s="120">
        <v>2603</v>
      </c>
      <c r="F21" s="120" t="s">
        <v>526</v>
      </c>
      <c r="G21" s="120" t="s">
        <v>689</v>
      </c>
      <c r="H21" s="49">
        <v>3</v>
      </c>
      <c r="I21" s="50" t="s">
        <v>163</v>
      </c>
      <c r="J21" s="124" t="s">
        <v>168</v>
      </c>
      <c r="K21" s="50" t="s">
        <v>164</v>
      </c>
      <c r="L21" s="50" t="s">
        <v>518</v>
      </c>
      <c r="M21" s="56" t="s">
        <v>12</v>
      </c>
      <c r="N21" s="122" t="s">
        <v>611</v>
      </c>
      <c r="O21" s="57">
        <v>2</v>
      </c>
      <c r="P21" s="45">
        <v>26000</v>
      </c>
      <c r="Q21" s="58">
        <f t="shared" si="0"/>
        <v>52000</v>
      </c>
      <c r="R21" s="69" t="s">
        <v>684</v>
      </c>
      <c r="S21" s="19"/>
      <c r="T21" s="32"/>
      <c r="U21" s="32"/>
      <c r="V21" s="51">
        <f t="shared" si="1"/>
        <v>30159.999999999996</v>
      </c>
      <c r="W21" s="51">
        <f t="shared" si="2"/>
        <v>60319.999999999993</v>
      </c>
      <c r="X21" s="52">
        <f t="shared" si="3"/>
        <v>20.29</v>
      </c>
      <c r="Y21" s="53">
        <f t="shared" si="4"/>
        <v>40.58</v>
      </c>
      <c r="Z21" s="54"/>
      <c r="AA21" s="71"/>
      <c r="AB21" s="71"/>
      <c r="AC21" s="128"/>
      <c r="AD21" s="33"/>
      <c r="AE21" s="55"/>
    </row>
    <row r="22" spans="2:31" ht="20.100000000000001" hidden="1" customHeight="1">
      <c r="B22" s="48">
        <v>18</v>
      </c>
      <c r="C22" s="121" t="s">
        <v>348</v>
      </c>
      <c r="D22" s="120" t="s">
        <v>349</v>
      </c>
      <c r="E22" s="120">
        <v>2603</v>
      </c>
      <c r="F22" s="120" t="s">
        <v>526</v>
      </c>
      <c r="G22" s="120" t="s">
        <v>689</v>
      </c>
      <c r="H22" s="49">
        <v>3</v>
      </c>
      <c r="I22" s="50" t="s">
        <v>165</v>
      </c>
      <c r="J22" s="124" t="s">
        <v>169</v>
      </c>
      <c r="K22" s="50" t="s">
        <v>164</v>
      </c>
      <c r="L22" s="50" t="s">
        <v>518</v>
      </c>
      <c r="M22" s="56" t="s">
        <v>12</v>
      </c>
      <c r="N22" s="122" t="s">
        <v>611</v>
      </c>
      <c r="O22" s="57">
        <v>2</v>
      </c>
      <c r="P22" s="45">
        <v>24000</v>
      </c>
      <c r="Q22" s="58">
        <f t="shared" si="0"/>
        <v>48000</v>
      </c>
      <c r="R22" s="69" t="s">
        <v>684</v>
      </c>
      <c r="S22" s="19"/>
      <c r="T22" s="32"/>
      <c r="U22" s="32"/>
      <c r="V22" s="51">
        <f t="shared" si="1"/>
        <v>27839.999999999996</v>
      </c>
      <c r="W22" s="51">
        <f t="shared" si="2"/>
        <v>55679.999999999993</v>
      </c>
      <c r="X22" s="52">
        <f t="shared" si="3"/>
        <v>18.73</v>
      </c>
      <c r="Y22" s="53">
        <f t="shared" si="4"/>
        <v>37.46</v>
      </c>
      <c r="Z22" s="54"/>
      <c r="AA22" s="71"/>
      <c r="AB22" s="71"/>
      <c r="AC22" s="128"/>
      <c r="AD22" s="33"/>
      <c r="AE22" s="55"/>
    </row>
    <row r="23" spans="2:31" ht="20.100000000000001" hidden="1" customHeight="1">
      <c r="B23" s="48">
        <v>19</v>
      </c>
      <c r="C23" s="121" t="s">
        <v>348</v>
      </c>
      <c r="D23" s="120" t="s">
        <v>349</v>
      </c>
      <c r="E23" s="120">
        <v>2603</v>
      </c>
      <c r="F23" s="120" t="s">
        <v>526</v>
      </c>
      <c r="G23" s="120" t="s">
        <v>689</v>
      </c>
      <c r="H23" s="49">
        <v>3</v>
      </c>
      <c r="I23" s="50" t="s">
        <v>165</v>
      </c>
      <c r="J23" s="124" t="s">
        <v>505</v>
      </c>
      <c r="K23" s="50" t="s">
        <v>164</v>
      </c>
      <c r="L23" s="50" t="s">
        <v>518</v>
      </c>
      <c r="M23" s="56" t="s">
        <v>12</v>
      </c>
      <c r="N23" s="122" t="s">
        <v>611</v>
      </c>
      <c r="O23" s="57">
        <v>2</v>
      </c>
      <c r="P23" s="45">
        <v>24000</v>
      </c>
      <c r="Q23" s="58">
        <f t="shared" si="0"/>
        <v>48000</v>
      </c>
      <c r="R23" s="69" t="s">
        <v>684</v>
      </c>
      <c r="S23" s="19"/>
      <c r="T23" s="32"/>
      <c r="U23" s="32"/>
      <c r="V23" s="51">
        <f t="shared" si="1"/>
        <v>27839.999999999996</v>
      </c>
      <c r="W23" s="51">
        <f t="shared" si="2"/>
        <v>55679.999999999993</v>
      </c>
      <c r="X23" s="52">
        <f t="shared" si="3"/>
        <v>18.73</v>
      </c>
      <c r="Y23" s="53">
        <f t="shared" si="4"/>
        <v>37.46</v>
      </c>
      <c r="Z23" s="54"/>
      <c r="AA23" s="71"/>
      <c r="AB23" s="71"/>
      <c r="AC23" s="128"/>
      <c r="AD23" s="33"/>
      <c r="AE23" s="55"/>
    </row>
    <row r="24" spans="2:31" ht="20.100000000000001" hidden="1" customHeight="1">
      <c r="B24" s="48">
        <v>20</v>
      </c>
      <c r="C24" s="121" t="s">
        <v>348</v>
      </c>
      <c r="D24" s="120" t="s">
        <v>349</v>
      </c>
      <c r="E24" s="120">
        <v>2603</v>
      </c>
      <c r="F24" s="120" t="s">
        <v>526</v>
      </c>
      <c r="G24" s="120" t="s">
        <v>689</v>
      </c>
      <c r="H24" s="49">
        <v>3</v>
      </c>
      <c r="I24" s="50" t="s">
        <v>166</v>
      </c>
      <c r="J24" s="124" t="s">
        <v>170</v>
      </c>
      <c r="K24" s="50" t="s">
        <v>164</v>
      </c>
      <c r="L24" s="50" t="s">
        <v>518</v>
      </c>
      <c r="M24" s="56" t="s">
        <v>12</v>
      </c>
      <c r="N24" s="122" t="s">
        <v>611</v>
      </c>
      <c r="O24" s="57">
        <v>8</v>
      </c>
      <c r="P24" s="45">
        <v>9000</v>
      </c>
      <c r="Q24" s="58">
        <f t="shared" si="0"/>
        <v>72000</v>
      </c>
      <c r="R24" s="69" t="s">
        <v>684</v>
      </c>
      <c r="S24" s="19"/>
      <c r="T24" s="32"/>
      <c r="U24" s="32"/>
      <c r="V24" s="51">
        <f t="shared" si="1"/>
        <v>10440</v>
      </c>
      <c r="W24" s="51">
        <f t="shared" si="2"/>
        <v>83520</v>
      </c>
      <c r="X24" s="52">
        <f t="shared" si="3"/>
        <v>7.02</v>
      </c>
      <c r="Y24" s="53">
        <f t="shared" si="4"/>
        <v>56.16</v>
      </c>
      <c r="Z24" s="54"/>
      <c r="AA24" s="71"/>
      <c r="AB24" s="71"/>
      <c r="AC24" s="128"/>
      <c r="AD24" s="33"/>
      <c r="AE24" s="55"/>
    </row>
    <row r="25" spans="2:31" ht="20.100000000000001" hidden="1" customHeight="1">
      <c r="B25" s="48">
        <v>21</v>
      </c>
      <c r="C25" s="121" t="s">
        <v>348</v>
      </c>
      <c r="D25" s="120" t="s">
        <v>349</v>
      </c>
      <c r="E25" s="120">
        <v>2603</v>
      </c>
      <c r="F25" s="120" t="s">
        <v>526</v>
      </c>
      <c r="G25" s="120" t="s">
        <v>689</v>
      </c>
      <c r="H25" s="49">
        <v>3</v>
      </c>
      <c r="I25" s="50" t="s">
        <v>165</v>
      </c>
      <c r="J25" s="124" t="s">
        <v>171</v>
      </c>
      <c r="K25" s="50" t="s">
        <v>164</v>
      </c>
      <c r="L25" s="50" t="s">
        <v>518</v>
      </c>
      <c r="M25" s="56" t="s">
        <v>12</v>
      </c>
      <c r="N25" s="122" t="s">
        <v>611</v>
      </c>
      <c r="O25" s="57">
        <v>4</v>
      </c>
      <c r="P25" s="45">
        <v>24000</v>
      </c>
      <c r="Q25" s="58">
        <f t="shared" si="0"/>
        <v>96000</v>
      </c>
      <c r="R25" s="69" t="s">
        <v>684</v>
      </c>
      <c r="S25" s="19"/>
      <c r="T25" s="32"/>
      <c r="U25" s="32"/>
      <c r="V25" s="51">
        <f t="shared" si="1"/>
        <v>27839.999999999996</v>
      </c>
      <c r="W25" s="51">
        <f t="shared" si="2"/>
        <v>111359.99999999999</v>
      </c>
      <c r="X25" s="52">
        <f t="shared" si="3"/>
        <v>18.73</v>
      </c>
      <c r="Y25" s="53">
        <f t="shared" si="4"/>
        <v>74.92</v>
      </c>
      <c r="Z25" s="54"/>
      <c r="AA25" s="71"/>
      <c r="AB25" s="71"/>
      <c r="AC25" s="128"/>
      <c r="AD25" s="33"/>
      <c r="AE25" s="55"/>
    </row>
    <row r="26" spans="2:31" ht="20.100000000000001" hidden="1" customHeight="1">
      <c r="B26" s="48">
        <v>22</v>
      </c>
      <c r="C26" s="121" t="s">
        <v>348</v>
      </c>
      <c r="D26" s="120" t="s">
        <v>349</v>
      </c>
      <c r="E26" s="120">
        <v>2603</v>
      </c>
      <c r="F26" s="120" t="s">
        <v>526</v>
      </c>
      <c r="G26" s="120" t="s">
        <v>689</v>
      </c>
      <c r="H26" s="49">
        <v>3</v>
      </c>
      <c r="I26" s="50" t="s">
        <v>172</v>
      </c>
      <c r="J26" s="124" t="s">
        <v>173</v>
      </c>
      <c r="K26" s="50" t="s">
        <v>174</v>
      </c>
      <c r="L26" s="50" t="s">
        <v>518</v>
      </c>
      <c r="M26" s="56" t="s">
        <v>12</v>
      </c>
      <c r="N26" s="122" t="s">
        <v>665</v>
      </c>
      <c r="O26" s="57">
        <v>2</v>
      </c>
      <c r="P26" s="45">
        <v>30400</v>
      </c>
      <c r="Q26" s="58">
        <f t="shared" si="0"/>
        <v>60800</v>
      </c>
      <c r="R26" s="69" t="s">
        <v>684</v>
      </c>
      <c r="S26" s="19"/>
      <c r="T26" s="32"/>
      <c r="U26" s="32"/>
      <c r="V26" s="51">
        <f t="shared" si="1"/>
        <v>35264</v>
      </c>
      <c r="W26" s="51">
        <f t="shared" si="2"/>
        <v>70528</v>
      </c>
      <c r="X26" s="52">
        <f t="shared" si="3"/>
        <v>23.72</v>
      </c>
      <c r="Y26" s="53">
        <f t="shared" si="4"/>
        <v>47.44</v>
      </c>
      <c r="Z26" s="54"/>
      <c r="AA26" s="71"/>
      <c r="AB26" s="71"/>
      <c r="AC26" s="128"/>
      <c r="AD26" s="33"/>
      <c r="AE26" s="55"/>
    </row>
    <row r="27" spans="2:31" ht="20.100000000000001" hidden="1" customHeight="1">
      <c r="B27" s="48">
        <v>23</v>
      </c>
      <c r="C27" s="121" t="s">
        <v>348</v>
      </c>
      <c r="D27" s="120" t="s">
        <v>349</v>
      </c>
      <c r="E27" s="120">
        <v>2603</v>
      </c>
      <c r="F27" s="120" t="s">
        <v>526</v>
      </c>
      <c r="G27" s="120" t="s">
        <v>689</v>
      </c>
      <c r="H27" s="49">
        <v>3</v>
      </c>
      <c r="I27" s="50" t="s">
        <v>172</v>
      </c>
      <c r="J27" s="124" t="s">
        <v>175</v>
      </c>
      <c r="K27" s="50" t="s">
        <v>174</v>
      </c>
      <c r="L27" s="50" t="s">
        <v>518</v>
      </c>
      <c r="M27" s="56" t="s">
        <v>12</v>
      </c>
      <c r="N27" s="122" t="s">
        <v>665</v>
      </c>
      <c r="O27" s="57">
        <v>2</v>
      </c>
      <c r="P27" s="45">
        <v>6050</v>
      </c>
      <c r="Q27" s="58">
        <f t="shared" si="0"/>
        <v>12100</v>
      </c>
      <c r="R27" s="69" t="s">
        <v>684</v>
      </c>
      <c r="S27" s="19"/>
      <c r="T27" s="32"/>
      <c r="U27" s="32"/>
      <c r="V27" s="51">
        <f t="shared" si="1"/>
        <v>7017.9999999999991</v>
      </c>
      <c r="W27" s="51">
        <f t="shared" si="2"/>
        <v>14035.999999999998</v>
      </c>
      <c r="X27" s="52">
        <f t="shared" si="3"/>
        <v>4.72</v>
      </c>
      <c r="Y27" s="53">
        <f t="shared" si="4"/>
        <v>9.44</v>
      </c>
      <c r="Z27" s="54"/>
      <c r="AA27" s="71"/>
      <c r="AB27" s="71"/>
      <c r="AC27" s="128"/>
      <c r="AD27" s="33"/>
      <c r="AE27" s="55"/>
    </row>
    <row r="28" spans="2:31" ht="20.100000000000001" hidden="1" customHeight="1">
      <c r="B28" s="48">
        <v>24</v>
      </c>
      <c r="C28" s="121" t="s">
        <v>348</v>
      </c>
      <c r="D28" s="120" t="s">
        <v>349</v>
      </c>
      <c r="E28" s="120">
        <v>2603</v>
      </c>
      <c r="F28" s="120" t="s">
        <v>526</v>
      </c>
      <c r="G28" s="120" t="s">
        <v>689</v>
      </c>
      <c r="H28" s="49">
        <v>3</v>
      </c>
      <c r="I28" s="50" t="s">
        <v>172</v>
      </c>
      <c r="J28" s="124" t="s">
        <v>176</v>
      </c>
      <c r="K28" s="50" t="s">
        <v>174</v>
      </c>
      <c r="L28" s="50" t="s">
        <v>518</v>
      </c>
      <c r="M28" s="56" t="s">
        <v>12</v>
      </c>
      <c r="N28" s="122" t="s">
        <v>665</v>
      </c>
      <c r="O28" s="57">
        <v>2</v>
      </c>
      <c r="P28" s="45">
        <v>19800</v>
      </c>
      <c r="Q28" s="58">
        <f t="shared" si="0"/>
        <v>39600</v>
      </c>
      <c r="R28" s="69" t="s">
        <v>684</v>
      </c>
      <c r="S28" s="19"/>
      <c r="T28" s="32"/>
      <c r="U28" s="32"/>
      <c r="V28" s="51">
        <f t="shared" si="1"/>
        <v>22968</v>
      </c>
      <c r="W28" s="51">
        <f t="shared" si="2"/>
        <v>45936</v>
      </c>
      <c r="X28" s="52">
        <f t="shared" si="3"/>
        <v>15.45</v>
      </c>
      <c r="Y28" s="53">
        <f t="shared" si="4"/>
        <v>30.9</v>
      </c>
      <c r="Z28" s="54"/>
      <c r="AA28" s="71"/>
      <c r="AB28" s="71"/>
      <c r="AC28" s="128"/>
      <c r="AD28" s="33"/>
      <c r="AE28" s="55"/>
    </row>
    <row r="29" spans="2:31" ht="20.100000000000001" hidden="1" customHeight="1">
      <c r="B29" s="48">
        <v>25</v>
      </c>
      <c r="C29" s="121" t="s">
        <v>348</v>
      </c>
      <c r="D29" s="120" t="s">
        <v>349</v>
      </c>
      <c r="E29" s="120">
        <v>2603</v>
      </c>
      <c r="F29" s="120" t="s">
        <v>526</v>
      </c>
      <c r="G29" s="120" t="s">
        <v>689</v>
      </c>
      <c r="H29" s="49">
        <v>2</v>
      </c>
      <c r="I29" s="50" t="s">
        <v>24</v>
      </c>
      <c r="J29" s="124" t="s">
        <v>637</v>
      </c>
      <c r="K29" s="50" t="s">
        <v>22</v>
      </c>
      <c r="L29" s="50" t="s">
        <v>518</v>
      </c>
      <c r="M29" s="56" t="s">
        <v>12</v>
      </c>
      <c r="N29" s="122" t="s">
        <v>665</v>
      </c>
      <c r="O29" s="57">
        <v>4</v>
      </c>
      <c r="P29" s="45">
        <v>4000</v>
      </c>
      <c r="Q29" s="58">
        <f t="shared" si="0"/>
        <v>16000</v>
      </c>
      <c r="R29" s="69" t="s">
        <v>663</v>
      </c>
      <c r="S29" s="19"/>
      <c r="T29" s="32"/>
      <c r="U29" s="32"/>
      <c r="V29" s="51">
        <f t="shared" si="1"/>
        <v>4640</v>
      </c>
      <c r="W29" s="51">
        <f t="shared" si="2"/>
        <v>18560</v>
      </c>
      <c r="X29" s="52">
        <f t="shared" si="3"/>
        <v>3.12</v>
      </c>
      <c r="Y29" s="53">
        <f t="shared" si="4"/>
        <v>12.48</v>
      </c>
      <c r="Z29" s="54"/>
      <c r="AA29" s="71"/>
      <c r="AB29" s="71"/>
      <c r="AC29" s="128"/>
      <c r="AD29" s="33"/>
      <c r="AE29" s="55"/>
    </row>
    <row r="30" spans="2:31" ht="20.100000000000001" hidden="1" customHeight="1">
      <c r="B30" s="48">
        <v>26</v>
      </c>
      <c r="C30" s="121" t="s">
        <v>348</v>
      </c>
      <c r="D30" s="120" t="s">
        <v>349</v>
      </c>
      <c r="E30" s="120">
        <v>2603</v>
      </c>
      <c r="F30" s="120" t="s">
        <v>526</v>
      </c>
      <c r="G30" s="120" t="s">
        <v>689</v>
      </c>
      <c r="H30" s="49">
        <v>3</v>
      </c>
      <c r="I30" s="50" t="s">
        <v>528</v>
      </c>
      <c r="J30" s="124" t="s">
        <v>638</v>
      </c>
      <c r="K30" s="50" t="s">
        <v>22</v>
      </c>
      <c r="L30" s="50" t="s">
        <v>518</v>
      </c>
      <c r="M30" s="56" t="s">
        <v>12</v>
      </c>
      <c r="N30" s="122" t="s">
        <v>665</v>
      </c>
      <c r="O30" s="57">
        <v>4</v>
      </c>
      <c r="P30" s="45">
        <v>5900</v>
      </c>
      <c r="Q30" s="58">
        <f t="shared" si="0"/>
        <v>23600</v>
      </c>
      <c r="R30" s="69" t="s">
        <v>663</v>
      </c>
      <c r="S30" s="19"/>
      <c r="T30" s="32"/>
      <c r="U30" s="32"/>
      <c r="V30" s="51">
        <f t="shared" si="1"/>
        <v>6843.9999999999991</v>
      </c>
      <c r="W30" s="51">
        <f t="shared" si="2"/>
        <v>27375.999999999996</v>
      </c>
      <c r="X30" s="52">
        <f t="shared" si="3"/>
        <v>4.5999999999999996</v>
      </c>
      <c r="Y30" s="53">
        <f t="shared" si="4"/>
        <v>18.399999999999999</v>
      </c>
      <c r="Z30" s="54"/>
      <c r="AA30" s="71"/>
      <c r="AB30" s="71"/>
      <c r="AC30" s="128"/>
      <c r="AD30" s="33"/>
      <c r="AE30" s="55"/>
    </row>
    <row r="31" spans="2:31" ht="20.100000000000001" hidden="1" customHeight="1">
      <c r="B31" s="48">
        <v>27</v>
      </c>
      <c r="C31" s="121" t="s">
        <v>348</v>
      </c>
      <c r="D31" s="120" t="s">
        <v>349</v>
      </c>
      <c r="E31" s="120">
        <v>2603</v>
      </c>
      <c r="F31" s="120" t="s">
        <v>526</v>
      </c>
      <c r="G31" s="120" t="s">
        <v>689</v>
      </c>
      <c r="H31" s="49">
        <v>3</v>
      </c>
      <c r="I31" s="50" t="s">
        <v>24</v>
      </c>
      <c r="J31" s="124" t="s">
        <v>57</v>
      </c>
      <c r="K31" s="50" t="s">
        <v>23</v>
      </c>
      <c r="L31" s="50" t="s">
        <v>518</v>
      </c>
      <c r="M31" s="56" t="s">
        <v>12</v>
      </c>
      <c r="N31" s="122" t="s">
        <v>666</v>
      </c>
      <c r="O31" s="57">
        <v>8</v>
      </c>
      <c r="P31" s="45">
        <v>33000</v>
      </c>
      <c r="Q31" s="58">
        <f t="shared" si="0"/>
        <v>264000</v>
      </c>
      <c r="R31" s="129" t="s">
        <v>684</v>
      </c>
      <c r="S31" s="19"/>
      <c r="T31" s="32"/>
      <c r="U31" s="32"/>
      <c r="V31" s="51">
        <f t="shared" si="1"/>
        <v>38280</v>
      </c>
      <c r="W31" s="51">
        <f t="shared" si="2"/>
        <v>306240</v>
      </c>
      <c r="X31" s="52">
        <f t="shared" si="3"/>
        <v>25.75</v>
      </c>
      <c r="Y31" s="53">
        <f t="shared" si="4"/>
        <v>206</v>
      </c>
      <c r="Z31" s="54"/>
      <c r="AA31" s="71"/>
      <c r="AB31" s="71"/>
      <c r="AC31" s="128"/>
      <c r="AD31" s="33"/>
      <c r="AE31" s="55"/>
    </row>
    <row r="32" spans="2:31" ht="20.100000000000001" hidden="1" customHeight="1">
      <c r="B32" s="48">
        <v>28</v>
      </c>
      <c r="C32" s="121" t="s">
        <v>348</v>
      </c>
      <c r="D32" s="120" t="s">
        <v>349</v>
      </c>
      <c r="E32" s="120">
        <v>2603</v>
      </c>
      <c r="F32" s="120" t="s">
        <v>526</v>
      </c>
      <c r="G32" s="120" t="s">
        <v>689</v>
      </c>
      <c r="H32" s="49">
        <v>4</v>
      </c>
      <c r="I32" s="50" t="s">
        <v>529</v>
      </c>
      <c r="J32" s="124" t="s">
        <v>71</v>
      </c>
      <c r="K32" s="50" t="s">
        <v>240</v>
      </c>
      <c r="L32" s="50" t="s">
        <v>599</v>
      </c>
      <c r="M32" s="56" t="s">
        <v>12</v>
      </c>
      <c r="N32" s="122" t="s">
        <v>672</v>
      </c>
      <c r="O32" s="57">
        <v>2</v>
      </c>
      <c r="P32" s="45">
        <v>60000</v>
      </c>
      <c r="Q32" s="58">
        <f t="shared" si="0"/>
        <v>120000</v>
      </c>
      <c r="R32" s="69" t="s">
        <v>663</v>
      </c>
      <c r="S32" s="19"/>
      <c r="T32" s="32"/>
      <c r="U32" s="32"/>
      <c r="V32" s="51">
        <f t="shared" si="1"/>
        <v>69600</v>
      </c>
      <c r="W32" s="51">
        <f t="shared" si="2"/>
        <v>139200</v>
      </c>
      <c r="X32" s="52">
        <f t="shared" si="3"/>
        <v>46.82</v>
      </c>
      <c r="Y32" s="53">
        <f t="shared" si="4"/>
        <v>93.64</v>
      </c>
      <c r="Z32" s="54"/>
      <c r="AA32" s="71"/>
      <c r="AB32" s="71"/>
      <c r="AC32" s="128"/>
      <c r="AD32" s="33"/>
      <c r="AE32" s="55"/>
    </row>
    <row r="33" spans="2:31" ht="20.100000000000001" hidden="1" customHeight="1">
      <c r="B33" s="48">
        <v>29</v>
      </c>
      <c r="C33" s="121" t="s">
        <v>348</v>
      </c>
      <c r="D33" s="120" t="s">
        <v>349</v>
      </c>
      <c r="E33" s="120">
        <v>2603</v>
      </c>
      <c r="F33" s="120" t="s">
        <v>526</v>
      </c>
      <c r="G33" s="120" t="s">
        <v>689</v>
      </c>
      <c r="H33" s="49">
        <v>1</v>
      </c>
      <c r="I33" s="50" t="s">
        <v>230</v>
      </c>
      <c r="J33" s="124" t="s">
        <v>231</v>
      </c>
      <c r="K33" s="50" t="s">
        <v>227</v>
      </c>
      <c r="L33" s="50" t="s">
        <v>600</v>
      </c>
      <c r="M33" s="56" t="s">
        <v>12</v>
      </c>
      <c r="N33" s="122" t="s">
        <v>667</v>
      </c>
      <c r="O33" s="57">
        <v>2</v>
      </c>
      <c r="P33" s="45">
        <v>290000</v>
      </c>
      <c r="Q33" s="58">
        <f t="shared" si="0"/>
        <v>580000</v>
      </c>
      <c r="R33" s="69" t="s">
        <v>663</v>
      </c>
      <c r="S33" s="19"/>
      <c r="T33" s="32"/>
      <c r="U33" s="32"/>
      <c r="V33" s="51">
        <f t="shared" si="1"/>
        <v>336400</v>
      </c>
      <c r="W33" s="51">
        <f t="shared" si="2"/>
        <v>672800</v>
      </c>
      <c r="X33" s="52">
        <f t="shared" si="3"/>
        <v>226.28</v>
      </c>
      <c r="Y33" s="53">
        <f t="shared" si="4"/>
        <v>452.56</v>
      </c>
      <c r="Z33" s="54"/>
      <c r="AA33" s="71"/>
      <c r="AB33" s="71"/>
      <c r="AC33" s="128"/>
      <c r="AD33" s="33"/>
      <c r="AE33" s="55"/>
    </row>
    <row r="34" spans="2:31" ht="20.100000000000001" hidden="1" customHeight="1">
      <c r="B34" s="48">
        <v>30</v>
      </c>
      <c r="C34" s="121" t="s">
        <v>348</v>
      </c>
      <c r="D34" s="120" t="s">
        <v>349</v>
      </c>
      <c r="E34" s="120">
        <v>2603</v>
      </c>
      <c r="F34" s="120" t="s">
        <v>526</v>
      </c>
      <c r="G34" s="120" t="s">
        <v>689</v>
      </c>
      <c r="H34" s="49">
        <v>3</v>
      </c>
      <c r="I34" s="50" t="s">
        <v>92</v>
      </c>
      <c r="J34" s="124" t="s">
        <v>102</v>
      </c>
      <c r="K34" s="50" t="s">
        <v>93</v>
      </c>
      <c r="L34" s="50" t="s">
        <v>519</v>
      </c>
      <c r="M34" s="56" t="s">
        <v>12</v>
      </c>
      <c r="N34" s="122" t="s">
        <v>613</v>
      </c>
      <c r="O34" s="57">
        <v>2</v>
      </c>
      <c r="P34" s="45">
        <v>10000</v>
      </c>
      <c r="Q34" s="58">
        <f t="shared" si="0"/>
        <v>20000</v>
      </c>
      <c r="R34" s="69" t="s">
        <v>681</v>
      </c>
      <c r="S34" s="19"/>
      <c r="T34" s="32"/>
      <c r="U34" s="32"/>
      <c r="V34" s="51">
        <f t="shared" si="1"/>
        <v>11600</v>
      </c>
      <c r="W34" s="51">
        <f t="shared" si="2"/>
        <v>23200</v>
      </c>
      <c r="X34" s="52">
        <f t="shared" si="3"/>
        <v>7.8</v>
      </c>
      <c r="Y34" s="53">
        <f t="shared" si="4"/>
        <v>15.6</v>
      </c>
      <c r="Z34" s="54"/>
      <c r="AA34" s="71"/>
      <c r="AB34" s="71"/>
      <c r="AC34" s="128"/>
      <c r="AD34" s="33"/>
      <c r="AE34" s="55"/>
    </row>
    <row r="35" spans="2:31" ht="20.100000000000001" hidden="1" customHeight="1">
      <c r="B35" s="48">
        <v>31</v>
      </c>
      <c r="C35" s="121" t="s">
        <v>348</v>
      </c>
      <c r="D35" s="120" t="s">
        <v>349</v>
      </c>
      <c r="E35" s="120">
        <v>2603</v>
      </c>
      <c r="F35" s="120" t="s">
        <v>526</v>
      </c>
      <c r="G35" s="120" t="s">
        <v>689</v>
      </c>
      <c r="H35" s="49">
        <v>3</v>
      </c>
      <c r="I35" s="50" t="s">
        <v>94</v>
      </c>
      <c r="J35" s="124" t="s">
        <v>103</v>
      </c>
      <c r="K35" s="50" t="s">
        <v>664</v>
      </c>
      <c r="L35" s="50" t="s">
        <v>519</v>
      </c>
      <c r="M35" s="56" t="s">
        <v>12</v>
      </c>
      <c r="N35" s="122" t="s">
        <v>665</v>
      </c>
      <c r="O35" s="57">
        <v>2</v>
      </c>
      <c r="P35" s="45">
        <v>2000</v>
      </c>
      <c r="Q35" s="58">
        <f t="shared" si="0"/>
        <v>4000</v>
      </c>
      <c r="R35" s="69" t="s">
        <v>681</v>
      </c>
      <c r="S35" s="19"/>
      <c r="T35" s="32"/>
      <c r="U35" s="32"/>
      <c r="V35" s="51">
        <f t="shared" si="1"/>
        <v>2320</v>
      </c>
      <c r="W35" s="51">
        <f t="shared" si="2"/>
        <v>4640</v>
      </c>
      <c r="X35" s="52">
        <f t="shared" si="3"/>
        <v>1.56</v>
      </c>
      <c r="Y35" s="53">
        <f t="shared" si="4"/>
        <v>3.12</v>
      </c>
      <c r="Z35" s="54"/>
      <c r="AA35" s="71"/>
      <c r="AB35" s="71"/>
      <c r="AC35" s="128"/>
      <c r="AD35" s="33"/>
      <c r="AE35" s="55"/>
    </row>
    <row r="36" spans="2:31" ht="20.100000000000001" hidden="1" customHeight="1">
      <c r="B36" s="48">
        <v>32</v>
      </c>
      <c r="C36" s="121" t="s">
        <v>348</v>
      </c>
      <c r="D36" s="120" t="s">
        <v>349</v>
      </c>
      <c r="E36" s="120">
        <v>2603</v>
      </c>
      <c r="F36" s="120" t="s">
        <v>526</v>
      </c>
      <c r="G36" s="120" t="s">
        <v>689</v>
      </c>
      <c r="H36" s="49">
        <v>1</v>
      </c>
      <c r="I36" s="50" t="s">
        <v>96</v>
      </c>
      <c r="J36" s="124" t="s">
        <v>104</v>
      </c>
      <c r="K36" s="50" t="s">
        <v>105</v>
      </c>
      <c r="L36" s="50" t="s">
        <v>519</v>
      </c>
      <c r="M36" s="56" t="s">
        <v>12</v>
      </c>
      <c r="N36" s="122" t="s">
        <v>665</v>
      </c>
      <c r="O36" s="57">
        <v>2</v>
      </c>
      <c r="P36" s="45">
        <v>38000</v>
      </c>
      <c r="Q36" s="58">
        <f t="shared" si="0"/>
        <v>76000</v>
      </c>
      <c r="R36" s="69" t="s">
        <v>681</v>
      </c>
      <c r="S36" s="19"/>
      <c r="T36" s="32"/>
      <c r="U36" s="32"/>
      <c r="V36" s="51">
        <f t="shared" si="1"/>
        <v>44080</v>
      </c>
      <c r="W36" s="51">
        <f t="shared" si="2"/>
        <v>88160</v>
      </c>
      <c r="X36" s="52">
        <f t="shared" si="3"/>
        <v>29.65</v>
      </c>
      <c r="Y36" s="53">
        <f t="shared" si="4"/>
        <v>59.3</v>
      </c>
      <c r="Z36" s="54"/>
      <c r="AA36" s="71"/>
      <c r="AB36" s="71"/>
      <c r="AC36" s="128"/>
      <c r="AD36" s="33"/>
      <c r="AE36" s="55"/>
    </row>
    <row r="37" spans="2:31" ht="20.100000000000001" hidden="1" customHeight="1">
      <c r="B37" s="48">
        <v>33</v>
      </c>
      <c r="C37" s="121" t="s">
        <v>348</v>
      </c>
      <c r="D37" s="120" t="s">
        <v>349</v>
      </c>
      <c r="E37" s="120">
        <v>2603</v>
      </c>
      <c r="F37" s="120" t="s">
        <v>526</v>
      </c>
      <c r="G37" s="120" t="s">
        <v>689</v>
      </c>
      <c r="H37" s="49">
        <v>3</v>
      </c>
      <c r="I37" s="50" t="s">
        <v>97</v>
      </c>
      <c r="J37" s="124" t="s">
        <v>106</v>
      </c>
      <c r="K37" s="50" t="s">
        <v>98</v>
      </c>
      <c r="L37" s="50" t="s">
        <v>519</v>
      </c>
      <c r="M37" s="56" t="s">
        <v>12</v>
      </c>
      <c r="N37" s="122" t="s">
        <v>665</v>
      </c>
      <c r="O37" s="57">
        <v>32</v>
      </c>
      <c r="P37" s="45">
        <v>160</v>
      </c>
      <c r="Q37" s="58">
        <f t="shared" ref="Q37:Q68" si="5">O37*P37</f>
        <v>5120</v>
      </c>
      <c r="R37" s="69" t="s">
        <v>681</v>
      </c>
      <c r="S37" s="19"/>
      <c r="T37" s="32"/>
      <c r="U37" s="32"/>
      <c r="V37" s="51">
        <f t="shared" si="1"/>
        <v>185.6</v>
      </c>
      <c r="W37" s="51">
        <f t="shared" si="2"/>
        <v>5939.2</v>
      </c>
      <c r="X37" s="52">
        <f t="shared" si="3"/>
        <v>0.12</v>
      </c>
      <c r="Y37" s="53">
        <f t="shared" si="4"/>
        <v>3.84</v>
      </c>
      <c r="Z37" s="54"/>
      <c r="AA37" s="71"/>
      <c r="AB37" s="71"/>
      <c r="AC37" s="128"/>
      <c r="AD37" s="33"/>
      <c r="AE37" s="55"/>
    </row>
    <row r="38" spans="2:31" ht="20.100000000000001" hidden="1" customHeight="1">
      <c r="B38" s="48">
        <v>34</v>
      </c>
      <c r="C38" s="121" t="s">
        <v>348</v>
      </c>
      <c r="D38" s="120" t="s">
        <v>349</v>
      </c>
      <c r="E38" s="120">
        <v>2603</v>
      </c>
      <c r="F38" s="120" t="s">
        <v>526</v>
      </c>
      <c r="G38" s="120" t="s">
        <v>689</v>
      </c>
      <c r="H38" s="49">
        <v>4</v>
      </c>
      <c r="I38" s="50" t="s">
        <v>73</v>
      </c>
      <c r="J38" s="124" t="s">
        <v>74</v>
      </c>
      <c r="K38" s="50" t="s">
        <v>30</v>
      </c>
      <c r="L38" s="50" t="s">
        <v>519</v>
      </c>
      <c r="M38" s="56" t="s">
        <v>12</v>
      </c>
      <c r="N38" s="122" t="s">
        <v>665</v>
      </c>
      <c r="O38" s="57">
        <v>2</v>
      </c>
      <c r="P38" s="45">
        <v>12000</v>
      </c>
      <c r="Q38" s="58">
        <f t="shared" si="5"/>
        <v>24000</v>
      </c>
      <c r="R38" s="69" t="s">
        <v>681</v>
      </c>
      <c r="S38" s="19"/>
      <c r="T38" s="32"/>
      <c r="U38" s="32"/>
      <c r="V38" s="51">
        <f t="shared" si="1"/>
        <v>13919.999999999998</v>
      </c>
      <c r="W38" s="51">
        <f t="shared" si="2"/>
        <v>27839.999999999996</v>
      </c>
      <c r="X38" s="52">
        <f t="shared" si="3"/>
        <v>9.36</v>
      </c>
      <c r="Y38" s="53">
        <f t="shared" si="4"/>
        <v>18.72</v>
      </c>
      <c r="Z38" s="54"/>
      <c r="AA38" s="71"/>
      <c r="AB38" s="71"/>
      <c r="AC38" s="128"/>
      <c r="AD38" s="33"/>
      <c r="AE38" s="55"/>
    </row>
    <row r="39" spans="2:31" ht="20.100000000000001" hidden="1" customHeight="1">
      <c r="B39" s="48">
        <v>35</v>
      </c>
      <c r="C39" s="121" t="s">
        <v>348</v>
      </c>
      <c r="D39" s="120" t="s">
        <v>349</v>
      </c>
      <c r="E39" s="120">
        <v>2603</v>
      </c>
      <c r="F39" s="120" t="s">
        <v>526</v>
      </c>
      <c r="G39" s="120" t="s">
        <v>689</v>
      </c>
      <c r="H39" s="49">
        <v>3</v>
      </c>
      <c r="I39" s="50" t="s">
        <v>506</v>
      </c>
      <c r="J39" s="124" t="s">
        <v>507</v>
      </c>
      <c r="K39" s="50" t="s">
        <v>30</v>
      </c>
      <c r="L39" s="50" t="s">
        <v>519</v>
      </c>
      <c r="M39" s="56" t="s">
        <v>12</v>
      </c>
      <c r="N39" s="122" t="s">
        <v>665</v>
      </c>
      <c r="O39" s="57">
        <v>2</v>
      </c>
      <c r="P39" s="45">
        <v>200</v>
      </c>
      <c r="Q39" s="58">
        <f t="shared" si="5"/>
        <v>400</v>
      </c>
      <c r="R39" s="69" t="s">
        <v>681</v>
      </c>
      <c r="S39" s="19"/>
      <c r="T39" s="32"/>
      <c r="U39" s="32"/>
      <c r="V39" s="51">
        <f t="shared" si="1"/>
        <v>231.99999999999997</v>
      </c>
      <c r="W39" s="51">
        <f t="shared" si="2"/>
        <v>463.99999999999994</v>
      </c>
      <c r="X39" s="52">
        <f t="shared" si="3"/>
        <v>0.16</v>
      </c>
      <c r="Y39" s="53">
        <f t="shared" si="4"/>
        <v>0.32</v>
      </c>
      <c r="Z39" s="54"/>
      <c r="AA39" s="71"/>
      <c r="AB39" s="71"/>
      <c r="AC39" s="128"/>
      <c r="AD39" s="33"/>
      <c r="AE39" s="55"/>
    </row>
    <row r="40" spans="2:31" ht="20.100000000000001" hidden="1" customHeight="1">
      <c r="B40" s="48">
        <v>36</v>
      </c>
      <c r="C40" s="121" t="s">
        <v>348</v>
      </c>
      <c r="D40" s="120" t="s">
        <v>349</v>
      </c>
      <c r="E40" s="120">
        <v>2603</v>
      </c>
      <c r="F40" s="120" t="s">
        <v>526</v>
      </c>
      <c r="G40" s="120" t="s">
        <v>689</v>
      </c>
      <c r="H40" s="49">
        <v>3</v>
      </c>
      <c r="I40" s="50" t="s">
        <v>508</v>
      </c>
      <c r="J40" s="124" t="s">
        <v>509</v>
      </c>
      <c r="K40" s="50" t="s">
        <v>30</v>
      </c>
      <c r="L40" s="50" t="s">
        <v>519</v>
      </c>
      <c r="M40" s="56" t="s">
        <v>12</v>
      </c>
      <c r="N40" s="122" t="s">
        <v>665</v>
      </c>
      <c r="O40" s="57">
        <v>2</v>
      </c>
      <c r="P40" s="45">
        <v>6500</v>
      </c>
      <c r="Q40" s="58">
        <f t="shared" si="5"/>
        <v>13000</v>
      </c>
      <c r="R40" s="129" t="s">
        <v>663</v>
      </c>
      <c r="S40" s="19"/>
      <c r="T40" s="32"/>
      <c r="U40" s="32"/>
      <c r="V40" s="51">
        <f t="shared" si="1"/>
        <v>7539.9999999999991</v>
      </c>
      <c r="W40" s="51">
        <f t="shared" si="2"/>
        <v>15079.999999999998</v>
      </c>
      <c r="X40" s="52">
        <f t="shared" si="3"/>
        <v>5.07</v>
      </c>
      <c r="Y40" s="53">
        <f t="shared" si="4"/>
        <v>10.14</v>
      </c>
      <c r="Z40" s="54"/>
      <c r="AA40" s="71"/>
      <c r="AB40" s="71"/>
      <c r="AC40" s="128"/>
      <c r="AD40" s="33"/>
      <c r="AE40" s="55"/>
    </row>
    <row r="41" spans="2:31" ht="20.100000000000001" hidden="1" customHeight="1">
      <c r="B41" s="48">
        <v>37</v>
      </c>
      <c r="C41" s="121" t="s">
        <v>348</v>
      </c>
      <c r="D41" s="120" t="s">
        <v>349</v>
      </c>
      <c r="E41" s="120">
        <v>2603</v>
      </c>
      <c r="F41" s="120" t="s">
        <v>526</v>
      </c>
      <c r="G41" s="120" t="s">
        <v>689</v>
      </c>
      <c r="H41" s="49">
        <v>4</v>
      </c>
      <c r="I41" s="50" t="s">
        <v>33</v>
      </c>
      <c r="J41" s="124" t="s">
        <v>143</v>
      </c>
      <c r="K41" s="50" t="s">
        <v>26</v>
      </c>
      <c r="L41" s="50" t="s">
        <v>519</v>
      </c>
      <c r="M41" s="56" t="s">
        <v>12</v>
      </c>
      <c r="N41" s="122" t="s">
        <v>612</v>
      </c>
      <c r="O41" s="57">
        <v>28</v>
      </c>
      <c r="P41" s="45">
        <v>5040</v>
      </c>
      <c r="Q41" s="58">
        <f t="shared" si="5"/>
        <v>141120</v>
      </c>
      <c r="R41" s="129" t="s">
        <v>684</v>
      </c>
      <c r="S41" s="19"/>
      <c r="T41" s="32"/>
      <c r="U41" s="32"/>
      <c r="V41" s="51">
        <f t="shared" si="1"/>
        <v>5846.4</v>
      </c>
      <c r="W41" s="51">
        <f t="shared" si="2"/>
        <v>163699.19999999998</v>
      </c>
      <c r="X41" s="52">
        <f t="shared" si="3"/>
        <v>3.93</v>
      </c>
      <c r="Y41" s="53">
        <f t="shared" si="4"/>
        <v>110.04</v>
      </c>
      <c r="Z41" s="54"/>
      <c r="AA41" s="71"/>
      <c r="AB41" s="71"/>
      <c r="AC41" s="128"/>
      <c r="AD41" s="33"/>
      <c r="AE41" s="55"/>
    </row>
    <row r="42" spans="2:31" ht="20.100000000000001" hidden="1" customHeight="1">
      <c r="B42" s="48">
        <v>38</v>
      </c>
      <c r="C42" s="121" t="s">
        <v>348</v>
      </c>
      <c r="D42" s="120" t="s">
        <v>349</v>
      </c>
      <c r="E42" s="120">
        <v>2603</v>
      </c>
      <c r="F42" s="120" t="s">
        <v>526</v>
      </c>
      <c r="G42" s="120" t="s">
        <v>689</v>
      </c>
      <c r="H42" s="49">
        <v>4</v>
      </c>
      <c r="I42" s="50" t="s">
        <v>27</v>
      </c>
      <c r="J42" s="124" t="s">
        <v>541</v>
      </c>
      <c r="K42" s="50" t="s">
        <v>26</v>
      </c>
      <c r="L42" s="50" t="s">
        <v>519</v>
      </c>
      <c r="M42" s="56" t="s">
        <v>12</v>
      </c>
      <c r="N42" s="122" t="s">
        <v>612</v>
      </c>
      <c r="O42" s="57">
        <v>2</v>
      </c>
      <c r="P42" s="45">
        <v>166530</v>
      </c>
      <c r="Q42" s="58">
        <f t="shared" si="5"/>
        <v>333060</v>
      </c>
      <c r="R42" s="129" t="s">
        <v>684</v>
      </c>
      <c r="S42" s="19"/>
      <c r="T42" s="32"/>
      <c r="U42" s="32"/>
      <c r="V42" s="51">
        <f t="shared" si="1"/>
        <v>193174.8</v>
      </c>
      <c r="W42" s="51">
        <f t="shared" si="2"/>
        <v>386349.6</v>
      </c>
      <c r="X42" s="52">
        <f t="shared" si="3"/>
        <v>129.94</v>
      </c>
      <c r="Y42" s="53">
        <f t="shared" si="4"/>
        <v>259.88</v>
      </c>
      <c r="Z42" s="54"/>
      <c r="AA42" s="71"/>
      <c r="AB42" s="71"/>
      <c r="AC42" s="128"/>
      <c r="AD42" s="33"/>
      <c r="AE42" s="55"/>
    </row>
    <row r="43" spans="2:31" ht="20.100000000000001" hidden="1" customHeight="1">
      <c r="B43" s="48">
        <v>39</v>
      </c>
      <c r="C43" s="121" t="s">
        <v>348</v>
      </c>
      <c r="D43" s="120" t="s">
        <v>349</v>
      </c>
      <c r="E43" s="120">
        <v>2603</v>
      </c>
      <c r="F43" s="120" t="s">
        <v>526</v>
      </c>
      <c r="G43" s="120" t="s">
        <v>689</v>
      </c>
      <c r="H43" s="49">
        <v>4</v>
      </c>
      <c r="I43" s="50" t="s">
        <v>27</v>
      </c>
      <c r="J43" s="124" t="s">
        <v>543</v>
      </c>
      <c r="K43" s="50" t="s">
        <v>26</v>
      </c>
      <c r="L43" s="50" t="s">
        <v>519</v>
      </c>
      <c r="M43" s="56" t="s">
        <v>12</v>
      </c>
      <c r="N43" s="122" t="s">
        <v>612</v>
      </c>
      <c r="O43" s="57">
        <v>2</v>
      </c>
      <c r="P43" s="45">
        <v>151680</v>
      </c>
      <c r="Q43" s="58">
        <f t="shared" si="5"/>
        <v>303360</v>
      </c>
      <c r="R43" s="129" t="s">
        <v>684</v>
      </c>
      <c r="S43" s="19"/>
      <c r="T43" s="32"/>
      <c r="U43" s="32"/>
      <c r="V43" s="51">
        <f t="shared" si="1"/>
        <v>175948.79999999999</v>
      </c>
      <c r="W43" s="51">
        <f t="shared" si="2"/>
        <v>351897.59999999998</v>
      </c>
      <c r="X43" s="52">
        <f t="shared" si="3"/>
        <v>118.35</v>
      </c>
      <c r="Y43" s="53">
        <f t="shared" si="4"/>
        <v>236.7</v>
      </c>
      <c r="Z43" s="54"/>
      <c r="AA43" s="71"/>
      <c r="AB43" s="71"/>
      <c r="AC43" s="128"/>
      <c r="AD43" s="33"/>
      <c r="AE43" s="55"/>
    </row>
    <row r="44" spans="2:31" ht="20.100000000000001" hidden="1" customHeight="1">
      <c r="B44" s="48">
        <v>40</v>
      </c>
      <c r="C44" s="121" t="s">
        <v>348</v>
      </c>
      <c r="D44" s="120" t="s">
        <v>349</v>
      </c>
      <c r="E44" s="120">
        <v>2603</v>
      </c>
      <c r="F44" s="120" t="s">
        <v>526</v>
      </c>
      <c r="G44" s="120" t="s">
        <v>689</v>
      </c>
      <c r="H44" s="49">
        <v>4</v>
      </c>
      <c r="I44" s="50" t="s">
        <v>27</v>
      </c>
      <c r="J44" s="124" t="s">
        <v>544</v>
      </c>
      <c r="K44" s="50" t="s">
        <v>26</v>
      </c>
      <c r="L44" s="50" t="s">
        <v>519</v>
      </c>
      <c r="M44" s="56" t="s">
        <v>12</v>
      </c>
      <c r="N44" s="122" t="s">
        <v>612</v>
      </c>
      <c r="O44" s="57">
        <v>2</v>
      </c>
      <c r="P44" s="45">
        <v>181110</v>
      </c>
      <c r="Q44" s="58">
        <f t="shared" si="5"/>
        <v>362220</v>
      </c>
      <c r="R44" s="129" t="s">
        <v>684</v>
      </c>
      <c r="S44" s="19"/>
      <c r="T44" s="32"/>
      <c r="U44" s="32"/>
      <c r="V44" s="51">
        <f t="shared" si="1"/>
        <v>210087.59999999998</v>
      </c>
      <c r="W44" s="51">
        <f t="shared" si="2"/>
        <v>420175.19999999995</v>
      </c>
      <c r="X44" s="52">
        <f t="shared" si="3"/>
        <v>141.32</v>
      </c>
      <c r="Y44" s="53">
        <f t="shared" si="4"/>
        <v>282.64</v>
      </c>
      <c r="Z44" s="54"/>
      <c r="AA44" s="71"/>
      <c r="AB44" s="71"/>
      <c r="AC44" s="128"/>
      <c r="AD44" s="33"/>
      <c r="AE44" s="55"/>
    </row>
    <row r="45" spans="2:31" ht="20.100000000000001" hidden="1" customHeight="1">
      <c r="B45" s="48">
        <v>41</v>
      </c>
      <c r="C45" s="121" t="s">
        <v>348</v>
      </c>
      <c r="D45" s="120" t="s">
        <v>349</v>
      </c>
      <c r="E45" s="120">
        <v>2603</v>
      </c>
      <c r="F45" s="120" t="s">
        <v>526</v>
      </c>
      <c r="G45" s="120" t="s">
        <v>689</v>
      </c>
      <c r="H45" s="49">
        <v>4</v>
      </c>
      <c r="I45" s="50" t="s">
        <v>27</v>
      </c>
      <c r="J45" s="124" t="s">
        <v>545</v>
      </c>
      <c r="K45" s="50" t="s">
        <v>26</v>
      </c>
      <c r="L45" s="50" t="s">
        <v>519</v>
      </c>
      <c r="M45" s="56" t="s">
        <v>12</v>
      </c>
      <c r="N45" s="122" t="s">
        <v>612</v>
      </c>
      <c r="O45" s="57">
        <v>4</v>
      </c>
      <c r="P45" s="45">
        <v>187160</v>
      </c>
      <c r="Q45" s="58">
        <f t="shared" si="5"/>
        <v>748640</v>
      </c>
      <c r="R45" s="129" t="s">
        <v>684</v>
      </c>
      <c r="S45" s="19"/>
      <c r="T45" s="32"/>
      <c r="U45" s="32"/>
      <c r="V45" s="51">
        <f t="shared" si="1"/>
        <v>217105.59999999998</v>
      </c>
      <c r="W45" s="51">
        <f t="shared" si="2"/>
        <v>868422.39999999991</v>
      </c>
      <c r="X45" s="52">
        <f t="shared" si="3"/>
        <v>146.04</v>
      </c>
      <c r="Y45" s="53">
        <f t="shared" si="4"/>
        <v>584.16</v>
      </c>
      <c r="Z45" s="54"/>
      <c r="AA45" s="71"/>
      <c r="AB45" s="71"/>
      <c r="AC45" s="128"/>
      <c r="AD45" s="33"/>
      <c r="AE45" s="55"/>
    </row>
    <row r="46" spans="2:31" ht="20.100000000000001" hidden="1" customHeight="1">
      <c r="B46" s="48">
        <v>42</v>
      </c>
      <c r="C46" s="121" t="s">
        <v>348</v>
      </c>
      <c r="D46" s="120" t="s">
        <v>349</v>
      </c>
      <c r="E46" s="120">
        <v>2603</v>
      </c>
      <c r="F46" s="120" t="s">
        <v>526</v>
      </c>
      <c r="G46" s="120" t="s">
        <v>689</v>
      </c>
      <c r="H46" s="49">
        <v>4</v>
      </c>
      <c r="I46" s="50" t="s">
        <v>33</v>
      </c>
      <c r="J46" s="124" t="s">
        <v>188</v>
      </c>
      <c r="K46" s="50" t="s">
        <v>26</v>
      </c>
      <c r="L46" s="50" t="s">
        <v>519</v>
      </c>
      <c r="M46" s="56" t="s">
        <v>12</v>
      </c>
      <c r="N46" s="122" t="s">
        <v>612</v>
      </c>
      <c r="O46" s="57">
        <v>16</v>
      </c>
      <c r="P46" s="45">
        <v>7740</v>
      </c>
      <c r="Q46" s="58">
        <f t="shared" si="5"/>
        <v>123840</v>
      </c>
      <c r="R46" s="129" t="s">
        <v>684</v>
      </c>
      <c r="S46" s="19"/>
      <c r="T46" s="32"/>
      <c r="U46" s="32"/>
      <c r="V46" s="51">
        <f t="shared" si="1"/>
        <v>8978.4</v>
      </c>
      <c r="W46" s="51">
        <f t="shared" si="2"/>
        <v>143654.39999999999</v>
      </c>
      <c r="X46" s="52">
        <f t="shared" si="3"/>
        <v>6.04</v>
      </c>
      <c r="Y46" s="53">
        <f t="shared" si="4"/>
        <v>96.64</v>
      </c>
      <c r="Z46" s="54"/>
      <c r="AA46" s="71"/>
      <c r="AB46" s="71"/>
      <c r="AC46" s="128"/>
      <c r="AD46" s="33"/>
      <c r="AE46" s="55"/>
    </row>
    <row r="47" spans="2:31" ht="20.100000000000001" hidden="1" customHeight="1">
      <c r="B47" s="48">
        <v>43</v>
      </c>
      <c r="C47" s="121" t="s">
        <v>348</v>
      </c>
      <c r="D47" s="120" t="s">
        <v>349</v>
      </c>
      <c r="E47" s="120">
        <v>2603</v>
      </c>
      <c r="F47" s="120" t="s">
        <v>526</v>
      </c>
      <c r="G47" s="120" t="s">
        <v>689</v>
      </c>
      <c r="H47" s="49">
        <v>4</v>
      </c>
      <c r="I47" s="50" t="s">
        <v>27</v>
      </c>
      <c r="J47" s="124" t="s">
        <v>546</v>
      </c>
      <c r="K47" s="50" t="s">
        <v>26</v>
      </c>
      <c r="L47" s="50" t="s">
        <v>519</v>
      </c>
      <c r="M47" s="56" t="s">
        <v>12</v>
      </c>
      <c r="N47" s="122" t="s">
        <v>612</v>
      </c>
      <c r="O47" s="57">
        <v>4</v>
      </c>
      <c r="P47" s="45">
        <v>109750</v>
      </c>
      <c r="Q47" s="58">
        <f t="shared" si="5"/>
        <v>439000</v>
      </c>
      <c r="R47" s="129" t="s">
        <v>684</v>
      </c>
      <c r="S47" s="19"/>
      <c r="T47" s="32"/>
      <c r="U47" s="32"/>
      <c r="V47" s="51">
        <f t="shared" si="1"/>
        <v>127309.99999999999</v>
      </c>
      <c r="W47" s="51">
        <f t="shared" si="2"/>
        <v>509239.99999999994</v>
      </c>
      <c r="X47" s="52">
        <f t="shared" si="3"/>
        <v>85.64</v>
      </c>
      <c r="Y47" s="53">
        <f t="shared" si="4"/>
        <v>342.56</v>
      </c>
      <c r="Z47" s="54"/>
      <c r="AA47" s="71"/>
      <c r="AB47" s="71"/>
      <c r="AC47" s="128"/>
      <c r="AD47" s="33"/>
      <c r="AE47" s="55"/>
    </row>
    <row r="48" spans="2:31" ht="20.100000000000001" hidden="1" customHeight="1">
      <c r="B48" s="48">
        <v>44</v>
      </c>
      <c r="C48" s="121" t="s">
        <v>348</v>
      </c>
      <c r="D48" s="120" t="s">
        <v>349</v>
      </c>
      <c r="E48" s="120">
        <v>2603</v>
      </c>
      <c r="F48" s="120" t="s">
        <v>526</v>
      </c>
      <c r="G48" s="120" t="s">
        <v>689</v>
      </c>
      <c r="H48" s="49">
        <v>4</v>
      </c>
      <c r="I48" s="50" t="s">
        <v>28</v>
      </c>
      <c r="J48" s="124" t="s">
        <v>547</v>
      </c>
      <c r="K48" s="50" t="s">
        <v>26</v>
      </c>
      <c r="L48" s="50" t="s">
        <v>519</v>
      </c>
      <c r="M48" s="56" t="s">
        <v>12</v>
      </c>
      <c r="N48" s="122" t="s">
        <v>612</v>
      </c>
      <c r="O48" s="57">
        <v>10</v>
      </c>
      <c r="P48" s="45">
        <v>2870</v>
      </c>
      <c r="Q48" s="58">
        <f t="shared" si="5"/>
        <v>28700</v>
      </c>
      <c r="R48" s="129" t="s">
        <v>684</v>
      </c>
      <c r="S48" s="19"/>
      <c r="T48" s="32"/>
      <c r="U48" s="32"/>
      <c r="V48" s="51">
        <f t="shared" si="1"/>
        <v>3329.2</v>
      </c>
      <c r="W48" s="51">
        <f t="shared" si="2"/>
        <v>33292</v>
      </c>
      <c r="X48" s="52">
        <f t="shared" si="3"/>
        <v>2.2400000000000002</v>
      </c>
      <c r="Y48" s="53">
        <f t="shared" si="4"/>
        <v>22.400000000000002</v>
      </c>
      <c r="Z48" s="54"/>
      <c r="AA48" s="71"/>
      <c r="AB48" s="71"/>
      <c r="AC48" s="128"/>
      <c r="AD48" s="33"/>
      <c r="AE48" s="55"/>
    </row>
    <row r="49" spans="2:31" ht="20.100000000000001" hidden="1" customHeight="1">
      <c r="B49" s="48">
        <v>45</v>
      </c>
      <c r="C49" s="121" t="s">
        <v>348</v>
      </c>
      <c r="D49" s="120" t="s">
        <v>349</v>
      </c>
      <c r="E49" s="120">
        <v>2603</v>
      </c>
      <c r="F49" s="120" t="s">
        <v>526</v>
      </c>
      <c r="G49" s="120" t="s">
        <v>689</v>
      </c>
      <c r="H49" s="49">
        <v>4</v>
      </c>
      <c r="I49" s="50" t="s">
        <v>28</v>
      </c>
      <c r="J49" s="124" t="s">
        <v>548</v>
      </c>
      <c r="K49" s="50" t="s">
        <v>26</v>
      </c>
      <c r="L49" s="50" t="s">
        <v>519</v>
      </c>
      <c r="M49" s="56" t="s">
        <v>12</v>
      </c>
      <c r="N49" s="122" t="s">
        <v>612</v>
      </c>
      <c r="O49" s="57">
        <v>8</v>
      </c>
      <c r="P49" s="45">
        <v>1430</v>
      </c>
      <c r="Q49" s="58">
        <f t="shared" si="5"/>
        <v>11440</v>
      </c>
      <c r="R49" s="129" t="s">
        <v>684</v>
      </c>
      <c r="S49" s="19"/>
      <c r="T49" s="32"/>
      <c r="U49" s="32"/>
      <c r="V49" s="51">
        <f t="shared" si="1"/>
        <v>1658.8</v>
      </c>
      <c r="W49" s="51">
        <f t="shared" si="2"/>
        <v>13270.4</v>
      </c>
      <c r="X49" s="52">
        <f t="shared" si="3"/>
        <v>1.1200000000000001</v>
      </c>
      <c r="Y49" s="53">
        <f t="shared" si="4"/>
        <v>8.9600000000000009</v>
      </c>
      <c r="Z49" s="54"/>
      <c r="AA49" s="71"/>
      <c r="AB49" s="71"/>
      <c r="AC49" s="128"/>
      <c r="AD49" s="33"/>
      <c r="AE49" s="55"/>
    </row>
    <row r="50" spans="2:31" ht="20.100000000000001" hidden="1" customHeight="1">
      <c r="B50" s="48">
        <v>46</v>
      </c>
      <c r="C50" s="121" t="s">
        <v>348</v>
      </c>
      <c r="D50" s="120" t="s">
        <v>349</v>
      </c>
      <c r="E50" s="120">
        <v>2603</v>
      </c>
      <c r="F50" s="120" t="s">
        <v>526</v>
      </c>
      <c r="G50" s="120" t="s">
        <v>689</v>
      </c>
      <c r="H50" s="49">
        <v>4</v>
      </c>
      <c r="I50" s="50" t="s">
        <v>27</v>
      </c>
      <c r="J50" s="124" t="s">
        <v>657</v>
      </c>
      <c r="K50" s="50" t="s">
        <v>26</v>
      </c>
      <c r="L50" s="50" t="s">
        <v>519</v>
      </c>
      <c r="M50" s="56" t="s">
        <v>12</v>
      </c>
      <c r="N50" s="122" t="s">
        <v>612</v>
      </c>
      <c r="O50" s="57">
        <v>2</v>
      </c>
      <c r="P50" s="45">
        <v>86780</v>
      </c>
      <c r="Q50" s="58">
        <f t="shared" si="5"/>
        <v>173560</v>
      </c>
      <c r="R50" s="129" t="s">
        <v>684</v>
      </c>
      <c r="S50" s="19"/>
      <c r="T50" s="32"/>
      <c r="U50" s="32"/>
      <c r="V50" s="51">
        <f t="shared" si="1"/>
        <v>100664.79999999999</v>
      </c>
      <c r="W50" s="51">
        <f t="shared" si="2"/>
        <v>201329.59999999998</v>
      </c>
      <c r="X50" s="52">
        <f t="shared" si="3"/>
        <v>67.709999999999994</v>
      </c>
      <c r="Y50" s="53">
        <f t="shared" si="4"/>
        <v>135.41999999999999</v>
      </c>
      <c r="Z50" s="54"/>
      <c r="AA50" s="71"/>
      <c r="AB50" s="71"/>
      <c r="AC50" s="128"/>
      <c r="AD50" s="33"/>
      <c r="AE50" s="55"/>
    </row>
    <row r="51" spans="2:31" ht="20.100000000000001" hidden="1" customHeight="1">
      <c r="B51" s="48">
        <v>47</v>
      </c>
      <c r="C51" s="121" t="s">
        <v>348</v>
      </c>
      <c r="D51" s="120" t="s">
        <v>349</v>
      </c>
      <c r="E51" s="120">
        <v>2603</v>
      </c>
      <c r="F51" s="120" t="s">
        <v>526</v>
      </c>
      <c r="G51" s="120" t="s">
        <v>689</v>
      </c>
      <c r="H51" s="49">
        <v>4</v>
      </c>
      <c r="I51" s="50" t="s">
        <v>140</v>
      </c>
      <c r="J51" s="124" t="s">
        <v>189</v>
      </c>
      <c r="K51" s="50" t="s">
        <v>26</v>
      </c>
      <c r="L51" s="50" t="s">
        <v>519</v>
      </c>
      <c r="M51" s="56" t="s">
        <v>12</v>
      </c>
      <c r="N51" s="122" t="s">
        <v>612</v>
      </c>
      <c r="O51" s="57">
        <v>32</v>
      </c>
      <c r="P51" s="45">
        <v>3600</v>
      </c>
      <c r="Q51" s="58">
        <f t="shared" si="5"/>
        <v>115200</v>
      </c>
      <c r="R51" s="129" t="s">
        <v>684</v>
      </c>
      <c r="S51" s="19"/>
      <c r="T51" s="32"/>
      <c r="U51" s="32"/>
      <c r="V51" s="51">
        <f t="shared" si="1"/>
        <v>4176</v>
      </c>
      <c r="W51" s="51">
        <f t="shared" si="2"/>
        <v>133632</v>
      </c>
      <c r="X51" s="52">
        <f t="shared" si="3"/>
        <v>2.81</v>
      </c>
      <c r="Y51" s="53">
        <f t="shared" si="4"/>
        <v>89.92</v>
      </c>
      <c r="Z51" s="54"/>
      <c r="AA51" s="71"/>
      <c r="AB51" s="71"/>
      <c r="AC51" s="128"/>
      <c r="AD51" s="33"/>
      <c r="AE51" s="55"/>
    </row>
    <row r="52" spans="2:31" ht="20.100000000000001" hidden="1" customHeight="1">
      <c r="B52" s="48">
        <v>48</v>
      </c>
      <c r="C52" s="121" t="s">
        <v>348</v>
      </c>
      <c r="D52" s="120" t="s">
        <v>349</v>
      </c>
      <c r="E52" s="120">
        <v>2603</v>
      </c>
      <c r="F52" s="120" t="s">
        <v>526</v>
      </c>
      <c r="G52" s="120" t="s">
        <v>689</v>
      </c>
      <c r="H52" s="49">
        <v>4</v>
      </c>
      <c r="I52" s="50" t="s">
        <v>33</v>
      </c>
      <c r="J52" s="124" t="s">
        <v>549</v>
      </c>
      <c r="K52" s="50" t="s">
        <v>26</v>
      </c>
      <c r="L52" s="50" t="s">
        <v>519</v>
      </c>
      <c r="M52" s="56" t="s">
        <v>12</v>
      </c>
      <c r="N52" s="122" t="s">
        <v>612</v>
      </c>
      <c r="O52" s="57">
        <v>8</v>
      </c>
      <c r="P52" s="45">
        <v>5040</v>
      </c>
      <c r="Q52" s="58">
        <f t="shared" si="5"/>
        <v>40320</v>
      </c>
      <c r="R52" s="129" t="s">
        <v>684</v>
      </c>
      <c r="S52" s="19"/>
      <c r="T52" s="32"/>
      <c r="U52" s="32"/>
      <c r="V52" s="51">
        <f t="shared" si="1"/>
        <v>5846.4</v>
      </c>
      <c r="W52" s="51">
        <f t="shared" si="2"/>
        <v>46771.199999999997</v>
      </c>
      <c r="X52" s="52">
        <f t="shared" si="3"/>
        <v>3.93</v>
      </c>
      <c r="Y52" s="53">
        <f t="shared" si="4"/>
        <v>31.44</v>
      </c>
      <c r="Z52" s="54"/>
      <c r="AA52" s="71"/>
      <c r="AB52" s="71"/>
      <c r="AC52" s="128"/>
      <c r="AD52" s="33"/>
      <c r="AE52" s="55"/>
    </row>
    <row r="53" spans="2:31" ht="20.100000000000001" hidden="1" customHeight="1">
      <c r="B53" s="48">
        <v>49</v>
      </c>
      <c r="C53" s="121" t="s">
        <v>348</v>
      </c>
      <c r="D53" s="120" t="s">
        <v>349</v>
      </c>
      <c r="E53" s="120">
        <v>2603</v>
      </c>
      <c r="F53" s="120" t="s">
        <v>526</v>
      </c>
      <c r="G53" s="120" t="s">
        <v>689</v>
      </c>
      <c r="H53" s="49">
        <v>4</v>
      </c>
      <c r="I53" s="50" t="s">
        <v>28</v>
      </c>
      <c r="J53" s="124" t="s">
        <v>656</v>
      </c>
      <c r="K53" s="50" t="s">
        <v>26</v>
      </c>
      <c r="L53" s="50" t="s">
        <v>519</v>
      </c>
      <c r="M53" s="56" t="s">
        <v>12</v>
      </c>
      <c r="N53" s="122" t="s">
        <v>612</v>
      </c>
      <c r="O53" s="57">
        <v>2</v>
      </c>
      <c r="P53" s="45">
        <v>2160</v>
      </c>
      <c r="Q53" s="58">
        <f t="shared" si="5"/>
        <v>4320</v>
      </c>
      <c r="R53" s="129" t="s">
        <v>684</v>
      </c>
      <c r="S53" s="19"/>
      <c r="T53" s="32"/>
      <c r="U53" s="32"/>
      <c r="V53" s="51">
        <f t="shared" si="1"/>
        <v>2505.6</v>
      </c>
      <c r="W53" s="51">
        <f t="shared" si="2"/>
        <v>5011.2</v>
      </c>
      <c r="X53" s="52">
        <f t="shared" si="3"/>
        <v>1.69</v>
      </c>
      <c r="Y53" s="53">
        <f t="shared" si="4"/>
        <v>3.38</v>
      </c>
      <c r="Z53" s="54"/>
      <c r="AA53" s="71"/>
      <c r="AB53" s="71"/>
      <c r="AC53" s="128"/>
      <c r="AD53" s="33"/>
      <c r="AE53" s="55"/>
    </row>
    <row r="54" spans="2:31" ht="20.100000000000001" hidden="1" customHeight="1">
      <c r="B54" s="48">
        <v>50</v>
      </c>
      <c r="C54" s="121" t="s">
        <v>348</v>
      </c>
      <c r="D54" s="120" t="s">
        <v>349</v>
      </c>
      <c r="E54" s="120">
        <v>2603</v>
      </c>
      <c r="F54" s="120" t="s">
        <v>526</v>
      </c>
      <c r="G54" s="120" t="s">
        <v>689</v>
      </c>
      <c r="H54" s="49">
        <v>4</v>
      </c>
      <c r="I54" s="50" t="s">
        <v>27</v>
      </c>
      <c r="J54" s="124" t="s">
        <v>550</v>
      </c>
      <c r="K54" s="50" t="s">
        <v>26</v>
      </c>
      <c r="L54" s="50" t="s">
        <v>519</v>
      </c>
      <c r="M54" s="56" t="s">
        <v>12</v>
      </c>
      <c r="N54" s="122" t="s">
        <v>612</v>
      </c>
      <c r="O54" s="57">
        <v>2</v>
      </c>
      <c r="P54" s="45">
        <v>260280</v>
      </c>
      <c r="Q54" s="58">
        <f t="shared" si="5"/>
        <v>520560</v>
      </c>
      <c r="R54" s="129" t="s">
        <v>684</v>
      </c>
      <c r="S54" s="19"/>
      <c r="T54" s="32"/>
      <c r="U54" s="32"/>
      <c r="V54" s="51">
        <f t="shared" si="1"/>
        <v>301924.8</v>
      </c>
      <c r="W54" s="51">
        <f t="shared" si="2"/>
        <v>603849.6</v>
      </c>
      <c r="X54" s="52">
        <f t="shared" si="3"/>
        <v>203.09</v>
      </c>
      <c r="Y54" s="53">
        <f t="shared" si="4"/>
        <v>406.18</v>
      </c>
      <c r="Z54" s="54"/>
      <c r="AA54" s="71"/>
      <c r="AB54" s="71"/>
      <c r="AC54" s="128"/>
      <c r="AD54" s="33"/>
      <c r="AE54" s="55"/>
    </row>
    <row r="55" spans="2:31" ht="20.100000000000001" hidden="1" customHeight="1">
      <c r="B55" s="48">
        <v>51</v>
      </c>
      <c r="C55" s="121" t="s">
        <v>348</v>
      </c>
      <c r="D55" s="120" t="s">
        <v>349</v>
      </c>
      <c r="E55" s="120">
        <v>2603</v>
      </c>
      <c r="F55" s="120" t="s">
        <v>526</v>
      </c>
      <c r="G55" s="120" t="s">
        <v>689</v>
      </c>
      <c r="H55" s="49">
        <v>4</v>
      </c>
      <c r="I55" s="50" t="s">
        <v>27</v>
      </c>
      <c r="J55" s="124" t="s">
        <v>615</v>
      </c>
      <c r="K55" s="50" t="s">
        <v>26</v>
      </c>
      <c r="L55" s="50" t="s">
        <v>519</v>
      </c>
      <c r="M55" s="56" t="s">
        <v>12</v>
      </c>
      <c r="N55" s="122" t="s">
        <v>612</v>
      </c>
      <c r="O55" s="57">
        <v>2</v>
      </c>
      <c r="P55" s="45">
        <v>201660</v>
      </c>
      <c r="Q55" s="58">
        <f t="shared" si="5"/>
        <v>403320</v>
      </c>
      <c r="R55" s="129" t="s">
        <v>684</v>
      </c>
      <c r="S55" s="19"/>
      <c r="T55" s="32"/>
      <c r="U55" s="32"/>
      <c r="V55" s="51">
        <f t="shared" si="1"/>
        <v>233925.59999999998</v>
      </c>
      <c r="W55" s="51">
        <f t="shared" si="2"/>
        <v>467851.19999999995</v>
      </c>
      <c r="X55" s="52">
        <f t="shared" si="3"/>
        <v>157.35</v>
      </c>
      <c r="Y55" s="53">
        <f t="shared" si="4"/>
        <v>314.7</v>
      </c>
      <c r="Z55" s="54"/>
      <c r="AA55" s="71"/>
      <c r="AB55" s="71"/>
      <c r="AC55" s="128"/>
      <c r="AD55" s="33"/>
      <c r="AE55" s="55"/>
    </row>
    <row r="56" spans="2:31" ht="20.100000000000001" hidden="1" customHeight="1">
      <c r="B56" s="48">
        <v>52</v>
      </c>
      <c r="C56" s="121" t="s">
        <v>348</v>
      </c>
      <c r="D56" s="120" t="s">
        <v>349</v>
      </c>
      <c r="E56" s="120">
        <v>2603</v>
      </c>
      <c r="F56" s="120" t="s">
        <v>526</v>
      </c>
      <c r="G56" s="120" t="s">
        <v>689</v>
      </c>
      <c r="H56" s="49">
        <v>4</v>
      </c>
      <c r="I56" s="50" t="s">
        <v>27</v>
      </c>
      <c r="J56" s="124" t="s">
        <v>553</v>
      </c>
      <c r="K56" s="50" t="s">
        <v>26</v>
      </c>
      <c r="L56" s="50" t="s">
        <v>519</v>
      </c>
      <c r="M56" s="56" t="s">
        <v>12</v>
      </c>
      <c r="N56" s="122" t="s">
        <v>612</v>
      </c>
      <c r="O56" s="57">
        <v>4</v>
      </c>
      <c r="P56" s="45">
        <v>45390</v>
      </c>
      <c r="Q56" s="58">
        <f t="shared" si="5"/>
        <v>181560</v>
      </c>
      <c r="R56" s="129" t="s">
        <v>684</v>
      </c>
      <c r="S56" s="19"/>
      <c r="T56" s="32"/>
      <c r="U56" s="32"/>
      <c r="V56" s="51">
        <f t="shared" si="1"/>
        <v>52652.399999999994</v>
      </c>
      <c r="W56" s="51">
        <f t="shared" si="2"/>
        <v>210609.59999999998</v>
      </c>
      <c r="X56" s="52">
        <f t="shared" si="3"/>
        <v>35.42</v>
      </c>
      <c r="Y56" s="53">
        <f t="shared" si="4"/>
        <v>141.68</v>
      </c>
      <c r="Z56" s="54"/>
      <c r="AA56" s="71"/>
      <c r="AB56" s="71"/>
      <c r="AC56" s="128"/>
      <c r="AD56" s="33"/>
      <c r="AE56" s="55"/>
    </row>
    <row r="57" spans="2:31" ht="20.100000000000001" hidden="1" customHeight="1">
      <c r="B57" s="48">
        <v>53</v>
      </c>
      <c r="C57" s="121" t="s">
        <v>348</v>
      </c>
      <c r="D57" s="120" t="s">
        <v>349</v>
      </c>
      <c r="E57" s="120">
        <v>2603</v>
      </c>
      <c r="F57" s="120" t="s">
        <v>526</v>
      </c>
      <c r="G57" s="120" t="s">
        <v>689</v>
      </c>
      <c r="H57" s="49">
        <v>4</v>
      </c>
      <c r="I57" s="50" t="s">
        <v>554</v>
      </c>
      <c r="J57" s="124" t="s">
        <v>655</v>
      </c>
      <c r="K57" s="50" t="s">
        <v>26</v>
      </c>
      <c r="L57" s="50" t="s">
        <v>519</v>
      </c>
      <c r="M57" s="56" t="s">
        <v>12</v>
      </c>
      <c r="N57" s="122" t="s">
        <v>612</v>
      </c>
      <c r="O57" s="57">
        <v>2</v>
      </c>
      <c r="P57" s="45">
        <v>17020</v>
      </c>
      <c r="Q57" s="58">
        <f t="shared" si="5"/>
        <v>34040</v>
      </c>
      <c r="R57" s="129" t="s">
        <v>684</v>
      </c>
      <c r="S57" s="19"/>
      <c r="T57" s="32"/>
      <c r="U57" s="32"/>
      <c r="V57" s="51">
        <f t="shared" si="1"/>
        <v>19743.199999999997</v>
      </c>
      <c r="W57" s="51">
        <f t="shared" si="2"/>
        <v>39486.399999999994</v>
      </c>
      <c r="X57" s="52">
        <f t="shared" si="3"/>
        <v>13.28</v>
      </c>
      <c r="Y57" s="53">
        <f t="shared" si="4"/>
        <v>26.56</v>
      </c>
      <c r="Z57" s="54"/>
      <c r="AA57" s="71"/>
      <c r="AB57" s="71"/>
      <c r="AC57" s="128"/>
      <c r="AD57" s="33"/>
      <c r="AE57" s="55"/>
    </row>
    <row r="58" spans="2:31" ht="20.100000000000001" hidden="1" customHeight="1">
      <c r="B58" s="48">
        <v>54</v>
      </c>
      <c r="C58" s="121" t="s">
        <v>348</v>
      </c>
      <c r="D58" s="120" t="s">
        <v>349</v>
      </c>
      <c r="E58" s="120">
        <v>2603</v>
      </c>
      <c r="F58" s="120" t="s">
        <v>526</v>
      </c>
      <c r="G58" s="120" t="s">
        <v>689</v>
      </c>
      <c r="H58" s="49">
        <v>4</v>
      </c>
      <c r="I58" s="50" t="s">
        <v>141</v>
      </c>
      <c r="J58" s="124" t="s">
        <v>654</v>
      </c>
      <c r="K58" s="50" t="s">
        <v>26</v>
      </c>
      <c r="L58" s="50" t="s">
        <v>519</v>
      </c>
      <c r="M58" s="56" t="s">
        <v>12</v>
      </c>
      <c r="N58" s="122" t="s">
        <v>612</v>
      </c>
      <c r="O58" s="57">
        <v>4</v>
      </c>
      <c r="P58" s="45">
        <v>32040</v>
      </c>
      <c r="Q58" s="58">
        <f t="shared" si="5"/>
        <v>128160</v>
      </c>
      <c r="R58" s="129" t="s">
        <v>684</v>
      </c>
      <c r="S58" s="19"/>
      <c r="T58" s="32"/>
      <c r="U58" s="32"/>
      <c r="V58" s="51">
        <f t="shared" si="1"/>
        <v>37166.399999999994</v>
      </c>
      <c r="W58" s="51">
        <f t="shared" si="2"/>
        <v>148665.59999999998</v>
      </c>
      <c r="X58" s="52">
        <f t="shared" si="3"/>
        <v>25</v>
      </c>
      <c r="Y58" s="53">
        <f t="shared" si="4"/>
        <v>100</v>
      </c>
      <c r="Z58" s="54"/>
      <c r="AA58" s="71"/>
      <c r="AB58" s="71"/>
      <c r="AC58" s="128"/>
      <c r="AD58" s="33"/>
      <c r="AE58" s="55"/>
    </row>
    <row r="59" spans="2:31" ht="20.100000000000001" hidden="1" customHeight="1">
      <c r="B59" s="48">
        <v>55</v>
      </c>
      <c r="C59" s="121" t="s">
        <v>348</v>
      </c>
      <c r="D59" s="120" t="s">
        <v>349</v>
      </c>
      <c r="E59" s="120">
        <v>2603</v>
      </c>
      <c r="F59" s="120" t="s">
        <v>526</v>
      </c>
      <c r="G59" s="120" t="s">
        <v>689</v>
      </c>
      <c r="H59" s="49">
        <v>4</v>
      </c>
      <c r="I59" s="50" t="s">
        <v>28</v>
      </c>
      <c r="J59" s="124" t="s">
        <v>653</v>
      </c>
      <c r="K59" s="50" t="s">
        <v>26</v>
      </c>
      <c r="L59" s="50" t="s">
        <v>519</v>
      </c>
      <c r="M59" s="56" t="s">
        <v>12</v>
      </c>
      <c r="N59" s="122" t="s">
        <v>612</v>
      </c>
      <c r="O59" s="57">
        <v>2</v>
      </c>
      <c r="P59" s="45">
        <v>7660</v>
      </c>
      <c r="Q59" s="58">
        <f t="shared" si="5"/>
        <v>15320</v>
      </c>
      <c r="R59" s="129" t="s">
        <v>684</v>
      </c>
      <c r="S59" s="19"/>
      <c r="T59" s="32"/>
      <c r="U59" s="32"/>
      <c r="V59" s="51">
        <f t="shared" si="1"/>
        <v>8885.5999999999985</v>
      </c>
      <c r="W59" s="51">
        <f t="shared" si="2"/>
        <v>17771.199999999997</v>
      </c>
      <c r="X59" s="52">
        <f t="shared" si="3"/>
        <v>5.98</v>
      </c>
      <c r="Y59" s="53">
        <f t="shared" si="4"/>
        <v>11.96</v>
      </c>
      <c r="Z59" s="54"/>
      <c r="AA59" s="71"/>
      <c r="AB59" s="71"/>
      <c r="AC59" s="128"/>
      <c r="AD59" s="33"/>
      <c r="AE59" s="55"/>
    </row>
    <row r="60" spans="2:31" ht="20.100000000000001" hidden="1" customHeight="1">
      <c r="B60" s="48">
        <v>56</v>
      </c>
      <c r="C60" s="121" t="s">
        <v>348</v>
      </c>
      <c r="D60" s="120" t="s">
        <v>349</v>
      </c>
      <c r="E60" s="120">
        <v>2603</v>
      </c>
      <c r="F60" s="120" t="s">
        <v>526</v>
      </c>
      <c r="G60" s="120" t="s">
        <v>689</v>
      </c>
      <c r="H60" s="49">
        <v>4</v>
      </c>
      <c r="I60" s="50" t="s">
        <v>40</v>
      </c>
      <c r="J60" s="124" t="s">
        <v>555</v>
      </c>
      <c r="K60" s="50" t="s">
        <v>26</v>
      </c>
      <c r="L60" s="50" t="s">
        <v>519</v>
      </c>
      <c r="M60" s="56" t="s">
        <v>12</v>
      </c>
      <c r="N60" s="122" t="s">
        <v>612</v>
      </c>
      <c r="O60" s="57">
        <v>8</v>
      </c>
      <c r="P60" s="45">
        <v>520</v>
      </c>
      <c r="Q60" s="58">
        <f t="shared" si="5"/>
        <v>4160</v>
      </c>
      <c r="R60" s="129" t="s">
        <v>684</v>
      </c>
      <c r="S60" s="19"/>
      <c r="T60" s="32"/>
      <c r="U60" s="32"/>
      <c r="V60" s="51">
        <f t="shared" si="1"/>
        <v>603.19999999999993</v>
      </c>
      <c r="W60" s="51">
        <f t="shared" si="2"/>
        <v>4825.5999999999995</v>
      </c>
      <c r="X60" s="52">
        <f t="shared" si="3"/>
        <v>0.41</v>
      </c>
      <c r="Y60" s="53">
        <f t="shared" si="4"/>
        <v>3.28</v>
      </c>
      <c r="Z60" s="54"/>
      <c r="AA60" s="71"/>
      <c r="AB60" s="71"/>
      <c r="AC60" s="128"/>
      <c r="AD60" s="33"/>
      <c r="AE60" s="55"/>
    </row>
    <row r="61" spans="2:31" ht="20.100000000000001" hidden="1" customHeight="1">
      <c r="B61" s="48">
        <v>57</v>
      </c>
      <c r="C61" s="121" t="s">
        <v>348</v>
      </c>
      <c r="D61" s="120" t="s">
        <v>349</v>
      </c>
      <c r="E61" s="120">
        <v>2603</v>
      </c>
      <c r="F61" s="120" t="s">
        <v>526</v>
      </c>
      <c r="G61" s="120" t="s">
        <v>689</v>
      </c>
      <c r="H61" s="49">
        <v>4</v>
      </c>
      <c r="I61" s="50" t="s">
        <v>140</v>
      </c>
      <c r="J61" s="124" t="s">
        <v>187</v>
      </c>
      <c r="K61" s="50" t="s">
        <v>26</v>
      </c>
      <c r="L61" s="50" t="s">
        <v>519</v>
      </c>
      <c r="M61" s="56" t="s">
        <v>12</v>
      </c>
      <c r="N61" s="122" t="s">
        <v>612</v>
      </c>
      <c r="O61" s="57">
        <v>16</v>
      </c>
      <c r="P61" s="45">
        <v>1670</v>
      </c>
      <c r="Q61" s="58">
        <f t="shared" si="5"/>
        <v>26720</v>
      </c>
      <c r="R61" s="129" t="s">
        <v>684</v>
      </c>
      <c r="S61" s="19"/>
      <c r="T61" s="32"/>
      <c r="U61" s="32"/>
      <c r="V61" s="51">
        <f t="shared" si="1"/>
        <v>1937.1999999999998</v>
      </c>
      <c r="W61" s="51">
        <f t="shared" si="2"/>
        <v>30995.199999999997</v>
      </c>
      <c r="X61" s="52">
        <f t="shared" si="3"/>
        <v>1.3</v>
      </c>
      <c r="Y61" s="53">
        <f t="shared" si="4"/>
        <v>20.8</v>
      </c>
      <c r="Z61" s="54"/>
      <c r="AA61" s="71"/>
      <c r="AB61" s="71"/>
      <c r="AC61" s="128"/>
      <c r="AD61" s="33"/>
      <c r="AE61" s="55"/>
    </row>
    <row r="62" spans="2:31" ht="20.100000000000001" hidden="1" customHeight="1">
      <c r="B62" s="48">
        <v>58</v>
      </c>
      <c r="C62" s="121" t="s">
        <v>348</v>
      </c>
      <c r="D62" s="120" t="s">
        <v>349</v>
      </c>
      <c r="E62" s="120">
        <v>2603</v>
      </c>
      <c r="F62" s="120" t="s">
        <v>526</v>
      </c>
      <c r="G62" s="120" t="s">
        <v>689</v>
      </c>
      <c r="H62" s="49">
        <v>4</v>
      </c>
      <c r="I62" s="50" t="s">
        <v>40</v>
      </c>
      <c r="J62" s="124" t="s">
        <v>652</v>
      </c>
      <c r="K62" s="50" t="s">
        <v>26</v>
      </c>
      <c r="L62" s="50" t="s">
        <v>519</v>
      </c>
      <c r="M62" s="56" t="s">
        <v>12</v>
      </c>
      <c r="N62" s="122" t="s">
        <v>612</v>
      </c>
      <c r="O62" s="57">
        <v>16</v>
      </c>
      <c r="P62" s="45">
        <v>300</v>
      </c>
      <c r="Q62" s="58">
        <f t="shared" si="5"/>
        <v>4800</v>
      </c>
      <c r="R62" s="129" t="s">
        <v>684</v>
      </c>
      <c r="S62" s="19"/>
      <c r="T62" s="32"/>
      <c r="U62" s="32"/>
      <c r="V62" s="51">
        <f t="shared" si="1"/>
        <v>348</v>
      </c>
      <c r="W62" s="51">
        <f t="shared" si="2"/>
        <v>5568</v>
      </c>
      <c r="X62" s="52">
        <f t="shared" si="3"/>
        <v>0.23</v>
      </c>
      <c r="Y62" s="53">
        <f t="shared" si="4"/>
        <v>3.68</v>
      </c>
      <c r="Z62" s="54"/>
      <c r="AA62" s="71"/>
      <c r="AB62" s="71"/>
      <c r="AC62" s="128"/>
      <c r="AD62" s="33"/>
      <c r="AE62" s="55"/>
    </row>
    <row r="63" spans="2:31" ht="20.100000000000001" hidden="1" customHeight="1">
      <c r="B63" s="48">
        <v>59</v>
      </c>
      <c r="C63" s="121" t="s">
        <v>348</v>
      </c>
      <c r="D63" s="120" t="s">
        <v>349</v>
      </c>
      <c r="E63" s="120">
        <v>2603</v>
      </c>
      <c r="F63" s="120" t="s">
        <v>526</v>
      </c>
      <c r="G63" s="120" t="s">
        <v>689</v>
      </c>
      <c r="H63" s="49">
        <v>4</v>
      </c>
      <c r="I63" s="50" t="s">
        <v>41</v>
      </c>
      <c r="J63" s="124" t="s">
        <v>557</v>
      </c>
      <c r="K63" s="50" t="s">
        <v>26</v>
      </c>
      <c r="L63" s="50" t="s">
        <v>519</v>
      </c>
      <c r="M63" s="56" t="s">
        <v>12</v>
      </c>
      <c r="N63" s="122" t="s">
        <v>612</v>
      </c>
      <c r="O63" s="57">
        <v>2</v>
      </c>
      <c r="P63" s="45">
        <v>14930</v>
      </c>
      <c r="Q63" s="58">
        <f t="shared" si="5"/>
        <v>29860</v>
      </c>
      <c r="R63" s="129" t="s">
        <v>684</v>
      </c>
      <c r="S63" s="19"/>
      <c r="T63" s="32"/>
      <c r="U63" s="32"/>
      <c r="V63" s="51">
        <f t="shared" si="1"/>
        <v>17318.8</v>
      </c>
      <c r="W63" s="51">
        <f t="shared" si="2"/>
        <v>34637.599999999999</v>
      </c>
      <c r="X63" s="52">
        <f t="shared" si="3"/>
        <v>11.65</v>
      </c>
      <c r="Y63" s="53">
        <f t="shared" si="4"/>
        <v>23.3</v>
      </c>
      <c r="Z63" s="54"/>
      <c r="AA63" s="71"/>
      <c r="AB63" s="71"/>
      <c r="AC63" s="128"/>
      <c r="AD63" s="33"/>
      <c r="AE63" s="55"/>
    </row>
    <row r="64" spans="2:31" ht="20.100000000000001" hidden="1" customHeight="1">
      <c r="B64" s="48">
        <v>60</v>
      </c>
      <c r="C64" s="121" t="s">
        <v>348</v>
      </c>
      <c r="D64" s="120" t="s">
        <v>349</v>
      </c>
      <c r="E64" s="120">
        <v>2603</v>
      </c>
      <c r="F64" s="120" t="s">
        <v>526</v>
      </c>
      <c r="G64" s="120" t="s">
        <v>689</v>
      </c>
      <c r="H64" s="49">
        <v>4</v>
      </c>
      <c r="I64" s="50" t="s">
        <v>41</v>
      </c>
      <c r="J64" s="124" t="s">
        <v>558</v>
      </c>
      <c r="K64" s="50" t="s">
        <v>26</v>
      </c>
      <c r="L64" s="50" t="s">
        <v>519</v>
      </c>
      <c r="M64" s="56" t="s">
        <v>12</v>
      </c>
      <c r="N64" s="122" t="s">
        <v>612</v>
      </c>
      <c r="O64" s="57">
        <v>2</v>
      </c>
      <c r="P64" s="45">
        <v>8210</v>
      </c>
      <c r="Q64" s="58">
        <f t="shared" si="5"/>
        <v>16420</v>
      </c>
      <c r="R64" s="129" t="s">
        <v>684</v>
      </c>
      <c r="S64" s="19"/>
      <c r="T64" s="32"/>
      <c r="U64" s="32"/>
      <c r="V64" s="51">
        <f t="shared" si="1"/>
        <v>9523.5999999999985</v>
      </c>
      <c r="W64" s="51">
        <f t="shared" si="2"/>
        <v>19047.199999999997</v>
      </c>
      <c r="X64" s="52">
        <f t="shared" si="3"/>
        <v>6.41</v>
      </c>
      <c r="Y64" s="53">
        <f t="shared" si="4"/>
        <v>12.82</v>
      </c>
      <c r="Z64" s="54"/>
      <c r="AA64" s="71"/>
      <c r="AB64" s="71"/>
      <c r="AC64" s="128"/>
      <c r="AD64" s="33"/>
      <c r="AE64" s="55"/>
    </row>
    <row r="65" spans="2:31" ht="20.100000000000001" hidden="1" customHeight="1">
      <c r="B65" s="48">
        <v>61</v>
      </c>
      <c r="C65" s="121" t="s">
        <v>348</v>
      </c>
      <c r="D65" s="120" t="s">
        <v>349</v>
      </c>
      <c r="E65" s="120">
        <v>2603</v>
      </c>
      <c r="F65" s="120" t="s">
        <v>526</v>
      </c>
      <c r="G65" s="120" t="s">
        <v>689</v>
      </c>
      <c r="H65" s="49">
        <v>4</v>
      </c>
      <c r="I65" s="50" t="s">
        <v>140</v>
      </c>
      <c r="J65" s="124" t="s">
        <v>556</v>
      </c>
      <c r="K65" s="50" t="s">
        <v>26</v>
      </c>
      <c r="L65" s="50" t="s">
        <v>519</v>
      </c>
      <c r="M65" s="56" t="s">
        <v>12</v>
      </c>
      <c r="N65" s="122" t="s">
        <v>612</v>
      </c>
      <c r="O65" s="57">
        <v>4</v>
      </c>
      <c r="P65" s="45">
        <v>2630</v>
      </c>
      <c r="Q65" s="58">
        <f t="shared" si="5"/>
        <v>10520</v>
      </c>
      <c r="R65" s="129" t="s">
        <v>684</v>
      </c>
      <c r="S65" s="19"/>
      <c r="T65" s="32"/>
      <c r="U65" s="32"/>
      <c r="V65" s="51">
        <f t="shared" si="1"/>
        <v>3050.7999999999997</v>
      </c>
      <c r="W65" s="51">
        <f t="shared" si="2"/>
        <v>12203.199999999999</v>
      </c>
      <c r="X65" s="52">
        <f t="shared" si="3"/>
        <v>2.0499999999999998</v>
      </c>
      <c r="Y65" s="53">
        <f t="shared" si="4"/>
        <v>8.1999999999999993</v>
      </c>
      <c r="Z65" s="54"/>
      <c r="AA65" s="71"/>
      <c r="AB65" s="71"/>
      <c r="AC65" s="128"/>
      <c r="AD65" s="33"/>
      <c r="AE65" s="55"/>
    </row>
    <row r="66" spans="2:31" ht="20.100000000000001" hidden="1" customHeight="1">
      <c r="B66" s="48">
        <v>62</v>
      </c>
      <c r="C66" s="121" t="s">
        <v>348</v>
      </c>
      <c r="D66" s="120" t="s">
        <v>349</v>
      </c>
      <c r="E66" s="120">
        <v>2603</v>
      </c>
      <c r="F66" s="120" t="s">
        <v>526</v>
      </c>
      <c r="G66" s="120" t="s">
        <v>689</v>
      </c>
      <c r="H66" s="49">
        <v>4</v>
      </c>
      <c r="I66" s="50" t="s">
        <v>40</v>
      </c>
      <c r="J66" s="124" t="s">
        <v>651</v>
      </c>
      <c r="K66" s="50" t="s">
        <v>26</v>
      </c>
      <c r="L66" s="50" t="s">
        <v>519</v>
      </c>
      <c r="M66" s="56" t="s">
        <v>12</v>
      </c>
      <c r="N66" s="122" t="s">
        <v>612</v>
      </c>
      <c r="O66" s="57">
        <v>6</v>
      </c>
      <c r="P66" s="45">
        <v>300</v>
      </c>
      <c r="Q66" s="58">
        <f t="shared" si="5"/>
        <v>1800</v>
      </c>
      <c r="R66" s="129" t="s">
        <v>684</v>
      </c>
      <c r="S66" s="19"/>
      <c r="T66" s="32"/>
      <c r="U66" s="32"/>
      <c r="V66" s="51">
        <f t="shared" si="1"/>
        <v>348</v>
      </c>
      <c r="W66" s="51">
        <f t="shared" si="2"/>
        <v>2088</v>
      </c>
      <c r="X66" s="52">
        <f t="shared" si="3"/>
        <v>0.23</v>
      </c>
      <c r="Y66" s="53">
        <f t="shared" si="4"/>
        <v>1.3800000000000001</v>
      </c>
      <c r="Z66" s="54"/>
      <c r="AA66" s="71"/>
      <c r="AB66" s="71"/>
      <c r="AC66" s="128"/>
      <c r="AD66" s="33"/>
      <c r="AE66" s="55"/>
    </row>
    <row r="67" spans="2:31" ht="20.100000000000001" hidden="1" customHeight="1">
      <c r="B67" s="48">
        <v>63</v>
      </c>
      <c r="C67" s="121" t="s">
        <v>348</v>
      </c>
      <c r="D67" s="120" t="s">
        <v>349</v>
      </c>
      <c r="E67" s="120">
        <v>2603</v>
      </c>
      <c r="F67" s="120" t="s">
        <v>526</v>
      </c>
      <c r="G67" s="120" t="s">
        <v>689</v>
      </c>
      <c r="H67" s="49">
        <v>4</v>
      </c>
      <c r="I67" s="50" t="s">
        <v>616</v>
      </c>
      <c r="J67" s="124" t="s">
        <v>32</v>
      </c>
      <c r="K67" s="50" t="s">
        <v>26</v>
      </c>
      <c r="L67" s="50" t="s">
        <v>519</v>
      </c>
      <c r="M67" s="56" t="s">
        <v>12</v>
      </c>
      <c r="N67" s="122" t="s">
        <v>612</v>
      </c>
      <c r="O67" s="57">
        <v>28</v>
      </c>
      <c r="P67" s="45">
        <v>26460</v>
      </c>
      <c r="Q67" s="58">
        <f t="shared" si="5"/>
        <v>740880</v>
      </c>
      <c r="R67" s="129" t="s">
        <v>684</v>
      </c>
      <c r="S67" s="19"/>
      <c r="T67" s="32"/>
      <c r="U67" s="32"/>
      <c r="V67" s="51">
        <f t="shared" si="1"/>
        <v>30693.599999999999</v>
      </c>
      <c r="W67" s="51">
        <f t="shared" si="2"/>
        <v>859420.79999999993</v>
      </c>
      <c r="X67" s="52">
        <f t="shared" si="3"/>
        <v>20.65</v>
      </c>
      <c r="Y67" s="53">
        <f t="shared" si="4"/>
        <v>578.19999999999993</v>
      </c>
      <c r="Z67" s="54"/>
      <c r="AA67" s="71"/>
      <c r="AB67" s="71"/>
      <c r="AC67" s="128"/>
      <c r="AD67" s="33"/>
      <c r="AE67" s="55"/>
    </row>
    <row r="68" spans="2:31" ht="20.100000000000001" hidden="1" customHeight="1">
      <c r="B68" s="48">
        <v>64</v>
      </c>
      <c r="C68" s="121" t="s">
        <v>348</v>
      </c>
      <c r="D68" s="120" t="s">
        <v>349</v>
      </c>
      <c r="E68" s="120">
        <v>2603</v>
      </c>
      <c r="F68" s="120" t="s">
        <v>526</v>
      </c>
      <c r="G68" s="120" t="s">
        <v>689</v>
      </c>
      <c r="H68" s="49">
        <v>4</v>
      </c>
      <c r="I68" s="50" t="s">
        <v>616</v>
      </c>
      <c r="J68" s="124" t="s">
        <v>559</v>
      </c>
      <c r="K68" s="50" t="s">
        <v>26</v>
      </c>
      <c r="L68" s="50" t="s">
        <v>519</v>
      </c>
      <c r="M68" s="56" t="s">
        <v>12</v>
      </c>
      <c r="N68" s="122" t="s">
        <v>612</v>
      </c>
      <c r="O68" s="57">
        <v>4</v>
      </c>
      <c r="P68" s="45">
        <v>26460</v>
      </c>
      <c r="Q68" s="58">
        <f t="shared" si="5"/>
        <v>105840</v>
      </c>
      <c r="R68" s="129" t="s">
        <v>684</v>
      </c>
      <c r="S68" s="19"/>
      <c r="T68" s="32"/>
      <c r="U68" s="32"/>
      <c r="V68" s="51">
        <f t="shared" si="1"/>
        <v>30693.599999999999</v>
      </c>
      <c r="W68" s="51">
        <f t="shared" si="2"/>
        <v>122774.39999999999</v>
      </c>
      <c r="X68" s="52">
        <f t="shared" si="3"/>
        <v>20.65</v>
      </c>
      <c r="Y68" s="53">
        <f t="shared" si="4"/>
        <v>82.6</v>
      </c>
      <c r="Z68" s="54"/>
      <c r="AA68" s="71"/>
      <c r="AB68" s="71"/>
      <c r="AC68" s="128"/>
      <c r="AD68" s="33"/>
      <c r="AE68" s="55"/>
    </row>
    <row r="69" spans="2:31" ht="20.100000000000001" hidden="1" customHeight="1">
      <c r="B69" s="48">
        <v>65</v>
      </c>
      <c r="C69" s="121" t="s">
        <v>348</v>
      </c>
      <c r="D69" s="120" t="s">
        <v>349</v>
      </c>
      <c r="E69" s="120">
        <v>2603</v>
      </c>
      <c r="F69" s="120" t="s">
        <v>526</v>
      </c>
      <c r="G69" s="120" t="s">
        <v>689</v>
      </c>
      <c r="H69" s="49">
        <v>4</v>
      </c>
      <c r="I69" s="50" t="s">
        <v>616</v>
      </c>
      <c r="J69" s="124" t="s">
        <v>560</v>
      </c>
      <c r="K69" s="50" t="s">
        <v>26</v>
      </c>
      <c r="L69" s="50" t="s">
        <v>519</v>
      </c>
      <c r="M69" s="56" t="s">
        <v>12</v>
      </c>
      <c r="N69" s="122" t="s">
        <v>612</v>
      </c>
      <c r="O69" s="57">
        <v>4</v>
      </c>
      <c r="P69" s="45">
        <v>30580</v>
      </c>
      <c r="Q69" s="58">
        <f t="shared" ref="Q69:Q98" si="6">O69*P69</f>
        <v>122320</v>
      </c>
      <c r="R69" s="129" t="s">
        <v>684</v>
      </c>
      <c r="S69" s="19"/>
      <c r="T69" s="32"/>
      <c r="U69" s="32"/>
      <c r="V69" s="51">
        <f t="shared" si="1"/>
        <v>35472.799999999996</v>
      </c>
      <c r="W69" s="51">
        <f t="shared" si="2"/>
        <v>141891.19999999998</v>
      </c>
      <c r="X69" s="52">
        <f t="shared" si="3"/>
        <v>23.86</v>
      </c>
      <c r="Y69" s="53">
        <f t="shared" si="4"/>
        <v>95.44</v>
      </c>
      <c r="Z69" s="54"/>
      <c r="AA69" s="71"/>
      <c r="AB69" s="71"/>
      <c r="AC69" s="128"/>
      <c r="AD69" s="33"/>
      <c r="AE69" s="55"/>
    </row>
    <row r="70" spans="2:31" ht="20.100000000000001" hidden="1" customHeight="1">
      <c r="B70" s="48">
        <v>66</v>
      </c>
      <c r="C70" s="121" t="s">
        <v>348</v>
      </c>
      <c r="D70" s="120" t="s">
        <v>349</v>
      </c>
      <c r="E70" s="120">
        <v>2603</v>
      </c>
      <c r="F70" s="120" t="s">
        <v>526</v>
      </c>
      <c r="G70" s="120" t="s">
        <v>689</v>
      </c>
      <c r="H70" s="49">
        <v>4</v>
      </c>
      <c r="I70" s="50" t="s">
        <v>41</v>
      </c>
      <c r="J70" s="124" t="s">
        <v>193</v>
      </c>
      <c r="K70" s="50" t="s">
        <v>26</v>
      </c>
      <c r="L70" s="50" t="s">
        <v>519</v>
      </c>
      <c r="M70" s="56" t="s">
        <v>12</v>
      </c>
      <c r="N70" s="122" t="s">
        <v>612</v>
      </c>
      <c r="O70" s="57">
        <v>2</v>
      </c>
      <c r="P70" s="45">
        <v>11530</v>
      </c>
      <c r="Q70" s="58">
        <f t="shared" si="6"/>
        <v>23060</v>
      </c>
      <c r="R70" s="129" t="s">
        <v>684</v>
      </c>
      <c r="S70" s="19"/>
      <c r="T70" s="32"/>
      <c r="U70" s="32"/>
      <c r="V70" s="51">
        <f t="shared" ref="V70:V133" si="7">++P70*(1+$V$3)</f>
        <v>13374.8</v>
      </c>
      <c r="W70" s="51">
        <f t="shared" ref="W70:W133" si="8">++O70*V70</f>
        <v>26749.599999999999</v>
      </c>
      <c r="X70" s="52">
        <f t="shared" ref="X70:X133" si="9">++ROUND(V70/$X$3,2)</f>
        <v>9</v>
      </c>
      <c r="Y70" s="53">
        <f t="shared" ref="Y70:Y133" si="10">++O70*X70</f>
        <v>18</v>
      </c>
      <c r="Z70" s="54"/>
      <c r="AA70" s="71"/>
      <c r="AB70" s="71"/>
      <c r="AC70" s="128"/>
      <c r="AD70" s="33"/>
      <c r="AE70" s="55"/>
    </row>
    <row r="71" spans="2:31" ht="20.100000000000001" hidden="1" customHeight="1">
      <c r="B71" s="48">
        <v>67</v>
      </c>
      <c r="C71" s="121" t="s">
        <v>348</v>
      </c>
      <c r="D71" s="120" t="s">
        <v>349</v>
      </c>
      <c r="E71" s="120">
        <v>2603</v>
      </c>
      <c r="F71" s="120" t="s">
        <v>526</v>
      </c>
      <c r="G71" s="120" t="s">
        <v>689</v>
      </c>
      <c r="H71" s="49">
        <v>4</v>
      </c>
      <c r="I71" s="50" t="s">
        <v>41</v>
      </c>
      <c r="J71" s="124" t="s">
        <v>561</v>
      </c>
      <c r="K71" s="50" t="s">
        <v>26</v>
      </c>
      <c r="L71" s="50" t="s">
        <v>519</v>
      </c>
      <c r="M71" s="56" t="s">
        <v>12</v>
      </c>
      <c r="N71" s="122" t="s">
        <v>612</v>
      </c>
      <c r="O71" s="57">
        <v>4</v>
      </c>
      <c r="P71" s="45">
        <v>9980</v>
      </c>
      <c r="Q71" s="58">
        <f t="shared" si="6"/>
        <v>39920</v>
      </c>
      <c r="R71" s="129" t="s">
        <v>684</v>
      </c>
      <c r="S71" s="19"/>
      <c r="T71" s="32"/>
      <c r="U71" s="32"/>
      <c r="V71" s="51">
        <f t="shared" si="7"/>
        <v>11576.8</v>
      </c>
      <c r="W71" s="51">
        <f t="shared" si="8"/>
        <v>46307.199999999997</v>
      </c>
      <c r="X71" s="52">
        <f t="shared" si="9"/>
        <v>7.79</v>
      </c>
      <c r="Y71" s="53">
        <f t="shared" si="10"/>
        <v>31.16</v>
      </c>
      <c r="Z71" s="54"/>
      <c r="AA71" s="71"/>
      <c r="AB71" s="71"/>
      <c r="AC71" s="128"/>
      <c r="AD71" s="33"/>
      <c r="AE71" s="55"/>
    </row>
    <row r="72" spans="2:31" ht="20.100000000000001" hidden="1" customHeight="1">
      <c r="B72" s="48">
        <v>68</v>
      </c>
      <c r="C72" s="121" t="s">
        <v>348</v>
      </c>
      <c r="D72" s="120" t="s">
        <v>349</v>
      </c>
      <c r="E72" s="120">
        <v>2603</v>
      </c>
      <c r="F72" s="120" t="s">
        <v>526</v>
      </c>
      <c r="G72" s="120" t="s">
        <v>689</v>
      </c>
      <c r="H72" s="49">
        <v>4</v>
      </c>
      <c r="I72" s="50" t="s">
        <v>28</v>
      </c>
      <c r="J72" s="124" t="s">
        <v>192</v>
      </c>
      <c r="K72" s="50" t="s">
        <v>26</v>
      </c>
      <c r="L72" s="50" t="s">
        <v>519</v>
      </c>
      <c r="M72" s="56" t="s">
        <v>12</v>
      </c>
      <c r="N72" s="122" t="s">
        <v>612</v>
      </c>
      <c r="O72" s="57">
        <v>12</v>
      </c>
      <c r="P72" s="45">
        <v>2320</v>
      </c>
      <c r="Q72" s="58">
        <f t="shared" si="6"/>
        <v>27840</v>
      </c>
      <c r="R72" s="129" t="s">
        <v>684</v>
      </c>
      <c r="S72" s="19"/>
      <c r="T72" s="32"/>
      <c r="U72" s="32"/>
      <c r="V72" s="51">
        <f t="shared" si="7"/>
        <v>2691.2</v>
      </c>
      <c r="W72" s="51">
        <f t="shared" si="8"/>
        <v>32294.399999999998</v>
      </c>
      <c r="X72" s="52">
        <f t="shared" si="9"/>
        <v>1.81</v>
      </c>
      <c r="Y72" s="53">
        <f t="shared" si="10"/>
        <v>21.72</v>
      </c>
      <c r="Z72" s="54"/>
      <c r="AA72" s="71"/>
      <c r="AB72" s="71"/>
      <c r="AC72" s="128"/>
      <c r="AD72" s="33"/>
      <c r="AE72" s="55"/>
    </row>
    <row r="73" spans="2:31" ht="20.100000000000001" hidden="1" customHeight="1">
      <c r="B73" s="48">
        <v>69</v>
      </c>
      <c r="C73" s="121" t="s">
        <v>348</v>
      </c>
      <c r="D73" s="120" t="s">
        <v>349</v>
      </c>
      <c r="E73" s="120">
        <v>2603</v>
      </c>
      <c r="F73" s="120" t="s">
        <v>526</v>
      </c>
      <c r="G73" s="120" t="s">
        <v>689</v>
      </c>
      <c r="H73" s="49">
        <v>4</v>
      </c>
      <c r="I73" s="50" t="s">
        <v>562</v>
      </c>
      <c r="J73" s="124" t="s">
        <v>563</v>
      </c>
      <c r="K73" s="50" t="s">
        <v>26</v>
      </c>
      <c r="L73" s="50" t="s">
        <v>519</v>
      </c>
      <c r="M73" s="56" t="s">
        <v>12</v>
      </c>
      <c r="N73" s="122" t="s">
        <v>612</v>
      </c>
      <c r="O73" s="57">
        <v>4</v>
      </c>
      <c r="P73" s="45">
        <v>1280</v>
      </c>
      <c r="Q73" s="58">
        <f t="shared" si="6"/>
        <v>5120</v>
      </c>
      <c r="R73" s="129" t="s">
        <v>684</v>
      </c>
      <c r="S73" s="19"/>
      <c r="T73" s="32"/>
      <c r="U73" s="32"/>
      <c r="V73" s="51">
        <f t="shared" si="7"/>
        <v>1484.8</v>
      </c>
      <c r="W73" s="51">
        <f t="shared" si="8"/>
        <v>5939.2</v>
      </c>
      <c r="X73" s="52">
        <f t="shared" si="9"/>
        <v>1</v>
      </c>
      <c r="Y73" s="53">
        <f t="shared" si="10"/>
        <v>4</v>
      </c>
      <c r="Z73" s="54"/>
      <c r="AA73" s="71"/>
      <c r="AB73" s="71"/>
      <c r="AC73" s="128"/>
      <c r="AD73" s="33"/>
      <c r="AE73" s="55"/>
    </row>
    <row r="74" spans="2:31" ht="20.100000000000001" hidden="1" customHeight="1">
      <c r="B74" s="48">
        <v>70</v>
      </c>
      <c r="C74" s="121" t="s">
        <v>348</v>
      </c>
      <c r="D74" s="120" t="s">
        <v>349</v>
      </c>
      <c r="E74" s="120">
        <v>2603</v>
      </c>
      <c r="F74" s="120" t="s">
        <v>526</v>
      </c>
      <c r="G74" s="120" t="s">
        <v>689</v>
      </c>
      <c r="H74" s="49">
        <v>4</v>
      </c>
      <c r="I74" s="50" t="s">
        <v>28</v>
      </c>
      <c r="J74" s="124" t="s">
        <v>629</v>
      </c>
      <c r="K74" s="50" t="s">
        <v>26</v>
      </c>
      <c r="L74" s="50" t="s">
        <v>519</v>
      </c>
      <c r="M74" s="56" t="s">
        <v>12</v>
      </c>
      <c r="N74" s="122" t="s">
        <v>612</v>
      </c>
      <c r="O74" s="57">
        <v>8</v>
      </c>
      <c r="P74" s="45">
        <v>1880</v>
      </c>
      <c r="Q74" s="58">
        <f t="shared" si="6"/>
        <v>15040</v>
      </c>
      <c r="R74" s="129" t="s">
        <v>684</v>
      </c>
      <c r="S74" s="19"/>
      <c r="T74" s="32"/>
      <c r="U74" s="32"/>
      <c r="V74" s="51">
        <f t="shared" si="7"/>
        <v>2180.7999999999997</v>
      </c>
      <c r="W74" s="51">
        <f t="shared" si="8"/>
        <v>17446.399999999998</v>
      </c>
      <c r="X74" s="52">
        <f t="shared" si="9"/>
        <v>1.47</v>
      </c>
      <c r="Y74" s="53">
        <f t="shared" si="10"/>
        <v>11.76</v>
      </c>
      <c r="Z74" s="54"/>
      <c r="AA74" s="71"/>
      <c r="AB74" s="71"/>
      <c r="AC74" s="128"/>
      <c r="AD74" s="33"/>
      <c r="AE74" s="55"/>
    </row>
    <row r="75" spans="2:31" ht="20.100000000000001" hidden="1" customHeight="1">
      <c r="B75" s="48">
        <v>71</v>
      </c>
      <c r="C75" s="121" t="s">
        <v>348</v>
      </c>
      <c r="D75" s="120" t="s">
        <v>349</v>
      </c>
      <c r="E75" s="120">
        <v>2603</v>
      </c>
      <c r="F75" s="120" t="s">
        <v>526</v>
      </c>
      <c r="G75" s="120" t="s">
        <v>689</v>
      </c>
      <c r="H75" s="49">
        <v>4</v>
      </c>
      <c r="I75" s="50" t="s">
        <v>564</v>
      </c>
      <c r="J75" s="124" t="s">
        <v>631</v>
      </c>
      <c r="K75" s="50" t="s">
        <v>26</v>
      </c>
      <c r="L75" s="50" t="s">
        <v>519</v>
      </c>
      <c r="M75" s="56" t="s">
        <v>12</v>
      </c>
      <c r="N75" s="122" t="s">
        <v>612</v>
      </c>
      <c r="O75" s="57">
        <v>2</v>
      </c>
      <c r="P75" s="45">
        <v>3140</v>
      </c>
      <c r="Q75" s="58">
        <f t="shared" si="6"/>
        <v>6280</v>
      </c>
      <c r="R75" s="129" t="s">
        <v>684</v>
      </c>
      <c r="S75" s="19"/>
      <c r="T75" s="32"/>
      <c r="U75" s="32"/>
      <c r="V75" s="51">
        <f t="shared" si="7"/>
        <v>3642.3999999999996</v>
      </c>
      <c r="W75" s="51">
        <f t="shared" si="8"/>
        <v>7284.7999999999993</v>
      </c>
      <c r="X75" s="52">
        <f t="shared" si="9"/>
        <v>2.4500000000000002</v>
      </c>
      <c r="Y75" s="53">
        <f t="shared" si="10"/>
        <v>4.9000000000000004</v>
      </c>
      <c r="Z75" s="54"/>
      <c r="AA75" s="71"/>
      <c r="AB75" s="71"/>
      <c r="AC75" s="128"/>
      <c r="AD75" s="33"/>
      <c r="AE75" s="55"/>
    </row>
    <row r="76" spans="2:31" ht="20.100000000000001" hidden="1" customHeight="1">
      <c r="B76" s="48">
        <v>72</v>
      </c>
      <c r="C76" s="121" t="s">
        <v>348</v>
      </c>
      <c r="D76" s="120" t="s">
        <v>349</v>
      </c>
      <c r="E76" s="120">
        <v>2603</v>
      </c>
      <c r="F76" s="120" t="s">
        <v>526</v>
      </c>
      <c r="G76" s="120" t="s">
        <v>689</v>
      </c>
      <c r="H76" s="49">
        <v>4</v>
      </c>
      <c r="I76" s="50" t="s">
        <v>140</v>
      </c>
      <c r="J76" s="124" t="s">
        <v>196</v>
      </c>
      <c r="K76" s="50" t="s">
        <v>26</v>
      </c>
      <c r="L76" s="50" t="s">
        <v>519</v>
      </c>
      <c r="M76" s="56" t="s">
        <v>12</v>
      </c>
      <c r="N76" s="122" t="s">
        <v>612</v>
      </c>
      <c r="O76" s="57">
        <v>2</v>
      </c>
      <c r="P76" s="45">
        <v>5160</v>
      </c>
      <c r="Q76" s="58">
        <f t="shared" si="6"/>
        <v>10320</v>
      </c>
      <c r="R76" s="129" t="s">
        <v>684</v>
      </c>
      <c r="S76" s="19"/>
      <c r="T76" s="32"/>
      <c r="U76" s="32"/>
      <c r="V76" s="51">
        <f t="shared" si="7"/>
        <v>5985.5999999999995</v>
      </c>
      <c r="W76" s="51">
        <f t="shared" si="8"/>
        <v>11971.199999999999</v>
      </c>
      <c r="X76" s="52">
        <f t="shared" si="9"/>
        <v>4.03</v>
      </c>
      <c r="Y76" s="53">
        <f t="shared" si="10"/>
        <v>8.06</v>
      </c>
      <c r="Z76" s="54"/>
      <c r="AA76" s="71"/>
      <c r="AB76" s="71"/>
      <c r="AC76" s="128"/>
      <c r="AD76" s="33"/>
      <c r="AE76" s="55"/>
    </row>
    <row r="77" spans="2:31" ht="20.100000000000001" hidden="1" customHeight="1">
      <c r="B77" s="48">
        <v>73</v>
      </c>
      <c r="C77" s="121" t="s">
        <v>348</v>
      </c>
      <c r="D77" s="120" t="s">
        <v>349</v>
      </c>
      <c r="E77" s="120">
        <v>2603</v>
      </c>
      <c r="F77" s="120" t="s">
        <v>526</v>
      </c>
      <c r="G77" s="120" t="s">
        <v>689</v>
      </c>
      <c r="H77" s="49">
        <v>4</v>
      </c>
      <c r="I77" s="50" t="s">
        <v>28</v>
      </c>
      <c r="J77" s="124" t="s">
        <v>630</v>
      </c>
      <c r="K77" s="50" t="s">
        <v>26</v>
      </c>
      <c r="L77" s="50" t="s">
        <v>519</v>
      </c>
      <c r="M77" s="56" t="s">
        <v>12</v>
      </c>
      <c r="N77" s="122" t="s">
        <v>612</v>
      </c>
      <c r="O77" s="57">
        <v>8</v>
      </c>
      <c r="P77" s="45">
        <v>1580</v>
      </c>
      <c r="Q77" s="58">
        <f t="shared" si="6"/>
        <v>12640</v>
      </c>
      <c r="R77" s="129" t="s">
        <v>684</v>
      </c>
      <c r="S77" s="19"/>
      <c r="T77" s="32"/>
      <c r="U77" s="32"/>
      <c r="V77" s="51">
        <f t="shared" si="7"/>
        <v>1832.8</v>
      </c>
      <c r="W77" s="51">
        <f t="shared" si="8"/>
        <v>14662.4</v>
      </c>
      <c r="X77" s="52">
        <f t="shared" si="9"/>
        <v>1.23</v>
      </c>
      <c r="Y77" s="53">
        <f t="shared" si="10"/>
        <v>9.84</v>
      </c>
      <c r="Z77" s="54"/>
      <c r="AA77" s="71"/>
      <c r="AB77" s="71"/>
      <c r="AC77" s="128"/>
      <c r="AD77" s="33"/>
      <c r="AE77" s="55"/>
    </row>
    <row r="78" spans="2:31" ht="20.100000000000001" hidden="1" customHeight="1">
      <c r="B78" s="48">
        <v>74</v>
      </c>
      <c r="C78" s="121" t="s">
        <v>348</v>
      </c>
      <c r="D78" s="120" t="s">
        <v>349</v>
      </c>
      <c r="E78" s="120">
        <v>2603</v>
      </c>
      <c r="F78" s="120" t="s">
        <v>526</v>
      </c>
      <c r="G78" s="120" t="s">
        <v>689</v>
      </c>
      <c r="H78" s="49">
        <v>4</v>
      </c>
      <c r="I78" s="50" t="s">
        <v>40</v>
      </c>
      <c r="J78" s="124" t="s">
        <v>565</v>
      </c>
      <c r="K78" s="50" t="s">
        <v>26</v>
      </c>
      <c r="L78" s="50" t="s">
        <v>519</v>
      </c>
      <c r="M78" s="56" t="s">
        <v>12</v>
      </c>
      <c r="N78" s="122" t="s">
        <v>612</v>
      </c>
      <c r="O78" s="57">
        <v>8</v>
      </c>
      <c r="P78" s="45">
        <v>490</v>
      </c>
      <c r="Q78" s="58">
        <f t="shared" si="6"/>
        <v>3920</v>
      </c>
      <c r="R78" s="129" t="s">
        <v>684</v>
      </c>
      <c r="S78" s="19"/>
      <c r="T78" s="32"/>
      <c r="U78" s="32"/>
      <c r="V78" s="51">
        <f t="shared" si="7"/>
        <v>568.4</v>
      </c>
      <c r="W78" s="51">
        <f t="shared" si="8"/>
        <v>4547.2</v>
      </c>
      <c r="X78" s="52">
        <f t="shared" si="9"/>
        <v>0.38</v>
      </c>
      <c r="Y78" s="53">
        <f t="shared" si="10"/>
        <v>3.04</v>
      </c>
      <c r="Z78" s="54"/>
      <c r="AA78" s="71"/>
      <c r="AB78" s="71"/>
      <c r="AC78" s="128"/>
      <c r="AD78" s="33"/>
      <c r="AE78" s="55"/>
    </row>
    <row r="79" spans="2:31" ht="20.100000000000001" hidden="1" customHeight="1">
      <c r="B79" s="48">
        <v>75</v>
      </c>
      <c r="C79" s="121" t="s">
        <v>348</v>
      </c>
      <c r="D79" s="120" t="s">
        <v>349</v>
      </c>
      <c r="E79" s="120">
        <v>2603</v>
      </c>
      <c r="F79" s="120" t="s">
        <v>526</v>
      </c>
      <c r="G79" s="120" t="s">
        <v>689</v>
      </c>
      <c r="H79" s="49">
        <v>4</v>
      </c>
      <c r="I79" s="50" t="s">
        <v>616</v>
      </c>
      <c r="J79" s="124" t="s">
        <v>617</v>
      </c>
      <c r="K79" s="50" t="s">
        <v>26</v>
      </c>
      <c r="L79" s="50" t="s">
        <v>519</v>
      </c>
      <c r="M79" s="56" t="s">
        <v>12</v>
      </c>
      <c r="N79" s="122" t="s">
        <v>612</v>
      </c>
      <c r="O79" s="57">
        <v>4</v>
      </c>
      <c r="P79" s="45">
        <v>35880</v>
      </c>
      <c r="Q79" s="58">
        <f t="shared" si="6"/>
        <v>143520</v>
      </c>
      <c r="R79" s="129" t="s">
        <v>684</v>
      </c>
      <c r="S79" s="19"/>
      <c r="T79" s="32"/>
      <c r="U79" s="32"/>
      <c r="V79" s="51">
        <f t="shared" si="7"/>
        <v>41620.799999999996</v>
      </c>
      <c r="W79" s="51">
        <f t="shared" si="8"/>
        <v>166483.19999999998</v>
      </c>
      <c r="X79" s="52">
        <f t="shared" si="9"/>
        <v>28</v>
      </c>
      <c r="Y79" s="53">
        <f t="shared" si="10"/>
        <v>112</v>
      </c>
      <c r="Z79" s="54"/>
      <c r="AA79" s="71"/>
      <c r="AB79" s="71"/>
      <c r="AC79" s="128"/>
      <c r="AD79" s="33"/>
      <c r="AE79" s="55"/>
    </row>
    <row r="80" spans="2:31" ht="20.100000000000001" hidden="1" customHeight="1">
      <c r="B80" s="48">
        <v>76</v>
      </c>
      <c r="C80" s="121" t="s">
        <v>348</v>
      </c>
      <c r="D80" s="120" t="s">
        <v>349</v>
      </c>
      <c r="E80" s="120">
        <v>2603</v>
      </c>
      <c r="F80" s="120" t="s">
        <v>526</v>
      </c>
      <c r="G80" s="120" t="s">
        <v>689</v>
      </c>
      <c r="H80" s="49">
        <v>4</v>
      </c>
      <c r="I80" s="50" t="s">
        <v>27</v>
      </c>
      <c r="J80" s="124" t="s">
        <v>618</v>
      </c>
      <c r="K80" s="50" t="s">
        <v>26</v>
      </c>
      <c r="L80" s="50" t="s">
        <v>519</v>
      </c>
      <c r="M80" s="56" t="s">
        <v>12</v>
      </c>
      <c r="N80" s="122" t="s">
        <v>612</v>
      </c>
      <c r="O80" s="57">
        <v>2</v>
      </c>
      <c r="P80" s="45">
        <v>189940</v>
      </c>
      <c r="Q80" s="58">
        <f t="shared" si="6"/>
        <v>379880</v>
      </c>
      <c r="R80" s="129" t="s">
        <v>684</v>
      </c>
      <c r="S80" s="19"/>
      <c r="T80" s="32"/>
      <c r="U80" s="32"/>
      <c r="V80" s="51">
        <f t="shared" si="7"/>
        <v>220330.4</v>
      </c>
      <c r="W80" s="51">
        <f t="shared" si="8"/>
        <v>440660.8</v>
      </c>
      <c r="X80" s="52">
        <f t="shared" si="9"/>
        <v>148.21</v>
      </c>
      <c r="Y80" s="53">
        <f t="shared" si="10"/>
        <v>296.42</v>
      </c>
      <c r="Z80" s="54"/>
      <c r="AA80" s="71"/>
      <c r="AB80" s="71"/>
      <c r="AC80" s="128"/>
      <c r="AD80" s="33"/>
      <c r="AE80" s="55"/>
    </row>
    <row r="81" spans="2:31" ht="20.100000000000001" hidden="1" customHeight="1">
      <c r="B81" s="48">
        <v>77</v>
      </c>
      <c r="C81" s="121" t="s">
        <v>348</v>
      </c>
      <c r="D81" s="120" t="s">
        <v>349</v>
      </c>
      <c r="E81" s="120">
        <v>2603</v>
      </c>
      <c r="F81" s="120" t="s">
        <v>526</v>
      </c>
      <c r="G81" s="120" t="s">
        <v>689</v>
      </c>
      <c r="H81" s="49">
        <v>4</v>
      </c>
      <c r="I81" s="50" t="s">
        <v>140</v>
      </c>
      <c r="J81" s="124" t="s">
        <v>619</v>
      </c>
      <c r="K81" s="50" t="s">
        <v>26</v>
      </c>
      <c r="L81" s="50" t="s">
        <v>519</v>
      </c>
      <c r="M81" s="56" t="s">
        <v>12</v>
      </c>
      <c r="N81" s="122" t="s">
        <v>612</v>
      </c>
      <c r="O81" s="57">
        <v>4</v>
      </c>
      <c r="P81" s="45">
        <v>5130</v>
      </c>
      <c r="Q81" s="58">
        <f t="shared" si="6"/>
        <v>20520</v>
      </c>
      <c r="R81" s="129" t="s">
        <v>684</v>
      </c>
      <c r="S81" s="19"/>
      <c r="T81" s="32"/>
      <c r="U81" s="32"/>
      <c r="V81" s="51">
        <f t="shared" si="7"/>
        <v>5950.7999999999993</v>
      </c>
      <c r="W81" s="51">
        <f t="shared" si="8"/>
        <v>23803.199999999997</v>
      </c>
      <c r="X81" s="52">
        <f t="shared" si="9"/>
        <v>4</v>
      </c>
      <c r="Y81" s="53">
        <f t="shared" si="10"/>
        <v>16</v>
      </c>
      <c r="Z81" s="54"/>
      <c r="AA81" s="71"/>
      <c r="AB81" s="71"/>
      <c r="AC81" s="128"/>
      <c r="AD81" s="33"/>
      <c r="AE81" s="55"/>
    </row>
    <row r="82" spans="2:31" ht="20.100000000000001" hidden="1" customHeight="1">
      <c r="B82" s="48">
        <v>78</v>
      </c>
      <c r="C82" s="121" t="s">
        <v>348</v>
      </c>
      <c r="D82" s="120" t="s">
        <v>349</v>
      </c>
      <c r="E82" s="120">
        <v>2603</v>
      </c>
      <c r="F82" s="120" t="s">
        <v>526</v>
      </c>
      <c r="G82" s="120" t="s">
        <v>689</v>
      </c>
      <c r="H82" s="49">
        <v>4</v>
      </c>
      <c r="I82" s="50" t="s">
        <v>254</v>
      </c>
      <c r="J82" s="124" t="s">
        <v>620</v>
      </c>
      <c r="K82" s="50" t="s">
        <v>26</v>
      </c>
      <c r="L82" s="50" t="s">
        <v>519</v>
      </c>
      <c r="M82" s="56" t="s">
        <v>12</v>
      </c>
      <c r="N82" s="122" t="s">
        <v>612</v>
      </c>
      <c r="O82" s="57">
        <v>8</v>
      </c>
      <c r="P82" s="45">
        <v>7800</v>
      </c>
      <c r="Q82" s="58">
        <f t="shared" si="6"/>
        <v>62400</v>
      </c>
      <c r="R82" s="129" t="s">
        <v>684</v>
      </c>
      <c r="S82" s="19"/>
      <c r="T82" s="32"/>
      <c r="U82" s="32"/>
      <c r="V82" s="51">
        <f t="shared" si="7"/>
        <v>9048</v>
      </c>
      <c r="W82" s="51">
        <f t="shared" si="8"/>
        <v>72384</v>
      </c>
      <c r="X82" s="52">
        <f t="shared" si="9"/>
        <v>6.09</v>
      </c>
      <c r="Y82" s="53">
        <f t="shared" si="10"/>
        <v>48.72</v>
      </c>
      <c r="Z82" s="54"/>
      <c r="AA82" s="71"/>
      <c r="AB82" s="71"/>
      <c r="AC82" s="128"/>
      <c r="AD82" s="33"/>
      <c r="AE82" s="55"/>
    </row>
    <row r="83" spans="2:31" ht="20.100000000000001" hidden="1" customHeight="1">
      <c r="B83" s="48">
        <v>79</v>
      </c>
      <c r="C83" s="121" t="s">
        <v>348</v>
      </c>
      <c r="D83" s="120" t="s">
        <v>349</v>
      </c>
      <c r="E83" s="120">
        <v>2603</v>
      </c>
      <c r="F83" s="120" t="s">
        <v>526</v>
      </c>
      <c r="G83" s="120" t="s">
        <v>689</v>
      </c>
      <c r="H83" s="49">
        <v>6</v>
      </c>
      <c r="I83" s="50" t="s">
        <v>72</v>
      </c>
      <c r="J83" s="124" t="s">
        <v>639</v>
      </c>
      <c r="K83" s="50" t="s">
        <v>649</v>
      </c>
      <c r="L83" s="50" t="s">
        <v>519</v>
      </c>
      <c r="M83" s="56" t="s">
        <v>12</v>
      </c>
      <c r="N83" s="122" t="s">
        <v>665</v>
      </c>
      <c r="O83" s="170">
        <v>8</v>
      </c>
      <c r="P83" s="45">
        <v>300</v>
      </c>
      <c r="Q83" s="58">
        <f t="shared" si="6"/>
        <v>2400</v>
      </c>
      <c r="R83" s="129" t="s">
        <v>684</v>
      </c>
      <c r="S83" s="19"/>
      <c r="T83" s="32"/>
      <c r="U83" s="32"/>
      <c r="V83" s="51">
        <f t="shared" si="7"/>
        <v>348</v>
      </c>
      <c r="W83" s="51">
        <f t="shared" si="8"/>
        <v>2784</v>
      </c>
      <c r="X83" s="52">
        <f t="shared" si="9"/>
        <v>0.23</v>
      </c>
      <c r="Y83" s="53">
        <f t="shared" si="10"/>
        <v>1.84</v>
      </c>
      <c r="Z83" s="54"/>
      <c r="AA83" s="71"/>
      <c r="AB83" s="71"/>
      <c r="AC83" s="128"/>
      <c r="AD83" s="33"/>
      <c r="AE83" s="55"/>
    </row>
    <row r="84" spans="2:31" ht="20.100000000000001" hidden="1" customHeight="1">
      <c r="B84" s="48">
        <v>80</v>
      </c>
      <c r="C84" s="121" t="s">
        <v>348</v>
      </c>
      <c r="D84" s="120" t="s">
        <v>349</v>
      </c>
      <c r="E84" s="120">
        <v>2603</v>
      </c>
      <c r="F84" s="120" t="s">
        <v>526</v>
      </c>
      <c r="G84" s="120" t="s">
        <v>689</v>
      </c>
      <c r="H84" s="49">
        <v>6</v>
      </c>
      <c r="I84" s="50" t="s">
        <v>72</v>
      </c>
      <c r="J84" s="124" t="s">
        <v>640</v>
      </c>
      <c r="K84" s="50" t="s">
        <v>649</v>
      </c>
      <c r="L84" s="50" t="s">
        <v>519</v>
      </c>
      <c r="M84" s="56" t="s">
        <v>12</v>
      </c>
      <c r="N84" s="122" t="s">
        <v>665</v>
      </c>
      <c r="O84" s="170">
        <v>12</v>
      </c>
      <c r="P84" s="45">
        <v>300</v>
      </c>
      <c r="Q84" s="58">
        <f t="shared" si="6"/>
        <v>3600</v>
      </c>
      <c r="R84" s="129" t="s">
        <v>684</v>
      </c>
      <c r="S84" s="19"/>
      <c r="T84" s="32"/>
      <c r="U84" s="32"/>
      <c r="V84" s="51">
        <f t="shared" si="7"/>
        <v>348</v>
      </c>
      <c r="W84" s="51">
        <f t="shared" si="8"/>
        <v>4176</v>
      </c>
      <c r="X84" s="52">
        <f t="shared" si="9"/>
        <v>0.23</v>
      </c>
      <c r="Y84" s="53">
        <f t="shared" si="10"/>
        <v>2.7600000000000002</v>
      </c>
      <c r="Z84" s="54"/>
      <c r="AA84" s="71"/>
      <c r="AB84" s="71"/>
      <c r="AC84" s="128"/>
      <c r="AD84" s="33"/>
      <c r="AE84" s="55"/>
    </row>
    <row r="85" spans="2:31" ht="20.100000000000001" hidden="1" customHeight="1">
      <c r="B85" s="48">
        <v>81</v>
      </c>
      <c r="C85" s="121" t="s">
        <v>348</v>
      </c>
      <c r="D85" s="120" t="s">
        <v>349</v>
      </c>
      <c r="E85" s="120">
        <v>2603</v>
      </c>
      <c r="F85" s="120" t="s">
        <v>526</v>
      </c>
      <c r="G85" s="120" t="s">
        <v>689</v>
      </c>
      <c r="H85" s="49">
        <v>6</v>
      </c>
      <c r="I85" s="50" t="s">
        <v>76</v>
      </c>
      <c r="J85" s="124" t="s">
        <v>539</v>
      </c>
      <c r="K85" s="50" t="s">
        <v>34</v>
      </c>
      <c r="L85" s="50" t="s">
        <v>519</v>
      </c>
      <c r="M85" s="56" t="s">
        <v>12</v>
      </c>
      <c r="N85" s="122" t="s">
        <v>665</v>
      </c>
      <c r="O85" s="57">
        <v>12</v>
      </c>
      <c r="P85" s="45">
        <v>2800</v>
      </c>
      <c r="Q85" s="58">
        <f t="shared" si="6"/>
        <v>33600</v>
      </c>
      <c r="R85" s="129" t="s">
        <v>684</v>
      </c>
      <c r="S85" s="19"/>
      <c r="T85" s="32"/>
      <c r="U85" s="32"/>
      <c r="V85" s="51">
        <f t="shared" si="7"/>
        <v>3248</v>
      </c>
      <c r="W85" s="51">
        <f t="shared" si="8"/>
        <v>38976</v>
      </c>
      <c r="X85" s="52">
        <f t="shared" si="9"/>
        <v>2.1800000000000002</v>
      </c>
      <c r="Y85" s="53">
        <f t="shared" si="10"/>
        <v>26.160000000000004</v>
      </c>
      <c r="Z85" s="54"/>
      <c r="AA85" s="71"/>
      <c r="AB85" s="71"/>
      <c r="AC85" s="128"/>
      <c r="AD85" s="33"/>
      <c r="AE85" s="55"/>
    </row>
    <row r="86" spans="2:31" ht="20.100000000000001" hidden="1" customHeight="1">
      <c r="B86" s="48">
        <v>82</v>
      </c>
      <c r="C86" s="121" t="s">
        <v>348</v>
      </c>
      <c r="D86" s="120" t="s">
        <v>349</v>
      </c>
      <c r="E86" s="120">
        <v>2603</v>
      </c>
      <c r="F86" s="120" t="s">
        <v>526</v>
      </c>
      <c r="G86" s="120" t="s">
        <v>689</v>
      </c>
      <c r="H86" s="49">
        <v>6</v>
      </c>
      <c r="I86" s="50" t="s">
        <v>36</v>
      </c>
      <c r="J86" s="124" t="s">
        <v>641</v>
      </c>
      <c r="K86" s="50" t="s">
        <v>34</v>
      </c>
      <c r="L86" s="50" t="s">
        <v>519</v>
      </c>
      <c r="M86" s="56" t="s">
        <v>12</v>
      </c>
      <c r="N86" s="122" t="s">
        <v>665</v>
      </c>
      <c r="O86" s="57">
        <v>30</v>
      </c>
      <c r="P86" s="45">
        <v>2800</v>
      </c>
      <c r="Q86" s="58">
        <f t="shared" si="6"/>
        <v>84000</v>
      </c>
      <c r="R86" s="129" t="s">
        <v>684</v>
      </c>
      <c r="S86" s="19"/>
      <c r="T86" s="32"/>
      <c r="U86" s="32"/>
      <c r="V86" s="51">
        <f t="shared" si="7"/>
        <v>3248</v>
      </c>
      <c r="W86" s="51">
        <f t="shared" si="8"/>
        <v>97440</v>
      </c>
      <c r="X86" s="52">
        <f t="shared" si="9"/>
        <v>2.1800000000000002</v>
      </c>
      <c r="Y86" s="53">
        <f t="shared" si="10"/>
        <v>65.400000000000006</v>
      </c>
      <c r="Z86" s="54"/>
      <c r="AA86" s="71"/>
      <c r="AB86" s="71"/>
      <c r="AC86" s="128"/>
      <c r="AD86" s="33"/>
      <c r="AE86" s="55"/>
    </row>
    <row r="87" spans="2:31" ht="20.100000000000001" hidden="1" customHeight="1">
      <c r="B87" s="48">
        <v>83</v>
      </c>
      <c r="C87" s="121" t="s">
        <v>348</v>
      </c>
      <c r="D87" s="120" t="s">
        <v>349</v>
      </c>
      <c r="E87" s="120">
        <v>2603</v>
      </c>
      <c r="F87" s="120" t="s">
        <v>526</v>
      </c>
      <c r="G87" s="120" t="s">
        <v>689</v>
      </c>
      <c r="H87" s="49">
        <v>6</v>
      </c>
      <c r="I87" s="50" t="s">
        <v>35</v>
      </c>
      <c r="J87" s="124" t="s">
        <v>77</v>
      </c>
      <c r="K87" s="50" t="s">
        <v>34</v>
      </c>
      <c r="L87" s="50" t="s">
        <v>519</v>
      </c>
      <c r="M87" s="56" t="s">
        <v>12</v>
      </c>
      <c r="N87" s="122" t="s">
        <v>665</v>
      </c>
      <c r="O87" s="57">
        <v>24</v>
      </c>
      <c r="P87" s="45">
        <v>3300</v>
      </c>
      <c r="Q87" s="58">
        <f t="shared" si="6"/>
        <v>79200</v>
      </c>
      <c r="R87" s="129" t="s">
        <v>684</v>
      </c>
      <c r="S87" s="19"/>
      <c r="T87" s="32"/>
      <c r="U87" s="32"/>
      <c r="V87" s="51">
        <f t="shared" si="7"/>
        <v>3827.9999999999995</v>
      </c>
      <c r="W87" s="51">
        <f t="shared" si="8"/>
        <v>91871.999999999985</v>
      </c>
      <c r="X87" s="52">
        <f t="shared" si="9"/>
        <v>2.57</v>
      </c>
      <c r="Y87" s="53">
        <f t="shared" si="10"/>
        <v>61.679999999999993</v>
      </c>
      <c r="Z87" s="54"/>
      <c r="AA87" s="71"/>
      <c r="AB87" s="71"/>
      <c r="AC87" s="128"/>
      <c r="AD87" s="33"/>
      <c r="AE87" s="55"/>
    </row>
    <row r="88" spans="2:31" ht="20.100000000000001" hidden="1" customHeight="1">
      <c r="B88" s="48">
        <v>84</v>
      </c>
      <c r="C88" s="121" t="s">
        <v>348</v>
      </c>
      <c r="D88" s="120" t="s">
        <v>349</v>
      </c>
      <c r="E88" s="120">
        <v>2603</v>
      </c>
      <c r="F88" s="120" t="s">
        <v>526</v>
      </c>
      <c r="G88" s="120" t="s">
        <v>689</v>
      </c>
      <c r="H88" s="49">
        <v>6</v>
      </c>
      <c r="I88" s="50" t="s">
        <v>530</v>
      </c>
      <c r="J88" s="124" t="s">
        <v>531</v>
      </c>
      <c r="K88" s="50" t="s">
        <v>30</v>
      </c>
      <c r="L88" s="50" t="s">
        <v>519</v>
      </c>
      <c r="M88" s="56" t="s">
        <v>12</v>
      </c>
      <c r="N88" s="122" t="s">
        <v>665</v>
      </c>
      <c r="O88" s="170">
        <v>2</v>
      </c>
      <c r="P88" s="45">
        <v>200</v>
      </c>
      <c r="Q88" s="58">
        <f t="shared" si="6"/>
        <v>400</v>
      </c>
      <c r="R88" s="129" t="s">
        <v>684</v>
      </c>
      <c r="S88" s="19"/>
      <c r="T88" s="32"/>
      <c r="U88" s="32"/>
      <c r="V88" s="51">
        <f t="shared" si="7"/>
        <v>231.99999999999997</v>
      </c>
      <c r="W88" s="51">
        <f t="shared" si="8"/>
        <v>463.99999999999994</v>
      </c>
      <c r="X88" s="52">
        <f t="shared" si="9"/>
        <v>0.16</v>
      </c>
      <c r="Y88" s="53">
        <f t="shared" si="10"/>
        <v>0.32</v>
      </c>
      <c r="Z88" s="54"/>
      <c r="AA88" s="71"/>
      <c r="AB88" s="71"/>
      <c r="AC88" s="128"/>
      <c r="AD88" s="33"/>
      <c r="AE88" s="55"/>
    </row>
    <row r="89" spans="2:31" ht="20.100000000000001" hidden="1" customHeight="1">
      <c r="B89" s="48">
        <v>85</v>
      </c>
      <c r="C89" s="121" t="s">
        <v>348</v>
      </c>
      <c r="D89" s="120" t="s">
        <v>349</v>
      </c>
      <c r="E89" s="120">
        <v>2603</v>
      </c>
      <c r="F89" s="120" t="s">
        <v>526</v>
      </c>
      <c r="G89" s="120" t="s">
        <v>689</v>
      </c>
      <c r="H89" s="49">
        <v>6</v>
      </c>
      <c r="I89" s="50" t="s">
        <v>75</v>
      </c>
      <c r="J89" s="124" t="s">
        <v>78</v>
      </c>
      <c r="K89" s="50" t="s">
        <v>34</v>
      </c>
      <c r="L89" s="50" t="s">
        <v>519</v>
      </c>
      <c r="M89" s="56" t="s">
        <v>12</v>
      </c>
      <c r="N89" s="122" t="s">
        <v>665</v>
      </c>
      <c r="O89" s="57">
        <v>4</v>
      </c>
      <c r="P89" s="45">
        <v>7000</v>
      </c>
      <c r="Q89" s="58">
        <f t="shared" si="6"/>
        <v>28000</v>
      </c>
      <c r="R89" s="129" t="s">
        <v>684</v>
      </c>
      <c r="S89" s="19"/>
      <c r="T89" s="32"/>
      <c r="U89" s="32"/>
      <c r="V89" s="51">
        <f t="shared" si="7"/>
        <v>8119.9999999999991</v>
      </c>
      <c r="W89" s="51">
        <f t="shared" si="8"/>
        <v>32479.999999999996</v>
      </c>
      <c r="X89" s="52">
        <f t="shared" si="9"/>
        <v>5.46</v>
      </c>
      <c r="Y89" s="53">
        <f t="shared" si="10"/>
        <v>21.84</v>
      </c>
      <c r="Z89" s="54"/>
      <c r="AA89" s="71"/>
      <c r="AB89" s="71"/>
      <c r="AC89" s="128"/>
      <c r="AD89" s="33"/>
      <c r="AE89" s="55"/>
    </row>
    <row r="90" spans="2:31" ht="20.100000000000001" hidden="1" customHeight="1">
      <c r="B90" s="48">
        <v>86</v>
      </c>
      <c r="C90" s="121" t="s">
        <v>348</v>
      </c>
      <c r="D90" s="120" t="s">
        <v>349</v>
      </c>
      <c r="E90" s="120">
        <v>2603</v>
      </c>
      <c r="F90" s="120" t="s">
        <v>526</v>
      </c>
      <c r="G90" s="120" t="s">
        <v>689</v>
      </c>
      <c r="H90" s="49">
        <v>6</v>
      </c>
      <c r="I90" s="50" t="s">
        <v>82</v>
      </c>
      <c r="J90" s="124" t="s">
        <v>84</v>
      </c>
      <c r="K90" s="50" t="s">
        <v>83</v>
      </c>
      <c r="L90" s="50" t="s">
        <v>519</v>
      </c>
      <c r="M90" s="56" t="s">
        <v>12</v>
      </c>
      <c r="N90" s="122" t="s">
        <v>665</v>
      </c>
      <c r="O90" s="57">
        <v>2</v>
      </c>
      <c r="P90" s="45">
        <v>21500</v>
      </c>
      <c r="Q90" s="58">
        <f t="shared" si="6"/>
        <v>43000</v>
      </c>
      <c r="R90" s="129" t="s">
        <v>684</v>
      </c>
      <c r="S90" s="19"/>
      <c r="T90" s="32"/>
      <c r="U90" s="32"/>
      <c r="V90" s="51">
        <f t="shared" si="7"/>
        <v>24940</v>
      </c>
      <c r="W90" s="51">
        <f t="shared" si="8"/>
        <v>49880</v>
      </c>
      <c r="X90" s="52">
        <f t="shared" si="9"/>
        <v>16.78</v>
      </c>
      <c r="Y90" s="53">
        <f t="shared" si="10"/>
        <v>33.56</v>
      </c>
      <c r="Z90" s="54"/>
      <c r="AA90" s="71"/>
      <c r="AB90" s="71"/>
      <c r="AC90" s="128"/>
      <c r="AD90" s="33"/>
      <c r="AE90" s="55"/>
    </row>
    <row r="91" spans="2:31" ht="20.100000000000001" hidden="1" customHeight="1">
      <c r="B91" s="48">
        <v>87</v>
      </c>
      <c r="C91" s="121" t="s">
        <v>348</v>
      </c>
      <c r="D91" s="120" t="s">
        <v>349</v>
      </c>
      <c r="E91" s="120">
        <v>2603</v>
      </c>
      <c r="F91" s="120" t="s">
        <v>526</v>
      </c>
      <c r="G91" s="120" t="s">
        <v>689</v>
      </c>
      <c r="H91" s="49">
        <v>6</v>
      </c>
      <c r="I91" s="50" t="s">
        <v>91</v>
      </c>
      <c r="J91" s="124" t="s">
        <v>100</v>
      </c>
      <c r="K91" s="50" t="s">
        <v>101</v>
      </c>
      <c r="L91" s="50" t="s">
        <v>519</v>
      </c>
      <c r="M91" s="56" t="s">
        <v>12</v>
      </c>
      <c r="N91" s="122" t="s">
        <v>665</v>
      </c>
      <c r="O91" s="57">
        <v>2</v>
      </c>
      <c r="P91" s="45">
        <v>29800</v>
      </c>
      <c r="Q91" s="58">
        <f t="shared" si="6"/>
        <v>59600</v>
      </c>
      <c r="R91" s="129" t="s">
        <v>684</v>
      </c>
      <c r="S91" s="19"/>
      <c r="T91" s="32"/>
      <c r="U91" s="32"/>
      <c r="V91" s="51">
        <f t="shared" si="7"/>
        <v>34568</v>
      </c>
      <c r="W91" s="51">
        <f t="shared" si="8"/>
        <v>69136</v>
      </c>
      <c r="X91" s="52">
        <f t="shared" si="9"/>
        <v>23.25</v>
      </c>
      <c r="Y91" s="53">
        <f t="shared" si="10"/>
        <v>46.5</v>
      </c>
      <c r="Z91" s="54"/>
      <c r="AA91" s="71"/>
      <c r="AB91" s="71"/>
      <c r="AC91" s="128"/>
      <c r="AD91" s="33"/>
      <c r="AE91" s="55"/>
    </row>
    <row r="92" spans="2:31" ht="20.100000000000001" hidden="1" customHeight="1">
      <c r="B92" s="48">
        <v>88</v>
      </c>
      <c r="C92" s="121" t="s">
        <v>348</v>
      </c>
      <c r="D92" s="120" t="s">
        <v>349</v>
      </c>
      <c r="E92" s="120">
        <v>2603</v>
      </c>
      <c r="F92" s="120" t="s">
        <v>526</v>
      </c>
      <c r="G92" s="120" t="s">
        <v>689</v>
      </c>
      <c r="H92" s="49">
        <v>6</v>
      </c>
      <c r="I92" s="50" t="s">
        <v>683</v>
      </c>
      <c r="J92" s="124" t="s">
        <v>682</v>
      </c>
      <c r="K92" s="50" t="s">
        <v>532</v>
      </c>
      <c r="L92" s="50" t="s">
        <v>519</v>
      </c>
      <c r="M92" s="56" t="s">
        <v>12</v>
      </c>
      <c r="N92" s="122" t="s">
        <v>665</v>
      </c>
      <c r="O92" s="57">
        <v>2</v>
      </c>
      <c r="P92" s="45">
        <v>5600</v>
      </c>
      <c r="Q92" s="58">
        <f t="shared" si="6"/>
        <v>11200</v>
      </c>
      <c r="R92" s="129" t="s">
        <v>684</v>
      </c>
      <c r="S92" s="19"/>
      <c r="T92" s="32"/>
      <c r="U92" s="32"/>
      <c r="V92" s="51">
        <f t="shared" si="7"/>
        <v>6496</v>
      </c>
      <c r="W92" s="51">
        <f t="shared" si="8"/>
        <v>12992</v>
      </c>
      <c r="X92" s="52">
        <f t="shared" si="9"/>
        <v>4.37</v>
      </c>
      <c r="Y92" s="53">
        <f t="shared" si="10"/>
        <v>8.74</v>
      </c>
      <c r="Z92" s="54"/>
      <c r="AA92" s="71"/>
      <c r="AB92" s="71"/>
      <c r="AC92" s="128"/>
      <c r="AD92" s="33"/>
      <c r="AE92" s="55"/>
    </row>
    <row r="93" spans="2:31" ht="20.100000000000001" hidden="1" customHeight="1">
      <c r="B93" s="48">
        <v>89</v>
      </c>
      <c r="C93" s="121" t="s">
        <v>348</v>
      </c>
      <c r="D93" s="120" t="s">
        <v>349</v>
      </c>
      <c r="E93" s="120">
        <v>2603</v>
      </c>
      <c r="F93" s="120" t="s">
        <v>526</v>
      </c>
      <c r="G93" s="120" t="s">
        <v>689</v>
      </c>
      <c r="H93" s="49">
        <v>6</v>
      </c>
      <c r="I93" s="50" t="s">
        <v>533</v>
      </c>
      <c r="J93" s="124" t="s">
        <v>80</v>
      </c>
      <c r="K93" s="50" t="s">
        <v>31</v>
      </c>
      <c r="L93" s="50" t="s">
        <v>519</v>
      </c>
      <c r="M93" s="56" t="s">
        <v>12</v>
      </c>
      <c r="N93" s="122" t="s">
        <v>665</v>
      </c>
      <c r="O93" s="57">
        <v>2</v>
      </c>
      <c r="P93" s="45">
        <v>6700</v>
      </c>
      <c r="Q93" s="58">
        <f t="shared" si="6"/>
        <v>13400</v>
      </c>
      <c r="R93" s="129" t="s">
        <v>684</v>
      </c>
      <c r="S93" s="19"/>
      <c r="T93" s="32"/>
      <c r="U93" s="32"/>
      <c r="V93" s="51">
        <f t="shared" si="7"/>
        <v>7771.9999999999991</v>
      </c>
      <c r="W93" s="51">
        <f t="shared" si="8"/>
        <v>15543.999999999998</v>
      </c>
      <c r="X93" s="52">
        <f t="shared" si="9"/>
        <v>5.23</v>
      </c>
      <c r="Y93" s="53">
        <f t="shared" si="10"/>
        <v>10.46</v>
      </c>
      <c r="Z93" s="54"/>
      <c r="AA93" s="71"/>
      <c r="AB93" s="71"/>
      <c r="AC93" s="128"/>
      <c r="AD93" s="33"/>
      <c r="AE93" s="55"/>
    </row>
    <row r="94" spans="2:31" ht="20.100000000000001" hidden="1" customHeight="1">
      <c r="B94" s="48">
        <v>90</v>
      </c>
      <c r="C94" s="121" t="s">
        <v>348</v>
      </c>
      <c r="D94" s="120" t="s">
        <v>349</v>
      </c>
      <c r="E94" s="120">
        <v>2603</v>
      </c>
      <c r="F94" s="120" t="s">
        <v>526</v>
      </c>
      <c r="G94" s="120" t="s">
        <v>689</v>
      </c>
      <c r="H94" s="49">
        <v>6</v>
      </c>
      <c r="I94" s="50" t="s">
        <v>79</v>
      </c>
      <c r="J94" s="124" t="s">
        <v>81</v>
      </c>
      <c r="K94" s="50" t="s">
        <v>31</v>
      </c>
      <c r="L94" s="50" t="s">
        <v>519</v>
      </c>
      <c r="M94" s="56" t="s">
        <v>12</v>
      </c>
      <c r="N94" s="122" t="s">
        <v>665</v>
      </c>
      <c r="O94" s="57">
        <v>2</v>
      </c>
      <c r="P94" s="45">
        <v>6700</v>
      </c>
      <c r="Q94" s="58">
        <f t="shared" si="6"/>
        <v>13400</v>
      </c>
      <c r="R94" s="129" t="s">
        <v>684</v>
      </c>
      <c r="S94" s="19"/>
      <c r="T94" s="32"/>
      <c r="U94" s="32"/>
      <c r="V94" s="51">
        <f t="shared" si="7"/>
        <v>7771.9999999999991</v>
      </c>
      <c r="W94" s="51">
        <f t="shared" si="8"/>
        <v>15543.999999999998</v>
      </c>
      <c r="X94" s="52">
        <f t="shared" si="9"/>
        <v>5.23</v>
      </c>
      <c r="Y94" s="53">
        <f t="shared" si="10"/>
        <v>10.46</v>
      </c>
      <c r="Z94" s="54"/>
      <c r="AA94" s="71"/>
      <c r="AB94" s="71"/>
      <c r="AC94" s="128"/>
      <c r="AD94" s="33"/>
      <c r="AE94" s="55"/>
    </row>
    <row r="95" spans="2:31" ht="20.100000000000001" hidden="1" customHeight="1">
      <c r="B95" s="48">
        <v>91</v>
      </c>
      <c r="C95" s="121" t="s">
        <v>348</v>
      </c>
      <c r="D95" s="120" t="s">
        <v>349</v>
      </c>
      <c r="E95" s="120">
        <v>2603</v>
      </c>
      <c r="F95" s="120" t="s">
        <v>526</v>
      </c>
      <c r="G95" s="120" t="s">
        <v>689</v>
      </c>
      <c r="H95" s="49">
        <v>6</v>
      </c>
      <c r="I95" s="50" t="s">
        <v>534</v>
      </c>
      <c r="J95" s="124" t="s">
        <v>535</v>
      </c>
      <c r="K95" s="50" t="s">
        <v>31</v>
      </c>
      <c r="L95" s="50" t="s">
        <v>519</v>
      </c>
      <c r="M95" s="56" t="s">
        <v>12</v>
      </c>
      <c r="N95" s="122" t="s">
        <v>665</v>
      </c>
      <c r="O95" s="57">
        <v>6</v>
      </c>
      <c r="P95" s="45">
        <v>6700</v>
      </c>
      <c r="Q95" s="58">
        <f t="shared" si="6"/>
        <v>40200</v>
      </c>
      <c r="R95" s="129" t="s">
        <v>684</v>
      </c>
      <c r="S95" s="19"/>
      <c r="T95" s="32"/>
      <c r="U95" s="32"/>
      <c r="V95" s="51">
        <f t="shared" si="7"/>
        <v>7771.9999999999991</v>
      </c>
      <c r="W95" s="51">
        <f t="shared" si="8"/>
        <v>46631.999999999993</v>
      </c>
      <c r="X95" s="52">
        <f t="shared" si="9"/>
        <v>5.23</v>
      </c>
      <c r="Y95" s="53">
        <f t="shared" si="10"/>
        <v>31.380000000000003</v>
      </c>
      <c r="Z95" s="54"/>
      <c r="AA95" s="71"/>
      <c r="AB95" s="71"/>
      <c r="AC95" s="128"/>
      <c r="AD95" s="33"/>
      <c r="AE95" s="55"/>
    </row>
    <row r="96" spans="2:31" ht="20.100000000000001" hidden="1" customHeight="1">
      <c r="B96" s="48">
        <v>93</v>
      </c>
      <c r="C96" s="121" t="s">
        <v>348</v>
      </c>
      <c r="D96" s="120" t="s">
        <v>349</v>
      </c>
      <c r="E96" s="120">
        <v>2603</v>
      </c>
      <c r="F96" s="120" t="s">
        <v>526</v>
      </c>
      <c r="G96" s="120" t="s">
        <v>689</v>
      </c>
      <c r="H96" s="49">
        <v>6</v>
      </c>
      <c r="I96" s="50" t="s">
        <v>90</v>
      </c>
      <c r="J96" s="124" t="s">
        <v>99</v>
      </c>
      <c r="K96" s="50" t="s">
        <v>538</v>
      </c>
      <c r="L96" s="50" t="s">
        <v>519</v>
      </c>
      <c r="M96" s="56" t="s">
        <v>12</v>
      </c>
      <c r="N96" s="122" t="s">
        <v>665</v>
      </c>
      <c r="O96" s="57">
        <v>8</v>
      </c>
      <c r="P96" s="45">
        <v>13500</v>
      </c>
      <c r="Q96" s="58">
        <f t="shared" si="6"/>
        <v>108000</v>
      </c>
      <c r="R96" s="129" t="s">
        <v>1026</v>
      </c>
      <c r="S96" s="19"/>
      <c r="T96" s="32"/>
      <c r="U96" s="32"/>
      <c r="V96" s="51">
        <f t="shared" si="7"/>
        <v>15659.999999999998</v>
      </c>
      <c r="W96" s="51">
        <f t="shared" si="8"/>
        <v>125279.99999999999</v>
      </c>
      <c r="X96" s="52">
        <f t="shared" si="9"/>
        <v>10.53</v>
      </c>
      <c r="Y96" s="53">
        <f t="shared" si="10"/>
        <v>84.24</v>
      </c>
      <c r="Z96" s="54"/>
      <c r="AA96" s="71"/>
      <c r="AB96" s="71"/>
      <c r="AC96" s="128"/>
      <c r="AD96" s="33"/>
      <c r="AE96" s="55"/>
    </row>
    <row r="97" spans="2:31" ht="20.100000000000001" hidden="1" customHeight="1">
      <c r="B97" s="48">
        <v>95</v>
      </c>
      <c r="C97" s="121" t="s">
        <v>348</v>
      </c>
      <c r="D97" s="120" t="s">
        <v>349</v>
      </c>
      <c r="E97" s="120">
        <v>2603</v>
      </c>
      <c r="F97" s="120" t="s">
        <v>526</v>
      </c>
      <c r="G97" s="120" t="s">
        <v>689</v>
      </c>
      <c r="H97" s="49">
        <v>3</v>
      </c>
      <c r="I97" s="50" t="s">
        <v>27</v>
      </c>
      <c r="J97" s="124" t="s">
        <v>542</v>
      </c>
      <c r="K97" s="50" t="s">
        <v>26</v>
      </c>
      <c r="L97" s="50" t="s">
        <v>519</v>
      </c>
      <c r="M97" s="56" t="s">
        <v>12</v>
      </c>
      <c r="N97" s="122" t="s">
        <v>666</v>
      </c>
      <c r="O97" s="57">
        <v>2</v>
      </c>
      <c r="P97" s="45">
        <v>150210</v>
      </c>
      <c r="Q97" s="58">
        <f t="shared" si="6"/>
        <v>300420</v>
      </c>
      <c r="R97" s="129" t="s">
        <v>684</v>
      </c>
      <c r="S97" s="19"/>
      <c r="T97" s="32"/>
      <c r="U97" s="32"/>
      <c r="V97" s="51">
        <f t="shared" si="7"/>
        <v>174243.59999999998</v>
      </c>
      <c r="W97" s="51">
        <f t="shared" si="8"/>
        <v>348487.19999999995</v>
      </c>
      <c r="X97" s="52">
        <f t="shared" si="9"/>
        <v>117.21</v>
      </c>
      <c r="Y97" s="53">
        <f t="shared" si="10"/>
        <v>234.42</v>
      </c>
      <c r="Z97" s="54"/>
      <c r="AA97" s="71"/>
      <c r="AB97" s="71"/>
      <c r="AC97" s="128" t="s">
        <v>692</v>
      </c>
      <c r="AD97" s="33"/>
      <c r="AE97" s="55"/>
    </row>
    <row r="98" spans="2:31" ht="20.100000000000001" hidden="1" customHeight="1">
      <c r="B98" s="48">
        <v>96</v>
      </c>
      <c r="C98" s="121" t="s">
        <v>348</v>
      </c>
      <c r="D98" s="120" t="s">
        <v>349</v>
      </c>
      <c r="E98" s="120">
        <v>2603</v>
      </c>
      <c r="F98" s="120" t="s">
        <v>526</v>
      </c>
      <c r="G98" s="120" t="s">
        <v>689</v>
      </c>
      <c r="H98" s="49">
        <v>3</v>
      </c>
      <c r="I98" s="50" t="s">
        <v>27</v>
      </c>
      <c r="J98" s="124" t="s">
        <v>551</v>
      </c>
      <c r="K98" s="50" t="s">
        <v>26</v>
      </c>
      <c r="L98" s="50" t="s">
        <v>519</v>
      </c>
      <c r="M98" s="56" t="s">
        <v>12</v>
      </c>
      <c r="N98" s="122" t="s">
        <v>666</v>
      </c>
      <c r="O98" s="57">
        <v>2</v>
      </c>
      <c r="P98" s="45">
        <v>187390</v>
      </c>
      <c r="Q98" s="58">
        <f t="shared" si="6"/>
        <v>374780</v>
      </c>
      <c r="R98" s="129" t="s">
        <v>684</v>
      </c>
      <c r="S98" s="19"/>
      <c r="T98" s="32"/>
      <c r="U98" s="32"/>
      <c r="V98" s="51">
        <f t="shared" si="7"/>
        <v>217372.4</v>
      </c>
      <c r="W98" s="51">
        <f t="shared" si="8"/>
        <v>434744.8</v>
      </c>
      <c r="X98" s="52">
        <f t="shared" si="9"/>
        <v>146.22</v>
      </c>
      <c r="Y98" s="53">
        <f t="shared" si="10"/>
        <v>292.44</v>
      </c>
      <c r="Z98" s="54"/>
      <c r="AA98" s="71"/>
      <c r="AB98" s="71"/>
      <c r="AC98" s="128" t="s">
        <v>692</v>
      </c>
      <c r="AD98" s="33"/>
      <c r="AE98" s="55"/>
    </row>
    <row r="99" spans="2:31" ht="20.100000000000001" hidden="1" customHeight="1">
      <c r="B99" s="48">
        <v>97</v>
      </c>
      <c r="C99" s="121" t="s">
        <v>348</v>
      </c>
      <c r="D99" s="120" t="s">
        <v>349</v>
      </c>
      <c r="E99" s="120">
        <v>2603</v>
      </c>
      <c r="F99" s="120" t="s">
        <v>526</v>
      </c>
      <c r="G99" s="120" t="s">
        <v>689</v>
      </c>
      <c r="H99" s="49">
        <v>3</v>
      </c>
      <c r="I99" s="50" t="s">
        <v>27</v>
      </c>
      <c r="J99" s="124" t="s">
        <v>552</v>
      </c>
      <c r="K99" s="50" t="s">
        <v>26</v>
      </c>
      <c r="L99" s="50" t="s">
        <v>519</v>
      </c>
      <c r="M99" s="56" t="s">
        <v>12</v>
      </c>
      <c r="N99" s="122" t="s">
        <v>666</v>
      </c>
      <c r="O99" s="57">
        <v>2</v>
      </c>
      <c r="P99" s="45">
        <v>185550</v>
      </c>
      <c r="Q99" s="58">
        <f t="shared" ref="Q99:Q127" si="11">O99*P99</f>
        <v>371100</v>
      </c>
      <c r="R99" s="129" t="s">
        <v>684</v>
      </c>
      <c r="S99" s="19"/>
      <c r="T99" s="32"/>
      <c r="U99" s="32"/>
      <c r="V99" s="51">
        <f t="shared" si="7"/>
        <v>215237.99999999997</v>
      </c>
      <c r="W99" s="51">
        <f t="shared" si="8"/>
        <v>430475.99999999994</v>
      </c>
      <c r="X99" s="52">
        <f t="shared" si="9"/>
        <v>144.78</v>
      </c>
      <c r="Y99" s="53">
        <f t="shared" si="10"/>
        <v>289.56</v>
      </c>
      <c r="Z99" s="54"/>
      <c r="AA99" s="71"/>
      <c r="AB99" s="71"/>
      <c r="AC99" s="128" t="s">
        <v>692</v>
      </c>
      <c r="AD99" s="33"/>
      <c r="AE99" s="55"/>
    </row>
    <row r="100" spans="2:31" ht="20.100000000000001" hidden="1" customHeight="1">
      <c r="B100" s="48">
        <v>98</v>
      </c>
      <c r="C100" s="121" t="s">
        <v>348</v>
      </c>
      <c r="D100" s="120" t="s">
        <v>349</v>
      </c>
      <c r="E100" s="120">
        <v>2603</v>
      </c>
      <c r="F100" s="120" t="s">
        <v>526</v>
      </c>
      <c r="G100" s="120" t="s">
        <v>689</v>
      </c>
      <c r="H100" s="49">
        <v>3</v>
      </c>
      <c r="I100" s="50" t="s">
        <v>72</v>
      </c>
      <c r="J100" s="124" t="s">
        <v>623</v>
      </c>
      <c r="K100" s="50" t="s">
        <v>649</v>
      </c>
      <c r="L100" s="50" t="s">
        <v>519</v>
      </c>
      <c r="M100" s="56" t="s">
        <v>12</v>
      </c>
      <c r="N100" s="122" t="s">
        <v>665</v>
      </c>
      <c r="O100" s="170">
        <v>14</v>
      </c>
      <c r="P100" s="45">
        <v>300</v>
      </c>
      <c r="Q100" s="58">
        <f t="shared" si="11"/>
        <v>4200</v>
      </c>
      <c r="R100" s="129" t="s">
        <v>684</v>
      </c>
      <c r="S100" s="19"/>
      <c r="T100" s="32"/>
      <c r="U100" s="32"/>
      <c r="V100" s="51">
        <f t="shared" si="7"/>
        <v>348</v>
      </c>
      <c r="W100" s="51">
        <f t="shared" si="8"/>
        <v>4872</v>
      </c>
      <c r="X100" s="52">
        <f t="shared" si="9"/>
        <v>0.23</v>
      </c>
      <c r="Y100" s="53">
        <f t="shared" si="10"/>
        <v>3.22</v>
      </c>
      <c r="Z100" s="54"/>
      <c r="AA100" s="71"/>
      <c r="AB100" s="71"/>
      <c r="AC100" s="128" t="s">
        <v>692</v>
      </c>
      <c r="AD100" s="33"/>
      <c r="AE100" s="55"/>
    </row>
    <row r="101" spans="2:31" ht="20.100000000000001" hidden="1" customHeight="1">
      <c r="B101" s="48">
        <v>99</v>
      </c>
      <c r="C101" s="121" t="s">
        <v>348</v>
      </c>
      <c r="D101" s="120" t="s">
        <v>349</v>
      </c>
      <c r="E101" s="120">
        <v>2603</v>
      </c>
      <c r="F101" s="120" t="s">
        <v>526</v>
      </c>
      <c r="G101" s="120" t="s">
        <v>689</v>
      </c>
      <c r="H101" s="49">
        <v>3</v>
      </c>
      <c r="I101" s="50" t="s">
        <v>226</v>
      </c>
      <c r="J101" s="124" t="s">
        <v>624</v>
      </c>
      <c r="K101" s="50" t="s">
        <v>31</v>
      </c>
      <c r="L101" s="50" t="s">
        <v>519</v>
      </c>
      <c r="M101" s="56" t="s">
        <v>12</v>
      </c>
      <c r="N101" s="122" t="s">
        <v>665</v>
      </c>
      <c r="O101" s="57">
        <v>4</v>
      </c>
      <c r="P101" s="45">
        <v>7300</v>
      </c>
      <c r="Q101" s="58">
        <f t="shared" si="11"/>
        <v>29200</v>
      </c>
      <c r="R101" s="129" t="s">
        <v>684</v>
      </c>
      <c r="S101" s="19"/>
      <c r="T101" s="32"/>
      <c r="U101" s="32"/>
      <c r="V101" s="51">
        <f t="shared" si="7"/>
        <v>8468</v>
      </c>
      <c r="W101" s="51">
        <f t="shared" si="8"/>
        <v>33872</v>
      </c>
      <c r="X101" s="52">
        <f t="shared" si="9"/>
        <v>5.7</v>
      </c>
      <c r="Y101" s="53">
        <f t="shared" si="10"/>
        <v>22.8</v>
      </c>
      <c r="Z101" s="54"/>
      <c r="AA101" s="71"/>
      <c r="AB101" s="71"/>
      <c r="AC101" s="128" t="s">
        <v>692</v>
      </c>
      <c r="AD101" s="33"/>
      <c r="AE101" s="55"/>
    </row>
    <row r="102" spans="2:31" ht="20.100000000000001" hidden="1" customHeight="1">
      <c r="B102" s="48">
        <v>100</v>
      </c>
      <c r="C102" s="121" t="s">
        <v>348</v>
      </c>
      <c r="D102" s="120" t="s">
        <v>349</v>
      </c>
      <c r="E102" s="120">
        <v>2603</v>
      </c>
      <c r="F102" s="120" t="s">
        <v>526</v>
      </c>
      <c r="G102" s="120" t="s">
        <v>689</v>
      </c>
      <c r="H102" s="49">
        <v>3</v>
      </c>
      <c r="I102" s="50" t="s">
        <v>72</v>
      </c>
      <c r="J102" s="124" t="s">
        <v>625</v>
      </c>
      <c r="K102" s="50" t="s">
        <v>649</v>
      </c>
      <c r="L102" s="50" t="s">
        <v>519</v>
      </c>
      <c r="M102" s="56" t="s">
        <v>12</v>
      </c>
      <c r="N102" s="122" t="s">
        <v>665</v>
      </c>
      <c r="O102" s="170">
        <v>12</v>
      </c>
      <c r="P102" s="45">
        <v>400</v>
      </c>
      <c r="Q102" s="58">
        <f t="shared" si="11"/>
        <v>4800</v>
      </c>
      <c r="R102" s="129" t="s">
        <v>684</v>
      </c>
      <c r="S102" s="19"/>
      <c r="T102" s="32"/>
      <c r="U102" s="32"/>
      <c r="V102" s="51">
        <f t="shared" si="7"/>
        <v>463.99999999999994</v>
      </c>
      <c r="W102" s="51">
        <f t="shared" si="8"/>
        <v>5567.9999999999991</v>
      </c>
      <c r="X102" s="52">
        <f t="shared" si="9"/>
        <v>0.31</v>
      </c>
      <c r="Y102" s="53">
        <f t="shared" si="10"/>
        <v>3.7199999999999998</v>
      </c>
      <c r="Z102" s="54"/>
      <c r="AA102" s="71"/>
      <c r="AB102" s="71"/>
      <c r="AC102" s="128" t="s">
        <v>692</v>
      </c>
      <c r="AD102" s="33"/>
      <c r="AE102" s="55"/>
    </row>
    <row r="103" spans="2:31" ht="20.100000000000001" hidden="1" customHeight="1">
      <c r="B103" s="48">
        <v>101</v>
      </c>
      <c r="C103" s="121" t="s">
        <v>348</v>
      </c>
      <c r="D103" s="120" t="s">
        <v>349</v>
      </c>
      <c r="E103" s="120">
        <v>2603</v>
      </c>
      <c r="F103" s="120" t="s">
        <v>526</v>
      </c>
      <c r="G103" s="120" t="s">
        <v>689</v>
      </c>
      <c r="H103" s="49">
        <v>2</v>
      </c>
      <c r="I103" s="50" t="s">
        <v>135</v>
      </c>
      <c r="J103" s="124" t="s">
        <v>136</v>
      </c>
      <c r="K103" s="50" t="s">
        <v>139</v>
      </c>
      <c r="L103" s="50" t="s">
        <v>520</v>
      </c>
      <c r="M103" s="56" t="s">
        <v>12</v>
      </c>
      <c r="N103" s="122" t="s">
        <v>665</v>
      </c>
      <c r="O103" s="57">
        <v>14</v>
      </c>
      <c r="P103" s="45">
        <v>53000</v>
      </c>
      <c r="Q103" s="58">
        <f t="shared" si="11"/>
        <v>742000</v>
      </c>
      <c r="R103" s="129" t="s">
        <v>663</v>
      </c>
      <c r="S103" s="19"/>
      <c r="T103" s="32"/>
      <c r="U103" s="32"/>
      <c r="V103" s="51">
        <f t="shared" si="7"/>
        <v>61479.999999999993</v>
      </c>
      <c r="W103" s="51">
        <f t="shared" si="8"/>
        <v>860719.99999999988</v>
      </c>
      <c r="X103" s="52">
        <f t="shared" si="9"/>
        <v>41.36</v>
      </c>
      <c r="Y103" s="53">
        <f t="shared" si="10"/>
        <v>579.04</v>
      </c>
      <c r="Z103" s="54"/>
      <c r="AA103" s="71"/>
      <c r="AB103" s="71"/>
      <c r="AC103" s="128"/>
      <c r="AD103" s="33"/>
      <c r="AE103" s="55"/>
    </row>
    <row r="104" spans="2:31" ht="20.100000000000001" hidden="1" customHeight="1">
      <c r="B104" s="48">
        <v>102</v>
      </c>
      <c r="C104" s="121" t="s">
        <v>348</v>
      </c>
      <c r="D104" s="120" t="s">
        <v>349</v>
      </c>
      <c r="E104" s="120">
        <v>2603</v>
      </c>
      <c r="F104" s="120" t="s">
        <v>526</v>
      </c>
      <c r="G104" s="120" t="s">
        <v>689</v>
      </c>
      <c r="H104" s="49">
        <v>2</v>
      </c>
      <c r="I104" s="50" t="s">
        <v>137</v>
      </c>
      <c r="J104" s="124" t="s">
        <v>138</v>
      </c>
      <c r="K104" s="50" t="s">
        <v>139</v>
      </c>
      <c r="L104" s="50" t="s">
        <v>520</v>
      </c>
      <c r="M104" s="56" t="s">
        <v>12</v>
      </c>
      <c r="N104" s="122" t="s">
        <v>665</v>
      </c>
      <c r="O104" s="57">
        <v>14</v>
      </c>
      <c r="P104" s="45">
        <v>59000</v>
      </c>
      <c r="Q104" s="58">
        <f t="shared" si="11"/>
        <v>826000</v>
      </c>
      <c r="R104" s="129" t="s">
        <v>663</v>
      </c>
      <c r="S104" s="19"/>
      <c r="T104" s="32"/>
      <c r="U104" s="32"/>
      <c r="V104" s="51">
        <f t="shared" si="7"/>
        <v>68440</v>
      </c>
      <c r="W104" s="51">
        <f t="shared" si="8"/>
        <v>958160</v>
      </c>
      <c r="X104" s="52">
        <f t="shared" si="9"/>
        <v>46.04</v>
      </c>
      <c r="Y104" s="53">
        <f t="shared" si="10"/>
        <v>644.55999999999995</v>
      </c>
      <c r="Z104" s="54"/>
      <c r="AA104" s="71"/>
      <c r="AB104" s="71"/>
      <c r="AC104" s="128"/>
      <c r="AD104" s="33"/>
      <c r="AE104" s="55"/>
    </row>
    <row r="105" spans="2:31" ht="20.100000000000001" hidden="1" customHeight="1">
      <c r="B105" s="48">
        <v>103</v>
      </c>
      <c r="C105" s="121" t="s">
        <v>348</v>
      </c>
      <c r="D105" s="120" t="s">
        <v>349</v>
      </c>
      <c r="E105" s="120">
        <v>2603</v>
      </c>
      <c r="F105" s="120" t="s">
        <v>526</v>
      </c>
      <c r="G105" s="120" t="s">
        <v>689</v>
      </c>
      <c r="H105" s="49">
        <v>2</v>
      </c>
      <c r="I105" s="50" t="s">
        <v>133</v>
      </c>
      <c r="J105" s="124" t="s">
        <v>134</v>
      </c>
      <c r="K105" s="50" t="s">
        <v>139</v>
      </c>
      <c r="L105" s="50" t="s">
        <v>520</v>
      </c>
      <c r="M105" s="56" t="s">
        <v>12</v>
      </c>
      <c r="N105" s="122" t="s">
        <v>665</v>
      </c>
      <c r="O105" s="57">
        <v>2</v>
      </c>
      <c r="P105" s="45">
        <v>78000</v>
      </c>
      <c r="Q105" s="58">
        <f t="shared" si="11"/>
        <v>156000</v>
      </c>
      <c r="R105" s="129" t="s">
        <v>663</v>
      </c>
      <c r="S105" s="19"/>
      <c r="T105" s="32"/>
      <c r="U105" s="32"/>
      <c r="V105" s="51">
        <f t="shared" si="7"/>
        <v>90480</v>
      </c>
      <c r="W105" s="51">
        <f t="shared" si="8"/>
        <v>180960</v>
      </c>
      <c r="X105" s="52">
        <f t="shared" si="9"/>
        <v>60.86</v>
      </c>
      <c r="Y105" s="53">
        <f t="shared" si="10"/>
        <v>121.72</v>
      </c>
      <c r="Z105" s="54"/>
      <c r="AA105" s="71"/>
      <c r="AB105" s="71"/>
      <c r="AC105" s="128"/>
      <c r="AD105" s="33"/>
      <c r="AE105" s="55"/>
    </row>
    <row r="106" spans="2:31" ht="20.100000000000001" hidden="1" customHeight="1">
      <c r="B106" s="48">
        <v>104</v>
      </c>
      <c r="C106" s="121" t="s">
        <v>348</v>
      </c>
      <c r="D106" s="120" t="s">
        <v>349</v>
      </c>
      <c r="E106" s="120">
        <v>2603</v>
      </c>
      <c r="F106" s="120" t="s">
        <v>526</v>
      </c>
      <c r="G106" s="120" t="s">
        <v>689</v>
      </c>
      <c r="H106" s="49">
        <v>3</v>
      </c>
      <c r="I106" s="50" t="s">
        <v>180</v>
      </c>
      <c r="J106" s="124" t="s">
        <v>184</v>
      </c>
      <c r="K106" s="50" t="s">
        <v>181</v>
      </c>
      <c r="L106" s="50" t="s">
        <v>521</v>
      </c>
      <c r="M106" s="56" t="s">
        <v>12</v>
      </c>
      <c r="N106" s="122" t="s">
        <v>665</v>
      </c>
      <c r="O106" s="57">
        <v>10</v>
      </c>
      <c r="P106" s="45">
        <v>8700</v>
      </c>
      <c r="Q106" s="58">
        <f t="shared" si="11"/>
        <v>87000</v>
      </c>
      <c r="R106" s="69" t="s">
        <v>663</v>
      </c>
      <c r="S106" s="19"/>
      <c r="T106" s="32"/>
      <c r="U106" s="32"/>
      <c r="V106" s="51">
        <f t="shared" si="7"/>
        <v>10092</v>
      </c>
      <c r="W106" s="51">
        <f t="shared" si="8"/>
        <v>100920</v>
      </c>
      <c r="X106" s="52">
        <f t="shared" si="9"/>
        <v>6.79</v>
      </c>
      <c r="Y106" s="53">
        <f t="shared" si="10"/>
        <v>67.900000000000006</v>
      </c>
      <c r="Z106" s="54"/>
      <c r="AA106" s="71"/>
      <c r="AB106" s="71"/>
      <c r="AC106" s="128"/>
      <c r="AD106" s="33"/>
      <c r="AE106" s="55"/>
    </row>
    <row r="107" spans="2:31" ht="20.100000000000001" hidden="1" customHeight="1">
      <c r="B107" s="48">
        <v>105</v>
      </c>
      <c r="C107" s="121" t="s">
        <v>348</v>
      </c>
      <c r="D107" s="120" t="s">
        <v>349</v>
      </c>
      <c r="E107" s="120">
        <v>2603</v>
      </c>
      <c r="F107" s="120" t="s">
        <v>526</v>
      </c>
      <c r="G107" s="120" t="s">
        <v>689</v>
      </c>
      <c r="H107" s="49">
        <v>3</v>
      </c>
      <c r="I107" s="50" t="s">
        <v>182</v>
      </c>
      <c r="J107" s="124" t="s">
        <v>185</v>
      </c>
      <c r="K107" s="50" t="s">
        <v>181</v>
      </c>
      <c r="L107" s="50" t="s">
        <v>521</v>
      </c>
      <c r="M107" s="56" t="s">
        <v>12</v>
      </c>
      <c r="N107" s="122" t="s">
        <v>665</v>
      </c>
      <c r="O107" s="57">
        <v>8</v>
      </c>
      <c r="P107" s="45">
        <v>34900</v>
      </c>
      <c r="Q107" s="58">
        <f t="shared" si="11"/>
        <v>279200</v>
      </c>
      <c r="R107" s="69" t="s">
        <v>663</v>
      </c>
      <c r="S107" s="19"/>
      <c r="T107" s="32"/>
      <c r="U107" s="32"/>
      <c r="V107" s="51">
        <f t="shared" si="7"/>
        <v>40484</v>
      </c>
      <c r="W107" s="51">
        <f t="shared" si="8"/>
        <v>323872</v>
      </c>
      <c r="X107" s="52">
        <f t="shared" si="9"/>
        <v>27.23</v>
      </c>
      <c r="Y107" s="53">
        <f t="shared" si="10"/>
        <v>217.84</v>
      </c>
      <c r="Z107" s="54"/>
      <c r="AA107" s="71"/>
      <c r="AB107" s="71"/>
      <c r="AC107" s="128"/>
      <c r="AD107" s="33"/>
      <c r="AE107" s="55"/>
    </row>
    <row r="108" spans="2:31" ht="20.100000000000001" hidden="1" customHeight="1">
      <c r="B108" s="48">
        <v>106</v>
      </c>
      <c r="C108" s="121" t="s">
        <v>348</v>
      </c>
      <c r="D108" s="120" t="s">
        <v>349</v>
      </c>
      <c r="E108" s="120">
        <v>2603</v>
      </c>
      <c r="F108" s="120" t="s">
        <v>526</v>
      </c>
      <c r="G108" s="120" t="s">
        <v>689</v>
      </c>
      <c r="H108" s="49">
        <v>3</v>
      </c>
      <c r="I108" s="50" t="s">
        <v>183</v>
      </c>
      <c r="J108" s="124" t="s">
        <v>186</v>
      </c>
      <c r="K108" s="50" t="s">
        <v>181</v>
      </c>
      <c r="L108" s="50" t="s">
        <v>521</v>
      </c>
      <c r="M108" s="56" t="s">
        <v>12</v>
      </c>
      <c r="N108" s="122" t="s">
        <v>665</v>
      </c>
      <c r="O108" s="57">
        <v>10</v>
      </c>
      <c r="P108" s="45">
        <v>20600</v>
      </c>
      <c r="Q108" s="58">
        <f t="shared" si="11"/>
        <v>206000</v>
      </c>
      <c r="R108" s="69" t="s">
        <v>663</v>
      </c>
      <c r="S108" s="19"/>
      <c r="T108" s="32"/>
      <c r="U108" s="32"/>
      <c r="V108" s="51">
        <f t="shared" si="7"/>
        <v>23896</v>
      </c>
      <c r="W108" s="51">
        <f t="shared" si="8"/>
        <v>238960</v>
      </c>
      <c r="X108" s="52">
        <f t="shared" si="9"/>
        <v>16.07</v>
      </c>
      <c r="Y108" s="53">
        <f t="shared" si="10"/>
        <v>160.69999999999999</v>
      </c>
      <c r="Z108" s="54"/>
      <c r="AA108" s="71"/>
      <c r="AB108" s="71"/>
      <c r="AC108" s="128"/>
      <c r="AD108" s="33"/>
      <c r="AE108" s="55"/>
    </row>
    <row r="109" spans="2:31" ht="20.100000000000001" hidden="1" customHeight="1">
      <c r="B109" s="48">
        <v>107</v>
      </c>
      <c r="C109" s="121" t="s">
        <v>348</v>
      </c>
      <c r="D109" s="120" t="s">
        <v>349</v>
      </c>
      <c r="E109" s="120">
        <v>2603</v>
      </c>
      <c r="F109" s="120" t="s">
        <v>526</v>
      </c>
      <c r="G109" s="120" t="s">
        <v>689</v>
      </c>
      <c r="H109" s="49"/>
      <c r="I109" s="50" t="s">
        <v>24</v>
      </c>
      <c r="J109" s="124" t="s">
        <v>66</v>
      </c>
      <c r="K109" s="50" t="s">
        <v>47</v>
      </c>
      <c r="L109" s="50" t="s">
        <v>521</v>
      </c>
      <c r="M109" s="56" t="s">
        <v>12</v>
      </c>
      <c r="N109" s="122" t="s">
        <v>666</v>
      </c>
      <c r="O109" s="57">
        <v>16</v>
      </c>
      <c r="P109" s="45">
        <v>34000</v>
      </c>
      <c r="Q109" s="58">
        <f t="shared" si="11"/>
        <v>544000</v>
      </c>
      <c r="R109" s="129" t="s">
        <v>1025</v>
      </c>
      <c r="S109" s="19"/>
      <c r="T109" s="32"/>
      <c r="U109" s="32"/>
      <c r="V109" s="51">
        <f t="shared" si="7"/>
        <v>39440</v>
      </c>
      <c r="W109" s="51">
        <f t="shared" si="8"/>
        <v>631040</v>
      </c>
      <c r="X109" s="52">
        <f t="shared" si="9"/>
        <v>26.53</v>
      </c>
      <c r="Y109" s="53">
        <f t="shared" si="10"/>
        <v>424.48</v>
      </c>
      <c r="Z109" s="54"/>
      <c r="AA109" s="71"/>
      <c r="AB109" s="71"/>
      <c r="AC109" s="128"/>
      <c r="AD109" s="33"/>
      <c r="AE109" s="55"/>
    </row>
    <row r="110" spans="2:31" ht="20.100000000000001" hidden="1" customHeight="1">
      <c r="B110" s="48">
        <v>108</v>
      </c>
      <c r="C110" s="121" t="s">
        <v>348</v>
      </c>
      <c r="D110" s="120" t="s">
        <v>349</v>
      </c>
      <c r="E110" s="120">
        <v>2603</v>
      </c>
      <c r="F110" s="120" t="s">
        <v>526</v>
      </c>
      <c r="G110" s="120" t="s">
        <v>689</v>
      </c>
      <c r="H110" s="49">
        <v>4</v>
      </c>
      <c r="I110" s="50" t="s">
        <v>112</v>
      </c>
      <c r="J110" s="124" t="s">
        <v>116</v>
      </c>
      <c r="K110" s="50" t="s">
        <v>632</v>
      </c>
      <c r="L110" s="50" t="s">
        <v>521</v>
      </c>
      <c r="M110" s="56" t="s">
        <v>12</v>
      </c>
      <c r="N110" s="122" t="s">
        <v>665</v>
      </c>
      <c r="O110" s="57">
        <v>4</v>
      </c>
      <c r="P110" s="45">
        <v>23200</v>
      </c>
      <c r="Q110" s="58">
        <f t="shared" si="11"/>
        <v>92800</v>
      </c>
      <c r="R110" s="69" t="s">
        <v>684</v>
      </c>
      <c r="S110" s="19"/>
      <c r="T110" s="32"/>
      <c r="U110" s="32"/>
      <c r="V110" s="51">
        <f t="shared" si="7"/>
        <v>26911.999999999996</v>
      </c>
      <c r="W110" s="51">
        <f t="shared" si="8"/>
        <v>107647.99999999999</v>
      </c>
      <c r="X110" s="52">
        <f t="shared" si="9"/>
        <v>18.100000000000001</v>
      </c>
      <c r="Y110" s="53">
        <f t="shared" si="10"/>
        <v>72.400000000000006</v>
      </c>
      <c r="Z110" s="54"/>
      <c r="AA110" s="71"/>
      <c r="AB110" s="71"/>
      <c r="AC110" s="128"/>
      <c r="AD110" s="33"/>
      <c r="AE110" s="55"/>
    </row>
    <row r="111" spans="2:31" ht="20.100000000000001" hidden="1" customHeight="1">
      <c r="B111" s="48">
        <v>109</v>
      </c>
      <c r="C111" s="121" t="s">
        <v>348</v>
      </c>
      <c r="D111" s="120" t="s">
        <v>349</v>
      </c>
      <c r="E111" s="120">
        <v>2603</v>
      </c>
      <c r="F111" s="120" t="s">
        <v>526</v>
      </c>
      <c r="G111" s="120" t="s">
        <v>689</v>
      </c>
      <c r="H111" s="49">
        <v>4</v>
      </c>
      <c r="I111" s="50" t="s">
        <v>113</v>
      </c>
      <c r="J111" s="124" t="s">
        <v>117</v>
      </c>
      <c r="K111" s="50" t="s">
        <v>181</v>
      </c>
      <c r="L111" s="50" t="s">
        <v>521</v>
      </c>
      <c r="M111" s="56" t="s">
        <v>12</v>
      </c>
      <c r="N111" s="122" t="s">
        <v>665</v>
      </c>
      <c r="O111" s="57">
        <v>4</v>
      </c>
      <c r="P111" s="45">
        <v>21400</v>
      </c>
      <c r="Q111" s="58">
        <f t="shared" si="11"/>
        <v>85600</v>
      </c>
      <c r="R111" s="69" t="s">
        <v>684</v>
      </c>
      <c r="S111" s="19"/>
      <c r="T111" s="32"/>
      <c r="U111" s="32"/>
      <c r="V111" s="51">
        <f t="shared" si="7"/>
        <v>24824</v>
      </c>
      <c r="W111" s="51">
        <f t="shared" si="8"/>
        <v>99296</v>
      </c>
      <c r="X111" s="52">
        <f t="shared" si="9"/>
        <v>16.7</v>
      </c>
      <c r="Y111" s="53">
        <f t="shared" si="10"/>
        <v>66.8</v>
      </c>
      <c r="Z111" s="54"/>
      <c r="AA111" s="71"/>
      <c r="AB111" s="71"/>
      <c r="AC111" s="128"/>
      <c r="AD111" s="33"/>
      <c r="AE111" s="55"/>
    </row>
    <row r="112" spans="2:31" ht="20.100000000000001" hidden="1" customHeight="1">
      <c r="B112" s="48">
        <v>110</v>
      </c>
      <c r="C112" s="121" t="s">
        <v>348</v>
      </c>
      <c r="D112" s="120" t="s">
        <v>349</v>
      </c>
      <c r="E112" s="120">
        <v>2603</v>
      </c>
      <c r="F112" s="120" t="s">
        <v>526</v>
      </c>
      <c r="G112" s="120" t="s">
        <v>689</v>
      </c>
      <c r="H112" s="49">
        <v>4</v>
      </c>
      <c r="I112" s="50" t="s">
        <v>566</v>
      </c>
      <c r="J112" s="124" t="s">
        <v>567</v>
      </c>
      <c r="K112" s="50" t="s">
        <v>181</v>
      </c>
      <c r="L112" s="50" t="s">
        <v>521</v>
      </c>
      <c r="M112" s="56" t="s">
        <v>12</v>
      </c>
      <c r="N112" s="122" t="s">
        <v>665</v>
      </c>
      <c r="O112" s="57">
        <v>4</v>
      </c>
      <c r="P112" s="45">
        <v>14100</v>
      </c>
      <c r="Q112" s="58">
        <f t="shared" si="11"/>
        <v>56400</v>
      </c>
      <c r="R112" s="69" t="s">
        <v>684</v>
      </c>
      <c r="S112" s="19"/>
      <c r="T112" s="32"/>
      <c r="U112" s="32"/>
      <c r="V112" s="51">
        <f t="shared" si="7"/>
        <v>16355.999999999998</v>
      </c>
      <c r="W112" s="51">
        <f t="shared" si="8"/>
        <v>65423.999999999993</v>
      </c>
      <c r="X112" s="52">
        <f t="shared" si="9"/>
        <v>11</v>
      </c>
      <c r="Y112" s="53">
        <f t="shared" si="10"/>
        <v>44</v>
      </c>
      <c r="Z112" s="54"/>
      <c r="AA112" s="71"/>
      <c r="AB112" s="71"/>
      <c r="AC112" s="128"/>
      <c r="AD112" s="33"/>
      <c r="AE112" s="55"/>
    </row>
    <row r="113" spans="2:31" ht="20.100000000000001" hidden="1" customHeight="1">
      <c r="B113" s="48">
        <v>111</v>
      </c>
      <c r="C113" s="121" t="s">
        <v>348</v>
      </c>
      <c r="D113" s="120" t="s">
        <v>349</v>
      </c>
      <c r="E113" s="120">
        <v>2603</v>
      </c>
      <c r="F113" s="120" t="s">
        <v>526</v>
      </c>
      <c r="G113" s="120" t="s">
        <v>689</v>
      </c>
      <c r="H113" s="49">
        <v>4</v>
      </c>
      <c r="I113" s="50" t="s">
        <v>112</v>
      </c>
      <c r="J113" s="124" t="s">
        <v>114</v>
      </c>
      <c r="K113" s="50" t="s">
        <v>181</v>
      </c>
      <c r="L113" s="50" t="s">
        <v>521</v>
      </c>
      <c r="M113" s="56" t="s">
        <v>12</v>
      </c>
      <c r="N113" s="122" t="s">
        <v>665</v>
      </c>
      <c r="O113" s="57">
        <v>2</v>
      </c>
      <c r="P113" s="45">
        <v>26600</v>
      </c>
      <c r="Q113" s="58">
        <f t="shared" si="11"/>
        <v>53200</v>
      </c>
      <c r="R113" s="69" t="s">
        <v>684</v>
      </c>
      <c r="S113" s="19"/>
      <c r="T113" s="32"/>
      <c r="U113" s="32"/>
      <c r="V113" s="51">
        <f t="shared" si="7"/>
        <v>30855.999999999996</v>
      </c>
      <c r="W113" s="51">
        <f t="shared" si="8"/>
        <v>61711.999999999993</v>
      </c>
      <c r="X113" s="52">
        <f t="shared" si="9"/>
        <v>20.76</v>
      </c>
      <c r="Y113" s="53">
        <f t="shared" si="10"/>
        <v>41.52</v>
      </c>
      <c r="Z113" s="54"/>
      <c r="AA113" s="71"/>
      <c r="AB113" s="71"/>
      <c r="AC113" s="128"/>
      <c r="AD113" s="33"/>
      <c r="AE113" s="55"/>
    </row>
    <row r="114" spans="2:31" ht="20.100000000000001" hidden="1" customHeight="1">
      <c r="B114" s="48">
        <v>112</v>
      </c>
      <c r="C114" s="121" t="s">
        <v>348</v>
      </c>
      <c r="D114" s="120" t="s">
        <v>349</v>
      </c>
      <c r="E114" s="120">
        <v>2603</v>
      </c>
      <c r="F114" s="120" t="s">
        <v>526</v>
      </c>
      <c r="G114" s="120" t="s">
        <v>689</v>
      </c>
      <c r="H114" s="49">
        <v>4</v>
      </c>
      <c r="I114" s="50" t="s">
        <v>113</v>
      </c>
      <c r="J114" s="124" t="s">
        <v>115</v>
      </c>
      <c r="K114" s="50" t="s">
        <v>181</v>
      </c>
      <c r="L114" s="50" t="s">
        <v>521</v>
      </c>
      <c r="M114" s="56" t="s">
        <v>12</v>
      </c>
      <c r="N114" s="122" t="s">
        <v>665</v>
      </c>
      <c r="O114" s="57">
        <v>2</v>
      </c>
      <c r="P114" s="45">
        <v>22800</v>
      </c>
      <c r="Q114" s="58">
        <f t="shared" si="11"/>
        <v>45600</v>
      </c>
      <c r="R114" s="129" t="s">
        <v>684</v>
      </c>
      <c r="S114" s="19"/>
      <c r="T114" s="32"/>
      <c r="U114" s="32"/>
      <c r="V114" s="51">
        <f t="shared" si="7"/>
        <v>26447.999999999996</v>
      </c>
      <c r="W114" s="51">
        <f t="shared" si="8"/>
        <v>52895.999999999993</v>
      </c>
      <c r="X114" s="52">
        <f t="shared" si="9"/>
        <v>17.79</v>
      </c>
      <c r="Y114" s="53">
        <f t="shared" si="10"/>
        <v>35.58</v>
      </c>
      <c r="Z114" s="54"/>
      <c r="AA114" s="71"/>
      <c r="AB114" s="71"/>
      <c r="AC114" s="128"/>
      <c r="AD114" s="33"/>
      <c r="AE114" s="55"/>
    </row>
    <row r="115" spans="2:31" ht="20.100000000000001" hidden="1" customHeight="1">
      <c r="B115" s="48">
        <v>113</v>
      </c>
      <c r="C115" s="121" t="s">
        <v>348</v>
      </c>
      <c r="D115" s="120" t="s">
        <v>349</v>
      </c>
      <c r="E115" s="120">
        <v>2603</v>
      </c>
      <c r="F115" s="120" t="s">
        <v>526</v>
      </c>
      <c r="G115" s="120" t="s">
        <v>689</v>
      </c>
      <c r="H115" s="49"/>
      <c r="I115" s="50" t="s">
        <v>528</v>
      </c>
      <c r="J115" s="124" t="s">
        <v>568</v>
      </c>
      <c r="K115" s="50" t="s">
        <v>181</v>
      </c>
      <c r="L115" s="50" t="s">
        <v>521</v>
      </c>
      <c r="M115" s="56" t="s">
        <v>12</v>
      </c>
      <c r="N115" s="122" t="s">
        <v>665</v>
      </c>
      <c r="O115" s="57">
        <v>10</v>
      </c>
      <c r="P115" s="45">
        <v>4700</v>
      </c>
      <c r="Q115" s="58">
        <f t="shared" si="11"/>
        <v>47000</v>
      </c>
      <c r="R115" s="129" t="s">
        <v>1025</v>
      </c>
      <c r="S115" s="19"/>
      <c r="T115" s="32"/>
      <c r="U115" s="32"/>
      <c r="V115" s="51">
        <f t="shared" si="7"/>
        <v>5452</v>
      </c>
      <c r="W115" s="51">
        <f t="shared" si="8"/>
        <v>54520</v>
      </c>
      <c r="X115" s="52">
        <f t="shared" si="9"/>
        <v>3.67</v>
      </c>
      <c r="Y115" s="53">
        <f t="shared" si="10"/>
        <v>36.700000000000003</v>
      </c>
      <c r="Z115" s="54"/>
      <c r="AA115" s="71"/>
      <c r="AB115" s="71"/>
      <c r="AC115" s="128"/>
      <c r="AD115" s="33"/>
      <c r="AE115" s="55"/>
    </row>
    <row r="116" spans="2:31" ht="20.100000000000001" hidden="1" customHeight="1">
      <c r="B116" s="48">
        <v>114</v>
      </c>
      <c r="C116" s="121" t="s">
        <v>348</v>
      </c>
      <c r="D116" s="120" t="s">
        <v>349</v>
      </c>
      <c r="E116" s="120">
        <v>2603</v>
      </c>
      <c r="F116" s="120" t="s">
        <v>526</v>
      </c>
      <c r="G116" s="120" t="s">
        <v>689</v>
      </c>
      <c r="H116" s="49">
        <v>4</v>
      </c>
      <c r="I116" s="50" t="s">
        <v>510</v>
      </c>
      <c r="J116" s="124" t="s">
        <v>511</v>
      </c>
      <c r="K116" s="50" t="s">
        <v>181</v>
      </c>
      <c r="L116" s="50" t="s">
        <v>521</v>
      </c>
      <c r="M116" s="56" t="s">
        <v>12</v>
      </c>
      <c r="N116" s="122" t="s">
        <v>665</v>
      </c>
      <c r="O116" s="57">
        <v>10</v>
      </c>
      <c r="P116" s="45">
        <v>14400</v>
      </c>
      <c r="Q116" s="58">
        <f t="shared" si="11"/>
        <v>144000</v>
      </c>
      <c r="R116" s="69" t="s">
        <v>684</v>
      </c>
      <c r="S116" s="19"/>
      <c r="T116" s="32"/>
      <c r="U116" s="32"/>
      <c r="V116" s="51">
        <f t="shared" si="7"/>
        <v>16704</v>
      </c>
      <c r="W116" s="51">
        <f t="shared" si="8"/>
        <v>167040</v>
      </c>
      <c r="X116" s="52">
        <f t="shared" si="9"/>
        <v>11.24</v>
      </c>
      <c r="Y116" s="53">
        <f t="shared" si="10"/>
        <v>112.4</v>
      </c>
      <c r="Z116" s="54"/>
      <c r="AA116" s="71"/>
      <c r="AB116" s="71"/>
      <c r="AC116" s="128"/>
      <c r="AD116" s="33"/>
      <c r="AE116" s="55"/>
    </row>
    <row r="117" spans="2:31" ht="20.100000000000001" hidden="1" customHeight="1">
      <c r="B117" s="48">
        <v>115</v>
      </c>
      <c r="C117" s="121" t="s">
        <v>348</v>
      </c>
      <c r="D117" s="120" t="s">
        <v>349</v>
      </c>
      <c r="E117" s="120">
        <v>2603</v>
      </c>
      <c r="F117" s="120" t="s">
        <v>526</v>
      </c>
      <c r="G117" s="120" t="s">
        <v>689</v>
      </c>
      <c r="H117" s="49">
        <v>4</v>
      </c>
      <c r="I117" s="50" t="s">
        <v>510</v>
      </c>
      <c r="J117" s="124" t="s">
        <v>512</v>
      </c>
      <c r="K117" s="50" t="s">
        <v>181</v>
      </c>
      <c r="L117" s="50" t="s">
        <v>521</v>
      </c>
      <c r="M117" s="56" t="s">
        <v>12</v>
      </c>
      <c r="N117" s="122" t="s">
        <v>665</v>
      </c>
      <c r="O117" s="57">
        <v>2</v>
      </c>
      <c r="P117" s="45">
        <v>26800</v>
      </c>
      <c r="Q117" s="58">
        <f t="shared" si="11"/>
        <v>53600</v>
      </c>
      <c r="R117" s="69" t="s">
        <v>684</v>
      </c>
      <c r="S117" s="19"/>
      <c r="T117" s="32"/>
      <c r="U117" s="32"/>
      <c r="V117" s="51">
        <f t="shared" si="7"/>
        <v>31087.999999999996</v>
      </c>
      <c r="W117" s="51">
        <f t="shared" si="8"/>
        <v>62175.999999999993</v>
      </c>
      <c r="X117" s="52">
        <f t="shared" si="9"/>
        <v>20.91</v>
      </c>
      <c r="Y117" s="53">
        <f t="shared" si="10"/>
        <v>41.82</v>
      </c>
      <c r="Z117" s="54"/>
      <c r="AA117" s="71"/>
      <c r="AB117" s="71"/>
      <c r="AC117" s="128"/>
      <c r="AD117" s="33"/>
      <c r="AE117" s="55"/>
    </row>
    <row r="118" spans="2:31" ht="20.100000000000001" hidden="1" customHeight="1">
      <c r="B118" s="48">
        <v>116</v>
      </c>
      <c r="C118" s="121" t="s">
        <v>348</v>
      </c>
      <c r="D118" s="120" t="s">
        <v>349</v>
      </c>
      <c r="E118" s="120">
        <v>2603</v>
      </c>
      <c r="F118" s="120" t="s">
        <v>526</v>
      </c>
      <c r="G118" s="120" t="s">
        <v>689</v>
      </c>
      <c r="H118" s="49">
        <v>4</v>
      </c>
      <c r="I118" s="50" t="s">
        <v>510</v>
      </c>
      <c r="J118" s="124" t="s">
        <v>513</v>
      </c>
      <c r="K118" s="50" t="s">
        <v>181</v>
      </c>
      <c r="L118" s="50" t="s">
        <v>521</v>
      </c>
      <c r="M118" s="56" t="s">
        <v>12</v>
      </c>
      <c r="N118" s="122" t="s">
        <v>665</v>
      </c>
      <c r="O118" s="57">
        <v>2</v>
      </c>
      <c r="P118" s="45">
        <v>22800</v>
      </c>
      <c r="Q118" s="58">
        <f t="shared" si="11"/>
        <v>45600</v>
      </c>
      <c r="R118" s="69" t="s">
        <v>684</v>
      </c>
      <c r="S118" s="19"/>
      <c r="T118" s="32"/>
      <c r="U118" s="32"/>
      <c r="V118" s="51">
        <f t="shared" si="7"/>
        <v>26447.999999999996</v>
      </c>
      <c r="W118" s="51">
        <f t="shared" si="8"/>
        <v>52895.999999999993</v>
      </c>
      <c r="X118" s="52">
        <f t="shared" si="9"/>
        <v>17.79</v>
      </c>
      <c r="Y118" s="53">
        <f t="shared" si="10"/>
        <v>35.58</v>
      </c>
      <c r="Z118" s="54"/>
      <c r="AA118" s="71"/>
      <c r="AB118" s="71"/>
      <c r="AC118" s="128"/>
      <c r="AD118" s="33"/>
      <c r="AE118" s="55"/>
    </row>
    <row r="119" spans="2:31" ht="20.100000000000001" hidden="1" customHeight="1">
      <c r="B119" s="48">
        <v>117</v>
      </c>
      <c r="C119" s="121" t="s">
        <v>348</v>
      </c>
      <c r="D119" s="120" t="s">
        <v>349</v>
      </c>
      <c r="E119" s="120">
        <v>2603</v>
      </c>
      <c r="F119" s="120" t="s">
        <v>526</v>
      </c>
      <c r="G119" s="120" t="s">
        <v>689</v>
      </c>
      <c r="H119" s="49">
        <v>4</v>
      </c>
      <c r="I119" s="50" t="s">
        <v>510</v>
      </c>
      <c r="J119" s="124" t="s">
        <v>514</v>
      </c>
      <c r="K119" s="50" t="s">
        <v>181</v>
      </c>
      <c r="L119" s="50" t="s">
        <v>521</v>
      </c>
      <c r="M119" s="56" t="s">
        <v>12</v>
      </c>
      <c r="N119" s="122" t="s">
        <v>665</v>
      </c>
      <c r="O119" s="57">
        <v>2</v>
      </c>
      <c r="P119" s="45">
        <v>13600</v>
      </c>
      <c r="Q119" s="58">
        <f t="shared" si="11"/>
        <v>27200</v>
      </c>
      <c r="R119" s="69" t="s">
        <v>684</v>
      </c>
      <c r="S119" s="19"/>
      <c r="T119" s="32"/>
      <c r="U119" s="32"/>
      <c r="V119" s="51">
        <f t="shared" si="7"/>
        <v>15775.999999999998</v>
      </c>
      <c r="W119" s="51">
        <f t="shared" si="8"/>
        <v>31551.999999999996</v>
      </c>
      <c r="X119" s="52">
        <f t="shared" si="9"/>
        <v>10.61</v>
      </c>
      <c r="Y119" s="53">
        <f t="shared" si="10"/>
        <v>21.22</v>
      </c>
      <c r="Z119" s="54"/>
      <c r="AA119" s="71"/>
      <c r="AB119" s="71"/>
      <c r="AC119" s="128"/>
      <c r="AD119" s="33"/>
      <c r="AE119" s="55"/>
    </row>
    <row r="120" spans="2:31" ht="20.100000000000001" hidden="1" customHeight="1">
      <c r="B120" s="48">
        <v>118</v>
      </c>
      <c r="C120" s="121" t="s">
        <v>348</v>
      </c>
      <c r="D120" s="120" t="s">
        <v>349</v>
      </c>
      <c r="E120" s="120">
        <v>2603</v>
      </c>
      <c r="F120" s="120" t="s">
        <v>526</v>
      </c>
      <c r="G120" s="120" t="s">
        <v>689</v>
      </c>
      <c r="H120" s="49">
        <v>4</v>
      </c>
      <c r="I120" s="50" t="s">
        <v>570</v>
      </c>
      <c r="J120" s="124" t="s">
        <v>675</v>
      </c>
      <c r="K120" s="50" t="s">
        <v>118</v>
      </c>
      <c r="L120" s="50" t="s">
        <v>601</v>
      </c>
      <c r="M120" s="56" t="s">
        <v>12</v>
      </c>
      <c r="N120" s="122" t="s">
        <v>665</v>
      </c>
      <c r="O120" s="57">
        <v>4</v>
      </c>
      <c r="P120" s="45">
        <v>14500</v>
      </c>
      <c r="Q120" s="58">
        <f t="shared" si="11"/>
        <v>58000</v>
      </c>
      <c r="R120" s="69" t="s">
        <v>684</v>
      </c>
      <c r="S120" s="19"/>
      <c r="T120" s="32"/>
      <c r="U120" s="32"/>
      <c r="V120" s="51">
        <f t="shared" si="7"/>
        <v>16820</v>
      </c>
      <c r="W120" s="51">
        <f t="shared" si="8"/>
        <v>67280</v>
      </c>
      <c r="X120" s="52">
        <f t="shared" si="9"/>
        <v>11.31</v>
      </c>
      <c r="Y120" s="53">
        <f t="shared" si="10"/>
        <v>45.24</v>
      </c>
      <c r="Z120" s="54"/>
      <c r="AA120" s="71"/>
      <c r="AB120" s="71"/>
      <c r="AC120" s="128"/>
      <c r="AD120" s="33"/>
      <c r="AE120" s="55"/>
    </row>
    <row r="121" spans="2:31" ht="20.100000000000001" hidden="1" customHeight="1">
      <c r="B121" s="48">
        <v>119</v>
      </c>
      <c r="C121" s="121" t="s">
        <v>348</v>
      </c>
      <c r="D121" s="120" t="s">
        <v>349</v>
      </c>
      <c r="E121" s="120">
        <v>2603</v>
      </c>
      <c r="F121" s="120" t="s">
        <v>526</v>
      </c>
      <c r="G121" s="120" t="s">
        <v>689</v>
      </c>
      <c r="H121" s="49">
        <v>4</v>
      </c>
      <c r="I121" s="50" t="s">
        <v>570</v>
      </c>
      <c r="J121" s="124" t="s">
        <v>676</v>
      </c>
      <c r="K121" s="50" t="s">
        <v>118</v>
      </c>
      <c r="L121" s="50" t="s">
        <v>601</v>
      </c>
      <c r="M121" s="56" t="s">
        <v>12</v>
      </c>
      <c r="N121" s="122" t="s">
        <v>665</v>
      </c>
      <c r="O121" s="57">
        <v>2</v>
      </c>
      <c r="P121" s="45">
        <v>10500</v>
      </c>
      <c r="Q121" s="58">
        <f t="shared" si="11"/>
        <v>21000</v>
      </c>
      <c r="R121" s="69" t="s">
        <v>684</v>
      </c>
      <c r="S121" s="19"/>
      <c r="T121" s="32"/>
      <c r="U121" s="32"/>
      <c r="V121" s="51">
        <f t="shared" si="7"/>
        <v>12180</v>
      </c>
      <c r="W121" s="51">
        <f t="shared" si="8"/>
        <v>24360</v>
      </c>
      <c r="X121" s="52">
        <f t="shared" si="9"/>
        <v>8.19</v>
      </c>
      <c r="Y121" s="53">
        <f t="shared" si="10"/>
        <v>16.38</v>
      </c>
      <c r="Z121" s="54"/>
      <c r="AA121" s="71"/>
      <c r="AB121" s="71"/>
      <c r="AC121" s="128"/>
      <c r="AD121" s="33"/>
      <c r="AE121" s="55"/>
    </row>
    <row r="122" spans="2:31" ht="20.100000000000001" hidden="1" customHeight="1">
      <c r="B122" s="48">
        <v>120</v>
      </c>
      <c r="C122" s="121" t="s">
        <v>348</v>
      </c>
      <c r="D122" s="120" t="s">
        <v>349</v>
      </c>
      <c r="E122" s="120">
        <v>2603</v>
      </c>
      <c r="F122" s="120" t="s">
        <v>526</v>
      </c>
      <c r="G122" s="120" t="s">
        <v>689</v>
      </c>
      <c r="H122" s="49">
        <v>4</v>
      </c>
      <c r="I122" s="50" t="s">
        <v>570</v>
      </c>
      <c r="J122" s="124" t="s">
        <v>677</v>
      </c>
      <c r="K122" s="50" t="s">
        <v>118</v>
      </c>
      <c r="L122" s="50" t="s">
        <v>601</v>
      </c>
      <c r="M122" s="56" t="s">
        <v>12</v>
      </c>
      <c r="N122" s="122" t="s">
        <v>665</v>
      </c>
      <c r="O122" s="57">
        <v>2</v>
      </c>
      <c r="P122" s="45">
        <v>41200</v>
      </c>
      <c r="Q122" s="58">
        <f t="shared" si="11"/>
        <v>82400</v>
      </c>
      <c r="R122" s="69" t="s">
        <v>684</v>
      </c>
      <c r="S122" s="19"/>
      <c r="T122" s="32"/>
      <c r="U122" s="32"/>
      <c r="V122" s="51">
        <f t="shared" si="7"/>
        <v>47792</v>
      </c>
      <c r="W122" s="51">
        <f t="shared" si="8"/>
        <v>95584</v>
      </c>
      <c r="X122" s="52">
        <f t="shared" si="9"/>
        <v>32.15</v>
      </c>
      <c r="Y122" s="53">
        <f t="shared" si="10"/>
        <v>64.3</v>
      </c>
      <c r="Z122" s="54"/>
      <c r="AA122" s="71"/>
      <c r="AB122" s="71"/>
      <c r="AC122" s="128"/>
      <c r="AD122" s="33"/>
      <c r="AE122" s="55"/>
    </row>
    <row r="123" spans="2:31" ht="20.100000000000001" hidden="1" customHeight="1">
      <c r="B123" s="48">
        <v>121</v>
      </c>
      <c r="C123" s="121" t="s">
        <v>348</v>
      </c>
      <c r="D123" s="120" t="s">
        <v>349</v>
      </c>
      <c r="E123" s="120">
        <v>2603</v>
      </c>
      <c r="F123" s="120" t="s">
        <v>526</v>
      </c>
      <c r="G123" s="120" t="s">
        <v>689</v>
      </c>
      <c r="H123" s="49">
        <v>4</v>
      </c>
      <c r="I123" s="50" t="s">
        <v>570</v>
      </c>
      <c r="J123" s="124" t="s">
        <v>678</v>
      </c>
      <c r="K123" s="50" t="s">
        <v>118</v>
      </c>
      <c r="L123" s="50" t="s">
        <v>601</v>
      </c>
      <c r="M123" s="56" t="s">
        <v>12</v>
      </c>
      <c r="N123" s="122" t="s">
        <v>665</v>
      </c>
      <c r="O123" s="57">
        <v>2</v>
      </c>
      <c r="P123" s="45">
        <v>26000</v>
      </c>
      <c r="Q123" s="58">
        <f t="shared" si="11"/>
        <v>52000</v>
      </c>
      <c r="R123" s="69" t="s">
        <v>684</v>
      </c>
      <c r="S123" s="19"/>
      <c r="T123" s="32"/>
      <c r="U123" s="32"/>
      <c r="V123" s="51">
        <f t="shared" si="7"/>
        <v>30159.999999999996</v>
      </c>
      <c r="W123" s="51">
        <f t="shared" si="8"/>
        <v>60319.999999999993</v>
      </c>
      <c r="X123" s="52">
        <f t="shared" si="9"/>
        <v>20.29</v>
      </c>
      <c r="Y123" s="53">
        <f t="shared" si="10"/>
        <v>40.58</v>
      </c>
      <c r="Z123" s="54"/>
      <c r="AA123" s="71"/>
      <c r="AB123" s="71"/>
      <c r="AC123" s="128"/>
      <c r="AD123" s="33"/>
      <c r="AE123" s="55"/>
    </row>
    <row r="124" spans="2:31" ht="20.100000000000001" hidden="1" customHeight="1">
      <c r="B124" s="48">
        <v>122</v>
      </c>
      <c r="C124" s="121" t="s">
        <v>348</v>
      </c>
      <c r="D124" s="120" t="s">
        <v>349</v>
      </c>
      <c r="E124" s="120">
        <v>2603</v>
      </c>
      <c r="F124" s="120" t="s">
        <v>526</v>
      </c>
      <c r="G124" s="120" t="s">
        <v>689</v>
      </c>
      <c r="H124" s="49">
        <v>3</v>
      </c>
      <c r="I124" s="50" t="s">
        <v>570</v>
      </c>
      <c r="J124" s="124" t="s">
        <v>670</v>
      </c>
      <c r="K124" s="50" t="s">
        <v>118</v>
      </c>
      <c r="L124" s="50" t="s">
        <v>601</v>
      </c>
      <c r="M124" s="56" t="s">
        <v>12</v>
      </c>
      <c r="N124" s="122" t="s">
        <v>665</v>
      </c>
      <c r="O124" s="57">
        <v>2</v>
      </c>
      <c r="P124" s="45">
        <v>10500</v>
      </c>
      <c r="Q124" s="58">
        <f t="shared" si="11"/>
        <v>21000</v>
      </c>
      <c r="R124" s="129" t="s">
        <v>684</v>
      </c>
      <c r="S124" s="19"/>
      <c r="T124" s="32"/>
      <c r="U124" s="32"/>
      <c r="V124" s="51">
        <f t="shared" si="7"/>
        <v>12180</v>
      </c>
      <c r="W124" s="51">
        <f t="shared" si="8"/>
        <v>24360</v>
      </c>
      <c r="X124" s="52">
        <f t="shared" si="9"/>
        <v>8.19</v>
      </c>
      <c r="Y124" s="53">
        <f t="shared" si="10"/>
        <v>16.38</v>
      </c>
      <c r="Z124" s="54"/>
      <c r="AA124" s="71"/>
      <c r="AB124" s="71"/>
      <c r="AC124" s="128" t="s">
        <v>691</v>
      </c>
      <c r="AD124" s="33"/>
      <c r="AE124" s="55"/>
    </row>
    <row r="125" spans="2:31" ht="20.100000000000001" hidden="1" customHeight="1">
      <c r="B125" s="48">
        <v>123</v>
      </c>
      <c r="C125" s="121" t="s">
        <v>348</v>
      </c>
      <c r="D125" s="120" t="s">
        <v>349</v>
      </c>
      <c r="E125" s="120">
        <v>2603</v>
      </c>
      <c r="F125" s="120" t="s">
        <v>526</v>
      </c>
      <c r="G125" s="120" t="s">
        <v>689</v>
      </c>
      <c r="H125" s="49" t="s">
        <v>1024</v>
      </c>
      <c r="I125" s="50" t="s">
        <v>571</v>
      </c>
      <c r="J125" s="124" t="s">
        <v>679</v>
      </c>
      <c r="K125" s="50" t="s">
        <v>49</v>
      </c>
      <c r="L125" s="50" t="s">
        <v>602</v>
      </c>
      <c r="M125" s="56" t="s">
        <v>12</v>
      </c>
      <c r="N125" s="122" t="s">
        <v>665</v>
      </c>
      <c r="O125" s="57">
        <v>4</v>
      </c>
      <c r="P125" s="45">
        <v>156000</v>
      </c>
      <c r="Q125" s="58">
        <f t="shared" si="11"/>
        <v>624000</v>
      </c>
      <c r="R125" s="69" t="s">
        <v>1017</v>
      </c>
      <c r="S125" s="19"/>
      <c r="T125" s="32"/>
      <c r="U125" s="32"/>
      <c r="V125" s="51">
        <f t="shared" si="7"/>
        <v>180960</v>
      </c>
      <c r="W125" s="51">
        <f t="shared" si="8"/>
        <v>723840</v>
      </c>
      <c r="X125" s="52">
        <f t="shared" si="9"/>
        <v>121.72</v>
      </c>
      <c r="Y125" s="53">
        <f t="shared" si="10"/>
        <v>486.88</v>
      </c>
      <c r="Z125" s="54"/>
      <c r="AA125" s="71"/>
      <c r="AB125" s="71"/>
      <c r="AC125" s="128"/>
      <c r="AD125" s="33"/>
      <c r="AE125" s="55"/>
    </row>
    <row r="126" spans="2:31" ht="20.100000000000001" hidden="1" customHeight="1">
      <c r="B126" s="48">
        <v>124</v>
      </c>
      <c r="C126" s="121" t="s">
        <v>348</v>
      </c>
      <c r="D126" s="120" t="s">
        <v>349</v>
      </c>
      <c r="E126" s="120">
        <v>2603</v>
      </c>
      <c r="F126" s="120" t="s">
        <v>526</v>
      </c>
      <c r="G126" s="120" t="s">
        <v>689</v>
      </c>
      <c r="H126" s="49" t="s">
        <v>1024</v>
      </c>
      <c r="I126" s="50" t="s">
        <v>572</v>
      </c>
      <c r="J126" s="124" t="s">
        <v>680</v>
      </c>
      <c r="K126" s="50" t="s">
        <v>49</v>
      </c>
      <c r="L126" s="50" t="s">
        <v>602</v>
      </c>
      <c r="M126" s="56" t="s">
        <v>12</v>
      </c>
      <c r="N126" s="122" t="s">
        <v>665</v>
      </c>
      <c r="O126" s="57">
        <v>2</v>
      </c>
      <c r="P126" s="45">
        <v>138000</v>
      </c>
      <c r="Q126" s="58">
        <f t="shared" si="11"/>
        <v>276000</v>
      </c>
      <c r="R126" s="69" t="s">
        <v>1017</v>
      </c>
      <c r="S126" s="19"/>
      <c r="T126" s="32"/>
      <c r="U126" s="32"/>
      <c r="V126" s="51">
        <f t="shared" si="7"/>
        <v>160080</v>
      </c>
      <c r="W126" s="51">
        <f t="shared" si="8"/>
        <v>320160</v>
      </c>
      <c r="X126" s="52">
        <f t="shared" si="9"/>
        <v>107.68</v>
      </c>
      <c r="Y126" s="53">
        <f t="shared" si="10"/>
        <v>215.36</v>
      </c>
      <c r="Z126" s="54"/>
      <c r="AA126" s="71"/>
      <c r="AB126" s="71"/>
      <c r="AC126" s="128"/>
      <c r="AD126" s="33"/>
      <c r="AE126" s="55"/>
    </row>
    <row r="127" spans="2:31" ht="20.100000000000001" hidden="1" customHeight="1">
      <c r="B127" s="48">
        <v>125</v>
      </c>
      <c r="C127" s="121" t="s">
        <v>348</v>
      </c>
      <c r="D127" s="120" t="s">
        <v>349</v>
      </c>
      <c r="E127" s="120">
        <v>2603</v>
      </c>
      <c r="F127" s="120" t="s">
        <v>526</v>
      </c>
      <c r="G127" s="120" t="s">
        <v>689</v>
      </c>
      <c r="H127" s="49" t="s">
        <v>695</v>
      </c>
      <c r="I127" s="50" t="s">
        <v>228</v>
      </c>
      <c r="J127" s="124" t="s">
        <v>300</v>
      </c>
      <c r="K127" s="50" t="s">
        <v>229</v>
      </c>
      <c r="L127" s="50" t="s">
        <v>614</v>
      </c>
      <c r="M127" s="56" t="s">
        <v>12</v>
      </c>
      <c r="N127" s="122" t="s">
        <v>665</v>
      </c>
      <c r="O127" s="57">
        <v>2</v>
      </c>
      <c r="P127" s="45">
        <v>2280000</v>
      </c>
      <c r="Q127" s="58">
        <f t="shared" si="11"/>
        <v>4560000</v>
      </c>
      <c r="R127" s="130" t="s">
        <v>663</v>
      </c>
      <c r="S127" s="19"/>
      <c r="T127" s="32"/>
      <c r="U127" s="32"/>
      <c r="V127" s="51">
        <f t="shared" si="7"/>
        <v>2644800</v>
      </c>
      <c r="W127" s="51">
        <f t="shared" si="8"/>
        <v>5289600</v>
      </c>
      <c r="X127" s="52">
        <f t="shared" si="9"/>
        <v>1779.05</v>
      </c>
      <c r="Y127" s="53">
        <f t="shared" si="10"/>
        <v>3558.1</v>
      </c>
      <c r="Z127" s="54"/>
      <c r="AA127" s="71"/>
      <c r="AB127" s="71"/>
      <c r="AC127" s="128" t="s">
        <v>692</v>
      </c>
      <c r="AD127" s="33"/>
      <c r="AE127" s="55"/>
    </row>
    <row r="128" spans="2:31" ht="20.100000000000001" hidden="1" customHeight="1">
      <c r="B128" s="48">
        <v>130</v>
      </c>
      <c r="C128" s="121" t="s">
        <v>348</v>
      </c>
      <c r="D128" s="120" t="s">
        <v>349</v>
      </c>
      <c r="E128" s="120">
        <v>2603</v>
      </c>
      <c r="F128" s="120" t="s">
        <v>526</v>
      </c>
      <c r="G128" s="120" t="s">
        <v>689</v>
      </c>
      <c r="H128" s="49">
        <v>1</v>
      </c>
      <c r="I128" s="50" t="s">
        <v>63</v>
      </c>
      <c r="J128" s="124" t="s">
        <v>179</v>
      </c>
      <c r="K128" s="50" t="s">
        <v>178</v>
      </c>
      <c r="L128" s="50" t="s">
        <v>522</v>
      </c>
      <c r="M128" s="56" t="s">
        <v>12</v>
      </c>
      <c r="N128" s="122" t="s">
        <v>665</v>
      </c>
      <c r="O128" s="57">
        <v>10</v>
      </c>
      <c r="P128" s="45">
        <v>97000</v>
      </c>
      <c r="Q128" s="58">
        <f t="shared" ref="Q128:Q152" si="12">O128*P128</f>
        <v>970000</v>
      </c>
      <c r="R128" s="129" t="s">
        <v>663</v>
      </c>
      <c r="S128" s="19"/>
      <c r="T128" s="32"/>
      <c r="U128" s="32"/>
      <c r="V128" s="51">
        <f t="shared" si="7"/>
        <v>112519.99999999999</v>
      </c>
      <c r="W128" s="51">
        <f t="shared" si="8"/>
        <v>1125199.9999999998</v>
      </c>
      <c r="X128" s="52">
        <f t="shared" si="9"/>
        <v>75.69</v>
      </c>
      <c r="Y128" s="53">
        <f t="shared" si="10"/>
        <v>756.9</v>
      </c>
      <c r="Z128" s="54"/>
      <c r="AA128" s="71"/>
      <c r="AB128" s="71"/>
      <c r="AC128" s="128"/>
      <c r="AD128" s="33"/>
      <c r="AE128" s="55"/>
    </row>
    <row r="129" spans="2:31" ht="20.100000000000001" hidden="1" customHeight="1">
      <c r="B129" s="48">
        <v>131</v>
      </c>
      <c r="C129" s="121" t="s">
        <v>348</v>
      </c>
      <c r="D129" s="120" t="s">
        <v>349</v>
      </c>
      <c r="E129" s="120">
        <v>2603</v>
      </c>
      <c r="F129" s="120" t="s">
        <v>526</v>
      </c>
      <c r="G129" s="120" t="s">
        <v>689</v>
      </c>
      <c r="H129" s="49">
        <v>2</v>
      </c>
      <c r="I129" s="50" t="s">
        <v>85</v>
      </c>
      <c r="J129" s="124" t="s">
        <v>671</v>
      </c>
      <c r="K129" s="50" t="s">
        <v>88</v>
      </c>
      <c r="L129" s="50" t="s">
        <v>523</v>
      </c>
      <c r="M129" s="56" t="s">
        <v>12</v>
      </c>
      <c r="N129" s="122" t="s">
        <v>666</v>
      </c>
      <c r="O129" s="57">
        <v>2</v>
      </c>
      <c r="P129" s="45">
        <v>46800</v>
      </c>
      <c r="Q129" s="58">
        <f t="shared" si="12"/>
        <v>93600</v>
      </c>
      <c r="R129" s="69" t="s">
        <v>663</v>
      </c>
      <c r="S129" s="19"/>
      <c r="T129" s="32"/>
      <c r="U129" s="32"/>
      <c r="V129" s="51">
        <f t="shared" si="7"/>
        <v>54287.999999999993</v>
      </c>
      <c r="W129" s="51">
        <f t="shared" si="8"/>
        <v>108575.99999999999</v>
      </c>
      <c r="X129" s="52">
        <f t="shared" si="9"/>
        <v>36.520000000000003</v>
      </c>
      <c r="Y129" s="53">
        <f t="shared" si="10"/>
        <v>73.040000000000006</v>
      </c>
      <c r="Z129" s="54"/>
      <c r="AA129" s="71"/>
      <c r="AB129" s="71"/>
      <c r="AC129" s="128"/>
      <c r="AD129" s="33"/>
      <c r="AE129" s="55"/>
    </row>
    <row r="130" spans="2:31" ht="20.100000000000001" hidden="1" customHeight="1">
      <c r="B130" s="48">
        <v>132</v>
      </c>
      <c r="C130" s="121" t="s">
        <v>348</v>
      </c>
      <c r="D130" s="120" t="s">
        <v>349</v>
      </c>
      <c r="E130" s="120">
        <v>2603</v>
      </c>
      <c r="F130" s="120" t="s">
        <v>526</v>
      </c>
      <c r="G130" s="120" t="s">
        <v>689</v>
      </c>
      <c r="H130" s="49">
        <v>2</v>
      </c>
      <c r="I130" s="50" t="s">
        <v>86</v>
      </c>
      <c r="J130" s="124" t="s">
        <v>87</v>
      </c>
      <c r="K130" s="50" t="s">
        <v>88</v>
      </c>
      <c r="L130" s="50" t="s">
        <v>523</v>
      </c>
      <c r="M130" s="56" t="s">
        <v>12</v>
      </c>
      <c r="N130" s="122" t="s">
        <v>666</v>
      </c>
      <c r="O130" s="57">
        <v>2</v>
      </c>
      <c r="P130" s="45">
        <v>3110</v>
      </c>
      <c r="Q130" s="58">
        <f t="shared" si="12"/>
        <v>6220</v>
      </c>
      <c r="R130" s="69" t="s">
        <v>663</v>
      </c>
      <c r="S130" s="19"/>
      <c r="T130" s="32"/>
      <c r="U130" s="32"/>
      <c r="V130" s="51">
        <f t="shared" si="7"/>
        <v>3607.6</v>
      </c>
      <c r="W130" s="51">
        <f t="shared" si="8"/>
        <v>7215.2</v>
      </c>
      <c r="X130" s="52">
        <f t="shared" si="9"/>
        <v>2.4300000000000002</v>
      </c>
      <c r="Y130" s="53">
        <f t="shared" si="10"/>
        <v>4.8600000000000003</v>
      </c>
      <c r="Z130" s="54"/>
      <c r="AA130" s="71"/>
      <c r="AB130" s="71"/>
      <c r="AC130" s="128"/>
      <c r="AD130" s="33"/>
      <c r="AE130" s="55"/>
    </row>
    <row r="131" spans="2:31" ht="20.100000000000001" hidden="1" customHeight="1">
      <c r="B131" s="48">
        <v>139</v>
      </c>
      <c r="C131" s="121" t="s">
        <v>348</v>
      </c>
      <c r="D131" s="120" t="s">
        <v>349</v>
      </c>
      <c r="E131" s="120">
        <v>2603</v>
      </c>
      <c r="F131" s="120" t="s">
        <v>526</v>
      </c>
      <c r="G131" s="120" t="s">
        <v>689</v>
      </c>
      <c r="H131" s="49">
        <v>1</v>
      </c>
      <c r="I131" s="50" t="s">
        <v>515</v>
      </c>
      <c r="J131" s="124" t="s">
        <v>516</v>
      </c>
      <c r="K131" s="50" t="s">
        <v>64</v>
      </c>
      <c r="L131" s="50" t="s">
        <v>524</v>
      </c>
      <c r="M131" s="56" t="s">
        <v>12</v>
      </c>
      <c r="N131" s="122" t="s">
        <v>666</v>
      </c>
      <c r="O131" s="57">
        <v>10</v>
      </c>
      <c r="P131" s="45">
        <v>24000</v>
      </c>
      <c r="Q131" s="58">
        <f t="shared" si="12"/>
        <v>240000</v>
      </c>
      <c r="R131" s="69" t="s">
        <v>663</v>
      </c>
      <c r="S131" s="19"/>
      <c r="T131" s="32"/>
      <c r="U131" s="32"/>
      <c r="V131" s="51">
        <f t="shared" si="7"/>
        <v>27839.999999999996</v>
      </c>
      <c r="W131" s="51">
        <f t="shared" si="8"/>
        <v>278399.99999999994</v>
      </c>
      <c r="X131" s="52">
        <f t="shared" si="9"/>
        <v>18.73</v>
      </c>
      <c r="Y131" s="53">
        <f t="shared" si="10"/>
        <v>187.3</v>
      </c>
      <c r="Z131" s="54"/>
      <c r="AA131" s="71"/>
      <c r="AB131" s="71"/>
      <c r="AC131" s="128"/>
      <c r="AD131" s="33"/>
      <c r="AE131" s="55"/>
    </row>
    <row r="132" spans="2:31" ht="20.100000000000001" hidden="1" customHeight="1">
      <c r="B132" s="48">
        <v>140</v>
      </c>
      <c r="C132" s="121" t="s">
        <v>348</v>
      </c>
      <c r="D132" s="120" t="s">
        <v>349</v>
      </c>
      <c r="E132" s="120">
        <v>2603</v>
      </c>
      <c r="F132" s="120" t="s">
        <v>526</v>
      </c>
      <c r="G132" s="120" t="s">
        <v>689</v>
      </c>
      <c r="H132" s="49">
        <v>1</v>
      </c>
      <c r="I132" s="50" t="s">
        <v>63</v>
      </c>
      <c r="J132" s="124" t="s">
        <v>517</v>
      </c>
      <c r="K132" s="50" t="s">
        <v>64</v>
      </c>
      <c r="L132" s="50" t="s">
        <v>524</v>
      </c>
      <c r="M132" s="56" t="s">
        <v>12</v>
      </c>
      <c r="N132" s="122" t="s">
        <v>666</v>
      </c>
      <c r="O132" s="57">
        <v>2</v>
      </c>
      <c r="P132" s="45">
        <v>49000</v>
      </c>
      <c r="Q132" s="58">
        <f t="shared" si="12"/>
        <v>98000</v>
      </c>
      <c r="R132" s="69" t="s">
        <v>663</v>
      </c>
      <c r="S132" s="19"/>
      <c r="T132" s="32"/>
      <c r="U132" s="32"/>
      <c r="V132" s="51">
        <f t="shared" si="7"/>
        <v>56839.999999999993</v>
      </c>
      <c r="W132" s="51">
        <f t="shared" si="8"/>
        <v>113679.99999999999</v>
      </c>
      <c r="X132" s="52">
        <f t="shared" si="9"/>
        <v>38.229999999999997</v>
      </c>
      <c r="Y132" s="53">
        <f t="shared" si="10"/>
        <v>76.459999999999994</v>
      </c>
      <c r="Z132" s="54"/>
      <c r="AA132" s="71"/>
      <c r="AB132" s="71"/>
      <c r="AC132" s="128"/>
      <c r="AD132" s="33"/>
      <c r="AE132" s="55"/>
    </row>
    <row r="133" spans="2:31" ht="20.100000000000001" hidden="1" customHeight="1">
      <c r="B133" s="48">
        <v>141</v>
      </c>
      <c r="C133" s="121" t="s">
        <v>348</v>
      </c>
      <c r="D133" s="120" t="s">
        <v>349</v>
      </c>
      <c r="E133" s="120">
        <v>2603</v>
      </c>
      <c r="F133" s="120" t="s">
        <v>526</v>
      </c>
      <c r="G133" s="120" t="s">
        <v>689</v>
      </c>
      <c r="H133" s="49">
        <v>1</v>
      </c>
      <c r="I133" s="50" t="s">
        <v>63</v>
      </c>
      <c r="J133" s="124" t="s">
        <v>65</v>
      </c>
      <c r="K133" s="50" t="s">
        <v>64</v>
      </c>
      <c r="L133" s="50" t="s">
        <v>524</v>
      </c>
      <c r="M133" s="56" t="s">
        <v>12</v>
      </c>
      <c r="N133" s="122" t="s">
        <v>666</v>
      </c>
      <c r="O133" s="57">
        <v>2</v>
      </c>
      <c r="P133" s="45">
        <v>85000</v>
      </c>
      <c r="Q133" s="58">
        <f t="shared" si="12"/>
        <v>170000</v>
      </c>
      <c r="R133" s="69" t="s">
        <v>663</v>
      </c>
      <c r="S133" s="19"/>
      <c r="T133" s="32"/>
      <c r="U133" s="32"/>
      <c r="V133" s="51">
        <f t="shared" si="7"/>
        <v>98600</v>
      </c>
      <c r="W133" s="51">
        <f t="shared" si="8"/>
        <v>197200</v>
      </c>
      <c r="X133" s="52">
        <f t="shared" si="9"/>
        <v>66.319999999999993</v>
      </c>
      <c r="Y133" s="53">
        <f t="shared" si="10"/>
        <v>132.63999999999999</v>
      </c>
      <c r="Z133" s="54"/>
      <c r="AA133" s="71"/>
      <c r="AB133" s="71"/>
      <c r="AC133" s="128"/>
      <c r="AD133" s="33"/>
      <c r="AE133" s="55"/>
    </row>
    <row r="134" spans="2:31" ht="20.100000000000001" hidden="1" customHeight="1">
      <c r="B134" s="48">
        <v>142</v>
      </c>
      <c r="C134" s="121" t="s">
        <v>348</v>
      </c>
      <c r="D134" s="120" t="s">
        <v>349</v>
      </c>
      <c r="E134" s="120">
        <v>2603</v>
      </c>
      <c r="F134" s="120" t="s">
        <v>526</v>
      </c>
      <c r="G134" s="120" t="s">
        <v>689</v>
      </c>
      <c r="H134" s="49">
        <v>2</v>
      </c>
      <c r="I134" s="50" t="s">
        <v>119</v>
      </c>
      <c r="J134" s="124" t="s">
        <v>120</v>
      </c>
      <c r="K134" s="50" t="s">
        <v>121</v>
      </c>
      <c r="L134" s="50" t="s">
        <v>524</v>
      </c>
      <c r="M134" s="56" t="s">
        <v>12</v>
      </c>
      <c r="N134" s="122" t="s">
        <v>610</v>
      </c>
      <c r="O134" s="57">
        <v>2</v>
      </c>
      <c r="P134" s="45">
        <v>48000</v>
      </c>
      <c r="Q134" s="58">
        <f t="shared" si="12"/>
        <v>96000</v>
      </c>
      <c r="R134" s="69" t="s">
        <v>663</v>
      </c>
      <c r="S134" s="19"/>
      <c r="T134" s="32"/>
      <c r="U134" s="32"/>
      <c r="V134" s="51">
        <f t="shared" ref="V134:V188" si="13">++P134*(1+$V$3)</f>
        <v>55679.999999999993</v>
      </c>
      <c r="W134" s="51">
        <f t="shared" ref="W134:W188" si="14">++O134*V134</f>
        <v>111359.99999999999</v>
      </c>
      <c r="X134" s="52">
        <f t="shared" ref="X134:X188" si="15">++ROUND(V134/$X$3,2)</f>
        <v>37.450000000000003</v>
      </c>
      <c r="Y134" s="53">
        <f t="shared" ref="Y134:Y188" si="16">++O134*X134</f>
        <v>74.900000000000006</v>
      </c>
      <c r="Z134" s="54"/>
      <c r="AA134" s="71"/>
      <c r="AB134" s="71"/>
      <c r="AC134" s="128"/>
      <c r="AD134" s="33"/>
      <c r="AE134" s="55"/>
    </row>
    <row r="135" spans="2:31" ht="20.100000000000001" hidden="1" customHeight="1">
      <c r="B135" s="48">
        <v>143</v>
      </c>
      <c r="C135" s="121" t="s">
        <v>348</v>
      </c>
      <c r="D135" s="120" t="s">
        <v>349</v>
      </c>
      <c r="E135" s="120">
        <v>2603</v>
      </c>
      <c r="F135" s="120" t="s">
        <v>526</v>
      </c>
      <c r="G135" s="120" t="s">
        <v>689</v>
      </c>
      <c r="H135" s="49">
        <v>2</v>
      </c>
      <c r="I135" s="50" t="s">
        <v>119</v>
      </c>
      <c r="J135" s="124" t="s">
        <v>122</v>
      </c>
      <c r="K135" s="50" t="s">
        <v>121</v>
      </c>
      <c r="L135" s="50" t="s">
        <v>524</v>
      </c>
      <c r="M135" s="56" t="s">
        <v>12</v>
      </c>
      <c r="N135" s="122" t="s">
        <v>610</v>
      </c>
      <c r="O135" s="57">
        <v>4</v>
      </c>
      <c r="P135" s="45">
        <v>21000</v>
      </c>
      <c r="Q135" s="58">
        <f t="shared" si="12"/>
        <v>84000</v>
      </c>
      <c r="R135" s="69" t="s">
        <v>663</v>
      </c>
      <c r="S135" s="19"/>
      <c r="T135" s="32"/>
      <c r="U135" s="32"/>
      <c r="V135" s="51">
        <f t="shared" si="13"/>
        <v>24360</v>
      </c>
      <c r="W135" s="51">
        <f t="shared" si="14"/>
        <v>97440</v>
      </c>
      <c r="X135" s="52">
        <f t="shared" si="15"/>
        <v>16.39</v>
      </c>
      <c r="Y135" s="53">
        <f t="shared" si="16"/>
        <v>65.56</v>
      </c>
      <c r="Z135" s="54"/>
      <c r="AA135" s="71"/>
      <c r="AB135" s="71"/>
      <c r="AC135" s="128"/>
      <c r="AD135" s="33"/>
      <c r="AE135" s="55"/>
    </row>
    <row r="136" spans="2:31" ht="20.100000000000001" hidden="1" customHeight="1">
      <c r="B136" s="48">
        <v>144</v>
      </c>
      <c r="C136" s="121" t="s">
        <v>348</v>
      </c>
      <c r="D136" s="120" t="s">
        <v>349</v>
      </c>
      <c r="E136" s="120">
        <v>2603</v>
      </c>
      <c r="F136" s="120" t="s">
        <v>526</v>
      </c>
      <c r="G136" s="120" t="s">
        <v>689</v>
      </c>
      <c r="H136" s="49">
        <v>1</v>
      </c>
      <c r="I136" s="50" t="s">
        <v>581</v>
      </c>
      <c r="J136" s="124" t="s">
        <v>642</v>
      </c>
      <c r="K136" s="50" t="s">
        <v>668</v>
      </c>
      <c r="L136" s="50" t="s">
        <v>605</v>
      </c>
      <c r="M136" s="56" t="s">
        <v>12</v>
      </c>
      <c r="N136" s="122" t="s">
        <v>666</v>
      </c>
      <c r="O136" s="57">
        <v>4</v>
      </c>
      <c r="P136" s="45">
        <v>15700</v>
      </c>
      <c r="Q136" s="58">
        <f t="shared" si="12"/>
        <v>62800</v>
      </c>
      <c r="R136" s="69" t="s">
        <v>684</v>
      </c>
      <c r="S136" s="19"/>
      <c r="T136" s="32"/>
      <c r="U136" s="32"/>
      <c r="V136" s="51">
        <f t="shared" si="13"/>
        <v>18212</v>
      </c>
      <c r="W136" s="51">
        <f t="shared" si="14"/>
        <v>72848</v>
      </c>
      <c r="X136" s="52">
        <f t="shared" si="15"/>
        <v>12.25</v>
      </c>
      <c r="Y136" s="53">
        <f t="shared" si="16"/>
        <v>49</v>
      </c>
      <c r="Z136" s="54"/>
      <c r="AA136" s="71"/>
      <c r="AB136" s="71"/>
      <c r="AC136" s="128"/>
      <c r="AD136" s="33"/>
      <c r="AE136" s="55"/>
    </row>
    <row r="137" spans="2:31" ht="20.100000000000001" hidden="1" customHeight="1">
      <c r="B137" s="48">
        <v>145</v>
      </c>
      <c r="C137" s="121" t="s">
        <v>348</v>
      </c>
      <c r="D137" s="120" t="s">
        <v>349</v>
      </c>
      <c r="E137" s="120">
        <v>2603</v>
      </c>
      <c r="F137" s="120" t="s">
        <v>526</v>
      </c>
      <c r="G137" s="120" t="s">
        <v>689</v>
      </c>
      <c r="H137" s="49">
        <v>3</v>
      </c>
      <c r="I137" s="50" t="s">
        <v>42</v>
      </c>
      <c r="J137" s="124" t="s">
        <v>644</v>
      </c>
      <c r="K137" s="50" t="s">
        <v>648</v>
      </c>
      <c r="L137" s="50" t="s">
        <v>606</v>
      </c>
      <c r="M137" s="56" t="s">
        <v>12</v>
      </c>
      <c r="N137" s="122" t="s">
        <v>665</v>
      </c>
      <c r="O137" s="57">
        <v>48</v>
      </c>
      <c r="P137" s="45">
        <v>850</v>
      </c>
      <c r="Q137" s="58">
        <f t="shared" si="12"/>
        <v>40800</v>
      </c>
      <c r="R137" s="69" t="s">
        <v>684</v>
      </c>
      <c r="S137" s="19"/>
      <c r="T137" s="32"/>
      <c r="U137" s="32"/>
      <c r="V137" s="51">
        <f t="shared" si="13"/>
        <v>985.99999999999989</v>
      </c>
      <c r="W137" s="51">
        <f t="shared" si="14"/>
        <v>47327.999999999993</v>
      </c>
      <c r="X137" s="52">
        <f t="shared" si="15"/>
        <v>0.66</v>
      </c>
      <c r="Y137" s="53">
        <f t="shared" si="16"/>
        <v>31.68</v>
      </c>
      <c r="Z137" s="54"/>
      <c r="AA137" s="71"/>
      <c r="AB137" s="71"/>
      <c r="AC137" s="128" t="s">
        <v>694</v>
      </c>
      <c r="AD137" s="33"/>
      <c r="AE137" s="55"/>
    </row>
    <row r="138" spans="2:31" ht="20.100000000000001" hidden="1" customHeight="1">
      <c r="B138" s="48">
        <v>146</v>
      </c>
      <c r="C138" s="121" t="s">
        <v>348</v>
      </c>
      <c r="D138" s="120" t="s">
        <v>349</v>
      </c>
      <c r="E138" s="120">
        <v>2603</v>
      </c>
      <c r="F138" s="120" t="s">
        <v>526</v>
      </c>
      <c r="G138" s="120" t="s">
        <v>689</v>
      </c>
      <c r="H138" s="49">
        <v>5</v>
      </c>
      <c r="I138" s="50" t="s">
        <v>25</v>
      </c>
      <c r="J138" s="124" t="s">
        <v>582</v>
      </c>
      <c r="K138" s="50" t="s">
        <v>583</v>
      </c>
      <c r="L138" s="50" t="s">
        <v>606</v>
      </c>
      <c r="M138" s="56" t="s">
        <v>12</v>
      </c>
      <c r="N138" s="122" t="s">
        <v>665</v>
      </c>
      <c r="O138" s="57">
        <v>8</v>
      </c>
      <c r="P138" s="45">
        <v>48000</v>
      </c>
      <c r="Q138" s="58">
        <f t="shared" si="12"/>
        <v>384000</v>
      </c>
      <c r="R138" s="69" t="s">
        <v>684</v>
      </c>
      <c r="S138" s="19"/>
      <c r="T138" s="32"/>
      <c r="U138" s="32"/>
      <c r="V138" s="51">
        <f t="shared" si="13"/>
        <v>55679.999999999993</v>
      </c>
      <c r="W138" s="51">
        <f t="shared" si="14"/>
        <v>445439.99999999994</v>
      </c>
      <c r="X138" s="52">
        <f t="shared" si="15"/>
        <v>37.450000000000003</v>
      </c>
      <c r="Y138" s="53">
        <f t="shared" si="16"/>
        <v>299.60000000000002</v>
      </c>
      <c r="Z138" s="54"/>
      <c r="AA138" s="71"/>
      <c r="AB138" s="71"/>
      <c r="AC138" s="128"/>
      <c r="AD138" s="33"/>
      <c r="AE138" s="55"/>
    </row>
    <row r="139" spans="2:31" ht="20.100000000000001" hidden="1" customHeight="1">
      <c r="B139" s="48">
        <v>147</v>
      </c>
      <c r="C139" s="121" t="s">
        <v>348</v>
      </c>
      <c r="D139" s="120" t="s">
        <v>349</v>
      </c>
      <c r="E139" s="120">
        <v>2603</v>
      </c>
      <c r="F139" s="120" t="s">
        <v>526</v>
      </c>
      <c r="G139" s="120" t="s">
        <v>689</v>
      </c>
      <c r="H139" s="49">
        <v>3</v>
      </c>
      <c r="I139" s="50" t="s">
        <v>42</v>
      </c>
      <c r="J139" s="124" t="s">
        <v>645</v>
      </c>
      <c r="K139" s="50" t="s">
        <v>648</v>
      </c>
      <c r="L139" s="50" t="s">
        <v>606</v>
      </c>
      <c r="M139" s="56" t="s">
        <v>12</v>
      </c>
      <c r="N139" s="122" t="s">
        <v>665</v>
      </c>
      <c r="O139" s="57">
        <v>16</v>
      </c>
      <c r="P139" s="45">
        <v>500</v>
      </c>
      <c r="Q139" s="58">
        <f t="shared" si="12"/>
        <v>8000</v>
      </c>
      <c r="R139" s="69" t="s">
        <v>684</v>
      </c>
      <c r="S139" s="19"/>
      <c r="T139" s="32"/>
      <c r="U139" s="32"/>
      <c r="V139" s="51">
        <f t="shared" si="13"/>
        <v>580</v>
      </c>
      <c r="W139" s="51">
        <f t="shared" si="14"/>
        <v>9280</v>
      </c>
      <c r="X139" s="52">
        <f t="shared" si="15"/>
        <v>0.39</v>
      </c>
      <c r="Y139" s="53">
        <f t="shared" si="16"/>
        <v>6.24</v>
      </c>
      <c r="Z139" s="54"/>
      <c r="AA139" s="71"/>
      <c r="AB139" s="71"/>
      <c r="AC139" s="128"/>
      <c r="AD139" s="33"/>
      <c r="AE139" s="55"/>
    </row>
    <row r="140" spans="2:31" ht="20.100000000000001" hidden="1" customHeight="1">
      <c r="B140" s="48">
        <v>148</v>
      </c>
      <c r="C140" s="121" t="s">
        <v>348</v>
      </c>
      <c r="D140" s="120" t="s">
        <v>349</v>
      </c>
      <c r="E140" s="120">
        <v>2603</v>
      </c>
      <c r="F140" s="120" t="s">
        <v>526</v>
      </c>
      <c r="G140" s="120" t="s">
        <v>689</v>
      </c>
      <c r="H140" s="49">
        <v>5</v>
      </c>
      <c r="I140" s="50" t="s">
        <v>25</v>
      </c>
      <c r="J140" s="124" t="s">
        <v>584</v>
      </c>
      <c r="K140" s="50" t="s">
        <v>583</v>
      </c>
      <c r="L140" s="50" t="s">
        <v>606</v>
      </c>
      <c r="M140" s="56" t="s">
        <v>12</v>
      </c>
      <c r="N140" s="122" t="s">
        <v>665</v>
      </c>
      <c r="O140" s="57">
        <v>2</v>
      </c>
      <c r="P140" s="45">
        <v>29000</v>
      </c>
      <c r="Q140" s="58">
        <f t="shared" si="12"/>
        <v>58000</v>
      </c>
      <c r="R140" s="69" t="s">
        <v>684</v>
      </c>
      <c r="S140" s="19"/>
      <c r="T140" s="32"/>
      <c r="U140" s="32"/>
      <c r="V140" s="51">
        <f t="shared" si="13"/>
        <v>33640</v>
      </c>
      <c r="W140" s="51">
        <f t="shared" si="14"/>
        <v>67280</v>
      </c>
      <c r="X140" s="52">
        <f t="shared" si="15"/>
        <v>22.63</v>
      </c>
      <c r="Y140" s="53">
        <f t="shared" si="16"/>
        <v>45.26</v>
      </c>
      <c r="Z140" s="54"/>
      <c r="AA140" s="71"/>
      <c r="AB140" s="71"/>
      <c r="AC140" s="128"/>
      <c r="AD140" s="33"/>
      <c r="AE140" s="55"/>
    </row>
    <row r="141" spans="2:31" ht="20.100000000000001" hidden="1" customHeight="1">
      <c r="B141" s="48">
        <v>149</v>
      </c>
      <c r="C141" s="121" t="s">
        <v>348</v>
      </c>
      <c r="D141" s="120" t="s">
        <v>349</v>
      </c>
      <c r="E141" s="120">
        <v>2603</v>
      </c>
      <c r="F141" s="120" t="s">
        <v>526</v>
      </c>
      <c r="G141" s="120" t="s">
        <v>689</v>
      </c>
      <c r="H141" s="49">
        <v>5</v>
      </c>
      <c r="I141" s="50" t="s">
        <v>25</v>
      </c>
      <c r="J141" s="124" t="s">
        <v>585</v>
      </c>
      <c r="K141" s="50" t="s">
        <v>583</v>
      </c>
      <c r="L141" s="50" t="s">
        <v>606</v>
      </c>
      <c r="M141" s="56" t="s">
        <v>12</v>
      </c>
      <c r="N141" s="122" t="s">
        <v>665</v>
      </c>
      <c r="O141" s="57">
        <v>2</v>
      </c>
      <c r="P141" s="45">
        <v>62000</v>
      </c>
      <c r="Q141" s="58">
        <f t="shared" si="12"/>
        <v>124000</v>
      </c>
      <c r="R141" s="69" t="s">
        <v>684</v>
      </c>
      <c r="S141" s="19"/>
      <c r="T141" s="32"/>
      <c r="U141" s="32"/>
      <c r="V141" s="51">
        <f t="shared" si="13"/>
        <v>71920</v>
      </c>
      <c r="W141" s="51">
        <f t="shared" si="14"/>
        <v>143840</v>
      </c>
      <c r="X141" s="52">
        <f t="shared" si="15"/>
        <v>48.38</v>
      </c>
      <c r="Y141" s="53">
        <f t="shared" si="16"/>
        <v>96.76</v>
      </c>
      <c r="Z141" s="54"/>
      <c r="AA141" s="71"/>
      <c r="AB141" s="71"/>
      <c r="AC141" s="128"/>
      <c r="AD141" s="33"/>
      <c r="AE141" s="55"/>
    </row>
    <row r="142" spans="2:31" ht="20.100000000000001" hidden="1" customHeight="1">
      <c r="B142" s="48">
        <v>150</v>
      </c>
      <c r="C142" s="121" t="s">
        <v>348</v>
      </c>
      <c r="D142" s="120" t="s">
        <v>349</v>
      </c>
      <c r="E142" s="120">
        <v>2603</v>
      </c>
      <c r="F142" s="120" t="s">
        <v>526</v>
      </c>
      <c r="G142" s="120" t="s">
        <v>689</v>
      </c>
      <c r="H142" s="49">
        <v>5</v>
      </c>
      <c r="I142" s="50" t="s">
        <v>25</v>
      </c>
      <c r="J142" s="124" t="s">
        <v>586</v>
      </c>
      <c r="K142" s="50" t="s">
        <v>583</v>
      </c>
      <c r="L142" s="50" t="s">
        <v>606</v>
      </c>
      <c r="M142" s="56" t="s">
        <v>12</v>
      </c>
      <c r="N142" s="122" t="s">
        <v>665</v>
      </c>
      <c r="O142" s="57">
        <v>2</v>
      </c>
      <c r="P142" s="45">
        <v>35800</v>
      </c>
      <c r="Q142" s="58">
        <f t="shared" si="12"/>
        <v>71600</v>
      </c>
      <c r="R142" s="69" t="s">
        <v>684</v>
      </c>
      <c r="S142" s="19"/>
      <c r="T142" s="32"/>
      <c r="U142" s="32"/>
      <c r="V142" s="51">
        <f t="shared" si="13"/>
        <v>41528</v>
      </c>
      <c r="W142" s="51">
        <f t="shared" si="14"/>
        <v>83056</v>
      </c>
      <c r="X142" s="52">
        <f t="shared" si="15"/>
        <v>27.93</v>
      </c>
      <c r="Y142" s="53">
        <f t="shared" si="16"/>
        <v>55.86</v>
      </c>
      <c r="Z142" s="54"/>
      <c r="AA142" s="71"/>
      <c r="AB142" s="71"/>
      <c r="AC142" s="128"/>
      <c r="AD142" s="33"/>
      <c r="AE142" s="55"/>
    </row>
    <row r="143" spans="2:31" ht="20.100000000000001" hidden="1" customHeight="1">
      <c r="B143" s="48">
        <v>151</v>
      </c>
      <c r="C143" s="121" t="s">
        <v>348</v>
      </c>
      <c r="D143" s="120" t="s">
        <v>349</v>
      </c>
      <c r="E143" s="120">
        <v>2603</v>
      </c>
      <c r="F143" s="120" t="s">
        <v>526</v>
      </c>
      <c r="G143" s="120" t="s">
        <v>689</v>
      </c>
      <c r="H143" s="49">
        <v>3</v>
      </c>
      <c r="I143" s="50" t="s">
        <v>42</v>
      </c>
      <c r="J143" s="124" t="s">
        <v>646</v>
      </c>
      <c r="K143" s="50" t="s">
        <v>648</v>
      </c>
      <c r="L143" s="50" t="s">
        <v>606</v>
      </c>
      <c r="M143" s="56" t="s">
        <v>12</v>
      </c>
      <c r="N143" s="122" t="s">
        <v>665</v>
      </c>
      <c r="O143" s="57">
        <v>8</v>
      </c>
      <c r="P143" s="45">
        <v>800</v>
      </c>
      <c r="Q143" s="58">
        <f t="shared" si="12"/>
        <v>6400</v>
      </c>
      <c r="R143" s="69" t="s">
        <v>684</v>
      </c>
      <c r="S143" s="19"/>
      <c r="T143" s="32"/>
      <c r="U143" s="32"/>
      <c r="V143" s="51">
        <f t="shared" si="13"/>
        <v>927.99999999999989</v>
      </c>
      <c r="W143" s="51">
        <f t="shared" si="14"/>
        <v>7423.9999999999991</v>
      </c>
      <c r="X143" s="52">
        <f t="shared" si="15"/>
        <v>0.62</v>
      </c>
      <c r="Y143" s="53">
        <f t="shared" si="16"/>
        <v>4.96</v>
      </c>
      <c r="Z143" s="54"/>
      <c r="AA143" s="71"/>
      <c r="AB143" s="71"/>
      <c r="AC143" s="128"/>
      <c r="AD143" s="33"/>
      <c r="AE143" s="55"/>
    </row>
    <row r="144" spans="2:31" ht="20.100000000000001" hidden="1" customHeight="1">
      <c r="B144" s="48">
        <v>152</v>
      </c>
      <c r="C144" s="121" t="s">
        <v>348</v>
      </c>
      <c r="D144" s="120" t="s">
        <v>349</v>
      </c>
      <c r="E144" s="120">
        <v>2603</v>
      </c>
      <c r="F144" s="120" t="s">
        <v>526</v>
      </c>
      <c r="G144" s="120" t="s">
        <v>689</v>
      </c>
      <c r="H144" s="49">
        <v>3</v>
      </c>
      <c r="I144" s="50" t="s">
        <v>42</v>
      </c>
      <c r="J144" s="124" t="s">
        <v>626</v>
      </c>
      <c r="K144" s="50" t="s">
        <v>648</v>
      </c>
      <c r="L144" s="50" t="s">
        <v>606</v>
      </c>
      <c r="M144" s="56" t="s">
        <v>12</v>
      </c>
      <c r="N144" s="122" t="s">
        <v>665</v>
      </c>
      <c r="O144" s="57">
        <v>16</v>
      </c>
      <c r="P144" s="45">
        <v>750</v>
      </c>
      <c r="Q144" s="58">
        <f t="shared" si="12"/>
        <v>12000</v>
      </c>
      <c r="R144" s="129" t="s">
        <v>684</v>
      </c>
      <c r="S144" s="19"/>
      <c r="T144" s="32"/>
      <c r="U144" s="32"/>
      <c r="V144" s="51">
        <f t="shared" si="13"/>
        <v>869.99999999999989</v>
      </c>
      <c r="W144" s="51">
        <f t="shared" si="14"/>
        <v>13919.999999999998</v>
      </c>
      <c r="X144" s="52">
        <f t="shared" si="15"/>
        <v>0.59</v>
      </c>
      <c r="Y144" s="53">
        <f t="shared" si="16"/>
        <v>9.44</v>
      </c>
      <c r="Z144" s="54"/>
      <c r="AA144" s="71"/>
      <c r="AB144" s="71"/>
      <c r="AC144" s="128" t="s">
        <v>692</v>
      </c>
      <c r="AD144" s="33"/>
      <c r="AE144" s="55"/>
    </row>
    <row r="145" spans="2:31" ht="20.100000000000001" hidden="1" customHeight="1">
      <c r="B145" s="48">
        <v>153</v>
      </c>
      <c r="C145" s="121" t="s">
        <v>348</v>
      </c>
      <c r="D145" s="120" t="s">
        <v>349</v>
      </c>
      <c r="E145" s="120">
        <v>2603</v>
      </c>
      <c r="F145" s="120" t="s">
        <v>526</v>
      </c>
      <c r="G145" s="120" t="s">
        <v>689</v>
      </c>
      <c r="H145" s="49">
        <v>3</v>
      </c>
      <c r="I145" s="50" t="s">
        <v>25</v>
      </c>
      <c r="J145" s="124" t="s">
        <v>587</v>
      </c>
      <c r="K145" s="50" t="s">
        <v>583</v>
      </c>
      <c r="L145" s="50" t="s">
        <v>606</v>
      </c>
      <c r="M145" s="56" t="s">
        <v>12</v>
      </c>
      <c r="N145" s="122" t="s">
        <v>665</v>
      </c>
      <c r="O145" s="57">
        <v>4</v>
      </c>
      <c r="P145" s="45">
        <v>13000</v>
      </c>
      <c r="Q145" s="58">
        <f t="shared" si="12"/>
        <v>52000</v>
      </c>
      <c r="R145" s="129" t="s">
        <v>684</v>
      </c>
      <c r="S145" s="19"/>
      <c r="T145" s="32"/>
      <c r="U145" s="32"/>
      <c r="V145" s="51">
        <f t="shared" si="13"/>
        <v>15079.999999999998</v>
      </c>
      <c r="W145" s="51">
        <f t="shared" si="14"/>
        <v>60319.999999999993</v>
      </c>
      <c r="X145" s="52">
        <f t="shared" si="15"/>
        <v>10.14</v>
      </c>
      <c r="Y145" s="53">
        <f t="shared" si="16"/>
        <v>40.56</v>
      </c>
      <c r="Z145" s="54"/>
      <c r="AA145" s="71"/>
      <c r="AB145" s="71"/>
      <c r="AC145" s="128" t="s">
        <v>692</v>
      </c>
      <c r="AD145" s="33"/>
      <c r="AE145" s="55"/>
    </row>
    <row r="146" spans="2:31" ht="20.100000000000001" hidden="1" customHeight="1">
      <c r="B146" s="48">
        <v>154</v>
      </c>
      <c r="C146" s="121" t="s">
        <v>348</v>
      </c>
      <c r="D146" s="120" t="s">
        <v>349</v>
      </c>
      <c r="E146" s="120">
        <v>2603</v>
      </c>
      <c r="F146" s="120" t="s">
        <v>526</v>
      </c>
      <c r="G146" s="120" t="s">
        <v>689</v>
      </c>
      <c r="H146" s="49">
        <v>3</v>
      </c>
      <c r="I146" s="50" t="s">
        <v>42</v>
      </c>
      <c r="J146" s="124" t="s">
        <v>627</v>
      </c>
      <c r="K146" s="50" t="s">
        <v>648</v>
      </c>
      <c r="L146" s="50" t="s">
        <v>606</v>
      </c>
      <c r="M146" s="56" t="s">
        <v>12</v>
      </c>
      <c r="N146" s="122" t="s">
        <v>665</v>
      </c>
      <c r="O146" s="57">
        <v>8</v>
      </c>
      <c r="P146" s="45">
        <v>1650</v>
      </c>
      <c r="Q146" s="58">
        <f t="shared" si="12"/>
        <v>13200</v>
      </c>
      <c r="R146" s="129" t="s">
        <v>684</v>
      </c>
      <c r="S146" s="19"/>
      <c r="T146" s="32"/>
      <c r="U146" s="32"/>
      <c r="V146" s="51">
        <f t="shared" si="13"/>
        <v>1913.9999999999998</v>
      </c>
      <c r="W146" s="51">
        <f t="shared" si="14"/>
        <v>15311.999999999998</v>
      </c>
      <c r="X146" s="52">
        <f t="shared" si="15"/>
        <v>1.29</v>
      </c>
      <c r="Y146" s="53">
        <f t="shared" si="16"/>
        <v>10.32</v>
      </c>
      <c r="Z146" s="54"/>
      <c r="AA146" s="71"/>
      <c r="AB146" s="71"/>
      <c r="AC146" s="128" t="s">
        <v>692</v>
      </c>
      <c r="AD146" s="33"/>
      <c r="AE146" s="55"/>
    </row>
    <row r="147" spans="2:31" ht="20.100000000000001" hidden="1" customHeight="1">
      <c r="B147" s="48">
        <v>155</v>
      </c>
      <c r="C147" s="121" t="s">
        <v>348</v>
      </c>
      <c r="D147" s="120" t="s">
        <v>349</v>
      </c>
      <c r="E147" s="120">
        <v>2603</v>
      </c>
      <c r="F147" s="120" t="s">
        <v>526</v>
      </c>
      <c r="G147" s="120" t="s">
        <v>689</v>
      </c>
      <c r="H147" s="49">
        <v>1</v>
      </c>
      <c r="I147" s="50" t="s">
        <v>590</v>
      </c>
      <c r="J147" s="124" t="s">
        <v>110</v>
      </c>
      <c r="K147" s="50" t="s">
        <v>47</v>
      </c>
      <c r="L147" s="50" t="s">
        <v>607</v>
      </c>
      <c r="M147" s="56" t="s">
        <v>12</v>
      </c>
      <c r="N147" s="122" t="s">
        <v>666</v>
      </c>
      <c r="O147" s="57">
        <v>4</v>
      </c>
      <c r="P147" s="45">
        <v>258000</v>
      </c>
      <c r="Q147" s="58">
        <f t="shared" si="12"/>
        <v>1032000</v>
      </c>
      <c r="R147" s="69" t="s">
        <v>684</v>
      </c>
      <c r="S147" s="19"/>
      <c r="T147" s="32"/>
      <c r="U147" s="32"/>
      <c r="V147" s="51">
        <f t="shared" si="13"/>
        <v>299280</v>
      </c>
      <c r="W147" s="51">
        <f t="shared" si="14"/>
        <v>1197120</v>
      </c>
      <c r="X147" s="52">
        <f t="shared" si="15"/>
        <v>201.31</v>
      </c>
      <c r="Y147" s="53">
        <f t="shared" si="16"/>
        <v>805.24</v>
      </c>
      <c r="Z147" s="54"/>
      <c r="AA147" s="71"/>
      <c r="AB147" s="71"/>
      <c r="AC147" s="128"/>
      <c r="AD147" s="33"/>
      <c r="AE147" s="55"/>
    </row>
    <row r="148" spans="2:31" ht="20.100000000000001" hidden="1" customHeight="1">
      <c r="B148" s="48">
        <v>156</v>
      </c>
      <c r="C148" s="121" t="s">
        <v>348</v>
      </c>
      <c r="D148" s="120" t="s">
        <v>349</v>
      </c>
      <c r="E148" s="120">
        <v>2603</v>
      </c>
      <c r="F148" s="120" t="s">
        <v>526</v>
      </c>
      <c r="G148" s="120" t="s">
        <v>689</v>
      </c>
      <c r="H148" s="49">
        <v>2</v>
      </c>
      <c r="I148" s="50" t="s">
        <v>107</v>
      </c>
      <c r="J148" s="124" t="s">
        <v>111</v>
      </c>
      <c r="K148" s="50" t="s">
        <v>47</v>
      </c>
      <c r="L148" s="50" t="s">
        <v>607</v>
      </c>
      <c r="M148" s="56" t="s">
        <v>12</v>
      </c>
      <c r="N148" s="122" t="s">
        <v>666</v>
      </c>
      <c r="O148" s="57">
        <v>4</v>
      </c>
      <c r="P148" s="45">
        <v>260000</v>
      </c>
      <c r="Q148" s="58">
        <f t="shared" si="12"/>
        <v>1040000</v>
      </c>
      <c r="R148" s="69" t="s">
        <v>663</v>
      </c>
      <c r="S148" s="19"/>
      <c r="T148" s="32"/>
      <c r="U148" s="32"/>
      <c r="V148" s="51">
        <f t="shared" si="13"/>
        <v>301600</v>
      </c>
      <c r="W148" s="51">
        <f t="shared" si="14"/>
        <v>1206400</v>
      </c>
      <c r="X148" s="52">
        <f t="shared" si="15"/>
        <v>202.87</v>
      </c>
      <c r="Y148" s="53">
        <f t="shared" si="16"/>
        <v>811.48</v>
      </c>
      <c r="Z148" s="54"/>
      <c r="AA148" s="71"/>
      <c r="AB148" s="71"/>
      <c r="AC148" s="128"/>
      <c r="AD148" s="33"/>
      <c r="AE148" s="55"/>
    </row>
    <row r="149" spans="2:31" ht="20.100000000000001" hidden="1" customHeight="1">
      <c r="B149" s="48">
        <v>157</v>
      </c>
      <c r="C149" s="121" t="s">
        <v>348</v>
      </c>
      <c r="D149" s="120" t="s">
        <v>349</v>
      </c>
      <c r="E149" s="120">
        <v>2603</v>
      </c>
      <c r="F149" s="120" t="s">
        <v>526</v>
      </c>
      <c r="G149" s="120" t="s">
        <v>689</v>
      </c>
      <c r="H149" s="49">
        <v>1</v>
      </c>
      <c r="I149" s="50" t="s">
        <v>590</v>
      </c>
      <c r="J149" s="124" t="s">
        <v>108</v>
      </c>
      <c r="K149" s="50" t="s">
        <v>47</v>
      </c>
      <c r="L149" s="50" t="s">
        <v>607</v>
      </c>
      <c r="M149" s="56" t="s">
        <v>12</v>
      </c>
      <c r="N149" s="122" t="s">
        <v>666</v>
      </c>
      <c r="O149" s="57">
        <v>2</v>
      </c>
      <c r="P149" s="45">
        <v>146000</v>
      </c>
      <c r="Q149" s="58">
        <f t="shared" si="12"/>
        <v>292000</v>
      </c>
      <c r="R149" s="69" t="s">
        <v>684</v>
      </c>
      <c r="S149" s="19"/>
      <c r="T149" s="32"/>
      <c r="U149" s="32"/>
      <c r="V149" s="51">
        <f t="shared" si="13"/>
        <v>169360</v>
      </c>
      <c r="W149" s="51">
        <f t="shared" si="14"/>
        <v>338720</v>
      </c>
      <c r="X149" s="52">
        <f t="shared" si="15"/>
        <v>113.92</v>
      </c>
      <c r="Y149" s="53">
        <f t="shared" si="16"/>
        <v>227.84</v>
      </c>
      <c r="Z149" s="54"/>
      <c r="AA149" s="71"/>
      <c r="AB149" s="71"/>
      <c r="AC149" s="128"/>
      <c r="AD149" s="33"/>
      <c r="AE149" s="55"/>
    </row>
    <row r="150" spans="2:31" ht="20.100000000000001" hidden="1" customHeight="1">
      <c r="B150" s="48">
        <v>158</v>
      </c>
      <c r="C150" s="121" t="s">
        <v>348</v>
      </c>
      <c r="D150" s="120" t="s">
        <v>349</v>
      </c>
      <c r="E150" s="120">
        <v>2603</v>
      </c>
      <c r="F150" s="120" t="s">
        <v>526</v>
      </c>
      <c r="G150" s="120" t="s">
        <v>689</v>
      </c>
      <c r="H150" s="49">
        <v>2</v>
      </c>
      <c r="I150" s="50" t="s">
        <v>107</v>
      </c>
      <c r="J150" s="124" t="s">
        <v>109</v>
      </c>
      <c r="K150" s="50" t="s">
        <v>47</v>
      </c>
      <c r="L150" s="50" t="s">
        <v>607</v>
      </c>
      <c r="M150" s="56" t="s">
        <v>12</v>
      </c>
      <c r="N150" s="122" t="s">
        <v>666</v>
      </c>
      <c r="O150" s="57">
        <v>2</v>
      </c>
      <c r="P150" s="45">
        <v>253000</v>
      </c>
      <c r="Q150" s="58">
        <f t="shared" si="12"/>
        <v>506000</v>
      </c>
      <c r="R150" s="69" t="s">
        <v>684</v>
      </c>
      <c r="S150" s="19"/>
      <c r="T150" s="32"/>
      <c r="U150" s="32"/>
      <c r="V150" s="51">
        <f t="shared" si="13"/>
        <v>293480</v>
      </c>
      <c r="W150" s="51">
        <f t="shared" si="14"/>
        <v>586960</v>
      </c>
      <c r="X150" s="52">
        <f t="shared" si="15"/>
        <v>197.41</v>
      </c>
      <c r="Y150" s="53">
        <f t="shared" si="16"/>
        <v>394.82</v>
      </c>
      <c r="Z150" s="54"/>
      <c r="AA150" s="71"/>
      <c r="AB150" s="71"/>
      <c r="AC150" s="128"/>
      <c r="AD150" s="33"/>
      <c r="AE150" s="55"/>
    </row>
    <row r="151" spans="2:31" ht="20.100000000000001" hidden="1" customHeight="1">
      <c r="B151" s="48">
        <v>159</v>
      </c>
      <c r="C151" s="121" t="s">
        <v>348</v>
      </c>
      <c r="D151" s="120" t="s">
        <v>349</v>
      </c>
      <c r="E151" s="120">
        <v>2603</v>
      </c>
      <c r="F151" s="120" t="s">
        <v>526</v>
      </c>
      <c r="G151" s="120" t="s">
        <v>689</v>
      </c>
      <c r="H151" s="49">
        <v>3</v>
      </c>
      <c r="I151" s="50" t="s">
        <v>24</v>
      </c>
      <c r="J151" s="124" t="s">
        <v>591</v>
      </c>
      <c r="K151" s="50" t="s">
        <v>47</v>
      </c>
      <c r="L151" s="50" t="s">
        <v>607</v>
      </c>
      <c r="M151" s="56" t="s">
        <v>12</v>
      </c>
      <c r="N151" s="122" t="s">
        <v>666</v>
      </c>
      <c r="O151" s="57">
        <v>6</v>
      </c>
      <c r="P151" s="45">
        <v>3500</v>
      </c>
      <c r="Q151" s="58">
        <f t="shared" si="12"/>
        <v>21000</v>
      </c>
      <c r="R151" s="69" t="s">
        <v>684</v>
      </c>
      <c r="S151" s="19"/>
      <c r="T151" s="32"/>
      <c r="U151" s="32"/>
      <c r="V151" s="51">
        <f t="shared" si="13"/>
        <v>4059.9999999999995</v>
      </c>
      <c r="W151" s="51">
        <f t="shared" si="14"/>
        <v>24359.999999999996</v>
      </c>
      <c r="X151" s="52">
        <f t="shared" si="15"/>
        <v>2.73</v>
      </c>
      <c r="Y151" s="53">
        <f t="shared" si="16"/>
        <v>16.38</v>
      </c>
      <c r="Z151" s="54"/>
      <c r="AA151" s="71"/>
      <c r="AB151" s="71"/>
      <c r="AC151" s="128"/>
      <c r="AD151" s="33"/>
      <c r="AE151" s="55"/>
    </row>
    <row r="152" spans="2:31" ht="20.100000000000001" hidden="1" customHeight="1">
      <c r="B152" s="48">
        <v>160</v>
      </c>
      <c r="C152" s="121" t="s">
        <v>348</v>
      </c>
      <c r="D152" s="120" t="s">
        <v>349</v>
      </c>
      <c r="E152" s="120">
        <v>2603</v>
      </c>
      <c r="F152" s="120" t="s">
        <v>526</v>
      </c>
      <c r="G152" s="120" t="s">
        <v>689</v>
      </c>
      <c r="H152" s="49">
        <v>3</v>
      </c>
      <c r="I152" s="50" t="s">
        <v>24</v>
      </c>
      <c r="J152" s="124" t="s">
        <v>621</v>
      </c>
      <c r="K152" s="50" t="s">
        <v>47</v>
      </c>
      <c r="L152" s="50" t="s">
        <v>607</v>
      </c>
      <c r="M152" s="56" t="s">
        <v>12</v>
      </c>
      <c r="N152" s="122" t="s">
        <v>666</v>
      </c>
      <c r="O152" s="57">
        <v>4</v>
      </c>
      <c r="P152" s="45">
        <v>4500</v>
      </c>
      <c r="Q152" s="58">
        <f t="shared" si="12"/>
        <v>18000</v>
      </c>
      <c r="R152" s="69" t="s">
        <v>684</v>
      </c>
      <c r="S152" s="19"/>
      <c r="T152" s="32"/>
      <c r="U152" s="32"/>
      <c r="V152" s="51">
        <f t="shared" si="13"/>
        <v>5220</v>
      </c>
      <c r="W152" s="51">
        <f t="shared" si="14"/>
        <v>20880</v>
      </c>
      <c r="X152" s="52">
        <f t="shared" si="15"/>
        <v>3.51</v>
      </c>
      <c r="Y152" s="53">
        <f t="shared" si="16"/>
        <v>14.04</v>
      </c>
      <c r="Z152" s="54"/>
      <c r="AA152" s="71"/>
      <c r="AB152" s="71"/>
      <c r="AC152" s="128"/>
      <c r="AD152" s="33"/>
      <c r="AE152" s="55"/>
    </row>
    <row r="153" spans="2:31" ht="20.100000000000001" hidden="1" customHeight="1">
      <c r="B153" s="48">
        <v>161</v>
      </c>
      <c r="C153" s="121" t="s">
        <v>348</v>
      </c>
      <c r="D153" s="120" t="s">
        <v>349</v>
      </c>
      <c r="E153" s="120">
        <v>2603</v>
      </c>
      <c r="F153" s="120" t="s">
        <v>526</v>
      </c>
      <c r="G153" s="120" t="s">
        <v>689</v>
      </c>
      <c r="H153" s="49">
        <v>3</v>
      </c>
      <c r="I153" s="50" t="s">
        <v>569</v>
      </c>
      <c r="J153" s="124" t="s">
        <v>588</v>
      </c>
      <c r="K153" s="50" t="s">
        <v>38</v>
      </c>
      <c r="L153" s="50" t="s">
        <v>673</v>
      </c>
      <c r="M153" s="56" t="s">
        <v>12</v>
      </c>
      <c r="N153" s="122" t="s">
        <v>665</v>
      </c>
      <c r="O153" s="57">
        <v>14</v>
      </c>
      <c r="P153" s="45">
        <v>32200</v>
      </c>
      <c r="Q153" s="58">
        <f t="shared" ref="Q153:Q188" si="17">O153*P153</f>
        <v>450800</v>
      </c>
      <c r="R153" s="69" t="s">
        <v>684</v>
      </c>
      <c r="S153" s="19"/>
      <c r="T153" s="32"/>
      <c r="U153" s="32"/>
      <c r="V153" s="51">
        <f t="shared" si="13"/>
        <v>37352</v>
      </c>
      <c r="W153" s="51">
        <f t="shared" si="14"/>
        <v>522928</v>
      </c>
      <c r="X153" s="52">
        <f t="shared" si="15"/>
        <v>25.13</v>
      </c>
      <c r="Y153" s="53">
        <f t="shared" si="16"/>
        <v>351.82</v>
      </c>
      <c r="Z153" s="54"/>
      <c r="AA153" s="71"/>
      <c r="AB153" s="71"/>
      <c r="AC153" s="128"/>
      <c r="AD153" s="33"/>
      <c r="AE153" s="55"/>
    </row>
    <row r="154" spans="2:31" ht="20.100000000000001" hidden="1" customHeight="1">
      <c r="B154" s="48">
        <v>163</v>
      </c>
      <c r="C154" s="121" t="s">
        <v>348</v>
      </c>
      <c r="D154" s="120" t="s">
        <v>349</v>
      </c>
      <c r="E154" s="120">
        <v>2603</v>
      </c>
      <c r="F154" s="120" t="s">
        <v>526</v>
      </c>
      <c r="G154" s="120" t="s">
        <v>689</v>
      </c>
      <c r="H154" s="49">
        <v>3</v>
      </c>
      <c r="I154" s="50" t="s">
        <v>569</v>
      </c>
      <c r="J154" s="124" t="s">
        <v>674</v>
      </c>
      <c r="K154" s="50" t="s">
        <v>38</v>
      </c>
      <c r="L154" s="50" t="s">
        <v>607</v>
      </c>
      <c r="M154" s="56" t="s">
        <v>12</v>
      </c>
      <c r="N154" s="122" t="s">
        <v>665</v>
      </c>
      <c r="O154" s="57">
        <v>8</v>
      </c>
      <c r="P154" s="45">
        <v>32600</v>
      </c>
      <c r="Q154" s="58">
        <f t="shared" ref="Q154:Q168" si="18">O154*P154</f>
        <v>260800</v>
      </c>
      <c r="R154" s="69" t="s">
        <v>684</v>
      </c>
      <c r="S154" s="19"/>
      <c r="T154" s="32"/>
      <c r="U154" s="32"/>
      <c r="V154" s="51">
        <f t="shared" si="13"/>
        <v>37816</v>
      </c>
      <c r="W154" s="51">
        <f t="shared" si="14"/>
        <v>302528</v>
      </c>
      <c r="X154" s="52">
        <f t="shared" si="15"/>
        <v>25.44</v>
      </c>
      <c r="Y154" s="53">
        <f t="shared" si="16"/>
        <v>203.52</v>
      </c>
      <c r="Z154" s="54"/>
      <c r="AA154" s="71"/>
      <c r="AB154" s="71"/>
      <c r="AC154" s="128"/>
      <c r="AD154" s="33"/>
      <c r="AE154" s="55"/>
    </row>
    <row r="155" spans="2:31" ht="20.100000000000001" hidden="1" customHeight="1">
      <c r="B155" s="48">
        <v>164</v>
      </c>
      <c r="C155" s="121" t="s">
        <v>348</v>
      </c>
      <c r="D155" s="120" t="s">
        <v>349</v>
      </c>
      <c r="E155" s="120">
        <v>2603</v>
      </c>
      <c r="F155" s="120" t="s">
        <v>526</v>
      </c>
      <c r="G155" s="120" t="s">
        <v>689</v>
      </c>
      <c r="H155" s="49">
        <v>3</v>
      </c>
      <c r="I155" s="50" t="s">
        <v>39</v>
      </c>
      <c r="J155" s="124" t="s">
        <v>89</v>
      </c>
      <c r="K155" s="50" t="s">
        <v>38</v>
      </c>
      <c r="L155" s="50" t="s">
        <v>607</v>
      </c>
      <c r="M155" s="56" t="s">
        <v>12</v>
      </c>
      <c r="N155" s="122" t="s">
        <v>665</v>
      </c>
      <c r="O155" s="57">
        <v>8</v>
      </c>
      <c r="P155" s="45">
        <v>27800</v>
      </c>
      <c r="Q155" s="58">
        <f t="shared" si="18"/>
        <v>222400</v>
      </c>
      <c r="R155" s="69" t="s">
        <v>684</v>
      </c>
      <c r="S155" s="19"/>
      <c r="T155" s="32"/>
      <c r="U155" s="32"/>
      <c r="V155" s="51">
        <f t="shared" si="13"/>
        <v>32247.999999999996</v>
      </c>
      <c r="W155" s="51">
        <f t="shared" si="14"/>
        <v>257983.99999999997</v>
      </c>
      <c r="X155" s="52">
        <f t="shared" si="15"/>
        <v>21.69</v>
      </c>
      <c r="Y155" s="53">
        <f t="shared" si="16"/>
        <v>173.52</v>
      </c>
      <c r="Z155" s="54"/>
      <c r="AA155" s="71"/>
      <c r="AB155" s="71"/>
      <c r="AC155" s="128"/>
      <c r="AD155" s="33"/>
      <c r="AE155" s="55"/>
    </row>
    <row r="156" spans="2:31" ht="20.100000000000001" hidden="1" customHeight="1">
      <c r="B156" s="48">
        <v>166</v>
      </c>
      <c r="C156" s="121" t="s">
        <v>348</v>
      </c>
      <c r="D156" s="120" t="s">
        <v>349</v>
      </c>
      <c r="E156" s="120">
        <v>2603</v>
      </c>
      <c r="F156" s="120" t="s">
        <v>526</v>
      </c>
      <c r="G156" s="120" t="s">
        <v>689</v>
      </c>
      <c r="H156" s="49">
        <v>1</v>
      </c>
      <c r="I156" s="50" t="s">
        <v>67</v>
      </c>
      <c r="J156" s="124" t="s">
        <v>69</v>
      </c>
      <c r="K156" s="50" t="s">
        <v>68</v>
      </c>
      <c r="L156" s="50" t="s">
        <v>525</v>
      </c>
      <c r="M156" s="56" t="s">
        <v>12</v>
      </c>
      <c r="N156" s="122" t="s">
        <v>665</v>
      </c>
      <c r="O156" s="57">
        <v>2</v>
      </c>
      <c r="P156" s="45">
        <v>900000</v>
      </c>
      <c r="Q156" s="58">
        <f t="shared" si="18"/>
        <v>1800000</v>
      </c>
      <c r="R156" s="69" t="s">
        <v>696</v>
      </c>
      <c r="S156" s="19"/>
      <c r="T156" s="32"/>
      <c r="U156" s="32"/>
      <c r="V156" s="51">
        <f t="shared" si="13"/>
        <v>1043999.9999999999</v>
      </c>
      <c r="W156" s="51">
        <f t="shared" si="14"/>
        <v>2087999.9999999998</v>
      </c>
      <c r="X156" s="52">
        <f t="shared" si="15"/>
        <v>702.25</v>
      </c>
      <c r="Y156" s="53">
        <f t="shared" si="16"/>
        <v>1404.5</v>
      </c>
      <c r="Z156" s="54"/>
      <c r="AA156" s="71"/>
      <c r="AB156" s="71"/>
      <c r="AC156" s="128"/>
      <c r="AD156" s="33"/>
      <c r="AE156" s="55"/>
    </row>
    <row r="157" spans="2:31" ht="20.100000000000001" customHeight="1" thickTop="1">
      <c r="B157" s="48">
        <v>92</v>
      </c>
      <c r="C157" s="121" t="s">
        <v>348</v>
      </c>
      <c r="D157" s="120" t="s">
        <v>349</v>
      </c>
      <c r="E157" s="120">
        <v>2603</v>
      </c>
      <c r="F157" s="120" t="s">
        <v>526</v>
      </c>
      <c r="G157" s="120" t="s">
        <v>689</v>
      </c>
      <c r="H157" s="49"/>
      <c r="I157" s="50" t="s">
        <v>536</v>
      </c>
      <c r="J157" s="124" t="s">
        <v>1027</v>
      </c>
      <c r="K157" s="50" t="s">
        <v>31</v>
      </c>
      <c r="L157" s="50" t="s">
        <v>519</v>
      </c>
      <c r="M157" s="56" t="s">
        <v>12</v>
      </c>
      <c r="N157" s="122" t="s">
        <v>665</v>
      </c>
      <c r="O157" s="57">
        <v>2</v>
      </c>
      <c r="P157" s="45">
        <v>6700</v>
      </c>
      <c r="Q157" s="58">
        <f t="shared" si="18"/>
        <v>13400</v>
      </c>
      <c r="R157" s="141">
        <v>46113</v>
      </c>
      <c r="S157" s="19"/>
      <c r="T157" s="32"/>
      <c r="U157" s="32"/>
      <c r="V157" s="51">
        <f t="shared" si="13"/>
        <v>7771.9999999999991</v>
      </c>
      <c r="W157" s="51">
        <f t="shared" si="14"/>
        <v>15543.999999999998</v>
      </c>
      <c r="X157" s="52">
        <f t="shared" si="15"/>
        <v>5.23</v>
      </c>
      <c r="Y157" s="53">
        <f t="shared" si="16"/>
        <v>10.46</v>
      </c>
      <c r="Z157" s="54"/>
      <c r="AA157" s="71"/>
      <c r="AB157" s="71"/>
      <c r="AC157" s="128"/>
      <c r="AD157" s="33"/>
      <c r="AE157" s="55"/>
    </row>
    <row r="158" spans="2:31" ht="20.100000000000001" customHeight="1">
      <c r="B158" s="48">
        <v>94</v>
      </c>
      <c r="C158" s="121" t="s">
        <v>348</v>
      </c>
      <c r="D158" s="120" t="s">
        <v>349</v>
      </c>
      <c r="E158" s="120">
        <v>2603</v>
      </c>
      <c r="F158" s="120" t="s">
        <v>526</v>
      </c>
      <c r="G158" s="120" t="s">
        <v>689</v>
      </c>
      <c r="H158" s="49"/>
      <c r="I158" s="50" t="s">
        <v>76</v>
      </c>
      <c r="J158" s="124" t="s">
        <v>540</v>
      </c>
      <c r="K158" s="50" t="s">
        <v>34</v>
      </c>
      <c r="L158" s="50" t="s">
        <v>519</v>
      </c>
      <c r="M158" s="56" t="s">
        <v>12</v>
      </c>
      <c r="N158" s="122" t="s">
        <v>665</v>
      </c>
      <c r="O158" s="57">
        <v>8</v>
      </c>
      <c r="P158" s="45">
        <v>1650</v>
      </c>
      <c r="Q158" s="58">
        <f t="shared" si="18"/>
        <v>13200</v>
      </c>
      <c r="R158" s="141">
        <v>46115</v>
      </c>
      <c r="S158" s="19"/>
      <c r="T158" s="32"/>
      <c r="U158" s="32"/>
      <c r="V158" s="51">
        <f t="shared" si="13"/>
        <v>1913.9999999999998</v>
      </c>
      <c r="W158" s="51">
        <f t="shared" si="14"/>
        <v>15311.999999999998</v>
      </c>
      <c r="X158" s="52">
        <f t="shared" si="15"/>
        <v>1.29</v>
      </c>
      <c r="Y158" s="53">
        <f t="shared" si="16"/>
        <v>10.32</v>
      </c>
      <c r="Z158" s="54"/>
      <c r="AA158" s="71"/>
      <c r="AB158" s="71"/>
      <c r="AC158" s="128"/>
      <c r="AD158" s="33"/>
      <c r="AE158" s="55"/>
    </row>
    <row r="159" spans="2:31" ht="20.100000000000001" customHeight="1">
      <c r="B159" s="48">
        <v>126</v>
      </c>
      <c r="C159" s="121" t="s">
        <v>348</v>
      </c>
      <c r="D159" s="120" t="s">
        <v>349</v>
      </c>
      <c r="E159" s="120">
        <v>2603</v>
      </c>
      <c r="F159" s="120" t="s">
        <v>526</v>
      </c>
      <c r="G159" s="120" t="s">
        <v>689</v>
      </c>
      <c r="H159" s="49"/>
      <c r="I159" s="50" t="s">
        <v>622</v>
      </c>
      <c r="J159" s="124" t="s">
        <v>643</v>
      </c>
      <c r="K159" s="50" t="s">
        <v>573</v>
      </c>
      <c r="L159" s="50" t="s">
        <v>603</v>
      </c>
      <c r="M159" s="56" t="s">
        <v>12</v>
      </c>
      <c r="N159" s="122" t="s">
        <v>665</v>
      </c>
      <c r="O159" s="57">
        <v>4</v>
      </c>
      <c r="P159" s="45">
        <v>428700</v>
      </c>
      <c r="Q159" s="58">
        <f t="shared" si="18"/>
        <v>1714800</v>
      </c>
      <c r="R159" s="141">
        <v>46122</v>
      </c>
      <c r="S159" s="19"/>
      <c r="T159" s="32"/>
      <c r="U159" s="32"/>
      <c r="V159" s="51">
        <f t="shared" si="13"/>
        <v>497291.99999999994</v>
      </c>
      <c r="W159" s="51">
        <f t="shared" si="14"/>
        <v>1989167.9999999998</v>
      </c>
      <c r="X159" s="52">
        <f t="shared" si="15"/>
        <v>334.51</v>
      </c>
      <c r="Y159" s="53">
        <f t="shared" si="16"/>
        <v>1338.04</v>
      </c>
      <c r="Z159" s="54"/>
      <c r="AA159" s="71"/>
      <c r="AB159" s="71"/>
      <c r="AC159" s="128"/>
      <c r="AD159" s="33"/>
      <c r="AE159" s="55"/>
    </row>
    <row r="160" spans="2:31" ht="20.100000000000001" customHeight="1">
      <c r="B160" s="48">
        <v>127</v>
      </c>
      <c r="C160" s="121" t="s">
        <v>348</v>
      </c>
      <c r="D160" s="120" t="s">
        <v>349</v>
      </c>
      <c r="E160" s="120">
        <v>2603</v>
      </c>
      <c r="F160" s="120" t="s">
        <v>526</v>
      </c>
      <c r="G160" s="120" t="s">
        <v>689</v>
      </c>
      <c r="H160" s="49"/>
      <c r="I160" s="50" t="s">
        <v>574</v>
      </c>
      <c r="J160" s="124" t="s">
        <v>575</v>
      </c>
      <c r="K160" s="50" t="s">
        <v>573</v>
      </c>
      <c r="L160" s="50" t="s">
        <v>603</v>
      </c>
      <c r="M160" s="56" t="s">
        <v>12</v>
      </c>
      <c r="N160" s="122" t="s">
        <v>665</v>
      </c>
      <c r="O160" s="57">
        <v>4</v>
      </c>
      <c r="P160" s="45">
        <v>32600</v>
      </c>
      <c r="Q160" s="58">
        <f t="shared" si="18"/>
        <v>130400</v>
      </c>
      <c r="R160" s="141">
        <v>46122</v>
      </c>
      <c r="S160" s="19"/>
      <c r="T160" s="32"/>
      <c r="U160" s="32"/>
      <c r="V160" s="51">
        <f t="shared" si="13"/>
        <v>37816</v>
      </c>
      <c r="W160" s="51">
        <f t="shared" si="14"/>
        <v>151264</v>
      </c>
      <c r="X160" s="52">
        <f t="shared" si="15"/>
        <v>25.44</v>
      </c>
      <c r="Y160" s="53">
        <f t="shared" si="16"/>
        <v>101.76</v>
      </c>
      <c r="Z160" s="54"/>
      <c r="AA160" s="71"/>
      <c r="AB160" s="71"/>
      <c r="AC160" s="128"/>
      <c r="AD160" s="33"/>
      <c r="AE160" s="55"/>
    </row>
    <row r="161" spans="2:31" ht="20.100000000000001" customHeight="1">
      <c r="B161" s="48">
        <v>128</v>
      </c>
      <c r="C161" s="121" t="s">
        <v>348</v>
      </c>
      <c r="D161" s="120" t="s">
        <v>349</v>
      </c>
      <c r="E161" s="120">
        <v>2603</v>
      </c>
      <c r="F161" s="120" t="s">
        <v>526</v>
      </c>
      <c r="G161" s="120" t="s">
        <v>689</v>
      </c>
      <c r="H161" s="49"/>
      <c r="I161" s="50" t="s">
        <v>576</v>
      </c>
      <c r="J161" s="124" t="s">
        <v>577</v>
      </c>
      <c r="K161" s="50" t="s">
        <v>573</v>
      </c>
      <c r="L161" s="50" t="s">
        <v>603</v>
      </c>
      <c r="M161" s="56" t="s">
        <v>12</v>
      </c>
      <c r="N161" s="122" t="s">
        <v>665</v>
      </c>
      <c r="O161" s="57">
        <v>4</v>
      </c>
      <c r="P161" s="45">
        <v>53700</v>
      </c>
      <c r="Q161" s="58">
        <f t="shared" si="18"/>
        <v>214800</v>
      </c>
      <c r="R161" s="141">
        <v>46122</v>
      </c>
      <c r="S161" s="19"/>
      <c r="T161" s="32"/>
      <c r="U161" s="32"/>
      <c r="V161" s="51">
        <f t="shared" si="13"/>
        <v>62291.999999999993</v>
      </c>
      <c r="W161" s="51">
        <f t="shared" si="14"/>
        <v>249167.99999999997</v>
      </c>
      <c r="X161" s="52">
        <f t="shared" si="15"/>
        <v>41.9</v>
      </c>
      <c r="Y161" s="53">
        <f t="shared" si="16"/>
        <v>167.6</v>
      </c>
      <c r="Z161" s="54"/>
      <c r="AA161" s="71"/>
      <c r="AB161" s="71"/>
      <c r="AC161" s="128"/>
      <c r="AD161" s="33"/>
      <c r="AE161" s="55"/>
    </row>
    <row r="162" spans="2:31" ht="20.100000000000001" customHeight="1">
      <c r="B162" s="48">
        <v>129</v>
      </c>
      <c r="C162" s="121" t="s">
        <v>348</v>
      </c>
      <c r="D162" s="120" t="s">
        <v>349</v>
      </c>
      <c r="E162" s="120">
        <v>2603</v>
      </c>
      <c r="F162" s="120" t="s">
        <v>526</v>
      </c>
      <c r="G162" s="120" t="s">
        <v>689</v>
      </c>
      <c r="H162" s="49"/>
      <c r="I162" s="50" t="s">
        <v>578</v>
      </c>
      <c r="J162" s="124" t="s">
        <v>62</v>
      </c>
      <c r="K162" s="50" t="s">
        <v>61</v>
      </c>
      <c r="L162" s="50" t="s">
        <v>61</v>
      </c>
      <c r="M162" s="56" t="s">
        <v>12</v>
      </c>
      <c r="N162" s="122" t="s">
        <v>665</v>
      </c>
      <c r="O162" s="57">
        <v>2</v>
      </c>
      <c r="P162" s="45">
        <v>315000</v>
      </c>
      <c r="Q162" s="58">
        <f t="shared" si="18"/>
        <v>630000</v>
      </c>
      <c r="R162" s="141">
        <v>46115</v>
      </c>
      <c r="S162" s="19"/>
      <c r="T162" s="32"/>
      <c r="U162" s="32"/>
      <c r="V162" s="51">
        <f t="shared" si="13"/>
        <v>365400</v>
      </c>
      <c r="W162" s="51">
        <f t="shared" si="14"/>
        <v>730800</v>
      </c>
      <c r="X162" s="52">
        <f t="shared" si="15"/>
        <v>245.79</v>
      </c>
      <c r="Y162" s="53">
        <f t="shared" si="16"/>
        <v>491.58</v>
      </c>
      <c r="Z162" s="54"/>
      <c r="AA162" s="71"/>
      <c r="AB162" s="71"/>
      <c r="AC162" s="128"/>
      <c r="AD162" s="33"/>
      <c r="AE162" s="55"/>
    </row>
    <row r="163" spans="2:31" ht="20.100000000000001" customHeight="1">
      <c r="B163" s="48">
        <v>133</v>
      </c>
      <c r="C163" s="121" t="s">
        <v>348</v>
      </c>
      <c r="D163" s="120" t="s">
        <v>349</v>
      </c>
      <c r="E163" s="120">
        <v>2603</v>
      </c>
      <c r="F163" s="120" t="s">
        <v>526</v>
      </c>
      <c r="G163" s="120" t="s">
        <v>689</v>
      </c>
      <c r="H163" s="49"/>
      <c r="I163" s="50" t="s">
        <v>579</v>
      </c>
      <c r="J163" s="124" t="s">
        <v>580</v>
      </c>
      <c r="K163" s="50" t="s">
        <v>48</v>
      </c>
      <c r="L163" s="50" t="s">
        <v>604</v>
      </c>
      <c r="M163" s="56" t="s">
        <v>12</v>
      </c>
      <c r="N163" s="122" t="s">
        <v>666</v>
      </c>
      <c r="O163" s="57">
        <v>6</v>
      </c>
      <c r="P163" s="45">
        <v>11500</v>
      </c>
      <c r="Q163" s="58">
        <f t="shared" si="18"/>
        <v>69000</v>
      </c>
      <c r="R163" s="141">
        <v>46115</v>
      </c>
      <c r="S163" s="19"/>
      <c r="T163" s="32"/>
      <c r="U163" s="32"/>
      <c r="V163" s="51">
        <f t="shared" si="13"/>
        <v>13339.999999999998</v>
      </c>
      <c r="W163" s="51">
        <f t="shared" si="14"/>
        <v>80039.999999999985</v>
      </c>
      <c r="X163" s="52">
        <f t="shared" si="15"/>
        <v>8.9700000000000006</v>
      </c>
      <c r="Y163" s="53">
        <f t="shared" si="16"/>
        <v>53.820000000000007</v>
      </c>
      <c r="Z163" s="54"/>
      <c r="AA163" s="71"/>
      <c r="AB163" s="71"/>
      <c r="AC163" s="128"/>
      <c r="AD163" s="33"/>
      <c r="AE163" s="55"/>
    </row>
    <row r="164" spans="2:31" ht="20.100000000000001" customHeight="1">
      <c r="B164" s="48">
        <v>134</v>
      </c>
      <c r="C164" s="121" t="s">
        <v>348</v>
      </c>
      <c r="D164" s="120" t="s">
        <v>349</v>
      </c>
      <c r="E164" s="120">
        <v>2603</v>
      </c>
      <c r="F164" s="120" t="s">
        <v>526</v>
      </c>
      <c r="G164" s="120" t="s">
        <v>689</v>
      </c>
      <c r="H164" s="49"/>
      <c r="I164" s="50" t="s">
        <v>579</v>
      </c>
      <c r="J164" s="124" t="s">
        <v>633</v>
      </c>
      <c r="K164" s="50" t="s">
        <v>48</v>
      </c>
      <c r="L164" s="50" t="s">
        <v>604</v>
      </c>
      <c r="M164" s="56" t="s">
        <v>12</v>
      </c>
      <c r="N164" s="122" t="s">
        <v>666</v>
      </c>
      <c r="O164" s="57">
        <v>6</v>
      </c>
      <c r="P164" s="45">
        <v>11500</v>
      </c>
      <c r="Q164" s="58">
        <f t="shared" si="18"/>
        <v>69000</v>
      </c>
      <c r="R164" s="141">
        <v>46115</v>
      </c>
      <c r="S164" s="19"/>
      <c r="T164" s="32"/>
      <c r="U164" s="32"/>
      <c r="V164" s="51">
        <f t="shared" si="13"/>
        <v>13339.999999999998</v>
      </c>
      <c r="W164" s="51">
        <f t="shared" si="14"/>
        <v>80039.999999999985</v>
      </c>
      <c r="X164" s="52">
        <f t="shared" si="15"/>
        <v>8.9700000000000006</v>
      </c>
      <c r="Y164" s="53">
        <f t="shared" si="16"/>
        <v>53.820000000000007</v>
      </c>
      <c r="Z164" s="54"/>
      <c r="AA164" s="71"/>
      <c r="AB164" s="71"/>
      <c r="AC164" s="128"/>
      <c r="AD164" s="33"/>
      <c r="AE164" s="55"/>
    </row>
    <row r="165" spans="2:31" ht="20.100000000000001" customHeight="1">
      <c r="B165" s="48">
        <v>135</v>
      </c>
      <c r="C165" s="121" t="s">
        <v>348</v>
      </c>
      <c r="D165" s="120" t="s">
        <v>349</v>
      </c>
      <c r="E165" s="120">
        <v>2603</v>
      </c>
      <c r="F165" s="120" t="s">
        <v>526</v>
      </c>
      <c r="G165" s="120" t="s">
        <v>689</v>
      </c>
      <c r="H165" s="49"/>
      <c r="I165" s="50" t="s">
        <v>124</v>
      </c>
      <c r="J165" s="124" t="s">
        <v>132</v>
      </c>
      <c r="K165" s="50" t="s">
        <v>48</v>
      </c>
      <c r="L165" s="50" t="s">
        <v>604</v>
      </c>
      <c r="M165" s="56" t="s">
        <v>12</v>
      </c>
      <c r="N165" s="122" t="s">
        <v>666</v>
      </c>
      <c r="O165" s="57">
        <v>4</v>
      </c>
      <c r="P165" s="45">
        <v>3200</v>
      </c>
      <c r="Q165" s="58">
        <f t="shared" si="18"/>
        <v>12800</v>
      </c>
      <c r="R165" s="141">
        <v>46115</v>
      </c>
      <c r="S165" s="19"/>
      <c r="T165" s="32"/>
      <c r="U165" s="32"/>
      <c r="V165" s="51">
        <f t="shared" si="13"/>
        <v>3711.9999999999995</v>
      </c>
      <c r="W165" s="51">
        <f t="shared" si="14"/>
        <v>14847.999999999998</v>
      </c>
      <c r="X165" s="52">
        <f t="shared" si="15"/>
        <v>2.5</v>
      </c>
      <c r="Y165" s="53">
        <f t="shared" si="16"/>
        <v>10</v>
      </c>
      <c r="Z165" s="54"/>
      <c r="AA165" s="71"/>
      <c r="AB165" s="71"/>
      <c r="AC165" s="128"/>
      <c r="AD165" s="33"/>
      <c r="AE165" s="55"/>
    </row>
    <row r="166" spans="2:31" ht="20.100000000000001" customHeight="1">
      <c r="B166" s="48">
        <v>136</v>
      </c>
      <c r="C166" s="121" t="s">
        <v>348</v>
      </c>
      <c r="D166" s="120" t="s">
        <v>349</v>
      </c>
      <c r="E166" s="120">
        <v>2603</v>
      </c>
      <c r="F166" s="120" t="s">
        <v>526</v>
      </c>
      <c r="G166" s="120" t="s">
        <v>689</v>
      </c>
      <c r="H166" s="49"/>
      <c r="I166" s="50" t="s">
        <v>126</v>
      </c>
      <c r="J166" s="124" t="s">
        <v>634</v>
      </c>
      <c r="K166" s="50" t="s">
        <v>48</v>
      </c>
      <c r="L166" s="50" t="s">
        <v>604</v>
      </c>
      <c r="M166" s="56" t="s">
        <v>12</v>
      </c>
      <c r="N166" s="122" t="s">
        <v>666</v>
      </c>
      <c r="O166" s="57">
        <v>2</v>
      </c>
      <c r="P166" s="45">
        <v>70000</v>
      </c>
      <c r="Q166" s="58">
        <f t="shared" si="18"/>
        <v>140000</v>
      </c>
      <c r="R166" s="141">
        <v>46115</v>
      </c>
      <c r="S166" s="19"/>
      <c r="T166" s="32"/>
      <c r="U166" s="32"/>
      <c r="V166" s="51">
        <f t="shared" si="13"/>
        <v>81200</v>
      </c>
      <c r="W166" s="51">
        <f t="shared" si="14"/>
        <v>162400</v>
      </c>
      <c r="X166" s="52">
        <f t="shared" si="15"/>
        <v>54.62</v>
      </c>
      <c r="Y166" s="53">
        <f t="shared" si="16"/>
        <v>109.24</v>
      </c>
      <c r="Z166" s="54"/>
      <c r="AA166" s="71"/>
      <c r="AB166" s="71"/>
      <c r="AC166" s="128"/>
      <c r="AD166" s="33"/>
      <c r="AE166" s="55"/>
    </row>
    <row r="167" spans="2:31" ht="20.100000000000001" customHeight="1">
      <c r="B167" s="48">
        <v>137</v>
      </c>
      <c r="C167" s="121" t="s">
        <v>348</v>
      </c>
      <c r="D167" s="120" t="s">
        <v>349</v>
      </c>
      <c r="E167" s="120">
        <v>2603</v>
      </c>
      <c r="F167" s="120" t="s">
        <v>526</v>
      </c>
      <c r="G167" s="120" t="s">
        <v>689</v>
      </c>
      <c r="H167" s="49"/>
      <c r="I167" s="50" t="s">
        <v>126</v>
      </c>
      <c r="J167" s="124" t="s">
        <v>635</v>
      </c>
      <c r="K167" s="50" t="s">
        <v>48</v>
      </c>
      <c r="L167" s="50" t="s">
        <v>604</v>
      </c>
      <c r="M167" s="56" t="s">
        <v>12</v>
      </c>
      <c r="N167" s="122" t="s">
        <v>666</v>
      </c>
      <c r="O167" s="57">
        <v>2</v>
      </c>
      <c r="P167" s="45">
        <v>21000</v>
      </c>
      <c r="Q167" s="58">
        <f t="shared" si="18"/>
        <v>42000</v>
      </c>
      <c r="R167" s="141">
        <v>46115</v>
      </c>
      <c r="S167" s="19"/>
      <c r="T167" s="32"/>
      <c r="U167" s="32"/>
      <c r="V167" s="51">
        <f t="shared" si="13"/>
        <v>24360</v>
      </c>
      <c r="W167" s="51">
        <f t="shared" si="14"/>
        <v>48720</v>
      </c>
      <c r="X167" s="52">
        <f t="shared" si="15"/>
        <v>16.39</v>
      </c>
      <c r="Y167" s="53">
        <f t="shared" si="16"/>
        <v>32.78</v>
      </c>
      <c r="Z167" s="54"/>
      <c r="AA167" s="71"/>
      <c r="AB167" s="71"/>
      <c r="AC167" s="128"/>
      <c r="AD167" s="33"/>
      <c r="AE167" s="55"/>
    </row>
    <row r="168" spans="2:31" ht="20.100000000000001" customHeight="1">
      <c r="B168" s="48">
        <v>138</v>
      </c>
      <c r="C168" s="121" t="s">
        <v>348</v>
      </c>
      <c r="D168" s="120" t="s">
        <v>349</v>
      </c>
      <c r="E168" s="120">
        <v>2603</v>
      </c>
      <c r="F168" s="120" t="s">
        <v>526</v>
      </c>
      <c r="G168" s="120" t="s">
        <v>689</v>
      </c>
      <c r="H168" s="49"/>
      <c r="I168" s="50" t="s">
        <v>125</v>
      </c>
      <c r="J168" s="124" t="s">
        <v>636</v>
      </c>
      <c r="K168" s="50" t="s">
        <v>48</v>
      </c>
      <c r="L168" s="50" t="s">
        <v>604</v>
      </c>
      <c r="M168" s="56" t="s">
        <v>12</v>
      </c>
      <c r="N168" s="122" t="s">
        <v>666</v>
      </c>
      <c r="O168" s="57">
        <v>2</v>
      </c>
      <c r="P168" s="45">
        <v>22000</v>
      </c>
      <c r="Q168" s="58">
        <f t="shared" si="18"/>
        <v>44000</v>
      </c>
      <c r="R168" s="141">
        <v>46115</v>
      </c>
      <c r="S168" s="19"/>
      <c r="T168" s="32"/>
      <c r="U168" s="32"/>
      <c r="V168" s="51">
        <f t="shared" si="13"/>
        <v>25520</v>
      </c>
      <c r="W168" s="51">
        <f t="shared" si="14"/>
        <v>51040</v>
      </c>
      <c r="X168" s="52">
        <f t="shared" si="15"/>
        <v>17.170000000000002</v>
      </c>
      <c r="Y168" s="53">
        <f t="shared" si="16"/>
        <v>34.340000000000003</v>
      </c>
      <c r="Z168" s="54"/>
      <c r="AA168" s="71"/>
      <c r="AB168" s="71"/>
      <c r="AC168" s="128"/>
      <c r="AD168" s="33"/>
      <c r="AE168" s="55"/>
    </row>
    <row r="169" spans="2:31" ht="20.100000000000001" customHeight="1">
      <c r="B169" s="48">
        <v>162</v>
      </c>
      <c r="C169" s="121" t="s">
        <v>348</v>
      </c>
      <c r="D169" s="120" t="s">
        <v>349</v>
      </c>
      <c r="E169" s="120">
        <v>2603</v>
      </c>
      <c r="F169" s="120" t="s">
        <v>526</v>
      </c>
      <c r="G169" s="120" t="s">
        <v>689</v>
      </c>
      <c r="H169" s="49"/>
      <c r="I169" s="50" t="s">
        <v>39</v>
      </c>
      <c r="J169" s="124" t="s">
        <v>589</v>
      </c>
      <c r="K169" s="50" t="s">
        <v>38</v>
      </c>
      <c r="L169" s="50" t="s">
        <v>607</v>
      </c>
      <c r="M169" s="56" t="s">
        <v>12</v>
      </c>
      <c r="N169" s="122" t="s">
        <v>665</v>
      </c>
      <c r="O169" s="57">
        <v>14</v>
      </c>
      <c r="P169" s="45">
        <v>25900</v>
      </c>
      <c r="Q169" s="58">
        <f t="shared" si="17"/>
        <v>362600</v>
      </c>
      <c r="R169" s="141">
        <v>46122</v>
      </c>
      <c r="S169" s="19"/>
      <c r="T169" s="32"/>
      <c r="U169" s="32"/>
      <c r="V169" s="51">
        <f t="shared" si="13"/>
        <v>30043.999999999996</v>
      </c>
      <c r="W169" s="51">
        <f t="shared" si="14"/>
        <v>420615.99999999994</v>
      </c>
      <c r="X169" s="52">
        <f t="shared" si="15"/>
        <v>20.21</v>
      </c>
      <c r="Y169" s="53">
        <f t="shared" si="16"/>
        <v>282.94</v>
      </c>
      <c r="Z169" s="54"/>
      <c r="AA169" s="71"/>
      <c r="AB169" s="71"/>
      <c r="AC169" s="128"/>
      <c r="AD169" s="33"/>
      <c r="AE169" s="55"/>
    </row>
    <row r="170" spans="2:31" ht="20.100000000000001" customHeight="1">
      <c r="B170" s="48">
        <v>165</v>
      </c>
      <c r="C170" s="131" t="s">
        <v>348</v>
      </c>
      <c r="D170" s="132" t="s">
        <v>349</v>
      </c>
      <c r="E170" s="132">
        <v>2603</v>
      </c>
      <c r="F170" s="132" t="s">
        <v>526</v>
      </c>
      <c r="G170" s="132" t="s">
        <v>689</v>
      </c>
      <c r="H170" s="133"/>
      <c r="I170" s="134" t="s">
        <v>496</v>
      </c>
      <c r="J170" s="135" t="s">
        <v>497</v>
      </c>
      <c r="K170" s="134" t="s">
        <v>498</v>
      </c>
      <c r="L170" s="134" t="s">
        <v>499</v>
      </c>
      <c r="M170" s="136" t="s">
        <v>12</v>
      </c>
      <c r="N170" s="137" t="s">
        <v>669</v>
      </c>
      <c r="O170" s="138">
        <v>4</v>
      </c>
      <c r="P170" s="139">
        <v>1000000</v>
      </c>
      <c r="Q170" s="140">
        <f>O170*P170</f>
        <v>4000000</v>
      </c>
      <c r="R170" s="141" t="s">
        <v>1016</v>
      </c>
      <c r="S170" s="19"/>
      <c r="T170" s="32"/>
      <c r="U170" s="32"/>
      <c r="V170" s="51">
        <f t="shared" si="13"/>
        <v>1160000</v>
      </c>
      <c r="W170" s="51">
        <f t="shared" si="14"/>
        <v>4640000</v>
      </c>
      <c r="X170" s="52">
        <f t="shared" si="15"/>
        <v>780.28</v>
      </c>
      <c r="Y170" s="53">
        <f t="shared" si="16"/>
        <v>3121.12</v>
      </c>
      <c r="Z170" s="54"/>
      <c r="AA170" s="71"/>
      <c r="AB170" s="71"/>
      <c r="AC170" s="142" t="s">
        <v>697</v>
      </c>
      <c r="AD170" s="33"/>
      <c r="AE170" s="55"/>
    </row>
    <row r="171" spans="2:31" ht="20.100000000000001" customHeight="1">
      <c r="B171" s="48">
        <v>167</v>
      </c>
      <c r="C171" s="121" t="s">
        <v>348</v>
      </c>
      <c r="D171" s="120" t="s">
        <v>349</v>
      </c>
      <c r="E171" s="120">
        <v>2603</v>
      </c>
      <c r="F171" s="120" t="s">
        <v>526</v>
      </c>
      <c r="G171" s="120" t="s">
        <v>689</v>
      </c>
      <c r="H171" s="49"/>
      <c r="I171" s="50" t="s">
        <v>598</v>
      </c>
      <c r="J171" s="124" t="s">
        <v>628</v>
      </c>
      <c r="K171" s="50" t="s">
        <v>48</v>
      </c>
      <c r="L171" s="50" t="s">
        <v>608</v>
      </c>
      <c r="M171" s="56" t="s">
        <v>12</v>
      </c>
      <c r="N171" s="122" t="s">
        <v>666</v>
      </c>
      <c r="O171" s="57">
        <v>6</v>
      </c>
      <c r="P171" s="45">
        <v>83700</v>
      </c>
      <c r="Q171" s="58">
        <f t="shared" si="17"/>
        <v>502200</v>
      </c>
      <c r="R171" s="141">
        <v>46115</v>
      </c>
      <c r="S171" s="19"/>
      <c r="T171" s="32"/>
      <c r="U171" s="32"/>
      <c r="V171" s="51">
        <f t="shared" si="13"/>
        <v>97092</v>
      </c>
      <c r="W171" s="51">
        <f t="shared" si="14"/>
        <v>582552</v>
      </c>
      <c r="X171" s="52">
        <f t="shared" si="15"/>
        <v>65.31</v>
      </c>
      <c r="Y171" s="53">
        <f t="shared" si="16"/>
        <v>391.86</v>
      </c>
      <c r="Z171" s="54"/>
      <c r="AA171" s="71"/>
      <c r="AB171" s="71"/>
      <c r="AC171" s="128" t="s">
        <v>693</v>
      </c>
      <c r="AD171" s="33"/>
      <c r="AE171" s="55"/>
    </row>
    <row r="172" spans="2:31" ht="20.100000000000001" customHeight="1">
      <c r="B172" s="48">
        <v>168</v>
      </c>
      <c r="C172" s="121" t="s">
        <v>348</v>
      </c>
      <c r="D172" s="120" t="s">
        <v>349</v>
      </c>
      <c r="E172" s="120">
        <v>2603</v>
      </c>
      <c r="F172" s="120" t="s">
        <v>526</v>
      </c>
      <c r="G172" s="120" t="s">
        <v>689</v>
      </c>
      <c r="H172" s="49"/>
      <c r="I172" s="50" t="s">
        <v>124</v>
      </c>
      <c r="J172" s="124" t="s">
        <v>592</v>
      </c>
      <c r="K172" s="50" t="s">
        <v>48</v>
      </c>
      <c r="L172" s="50" t="s">
        <v>608</v>
      </c>
      <c r="M172" s="56" t="s">
        <v>12</v>
      </c>
      <c r="N172" s="122" t="s">
        <v>612</v>
      </c>
      <c r="O172" s="57">
        <v>8</v>
      </c>
      <c r="P172" s="45">
        <v>2290</v>
      </c>
      <c r="Q172" s="58">
        <f t="shared" si="17"/>
        <v>18320</v>
      </c>
      <c r="R172" s="141">
        <v>46115</v>
      </c>
      <c r="S172" s="19"/>
      <c r="T172" s="32"/>
      <c r="U172" s="32"/>
      <c r="V172" s="51">
        <f t="shared" si="13"/>
        <v>2656.3999999999996</v>
      </c>
      <c r="W172" s="51">
        <f t="shared" si="14"/>
        <v>21251.199999999997</v>
      </c>
      <c r="X172" s="52">
        <f t="shared" si="15"/>
        <v>1.79</v>
      </c>
      <c r="Y172" s="53">
        <f t="shared" si="16"/>
        <v>14.32</v>
      </c>
      <c r="Z172" s="54"/>
      <c r="AA172" s="71"/>
      <c r="AB172" s="71"/>
      <c r="AC172" s="128"/>
      <c r="AD172" s="33"/>
      <c r="AE172" s="55"/>
    </row>
    <row r="173" spans="2:31" ht="20.100000000000001" customHeight="1">
      <c r="B173" s="48">
        <v>169</v>
      </c>
      <c r="C173" s="121" t="s">
        <v>348</v>
      </c>
      <c r="D173" s="120" t="s">
        <v>349</v>
      </c>
      <c r="E173" s="120">
        <v>2603</v>
      </c>
      <c r="F173" s="120" t="s">
        <v>526</v>
      </c>
      <c r="G173" s="120" t="s">
        <v>689</v>
      </c>
      <c r="H173" s="49"/>
      <c r="I173" s="50" t="s">
        <v>43</v>
      </c>
      <c r="J173" s="124" t="s">
        <v>593</v>
      </c>
      <c r="K173" s="50" t="s">
        <v>48</v>
      </c>
      <c r="L173" s="50" t="s">
        <v>608</v>
      </c>
      <c r="M173" s="56" t="s">
        <v>12</v>
      </c>
      <c r="N173" s="122" t="s">
        <v>612</v>
      </c>
      <c r="O173" s="57">
        <v>4</v>
      </c>
      <c r="P173" s="45">
        <v>1986</v>
      </c>
      <c r="Q173" s="58">
        <f t="shared" si="17"/>
        <v>7944</v>
      </c>
      <c r="R173" s="141">
        <v>46115</v>
      </c>
      <c r="S173" s="19"/>
      <c r="T173" s="32"/>
      <c r="U173" s="32"/>
      <c r="V173" s="51">
        <f t="shared" si="13"/>
        <v>2303.7599999999998</v>
      </c>
      <c r="W173" s="51">
        <f t="shared" si="14"/>
        <v>9215.0399999999991</v>
      </c>
      <c r="X173" s="52">
        <f t="shared" si="15"/>
        <v>1.55</v>
      </c>
      <c r="Y173" s="53">
        <f t="shared" si="16"/>
        <v>6.2</v>
      </c>
      <c r="Z173" s="54"/>
      <c r="AA173" s="71"/>
      <c r="AB173" s="71"/>
      <c r="AC173" s="128"/>
      <c r="AD173" s="33"/>
      <c r="AE173" s="55"/>
    </row>
    <row r="174" spans="2:31" ht="20.100000000000001" customHeight="1">
      <c r="B174" s="48">
        <v>170</v>
      </c>
      <c r="C174" s="121" t="s">
        <v>348</v>
      </c>
      <c r="D174" s="120" t="s">
        <v>349</v>
      </c>
      <c r="E174" s="120">
        <v>2603</v>
      </c>
      <c r="F174" s="120" t="s">
        <v>526</v>
      </c>
      <c r="G174" s="120" t="s">
        <v>689</v>
      </c>
      <c r="H174" s="49"/>
      <c r="I174" s="50" t="s">
        <v>70</v>
      </c>
      <c r="J174" s="124" t="s">
        <v>658</v>
      </c>
      <c r="K174" s="50" t="s">
        <v>650</v>
      </c>
      <c r="L174" s="50" t="s">
        <v>608</v>
      </c>
      <c r="M174" s="56" t="s">
        <v>12</v>
      </c>
      <c r="N174" s="122" t="s">
        <v>612</v>
      </c>
      <c r="O174" s="57">
        <v>2</v>
      </c>
      <c r="P174" s="45">
        <v>68000</v>
      </c>
      <c r="Q174" s="58">
        <f t="shared" si="17"/>
        <v>136000</v>
      </c>
      <c r="R174" s="141">
        <v>46115</v>
      </c>
      <c r="S174" s="19"/>
      <c r="T174" s="32"/>
      <c r="U174" s="32"/>
      <c r="V174" s="51">
        <f t="shared" si="13"/>
        <v>78880</v>
      </c>
      <c r="W174" s="51">
        <f t="shared" si="14"/>
        <v>157760</v>
      </c>
      <c r="X174" s="52">
        <f t="shared" si="15"/>
        <v>53.06</v>
      </c>
      <c r="Y174" s="53">
        <f t="shared" si="16"/>
        <v>106.12</v>
      </c>
      <c r="Z174" s="54"/>
      <c r="AA174" s="71"/>
      <c r="AB174" s="71"/>
      <c r="AC174" s="128"/>
      <c r="AD174" s="33"/>
      <c r="AE174" s="55"/>
    </row>
    <row r="175" spans="2:31" ht="20.100000000000001" customHeight="1">
      <c r="B175" s="48">
        <v>171</v>
      </c>
      <c r="C175" s="121" t="s">
        <v>348</v>
      </c>
      <c r="D175" s="120" t="s">
        <v>349</v>
      </c>
      <c r="E175" s="120">
        <v>2603</v>
      </c>
      <c r="F175" s="120" t="s">
        <v>526</v>
      </c>
      <c r="G175" s="120" t="s">
        <v>689</v>
      </c>
      <c r="H175" s="49"/>
      <c r="I175" s="50" t="s">
        <v>177</v>
      </c>
      <c r="J175" s="124" t="s">
        <v>659</v>
      </c>
      <c r="K175" s="50" t="s">
        <v>48</v>
      </c>
      <c r="L175" s="50" t="s">
        <v>608</v>
      </c>
      <c r="M175" s="56" t="s">
        <v>12</v>
      </c>
      <c r="N175" s="122" t="s">
        <v>612</v>
      </c>
      <c r="O175" s="57">
        <v>4</v>
      </c>
      <c r="P175" s="45">
        <v>9130</v>
      </c>
      <c r="Q175" s="58">
        <f t="shared" si="17"/>
        <v>36520</v>
      </c>
      <c r="R175" s="141">
        <v>46115</v>
      </c>
      <c r="S175" s="19"/>
      <c r="T175" s="32"/>
      <c r="U175" s="32"/>
      <c r="V175" s="51">
        <f t="shared" si="13"/>
        <v>10590.8</v>
      </c>
      <c r="W175" s="51">
        <f t="shared" si="14"/>
        <v>42363.199999999997</v>
      </c>
      <c r="X175" s="52">
        <f t="shared" si="15"/>
        <v>7.12</v>
      </c>
      <c r="Y175" s="53">
        <f t="shared" si="16"/>
        <v>28.48</v>
      </c>
      <c r="Z175" s="54"/>
      <c r="AA175" s="71"/>
      <c r="AB175" s="71"/>
      <c r="AC175" s="128"/>
      <c r="AD175" s="33"/>
      <c r="AE175" s="55"/>
    </row>
    <row r="176" spans="2:31" ht="20.100000000000001" customHeight="1">
      <c r="B176" s="48">
        <v>172</v>
      </c>
      <c r="C176" s="121" t="s">
        <v>348</v>
      </c>
      <c r="D176" s="120" t="s">
        <v>349</v>
      </c>
      <c r="E176" s="120">
        <v>2603</v>
      </c>
      <c r="F176" s="120" t="s">
        <v>526</v>
      </c>
      <c r="G176" s="120" t="s">
        <v>689</v>
      </c>
      <c r="H176" s="49"/>
      <c r="I176" s="50" t="s">
        <v>177</v>
      </c>
      <c r="J176" s="124" t="s">
        <v>660</v>
      </c>
      <c r="K176" s="50" t="s">
        <v>48</v>
      </c>
      <c r="L176" s="50" t="s">
        <v>608</v>
      </c>
      <c r="M176" s="56" t="s">
        <v>12</v>
      </c>
      <c r="N176" s="122" t="s">
        <v>612</v>
      </c>
      <c r="O176" s="57">
        <v>4</v>
      </c>
      <c r="P176" s="45">
        <v>9130</v>
      </c>
      <c r="Q176" s="58">
        <f t="shared" si="17"/>
        <v>36520</v>
      </c>
      <c r="R176" s="141">
        <v>46115</v>
      </c>
      <c r="S176" s="19"/>
      <c r="T176" s="32"/>
      <c r="U176" s="32"/>
      <c r="V176" s="51">
        <f t="shared" si="13"/>
        <v>10590.8</v>
      </c>
      <c r="W176" s="51">
        <f t="shared" si="14"/>
        <v>42363.199999999997</v>
      </c>
      <c r="X176" s="52">
        <f t="shared" si="15"/>
        <v>7.12</v>
      </c>
      <c r="Y176" s="53">
        <f t="shared" si="16"/>
        <v>28.48</v>
      </c>
      <c r="Z176" s="54"/>
      <c r="AA176" s="71"/>
      <c r="AB176" s="71"/>
      <c r="AC176" s="128"/>
      <c r="AD176" s="33"/>
      <c r="AE176" s="55"/>
    </row>
    <row r="177" spans="2:32" ht="20.100000000000001" customHeight="1">
      <c r="B177" s="48">
        <v>173</v>
      </c>
      <c r="C177" s="121" t="s">
        <v>348</v>
      </c>
      <c r="D177" s="120" t="s">
        <v>349</v>
      </c>
      <c r="E177" s="120">
        <v>2603</v>
      </c>
      <c r="F177" s="120" t="s">
        <v>526</v>
      </c>
      <c r="G177" s="120" t="s">
        <v>689</v>
      </c>
      <c r="H177" s="49"/>
      <c r="I177" s="50" t="s">
        <v>129</v>
      </c>
      <c r="J177" s="124" t="s">
        <v>130</v>
      </c>
      <c r="K177" s="50" t="s">
        <v>48</v>
      </c>
      <c r="L177" s="50" t="s">
        <v>608</v>
      </c>
      <c r="M177" s="56" t="s">
        <v>12</v>
      </c>
      <c r="N177" s="122" t="s">
        <v>612</v>
      </c>
      <c r="O177" s="57">
        <v>4</v>
      </c>
      <c r="P177" s="45">
        <v>7619</v>
      </c>
      <c r="Q177" s="58">
        <f t="shared" si="17"/>
        <v>30476</v>
      </c>
      <c r="R177" s="141">
        <v>46115</v>
      </c>
      <c r="S177" s="19"/>
      <c r="T177" s="32"/>
      <c r="U177" s="32"/>
      <c r="V177" s="51">
        <f t="shared" si="13"/>
        <v>8838.0399999999991</v>
      </c>
      <c r="W177" s="51">
        <f t="shared" si="14"/>
        <v>35352.159999999996</v>
      </c>
      <c r="X177" s="52">
        <f t="shared" si="15"/>
        <v>5.94</v>
      </c>
      <c r="Y177" s="53">
        <f t="shared" si="16"/>
        <v>23.76</v>
      </c>
      <c r="Z177" s="54"/>
      <c r="AA177" s="71"/>
      <c r="AB177" s="71"/>
      <c r="AC177" s="128"/>
      <c r="AD177" s="33"/>
      <c r="AE177" s="55"/>
    </row>
    <row r="178" spans="2:32" ht="20.100000000000001" customHeight="1">
      <c r="B178" s="48">
        <v>174</v>
      </c>
      <c r="C178" s="121" t="s">
        <v>348</v>
      </c>
      <c r="D178" s="120" t="s">
        <v>349</v>
      </c>
      <c r="E178" s="120">
        <v>2603</v>
      </c>
      <c r="F178" s="120" t="s">
        <v>526</v>
      </c>
      <c r="G178" s="120" t="s">
        <v>689</v>
      </c>
      <c r="H178" s="49"/>
      <c r="I178" s="50" t="s">
        <v>129</v>
      </c>
      <c r="J178" s="124" t="s">
        <v>131</v>
      </c>
      <c r="K178" s="50" t="s">
        <v>48</v>
      </c>
      <c r="L178" s="50" t="s">
        <v>608</v>
      </c>
      <c r="M178" s="56" t="s">
        <v>12</v>
      </c>
      <c r="N178" s="122" t="s">
        <v>612</v>
      </c>
      <c r="O178" s="57">
        <v>4</v>
      </c>
      <c r="P178" s="45">
        <v>7059</v>
      </c>
      <c r="Q178" s="58">
        <f t="shared" si="17"/>
        <v>28236</v>
      </c>
      <c r="R178" s="141">
        <v>46115</v>
      </c>
      <c r="S178" s="19"/>
      <c r="T178" s="32"/>
      <c r="U178" s="32"/>
      <c r="V178" s="51">
        <f t="shared" si="13"/>
        <v>8188.44</v>
      </c>
      <c r="W178" s="51">
        <f t="shared" si="14"/>
        <v>32753.759999999998</v>
      </c>
      <c r="X178" s="52">
        <f t="shared" si="15"/>
        <v>5.51</v>
      </c>
      <c r="Y178" s="53">
        <f t="shared" si="16"/>
        <v>22.04</v>
      </c>
      <c r="Z178" s="54"/>
      <c r="AA178" s="71"/>
      <c r="AB178" s="71"/>
      <c r="AC178" s="128"/>
      <c r="AD178" s="33"/>
      <c r="AE178" s="55"/>
    </row>
    <row r="179" spans="2:32" ht="20.100000000000001" customHeight="1">
      <c r="B179" s="48">
        <v>175</v>
      </c>
      <c r="C179" s="121" t="s">
        <v>348</v>
      </c>
      <c r="D179" s="120" t="s">
        <v>349</v>
      </c>
      <c r="E179" s="120">
        <v>2603</v>
      </c>
      <c r="F179" s="120" t="s">
        <v>526</v>
      </c>
      <c r="G179" s="120" t="s">
        <v>689</v>
      </c>
      <c r="H179" s="49"/>
      <c r="I179" s="50" t="s">
        <v>594</v>
      </c>
      <c r="J179" s="124" t="s">
        <v>595</v>
      </c>
      <c r="K179" s="50" t="s">
        <v>48</v>
      </c>
      <c r="L179" s="50" t="s">
        <v>608</v>
      </c>
      <c r="M179" s="56" t="s">
        <v>12</v>
      </c>
      <c r="N179" s="122" t="s">
        <v>612</v>
      </c>
      <c r="O179" s="57">
        <v>16</v>
      </c>
      <c r="P179" s="45">
        <v>8498</v>
      </c>
      <c r="Q179" s="58">
        <f t="shared" si="17"/>
        <v>135968</v>
      </c>
      <c r="R179" s="141">
        <v>46115</v>
      </c>
      <c r="S179" s="19"/>
      <c r="T179" s="32"/>
      <c r="U179" s="32"/>
      <c r="V179" s="51">
        <f t="shared" si="13"/>
        <v>9857.6799999999985</v>
      </c>
      <c r="W179" s="51">
        <f t="shared" si="14"/>
        <v>157722.87999999998</v>
      </c>
      <c r="X179" s="52">
        <f t="shared" si="15"/>
        <v>6.63</v>
      </c>
      <c r="Y179" s="53">
        <f t="shared" si="16"/>
        <v>106.08</v>
      </c>
      <c r="Z179" s="54"/>
      <c r="AA179" s="71"/>
      <c r="AB179" s="71"/>
      <c r="AC179" s="128"/>
      <c r="AD179" s="33"/>
      <c r="AE179" s="55"/>
    </row>
    <row r="180" spans="2:32" ht="20.100000000000001" customHeight="1">
      <c r="B180" s="48">
        <v>176</v>
      </c>
      <c r="C180" s="121" t="s">
        <v>348</v>
      </c>
      <c r="D180" s="120" t="s">
        <v>349</v>
      </c>
      <c r="E180" s="120">
        <v>2603</v>
      </c>
      <c r="F180" s="120" t="s">
        <v>526</v>
      </c>
      <c r="G180" s="120" t="s">
        <v>689</v>
      </c>
      <c r="H180" s="49"/>
      <c r="I180" s="50" t="s">
        <v>596</v>
      </c>
      <c r="J180" s="124" t="s">
        <v>647</v>
      </c>
      <c r="K180" s="50" t="s">
        <v>48</v>
      </c>
      <c r="L180" s="50" t="s">
        <v>608</v>
      </c>
      <c r="M180" s="56" t="s">
        <v>12</v>
      </c>
      <c r="N180" s="122" t="s">
        <v>612</v>
      </c>
      <c r="O180" s="57">
        <v>8</v>
      </c>
      <c r="P180" s="45">
        <v>4608</v>
      </c>
      <c r="Q180" s="58">
        <f t="shared" si="17"/>
        <v>36864</v>
      </c>
      <c r="R180" s="141">
        <v>46115</v>
      </c>
      <c r="S180" s="19"/>
      <c r="T180" s="32"/>
      <c r="U180" s="32"/>
      <c r="V180" s="51">
        <f t="shared" si="13"/>
        <v>5345.28</v>
      </c>
      <c r="W180" s="51">
        <f t="shared" si="14"/>
        <v>42762.239999999998</v>
      </c>
      <c r="X180" s="52">
        <f t="shared" si="15"/>
        <v>3.6</v>
      </c>
      <c r="Y180" s="53">
        <f t="shared" si="16"/>
        <v>28.8</v>
      </c>
      <c r="Z180" s="54"/>
      <c r="AA180" s="71"/>
      <c r="AB180" s="71"/>
      <c r="AC180" s="128"/>
      <c r="AD180" s="33"/>
      <c r="AE180" s="55"/>
    </row>
    <row r="181" spans="2:32" ht="20.100000000000001" customHeight="1">
      <c r="B181" s="48">
        <v>177</v>
      </c>
      <c r="C181" s="121" t="s">
        <v>348</v>
      </c>
      <c r="D181" s="120" t="s">
        <v>349</v>
      </c>
      <c r="E181" s="120">
        <v>2603</v>
      </c>
      <c r="F181" s="120" t="s">
        <v>526</v>
      </c>
      <c r="G181" s="120" t="s">
        <v>689</v>
      </c>
      <c r="H181" s="49"/>
      <c r="I181" s="50" t="s">
        <v>126</v>
      </c>
      <c r="J181" s="124" t="s">
        <v>127</v>
      </c>
      <c r="K181" s="50" t="s">
        <v>48</v>
      </c>
      <c r="L181" s="50" t="s">
        <v>608</v>
      </c>
      <c r="M181" s="56" t="s">
        <v>12</v>
      </c>
      <c r="N181" s="122" t="s">
        <v>612</v>
      </c>
      <c r="O181" s="57">
        <v>4</v>
      </c>
      <c r="P181" s="45">
        <v>5501</v>
      </c>
      <c r="Q181" s="58">
        <f t="shared" si="17"/>
        <v>22004</v>
      </c>
      <c r="R181" s="141">
        <v>46115</v>
      </c>
      <c r="S181" s="19"/>
      <c r="T181" s="32"/>
      <c r="U181" s="32"/>
      <c r="V181" s="51">
        <f t="shared" si="13"/>
        <v>6381.16</v>
      </c>
      <c r="W181" s="51">
        <f t="shared" si="14"/>
        <v>25524.639999999999</v>
      </c>
      <c r="X181" s="52">
        <f t="shared" si="15"/>
        <v>4.29</v>
      </c>
      <c r="Y181" s="53">
        <f t="shared" si="16"/>
        <v>17.16</v>
      </c>
      <c r="Z181" s="54"/>
      <c r="AA181" s="71"/>
      <c r="AB181" s="71"/>
      <c r="AC181" s="128"/>
      <c r="AD181" s="33"/>
      <c r="AE181" s="55"/>
    </row>
    <row r="182" spans="2:32" ht="20.100000000000001" customHeight="1">
      <c r="B182" s="48">
        <v>178</v>
      </c>
      <c r="C182" s="121" t="s">
        <v>348</v>
      </c>
      <c r="D182" s="120" t="s">
        <v>349</v>
      </c>
      <c r="E182" s="120">
        <v>2603</v>
      </c>
      <c r="F182" s="120" t="s">
        <v>526</v>
      </c>
      <c r="G182" s="120" t="s">
        <v>689</v>
      </c>
      <c r="H182" s="49"/>
      <c r="I182" s="50" t="s">
        <v>126</v>
      </c>
      <c r="J182" s="124" t="s">
        <v>128</v>
      </c>
      <c r="K182" s="50" t="s">
        <v>48</v>
      </c>
      <c r="L182" s="50" t="s">
        <v>608</v>
      </c>
      <c r="M182" s="56" t="s">
        <v>12</v>
      </c>
      <c r="N182" s="122" t="s">
        <v>612</v>
      </c>
      <c r="O182" s="57">
        <v>4</v>
      </c>
      <c r="P182" s="45">
        <v>13965</v>
      </c>
      <c r="Q182" s="58">
        <f t="shared" si="17"/>
        <v>55860</v>
      </c>
      <c r="R182" s="141">
        <v>46115</v>
      </c>
      <c r="S182" s="19"/>
      <c r="T182" s="32"/>
      <c r="U182" s="32"/>
      <c r="V182" s="51">
        <f t="shared" si="13"/>
        <v>16199.4</v>
      </c>
      <c r="W182" s="51">
        <f t="shared" si="14"/>
        <v>64797.599999999999</v>
      </c>
      <c r="X182" s="52">
        <f t="shared" si="15"/>
        <v>10.9</v>
      </c>
      <c r="Y182" s="53">
        <f t="shared" si="16"/>
        <v>43.6</v>
      </c>
      <c r="Z182" s="54"/>
      <c r="AA182" s="71"/>
      <c r="AB182" s="71"/>
      <c r="AC182" s="128"/>
      <c r="AD182" s="33"/>
      <c r="AE182" s="55"/>
    </row>
    <row r="183" spans="2:32" ht="20.100000000000001" customHeight="1">
      <c r="B183" s="48">
        <v>179</v>
      </c>
      <c r="C183" s="121" t="s">
        <v>348</v>
      </c>
      <c r="D183" s="120" t="s">
        <v>349</v>
      </c>
      <c r="E183" s="120">
        <v>2603</v>
      </c>
      <c r="F183" s="120" t="s">
        <v>526</v>
      </c>
      <c r="G183" s="120" t="s">
        <v>689</v>
      </c>
      <c r="H183" s="49"/>
      <c r="I183" s="50" t="s">
        <v>125</v>
      </c>
      <c r="J183" s="124" t="s">
        <v>597</v>
      </c>
      <c r="K183" s="50" t="s">
        <v>48</v>
      </c>
      <c r="L183" s="50" t="s">
        <v>608</v>
      </c>
      <c r="M183" s="56" t="s">
        <v>12</v>
      </c>
      <c r="N183" s="122" t="s">
        <v>612</v>
      </c>
      <c r="O183" s="57">
        <v>4</v>
      </c>
      <c r="P183" s="45">
        <v>21660</v>
      </c>
      <c r="Q183" s="58">
        <f t="shared" si="17"/>
        <v>86640</v>
      </c>
      <c r="R183" s="141">
        <v>46115</v>
      </c>
      <c r="S183" s="19"/>
      <c r="T183" s="32"/>
      <c r="U183" s="32"/>
      <c r="V183" s="51">
        <f t="shared" si="13"/>
        <v>25125.599999999999</v>
      </c>
      <c r="W183" s="51">
        <f t="shared" si="14"/>
        <v>100502.39999999999</v>
      </c>
      <c r="X183" s="52">
        <f t="shared" si="15"/>
        <v>16.899999999999999</v>
      </c>
      <c r="Y183" s="53">
        <f t="shared" si="16"/>
        <v>67.599999999999994</v>
      </c>
      <c r="Z183" s="54"/>
      <c r="AA183" s="71"/>
      <c r="AB183" s="71"/>
      <c r="AC183" s="128"/>
      <c r="AD183" s="33"/>
      <c r="AE183" s="55"/>
    </row>
    <row r="184" spans="2:32" ht="20.100000000000001" customHeight="1">
      <c r="B184" s="48">
        <v>180</v>
      </c>
      <c r="C184" s="121" t="s">
        <v>348</v>
      </c>
      <c r="D184" s="120" t="s">
        <v>349</v>
      </c>
      <c r="E184" s="120">
        <v>2603</v>
      </c>
      <c r="F184" s="120" t="s">
        <v>526</v>
      </c>
      <c r="G184" s="120" t="s">
        <v>689</v>
      </c>
      <c r="H184" s="49"/>
      <c r="I184" s="50" t="s">
        <v>46</v>
      </c>
      <c r="J184" s="124" t="s">
        <v>661</v>
      </c>
      <c r="K184" s="50" t="s">
        <v>123</v>
      </c>
      <c r="L184" s="50" t="s">
        <v>608</v>
      </c>
      <c r="M184" s="56" t="s">
        <v>12</v>
      </c>
      <c r="N184" s="122" t="s">
        <v>665</v>
      </c>
      <c r="O184" s="57">
        <v>8</v>
      </c>
      <c r="P184" s="45">
        <v>23910</v>
      </c>
      <c r="Q184" s="58">
        <f t="shared" si="17"/>
        <v>191280</v>
      </c>
      <c r="R184" s="141">
        <v>46115</v>
      </c>
      <c r="S184" s="19"/>
      <c r="T184" s="32"/>
      <c r="U184" s="32"/>
      <c r="V184" s="51">
        <f t="shared" si="13"/>
        <v>27735.599999999999</v>
      </c>
      <c r="W184" s="51">
        <f t="shared" si="14"/>
        <v>221884.79999999999</v>
      </c>
      <c r="X184" s="52">
        <f t="shared" si="15"/>
        <v>18.66</v>
      </c>
      <c r="Y184" s="53">
        <f t="shared" si="16"/>
        <v>149.28</v>
      </c>
      <c r="Z184" s="54"/>
      <c r="AA184" s="71"/>
      <c r="AB184" s="71"/>
      <c r="AC184" s="128"/>
      <c r="AD184" s="33"/>
      <c r="AE184" s="55"/>
    </row>
    <row r="185" spans="2:32" ht="20.100000000000001" customHeight="1">
      <c r="B185" s="48">
        <v>181</v>
      </c>
      <c r="C185" s="121" t="s">
        <v>348</v>
      </c>
      <c r="D185" s="120" t="s">
        <v>349</v>
      </c>
      <c r="E185" s="120">
        <v>2603</v>
      </c>
      <c r="F185" s="120" t="s">
        <v>526</v>
      </c>
      <c r="G185" s="120" t="s">
        <v>689</v>
      </c>
      <c r="H185" s="49"/>
      <c r="I185" s="50" t="s">
        <v>177</v>
      </c>
      <c r="J185" s="124" t="s">
        <v>662</v>
      </c>
      <c r="K185" s="50" t="s">
        <v>48</v>
      </c>
      <c r="L185" s="50" t="s">
        <v>608</v>
      </c>
      <c r="M185" s="56" t="s">
        <v>12</v>
      </c>
      <c r="N185" s="122" t="s">
        <v>612</v>
      </c>
      <c r="O185" s="57">
        <v>2</v>
      </c>
      <c r="P185" s="45">
        <v>5890</v>
      </c>
      <c r="Q185" s="58">
        <f t="shared" si="17"/>
        <v>11780</v>
      </c>
      <c r="R185" s="141">
        <v>46115</v>
      </c>
      <c r="S185" s="19"/>
      <c r="T185" s="32"/>
      <c r="U185" s="32"/>
      <c r="V185" s="51">
        <f t="shared" si="13"/>
        <v>6832.4</v>
      </c>
      <c r="W185" s="51">
        <f t="shared" si="14"/>
        <v>13664.8</v>
      </c>
      <c r="X185" s="52">
        <f t="shared" si="15"/>
        <v>4.5999999999999996</v>
      </c>
      <c r="Y185" s="53">
        <f t="shared" si="16"/>
        <v>9.1999999999999993</v>
      </c>
      <c r="Z185" s="54"/>
      <c r="AA185" s="71"/>
      <c r="AB185" s="71"/>
      <c r="AC185" s="128"/>
      <c r="AD185" s="33"/>
      <c r="AE185" s="55"/>
    </row>
    <row r="186" spans="2:32" ht="20.100000000000001" customHeight="1">
      <c r="B186" s="48">
        <v>182</v>
      </c>
      <c r="C186" s="121" t="s">
        <v>348</v>
      </c>
      <c r="D186" s="120" t="s">
        <v>349</v>
      </c>
      <c r="E186" s="120">
        <v>2603</v>
      </c>
      <c r="F186" s="120" t="s">
        <v>526</v>
      </c>
      <c r="G186" s="120" t="s">
        <v>689</v>
      </c>
      <c r="H186" s="49"/>
      <c r="I186" s="50" t="s">
        <v>177</v>
      </c>
      <c r="J186" s="124" t="s">
        <v>685</v>
      </c>
      <c r="K186" s="50" t="s">
        <v>48</v>
      </c>
      <c r="L186" s="50" t="s">
        <v>686</v>
      </c>
      <c r="M186" s="56" t="s">
        <v>687</v>
      </c>
      <c r="N186" s="122" t="s">
        <v>688</v>
      </c>
      <c r="O186" s="57">
        <v>2</v>
      </c>
      <c r="P186" s="45">
        <v>5890</v>
      </c>
      <c r="Q186" s="58">
        <f t="shared" si="17"/>
        <v>11780</v>
      </c>
      <c r="R186" s="141">
        <v>46115</v>
      </c>
      <c r="S186" s="19"/>
      <c r="T186" s="32"/>
      <c r="U186" s="32"/>
      <c r="V186" s="51">
        <f t="shared" si="13"/>
        <v>6832.4</v>
      </c>
      <c r="W186" s="51">
        <f t="shared" si="14"/>
        <v>13664.8</v>
      </c>
      <c r="X186" s="52">
        <f t="shared" si="15"/>
        <v>4.5999999999999996</v>
      </c>
      <c r="Y186" s="53">
        <f t="shared" si="16"/>
        <v>9.1999999999999993</v>
      </c>
      <c r="Z186" s="54"/>
      <c r="AA186" s="71"/>
      <c r="AB186" s="71"/>
      <c r="AC186" s="128"/>
      <c r="AD186" s="33"/>
      <c r="AE186" s="55"/>
    </row>
    <row r="187" spans="2:32" ht="20.100000000000001" customHeight="1">
      <c r="B187" s="48"/>
      <c r="C187" s="121"/>
      <c r="D187" s="120"/>
      <c r="E187" s="120"/>
      <c r="F187" s="120"/>
      <c r="G187" s="120"/>
      <c r="H187" s="49"/>
      <c r="I187" s="50"/>
      <c r="J187" s="124"/>
      <c r="K187" s="50"/>
      <c r="L187" s="50"/>
      <c r="M187" s="56"/>
      <c r="N187" s="122"/>
      <c r="O187" s="57"/>
      <c r="P187" s="45"/>
      <c r="Q187" s="58">
        <f t="shared" si="17"/>
        <v>0</v>
      </c>
      <c r="R187" s="69"/>
      <c r="S187" s="19"/>
      <c r="T187" s="32"/>
      <c r="U187" s="32"/>
      <c r="V187" s="51">
        <f t="shared" si="13"/>
        <v>0</v>
      </c>
      <c r="W187" s="51">
        <f t="shared" si="14"/>
        <v>0</v>
      </c>
      <c r="X187" s="52">
        <f t="shared" si="15"/>
        <v>0</v>
      </c>
      <c r="Y187" s="53">
        <f t="shared" si="16"/>
        <v>0</v>
      </c>
      <c r="Z187" s="54"/>
      <c r="AA187" s="71"/>
      <c r="AB187" s="71"/>
      <c r="AC187" s="128"/>
      <c r="AD187" s="33"/>
      <c r="AE187" s="55"/>
    </row>
    <row r="188" spans="2:32" ht="20.100000000000001" customHeight="1">
      <c r="B188" s="48"/>
      <c r="C188" s="121"/>
      <c r="D188" s="120"/>
      <c r="E188" s="120"/>
      <c r="F188" s="120"/>
      <c r="G188" s="120"/>
      <c r="H188" s="49"/>
      <c r="I188" s="50"/>
      <c r="J188" s="124"/>
      <c r="K188" s="50"/>
      <c r="L188" s="50"/>
      <c r="M188" s="56"/>
      <c r="N188" s="122"/>
      <c r="O188" s="57"/>
      <c r="P188" s="45"/>
      <c r="Q188" s="58">
        <f t="shared" si="17"/>
        <v>0</v>
      </c>
      <c r="R188" s="69"/>
      <c r="S188" s="19"/>
      <c r="T188" s="32"/>
      <c r="U188" s="32"/>
      <c r="V188" s="51">
        <f t="shared" si="13"/>
        <v>0</v>
      </c>
      <c r="W188" s="51">
        <f t="shared" si="14"/>
        <v>0</v>
      </c>
      <c r="X188" s="52">
        <f t="shared" si="15"/>
        <v>0</v>
      </c>
      <c r="Y188" s="53">
        <f t="shared" si="16"/>
        <v>0</v>
      </c>
      <c r="Z188" s="54"/>
      <c r="AA188" s="71"/>
      <c r="AB188" s="71"/>
      <c r="AC188" s="128"/>
      <c r="AD188" s="33"/>
      <c r="AE188" s="55"/>
    </row>
    <row r="189" spans="2:32" ht="30.75" customHeight="1" thickBot="1">
      <c r="B189" s="36"/>
      <c r="C189" s="119"/>
      <c r="D189" s="37"/>
      <c r="E189" s="37"/>
      <c r="F189" s="37"/>
      <c r="G189" s="37"/>
      <c r="H189" s="37"/>
      <c r="I189" s="37"/>
      <c r="J189" s="127"/>
      <c r="K189" s="37"/>
      <c r="L189" s="37"/>
      <c r="M189" s="37"/>
      <c r="N189" s="123" t="s">
        <v>1</v>
      </c>
      <c r="O189" s="38">
        <f>SUBTOTAL(9,O5:O188)</f>
        <v>148</v>
      </c>
      <c r="P189" s="38">
        <f>SUBTOTAL(9,P5:P188)</f>
        <v>2282286</v>
      </c>
      <c r="Q189" s="38">
        <f>SUBTOTAL(9,Q5:Q188)</f>
        <v>8804392</v>
      </c>
      <c r="R189" s="70"/>
      <c r="S189" s="67"/>
      <c r="T189" s="39"/>
      <c r="U189" s="39"/>
      <c r="V189" s="38"/>
      <c r="W189" s="38">
        <f>SUBTOTAL(9,W5:W188)</f>
        <v>10213094.720000001</v>
      </c>
      <c r="X189" s="29"/>
      <c r="Y189" s="30">
        <f>++SUBTOTAL(9,Y5:Y188)</f>
        <v>6869.9999999999982</v>
      </c>
      <c r="Z189" s="44" t="e">
        <f>++SUBTOTAL(9,#REF!)</f>
        <v>#REF!</v>
      </c>
      <c r="AA189" s="40" t="e">
        <f>++SUBTOTAL(9,#REF!)</f>
        <v>#REF!</v>
      </c>
      <c r="AB189" s="40" t="e">
        <f>++SUBTOTAL(9,#REF!)</f>
        <v>#REF!</v>
      </c>
      <c r="AC189" s="41"/>
      <c r="AD189" s="6"/>
      <c r="AE189" s="14">
        <f>SUM(AE4:AE188)+6</f>
        <v>6</v>
      </c>
      <c r="AF189" s="43"/>
    </row>
    <row r="190" spans="2:32" ht="15.75" thickTop="1">
      <c r="O190" s="9"/>
      <c r="P190" s="3"/>
      <c r="Q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17"/>
      <c r="AD190" s="3"/>
      <c r="AE190" s="9"/>
    </row>
    <row r="191" spans="2:32">
      <c r="O191" s="9"/>
      <c r="P191" s="3"/>
      <c r="Q191" s="3"/>
      <c r="S191" s="3"/>
      <c r="T191" s="3"/>
      <c r="U191" s="3"/>
      <c r="V191" s="42" t="s">
        <v>54</v>
      </c>
      <c r="W191" s="47">
        <f>++W189/Q189</f>
        <v>1.1600000000000001</v>
      </c>
      <c r="X191" s="3"/>
      <c r="Y191" s="3"/>
      <c r="Z191" s="3"/>
      <c r="AA191" s="3"/>
      <c r="AB191" s="3"/>
      <c r="AC191" s="17"/>
      <c r="AD191" s="3"/>
      <c r="AE191" s="9"/>
    </row>
    <row r="192" spans="2:32">
      <c r="O192" s="9"/>
      <c r="P192" s="3"/>
      <c r="Q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17"/>
      <c r="AD192" s="3"/>
      <c r="AE192" s="9"/>
    </row>
    <row r="193" spans="15:31">
      <c r="O193" s="9"/>
      <c r="P193" s="3"/>
      <c r="Q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17"/>
      <c r="AD193" s="3"/>
      <c r="AE193" s="9"/>
    </row>
    <row r="194" spans="15:31">
      <c r="O194" s="9"/>
      <c r="P194" s="3"/>
      <c r="Q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17"/>
      <c r="AD194" s="3"/>
      <c r="AE194" s="9"/>
    </row>
    <row r="195" spans="15:31">
      <c r="O195" s="9"/>
      <c r="P195" s="3"/>
      <c r="Q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17"/>
      <c r="AD195" s="3"/>
      <c r="AE195" s="9"/>
    </row>
    <row r="196" spans="15:31">
      <c r="O196" s="9"/>
      <c r="P196" s="3"/>
      <c r="Q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17"/>
      <c r="AD196" s="3"/>
      <c r="AE196" s="9"/>
    </row>
    <row r="197" spans="15:31">
      <c r="O197" s="9"/>
      <c r="P197" s="3"/>
      <c r="Q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17"/>
      <c r="AD197" s="3"/>
      <c r="AE197" s="9"/>
    </row>
    <row r="198" spans="15:31">
      <c r="O198" s="9"/>
      <c r="P198" s="3"/>
      <c r="Q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17"/>
      <c r="AD198" s="3"/>
      <c r="AE198" s="9"/>
    </row>
    <row r="199" spans="15:31">
      <c r="O199" s="9"/>
      <c r="P199" s="3"/>
      <c r="Q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17"/>
      <c r="AD199" s="3"/>
      <c r="AE199" s="9"/>
    </row>
    <row r="200" spans="15:31">
      <c r="O200" s="9"/>
      <c r="P200" s="3"/>
      <c r="Q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17"/>
      <c r="AD200" s="3"/>
      <c r="AE200" s="9"/>
    </row>
    <row r="201" spans="15:31">
      <c r="O201" s="9"/>
      <c r="P201" s="3"/>
      <c r="Q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17"/>
      <c r="AD201" s="3"/>
      <c r="AE201" s="9"/>
    </row>
    <row r="202" spans="15:31">
      <c r="O202" s="9"/>
      <c r="P202" s="3"/>
      <c r="Q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17"/>
      <c r="AD202" s="3"/>
      <c r="AE202" s="9"/>
    </row>
    <row r="203" spans="15:31">
      <c r="O203" s="9"/>
      <c r="P203" s="3"/>
      <c r="Q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17"/>
      <c r="AD203" s="3"/>
      <c r="AE203" s="9"/>
    </row>
  </sheetData>
  <autoFilter ref="B4:AE188" xr:uid="{00000000-0009-0000-0000-000000000000}">
    <filterColumn colId="16">
      <filters blank="1">
        <filter val="확인중"/>
        <dateGroupItem year="2026" dateTimeGrouping="year"/>
      </filters>
    </filterColumn>
    <sortState xmlns:xlrd2="http://schemas.microsoft.com/office/spreadsheetml/2017/richdata2" ref="B5:AE188">
      <sortCondition ref="L4:L188"/>
    </sortState>
  </autoFilter>
  <mergeCells count="3">
    <mergeCell ref="B2:AE2"/>
    <mergeCell ref="Z4:AA4"/>
    <mergeCell ref="C4:E4"/>
  </mergeCells>
  <phoneticPr fontId="1" type="noConversion"/>
  <conditionalFormatting sqref="J1:J1048576">
    <cfRule type="duplicateValues" dxfId="5" priority="1"/>
  </conditionalFormatting>
  <pageMargins left="0.70866141732283472" right="0.70866141732283472" top="0.74803149606299213" bottom="0.74803149606299213" header="0.31496062992125984" footer="0.31496062992125984"/>
  <pageSetup paperSize="9" scale="76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0DFF1-92A9-4974-AA86-CE1D7A4FB986}">
  <dimension ref="A1:V36"/>
  <sheetViews>
    <sheetView view="pageBreakPreview" zoomScaleNormal="100" zoomScaleSheetLayoutView="100" workbookViewId="0">
      <pane ySplit="4" topLeftCell="A13" activePane="bottomLeft" state="frozen"/>
      <selection activeCell="A23" sqref="A23:I23"/>
      <selection pane="bottomLeft" activeCell="A23" sqref="A23:I23"/>
    </sheetView>
  </sheetViews>
  <sheetFormatPr defaultRowHeight="15"/>
  <cols>
    <col min="1" max="1" width="5.33203125" style="2" customWidth="1"/>
    <col min="2" max="2" width="3" style="2" customWidth="1"/>
    <col min="3" max="3" width="2.77734375" style="2" customWidth="1"/>
    <col min="4" max="4" width="4" style="2" customWidth="1"/>
    <col min="5" max="5" width="6.33203125" style="2" customWidth="1"/>
    <col min="6" max="6" width="19.33203125" style="2" customWidth="1"/>
    <col min="7" max="7" width="25.88671875" style="2" customWidth="1"/>
    <col min="8" max="8" width="13.109375" style="2" customWidth="1"/>
    <col min="9" max="9" width="5.33203125" style="2" customWidth="1"/>
    <col min="10" max="10" width="10.88671875" style="2" customWidth="1"/>
    <col min="11" max="11" width="9.77734375" style="1" customWidth="1"/>
    <col min="12" max="12" width="7.88671875" style="1" hidden="1" customWidth="1"/>
    <col min="13" max="13" width="10.44140625" style="1" customWidth="1"/>
  </cols>
  <sheetData>
    <row r="1" spans="1:22" ht="4.5" customHeight="1"/>
    <row r="2" spans="1:22" ht="38.25" customHeight="1">
      <c r="A2" s="144" t="s">
        <v>218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2"/>
      <c r="O2" s="12"/>
      <c r="P2" s="12"/>
      <c r="Q2" s="12"/>
      <c r="R2" s="12"/>
      <c r="S2" s="12"/>
      <c r="T2" s="12"/>
      <c r="U2" s="12"/>
      <c r="V2" s="12"/>
    </row>
    <row r="3" spans="1:22" ht="4.5" customHeight="1" thickBot="1"/>
    <row r="4" spans="1:22" ht="33" customHeight="1">
      <c r="A4" s="4" t="s">
        <v>13</v>
      </c>
      <c r="B4" s="157" t="s">
        <v>21</v>
      </c>
      <c r="C4" s="158"/>
      <c r="D4" s="159"/>
      <c r="E4" s="18" t="s">
        <v>194</v>
      </c>
      <c r="F4" s="5" t="s">
        <v>3</v>
      </c>
      <c r="G4" s="5" t="s">
        <v>0</v>
      </c>
      <c r="H4" s="5" t="s">
        <v>6</v>
      </c>
      <c r="I4" s="5" t="s">
        <v>11</v>
      </c>
      <c r="J4" s="7" t="s">
        <v>7</v>
      </c>
      <c r="K4" s="7" t="s">
        <v>476</v>
      </c>
      <c r="L4" s="7" t="s">
        <v>475</v>
      </c>
      <c r="M4" s="13" t="s">
        <v>44</v>
      </c>
    </row>
    <row r="5" spans="1:22" ht="20.100000000000001" customHeight="1">
      <c r="A5" s="15">
        <v>1</v>
      </c>
      <c r="B5" s="19" t="s">
        <v>348</v>
      </c>
      <c r="C5" s="19" t="s">
        <v>349</v>
      </c>
      <c r="D5" s="19">
        <v>2509</v>
      </c>
      <c r="E5" s="19" t="s">
        <v>344</v>
      </c>
      <c r="F5" s="11" t="s">
        <v>163</v>
      </c>
      <c r="G5" s="11" t="s">
        <v>358</v>
      </c>
      <c r="H5" s="11" t="s">
        <v>164</v>
      </c>
      <c r="I5" s="10" t="s">
        <v>12</v>
      </c>
      <c r="J5" s="10">
        <v>9</v>
      </c>
      <c r="K5" s="160">
        <v>1</v>
      </c>
      <c r="L5" s="160">
        <v>27</v>
      </c>
      <c r="M5" s="34"/>
    </row>
    <row r="6" spans="1:22" ht="20.100000000000001" customHeight="1">
      <c r="A6" s="15">
        <v>2</v>
      </c>
      <c r="B6" s="19" t="s">
        <v>348</v>
      </c>
      <c r="C6" s="19" t="s">
        <v>349</v>
      </c>
      <c r="D6" s="19">
        <v>2509</v>
      </c>
      <c r="E6" s="19" t="s">
        <v>344</v>
      </c>
      <c r="F6" s="11" t="s">
        <v>155</v>
      </c>
      <c r="G6" s="11" t="s">
        <v>159</v>
      </c>
      <c r="H6" s="11" t="s">
        <v>23</v>
      </c>
      <c r="I6" s="10" t="s">
        <v>12</v>
      </c>
      <c r="J6" s="10">
        <v>18</v>
      </c>
      <c r="K6" s="161"/>
      <c r="L6" s="161"/>
      <c r="M6" s="34"/>
    </row>
    <row r="7" spans="1:22" ht="20.100000000000001" customHeight="1">
      <c r="A7" s="15">
        <v>3</v>
      </c>
      <c r="B7" s="19" t="s">
        <v>348</v>
      </c>
      <c r="C7" s="19" t="s">
        <v>349</v>
      </c>
      <c r="D7" s="19">
        <v>2509</v>
      </c>
      <c r="E7" s="19" t="s">
        <v>344</v>
      </c>
      <c r="F7" s="11" t="s">
        <v>156</v>
      </c>
      <c r="G7" s="11" t="s">
        <v>160</v>
      </c>
      <c r="H7" s="11" t="s">
        <v>23</v>
      </c>
      <c r="I7" s="10" t="s">
        <v>12</v>
      </c>
      <c r="J7" s="10">
        <v>18</v>
      </c>
      <c r="K7" s="161"/>
      <c r="L7" s="161"/>
      <c r="M7" s="34"/>
    </row>
    <row r="8" spans="1:22" ht="20.100000000000001" customHeight="1">
      <c r="A8" s="15">
        <v>4</v>
      </c>
      <c r="B8" s="19" t="s">
        <v>348</v>
      </c>
      <c r="C8" s="19" t="s">
        <v>349</v>
      </c>
      <c r="D8" s="19">
        <v>2509</v>
      </c>
      <c r="E8" s="19" t="s">
        <v>344</v>
      </c>
      <c r="F8" s="11" t="s">
        <v>157</v>
      </c>
      <c r="G8" s="11" t="s">
        <v>161</v>
      </c>
      <c r="H8" s="11" t="s">
        <v>23</v>
      </c>
      <c r="I8" s="10" t="s">
        <v>12</v>
      </c>
      <c r="J8" s="10">
        <v>9</v>
      </c>
      <c r="K8" s="161"/>
      <c r="L8" s="161"/>
      <c r="M8" s="34"/>
    </row>
    <row r="9" spans="1:22" ht="20.100000000000001" customHeight="1">
      <c r="A9" s="15">
        <v>5</v>
      </c>
      <c r="B9" s="19" t="s">
        <v>348</v>
      </c>
      <c r="C9" s="19" t="s">
        <v>349</v>
      </c>
      <c r="D9" s="19">
        <v>2509</v>
      </c>
      <c r="E9" s="19" t="s">
        <v>344</v>
      </c>
      <c r="F9" s="11" t="s">
        <v>360</v>
      </c>
      <c r="G9" s="11" t="s">
        <v>361</v>
      </c>
      <c r="H9" s="11" t="s">
        <v>30</v>
      </c>
      <c r="I9" s="10" t="s">
        <v>12</v>
      </c>
      <c r="J9" s="10">
        <v>108</v>
      </c>
      <c r="K9" s="161"/>
      <c r="L9" s="161"/>
      <c r="M9" s="34"/>
    </row>
    <row r="10" spans="1:22" ht="20.100000000000001" customHeight="1">
      <c r="A10" s="15">
        <v>6</v>
      </c>
      <c r="B10" s="19" t="s">
        <v>348</v>
      </c>
      <c r="C10" s="19" t="s">
        <v>349</v>
      </c>
      <c r="D10" s="19">
        <v>2509</v>
      </c>
      <c r="E10" s="19" t="s">
        <v>344</v>
      </c>
      <c r="F10" s="11" t="s">
        <v>359</v>
      </c>
      <c r="G10" s="11" t="s">
        <v>362</v>
      </c>
      <c r="H10" s="11" t="s">
        <v>30</v>
      </c>
      <c r="I10" s="10" t="s">
        <v>12</v>
      </c>
      <c r="J10" s="10">
        <v>108</v>
      </c>
      <c r="K10" s="161"/>
      <c r="L10" s="161"/>
      <c r="M10" s="34"/>
    </row>
    <row r="11" spans="1:22" ht="20.100000000000001" customHeight="1">
      <c r="A11" s="15">
        <v>7</v>
      </c>
      <c r="B11" s="151" t="s">
        <v>494</v>
      </c>
      <c r="C11" s="152"/>
      <c r="D11" s="153"/>
      <c r="E11" s="19" t="s">
        <v>344</v>
      </c>
      <c r="F11" s="11" t="s">
        <v>86</v>
      </c>
      <c r="G11" s="11" t="s">
        <v>87</v>
      </c>
      <c r="H11" s="11" t="s">
        <v>88</v>
      </c>
      <c r="I11" s="10" t="s">
        <v>12</v>
      </c>
      <c r="J11" s="10">
        <v>9</v>
      </c>
      <c r="K11" s="161"/>
      <c r="L11" s="161"/>
      <c r="M11" s="34"/>
    </row>
    <row r="12" spans="1:22" ht="20.100000000000001" customHeight="1">
      <c r="A12" s="15">
        <v>8</v>
      </c>
      <c r="B12" s="151" t="s">
        <v>494</v>
      </c>
      <c r="C12" s="152"/>
      <c r="D12" s="153"/>
      <c r="E12" s="19" t="s">
        <v>344</v>
      </c>
      <c r="F12" s="11" t="s">
        <v>76</v>
      </c>
      <c r="G12" s="11" t="s">
        <v>212</v>
      </c>
      <c r="H12" s="11" t="s">
        <v>34</v>
      </c>
      <c r="I12" s="10" t="s">
        <v>12</v>
      </c>
      <c r="J12" s="10">
        <v>36</v>
      </c>
      <c r="K12" s="161"/>
      <c r="L12" s="161"/>
      <c r="M12" s="34"/>
    </row>
    <row r="13" spans="1:22" ht="20.100000000000001" customHeight="1">
      <c r="A13" s="15">
        <v>9</v>
      </c>
      <c r="B13" s="151" t="s">
        <v>494</v>
      </c>
      <c r="C13" s="152"/>
      <c r="D13" s="153"/>
      <c r="E13" s="19" t="s">
        <v>344</v>
      </c>
      <c r="F13" s="11" t="s">
        <v>76</v>
      </c>
      <c r="G13" s="11" t="s">
        <v>212</v>
      </c>
      <c r="H13" s="11" t="s">
        <v>34</v>
      </c>
      <c r="I13" s="10" t="s">
        <v>12</v>
      </c>
      <c r="J13" s="10">
        <v>36</v>
      </c>
      <c r="K13" s="161"/>
      <c r="L13" s="161"/>
      <c r="M13" s="34"/>
    </row>
    <row r="14" spans="1:22" ht="20.100000000000001" customHeight="1">
      <c r="A14" s="15">
        <v>10</v>
      </c>
      <c r="B14" s="151" t="s">
        <v>494</v>
      </c>
      <c r="C14" s="152"/>
      <c r="D14" s="153"/>
      <c r="E14" s="19" t="s">
        <v>344</v>
      </c>
      <c r="F14" s="11" t="s">
        <v>391</v>
      </c>
      <c r="G14" s="11" t="s">
        <v>77</v>
      </c>
      <c r="H14" s="11" t="s">
        <v>34</v>
      </c>
      <c r="I14" s="10" t="s">
        <v>12</v>
      </c>
      <c r="J14" s="10">
        <v>72</v>
      </c>
      <c r="K14" s="161"/>
      <c r="L14" s="161"/>
      <c r="M14" s="34"/>
    </row>
    <row r="15" spans="1:22" ht="20.100000000000001" customHeight="1">
      <c r="A15" s="15">
        <v>11</v>
      </c>
      <c r="B15" s="151" t="s">
        <v>494</v>
      </c>
      <c r="C15" s="152"/>
      <c r="D15" s="153"/>
      <c r="E15" s="19" t="s">
        <v>344</v>
      </c>
      <c r="F15" s="11" t="s">
        <v>391</v>
      </c>
      <c r="G15" s="11" t="s">
        <v>77</v>
      </c>
      <c r="H15" s="11" t="s">
        <v>34</v>
      </c>
      <c r="I15" s="10" t="s">
        <v>12</v>
      </c>
      <c r="J15" s="10">
        <v>72</v>
      </c>
      <c r="K15" s="161"/>
      <c r="L15" s="161"/>
      <c r="M15" s="34"/>
    </row>
    <row r="16" spans="1:22" ht="20.100000000000001" customHeight="1">
      <c r="A16" s="15">
        <v>12</v>
      </c>
      <c r="B16" s="151" t="s">
        <v>494</v>
      </c>
      <c r="C16" s="152"/>
      <c r="D16" s="153"/>
      <c r="E16" s="19" t="s">
        <v>344</v>
      </c>
      <c r="F16" s="11" t="s">
        <v>392</v>
      </c>
      <c r="G16" s="11" t="s">
        <v>78</v>
      </c>
      <c r="H16" s="11" t="s">
        <v>34</v>
      </c>
      <c r="I16" s="10" t="s">
        <v>12</v>
      </c>
      <c r="J16" s="10">
        <v>36</v>
      </c>
      <c r="K16" s="161"/>
      <c r="L16" s="161"/>
      <c r="M16" s="34"/>
    </row>
    <row r="17" spans="1:13" ht="20.100000000000001" customHeight="1">
      <c r="A17" s="15">
        <v>13</v>
      </c>
      <c r="B17" s="151" t="s">
        <v>494</v>
      </c>
      <c r="C17" s="152"/>
      <c r="D17" s="153"/>
      <c r="E17" s="19" t="s">
        <v>344</v>
      </c>
      <c r="F17" s="11" t="s">
        <v>72</v>
      </c>
      <c r="G17" s="11" t="s">
        <v>345</v>
      </c>
      <c r="H17" s="11" t="s">
        <v>30</v>
      </c>
      <c r="I17" s="10" t="s">
        <v>12</v>
      </c>
      <c r="J17" s="10">
        <v>18</v>
      </c>
      <c r="K17" s="161"/>
      <c r="L17" s="161"/>
      <c r="M17" s="34"/>
    </row>
    <row r="18" spans="1:13" ht="20.100000000000001" customHeight="1">
      <c r="A18" s="15">
        <v>14</v>
      </c>
      <c r="B18" s="151" t="s">
        <v>494</v>
      </c>
      <c r="C18" s="152"/>
      <c r="D18" s="153"/>
      <c r="E18" s="19" t="s">
        <v>344</v>
      </c>
      <c r="F18" s="11" t="s">
        <v>72</v>
      </c>
      <c r="G18" s="11" t="s">
        <v>345</v>
      </c>
      <c r="H18" s="11" t="s">
        <v>30</v>
      </c>
      <c r="I18" s="10" t="s">
        <v>12</v>
      </c>
      <c r="J18" s="10">
        <v>18</v>
      </c>
      <c r="K18" s="161"/>
      <c r="L18" s="161"/>
      <c r="M18" s="34"/>
    </row>
    <row r="19" spans="1:13" ht="20.100000000000001" customHeight="1">
      <c r="A19" s="15">
        <v>15</v>
      </c>
      <c r="B19" s="151" t="s">
        <v>494</v>
      </c>
      <c r="C19" s="152"/>
      <c r="D19" s="153"/>
      <c r="E19" s="19" t="s">
        <v>344</v>
      </c>
      <c r="F19" s="11" t="s">
        <v>85</v>
      </c>
      <c r="G19" s="11" t="s">
        <v>477</v>
      </c>
      <c r="H19" s="11" t="s">
        <v>88</v>
      </c>
      <c r="I19" s="10" t="s">
        <v>12</v>
      </c>
      <c r="J19" s="10">
        <v>9</v>
      </c>
      <c r="K19" s="161"/>
      <c r="L19" s="161"/>
      <c r="M19" s="34"/>
    </row>
    <row r="20" spans="1:13" ht="20.100000000000001" customHeight="1">
      <c r="A20" s="15">
        <v>16</v>
      </c>
      <c r="B20" s="151" t="s">
        <v>494</v>
      </c>
      <c r="C20" s="152"/>
      <c r="D20" s="153"/>
      <c r="E20" s="19" t="s">
        <v>344</v>
      </c>
      <c r="F20" s="11" t="s">
        <v>97</v>
      </c>
      <c r="G20" s="11" t="s">
        <v>106</v>
      </c>
      <c r="H20" s="11" t="s">
        <v>98</v>
      </c>
      <c r="I20" s="10" t="s">
        <v>12</v>
      </c>
      <c r="J20" s="10">
        <v>90</v>
      </c>
      <c r="K20" s="161"/>
      <c r="L20" s="161"/>
      <c r="M20" s="34"/>
    </row>
    <row r="21" spans="1:13" ht="20.100000000000001" customHeight="1">
      <c r="A21" s="15">
        <v>17</v>
      </c>
      <c r="B21" s="151" t="s">
        <v>494</v>
      </c>
      <c r="C21" s="152"/>
      <c r="D21" s="153"/>
      <c r="E21" s="19" t="s">
        <v>344</v>
      </c>
      <c r="F21" s="11" t="s">
        <v>393</v>
      </c>
      <c r="G21" s="11" t="s">
        <v>221</v>
      </c>
      <c r="H21" s="11" t="s">
        <v>31</v>
      </c>
      <c r="I21" s="10" t="s">
        <v>12</v>
      </c>
      <c r="J21" s="10">
        <v>18</v>
      </c>
      <c r="K21" s="161"/>
      <c r="L21" s="161"/>
      <c r="M21" s="34"/>
    </row>
    <row r="22" spans="1:13" ht="20.100000000000001" customHeight="1">
      <c r="A22" s="15">
        <v>18</v>
      </c>
      <c r="B22" s="151" t="s">
        <v>494</v>
      </c>
      <c r="C22" s="152"/>
      <c r="D22" s="153"/>
      <c r="E22" s="19" t="s">
        <v>344</v>
      </c>
      <c r="F22" s="11" t="s">
        <v>394</v>
      </c>
      <c r="G22" s="11" t="s">
        <v>81</v>
      </c>
      <c r="H22" s="11" t="s">
        <v>31</v>
      </c>
      <c r="I22" s="10" t="s">
        <v>12</v>
      </c>
      <c r="J22" s="10">
        <v>16</v>
      </c>
      <c r="K22" s="161"/>
      <c r="L22" s="161"/>
      <c r="M22" s="34"/>
    </row>
    <row r="23" spans="1:13" ht="20.100000000000001" customHeight="1">
      <c r="A23" s="15">
        <v>19</v>
      </c>
      <c r="B23" s="151" t="s">
        <v>494</v>
      </c>
      <c r="C23" s="152"/>
      <c r="D23" s="153"/>
      <c r="E23" s="19" t="s">
        <v>344</v>
      </c>
      <c r="F23" s="11" t="s">
        <v>394</v>
      </c>
      <c r="G23" s="11" t="s">
        <v>80</v>
      </c>
      <c r="H23" s="11" t="s">
        <v>31</v>
      </c>
      <c r="I23" s="10" t="s">
        <v>12</v>
      </c>
      <c r="J23" s="10">
        <v>18</v>
      </c>
      <c r="K23" s="161"/>
      <c r="L23" s="161"/>
      <c r="M23" s="34"/>
    </row>
    <row r="24" spans="1:13" ht="20.100000000000001" customHeight="1" thickBot="1">
      <c r="A24" s="15">
        <v>20</v>
      </c>
      <c r="B24" s="151" t="s">
        <v>494</v>
      </c>
      <c r="C24" s="152"/>
      <c r="D24" s="153"/>
      <c r="E24" s="95" t="s">
        <v>344</v>
      </c>
      <c r="F24" s="94" t="s">
        <v>394</v>
      </c>
      <c r="G24" s="94" t="s">
        <v>223</v>
      </c>
      <c r="H24" s="94" t="s">
        <v>31</v>
      </c>
      <c r="I24" s="93" t="s">
        <v>12</v>
      </c>
      <c r="J24" s="93">
        <v>18</v>
      </c>
      <c r="K24" s="162"/>
      <c r="L24" s="162"/>
      <c r="M24" s="92"/>
    </row>
    <row r="25" spans="1:13" ht="33" customHeight="1">
      <c r="A25" s="4" t="s">
        <v>13</v>
      </c>
      <c r="B25" s="157" t="s">
        <v>21</v>
      </c>
      <c r="C25" s="158"/>
      <c r="D25" s="159"/>
      <c r="E25" s="18" t="s">
        <v>194</v>
      </c>
      <c r="F25" s="5" t="s">
        <v>3</v>
      </c>
      <c r="G25" s="5" t="s">
        <v>0</v>
      </c>
      <c r="H25" s="5" t="s">
        <v>6</v>
      </c>
      <c r="I25" s="5" t="s">
        <v>11</v>
      </c>
      <c r="J25" s="7" t="s">
        <v>7</v>
      </c>
      <c r="K25" s="7" t="s">
        <v>476</v>
      </c>
      <c r="L25" s="7" t="s">
        <v>475</v>
      </c>
      <c r="M25" s="13" t="s">
        <v>44</v>
      </c>
    </row>
    <row r="26" spans="1:13" ht="20.100000000000001" customHeight="1">
      <c r="A26" s="91">
        <v>22</v>
      </c>
      <c r="B26" s="151" t="s">
        <v>494</v>
      </c>
      <c r="C26" s="152"/>
      <c r="D26" s="153"/>
      <c r="E26" s="90" t="s">
        <v>344</v>
      </c>
      <c r="F26" s="89" t="s">
        <v>158</v>
      </c>
      <c r="G26" s="89" t="s">
        <v>397</v>
      </c>
      <c r="H26" s="89" t="s">
        <v>83</v>
      </c>
      <c r="I26" s="88" t="s">
        <v>12</v>
      </c>
      <c r="J26" s="87">
        <v>18</v>
      </c>
      <c r="K26" s="163">
        <v>1</v>
      </c>
      <c r="L26" s="163">
        <v>27</v>
      </c>
      <c r="M26" s="85"/>
    </row>
    <row r="27" spans="1:13" ht="20.100000000000001" customHeight="1">
      <c r="A27" s="91">
        <v>23</v>
      </c>
      <c r="B27" s="151" t="s">
        <v>494</v>
      </c>
      <c r="C27" s="152"/>
      <c r="D27" s="153"/>
      <c r="E27" s="90" t="s">
        <v>344</v>
      </c>
      <c r="F27" s="89" t="s">
        <v>396</v>
      </c>
      <c r="G27" s="89" t="s">
        <v>84</v>
      </c>
      <c r="H27" s="89" t="s">
        <v>83</v>
      </c>
      <c r="I27" s="88" t="s">
        <v>12</v>
      </c>
      <c r="J27" s="87">
        <v>9</v>
      </c>
      <c r="K27" s="164"/>
      <c r="L27" s="164"/>
      <c r="M27" s="85"/>
    </row>
    <row r="28" spans="1:13" ht="20.100000000000001" customHeight="1">
      <c r="A28" s="91">
        <v>24</v>
      </c>
      <c r="B28" s="151" t="s">
        <v>494</v>
      </c>
      <c r="C28" s="152"/>
      <c r="D28" s="153"/>
      <c r="E28" s="90" t="s">
        <v>344</v>
      </c>
      <c r="F28" s="89" t="s">
        <v>24</v>
      </c>
      <c r="G28" s="89" t="s">
        <v>66</v>
      </c>
      <c r="H28" s="89" t="s">
        <v>47</v>
      </c>
      <c r="I28" s="88" t="s">
        <v>12</v>
      </c>
      <c r="J28" s="87">
        <v>27</v>
      </c>
      <c r="K28" s="164"/>
      <c r="L28" s="164"/>
      <c r="M28" s="85"/>
    </row>
    <row r="29" spans="1:13" ht="20.100000000000001" customHeight="1">
      <c r="A29" s="91">
        <v>25</v>
      </c>
      <c r="B29" s="151" t="s">
        <v>494</v>
      </c>
      <c r="C29" s="152"/>
      <c r="D29" s="153"/>
      <c r="E29" s="90" t="s">
        <v>344</v>
      </c>
      <c r="F29" s="89" t="s">
        <v>24</v>
      </c>
      <c r="G29" s="89" t="s">
        <v>66</v>
      </c>
      <c r="H29" s="89" t="s">
        <v>47</v>
      </c>
      <c r="I29" s="88" t="s">
        <v>12</v>
      </c>
      <c r="J29" s="87">
        <v>27</v>
      </c>
      <c r="K29" s="164"/>
      <c r="L29" s="164"/>
      <c r="M29" s="85"/>
    </row>
    <row r="30" spans="1:13" ht="20.100000000000001" customHeight="1">
      <c r="A30" s="91">
        <v>26</v>
      </c>
      <c r="B30" s="151" t="s">
        <v>494</v>
      </c>
      <c r="C30" s="152"/>
      <c r="D30" s="153"/>
      <c r="E30" s="90" t="s">
        <v>344</v>
      </c>
      <c r="F30" s="89" t="s">
        <v>24</v>
      </c>
      <c r="G30" s="89" t="s">
        <v>66</v>
      </c>
      <c r="H30" s="89" t="s">
        <v>47</v>
      </c>
      <c r="I30" s="88" t="s">
        <v>12</v>
      </c>
      <c r="J30" s="87">
        <v>18</v>
      </c>
      <c r="K30" s="164"/>
      <c r="L30" s="164"/>
      <c r="M30" s="85"/>
    </row>
    <row r="31" spans="1:13" ht="20.100000000000001" customHeight="1">
      <c r="A31" s="91">
        <v>27</v>
      </c>
      <c r="B31" s="151" t="s">
        <v>494</v>
      </c>
      <c r="C31" s="152"/>
      <c r="D31" s="153"/>
      <c r="E31" s="90" t="s">
        <v>344</v>
      </c>
      <c r="F31" s="89" t="s">
        <v>214</v>
      </c>
      <c r="G31" s="89" t="s">
        <v>190</v>
      </c>
      <c r="H31" s="89" t="s">
        <v>38</v>
      </c>
      <c r="I31" s="88" t="s">
        <v>12</v>
      </c>
      <c r="J31" s="87">
        <v>10</v>
      </c>
      <c r="K31" s="164"/>
      <c r="L31" s="164"/>
      <c r="M31" s="85"/>
    </row>
    <row r="32" spans="1:13" ht="20.100000000000001" customHeight="1">
      <c r="A32" s="91">
        <v>28</v>
      </c>
      <c r="B32" s="151" t="s">
        <v>494</v>
      </c>
      <c r="C32" s="152"/>
      <c r="D32" s="153"/>
      <c r="E32" s="90" t="s">
        <v>344</v>
      </c>
      <c r="F32" s="89" t="s">
        <v>39</v>
      </c>
      <c r="G32" s="89" t="s">
        <v>215</v>
      </c>
      <c r="H32" s="89" t="s">
        <v>38</v>
      </c>
      <c r="I32" s="88" t="s">
        <v>12</v>
      </c>
      <c r="J32" s="87">
        <v>9</v>
      </c>
      <c r="K32" s="164"/>
      <c r="L32" s="164"/>
      <c r="M32" s="85"/>
    </row>
    <row r="33" spans="1:13" ht="20.100000000000001" customHeight="1">
      <c r="A33" s="91">
        <v>29</v>
      </c>
      <c r="B33" s="151" t="s">
        <v>494</v>
      </c>
      <c r="C33" s="152"/>
      <c r="D33" s="153"/>
      <c r="E33" s="90" t="s">
        <v>344</v>
      </c>
      <c r="F33" s="89" t="s">
        <v>39</v>
      </c>
      <c r="G33" s="89" t="s">
        <v>215</v>
      </c>
      <c r="H33" s="89" t="s">
        <v>38</v>
      </c>
      <c r="I33" s="88" t="s">
        <v>12</v>
      </c>
      <c r="J33" s="87">
        <v>9</v>
      </c>
      <c r="K33" s="164"/>
      <c r="L33" s="164"/>
      <c r="M33" s="85"/>
    </row>
    <row r="34" spans="1:13" ht="35.25" customHeight="1" thickBot="1">
      <c r="A34" s="154" t="s">
        <v>1</v>
      </c>
      <c r="B34" s="155"/>
      <c r="C34" s="155"/>
      <c r="D34" s="155"/>
      <c r="E34" s="155"/>
      <c r="F34" s="155"/>
      <c r="G34" s="155"/>
      <c r="H34" s="155"/>
      <c r="I34" s="156"/>
      <c r="J34" s="84">
        <f>SUM(J5:J33)</f>
        <v>863</v>
      </c>
      <c r="K34" s="6">
        <v>1</v>
      </c>
      <c r="L34" s="6">
        <v>27</v>
      </c>
      <c r="M34" s="14"/>
    </row>
    <row r="35" spans="1:13">
      <c r="K35" s="3"/>
      <c r="L35" s="3"/>
      <c r="M35" s="3"/>
    </row>
    <row r="36" spans="1:13">
      <c r="K36" s="3"/>
      <c r="L36" s="3"/>
      <c r="M36" s="3"/>
    </row>
  </sheetData>
  <autoFilter ref="A4:M4" xr:uid="{3B80DFF1-92A9-4974-AA86-CE1D7A4FB986}">
    <filterColumn colId="1" showButton="0"/>
    <filterColumn colId="2" showButton="0"/>
  </autoFilter>
  <mergeCells count="30">
    <mergeCell ref="A34:I34"/>
    <mergeCell ref="A2:M2"/>
    <mergeCell ref="B4:D4"/>
    <mergeCell ref="K5:K24"/>
    <mergeCell ref="L5:L24"/>
    <mergeCell ref="B25:D25"/>
    <mergeCell ref="K26:K33"/>
    <mergeCell ref="L26:L33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30:D30"/>
    <mergeCell ref="B31:D31"/>
    <mergeCell ref="B32:D32"/>
    <mergeCell ref="B33:D33"/>
    <mergeCell ref="B24:D24"/>
    <mergeCell ref="B26:D26"/>
    <mergeCell ref="B27:D27"/>
    <mergeCell ref="B28:D28"/>
    <mergeCell ref="B29:D29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92" orientation="landscape" r:id="rId1"/>
  <rowBreaks count="1" manualBreakCount="1">
    <brk id="24" max="10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50F08-6C07-40AC-8503-8553503C5F20}">
  <dimension ref="A1:V23"/>
  <sheetViews>
    <sheetView view="pageBreakPreview" zoomScaleNormal="100" zoomScaleSheetLayoutView="100" workbookViewId="0">
      <pane ySplit="4" topLeftCell="A5" activePane="bottomLeft" state="frozen"/>
      <selection activeCell="A23" sqref="A23:I23"/>
      <selection pane="bottomLeft" activeCell="A23" sqref="A23:I23"/>
    </sheetView>
  </sheetViews>
  <sheetFormatPr defaultRowHeight="15"/>
  <cols>
    <col min="1" max="1" width="5.33203125" style="2" customWidth="1"/>
    <col min="2" max="2" width="3" style="2" customWidth="1"/>
    <col min="3" max="3" width="2.77734375" style="2" customWidth="1"/>
    <col min="4" max="4" width="4" style="2" customWidth="1"/>
    <col min="5" max="5" width="6.33203125" style="2" customWidth="1"/>
    <col min="6" max="6" width="19.33203125" style="2" customWidth="1"/>
    <col min="7" max="7" width="25.88671875" style="2" customWidth="1"/>
    <col min="8" max="8" width="13.109375" style="2" customWidth="1"/>
    <col min="9" max="9" width="5.33203125" style="2" customWidth="1"/>
    <col min="10" max="10" width="10.88671875" style="2" customWidth="1"/>
    <col min="11" max="11" width="9.77734375" style="1" customWidth="1"/>
    <col min="12" max="12" width="7.88671875" style="1" hidden="1" customWidth="1"/>
    <col min="13" max="13" width="10.44140625" style="1" customWidth="1"/>
  </cols>
  <sheetData>
    <row r="1" spans="1:22" ht="4.5" customHeight="1"/>
    <row r="2" spans="1:22" ht="38.25" customHeight="1">
      <c r="A2" s="144" t="s">
        <v>191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2"/>
      <c r="O2" s="12"/>
      <c r="P2" s="12"/>
      <c r="Q2" s="12"/>
      <c r="R2" s="12"/>
      <c r="S2" s="12"/>
      <c r="T2" s="12"/>
      <c r="U2" s="12"/>
      <c r="V2" s="12"/>
    </row>
    <row r="3" spans="1:22" ht="4.5" customHeight="1" thickBot="1"/>
    <row r="4" spans="1:22" ht="33" customHeight="1">
      <c r="A4" s="101" t="s">
        <v>13</v>
      </c>
      <c r="B4" s="165" t="s">
        <v>21</v>
      </c>
      <c r="C4" s="166"/>
      <c r="D4" s="167"/>
      <c r="E4" s="102" t="s">
        <v>194</v>
      </c>
      <c r="F4" s="103" t="s">
        <v>3</v>
      </c>
      <c r="G4" s="103" t="s">
        <v>0</v>
      </c>
      <c r="H4" s="103" t="s">
        <v>6</v>
      </c>
      <c r="I4" s="103" t="s">
        <v>11</v>
      </c>
      <c r="J4" s="104" t="s">
        <v>7</v>
      </c>
      <c r="K4" s="104" t="s">
        <v>476</v>
      </c>
      <c r="L4" s="104" t="s">
        <v>475</v>
      </c>
      <c r="M4" s="105" t="s">
        <v>44</v>
      </c>
    </row>
    <row r="5" spans="1:22" ht="20.100000000000001" customHeight="1">
      <c r="A5" s="97">
        <v>1</v>
      </c>
      <c r="B5" s="151" t="s">
        <v>494</v>
      </c>
      <c r="C5" s="152"/>
      <c r="D5" s="153"/>
      <c r="E5" s="98" t="s">
        <v>344</v>
      </c>
      <c r="F5" s="74" t="s">
        <v>350</v>
      </c>
      <c r="G5" s="74" t="s">
        <v>225</v>
      </c>
      <c r="H5" s="74" t="s">
        <v>121</v>
      </c>
      <c r="I5" s="88" t="s">
        <v>12</v>
      </c>
      <c r="J5" s="99">
        <v>18</v>
      </c>
      <c r="K5" s="161">
        <v>1</v>
      </c>
      <c r="L5" s="161">
        <v>27</v>
      </c>
      <c r="M5" s="100"/>
    </row>
    <row r="6" spans="1:22" ht="20.100000000000001" customHeight="1">
      <c r="A6" s="15">
        <v>2</v>
      </c>
      <c r="B6" s="151" t="s">
        <v>494</v>
      </c>
      <c r="C6" s="152"/>
      <c r="D6" s="153"/>
      <c r="E6" s="19" t="s">
        <v>344</v>
      </c>
      <c r="F6" s="73" t="s">
        <v>351</v>
      </c>
      <c r="G6" s="73" t="s">
        <v>206</v>
      </c>
      <c r="H6" s="73" t="s">
        <v>30</v>
      </c>
      <c r="I6" s="10" t="s">
        <v>12</v>
      </c>
      <c r="J6" s="57">
        <v>18</v>
      </c>
      <c r="K6" s="161"/>
      <c r="L6" s="161"/>
      <c r="M6" s="34"/>
    </row>
    <row r="7" spans="1:22" ht="20.100000000000001" customHeight="1">
      <c r="A7" s="15">
        <v>3</v>
      </c>
      <c r="B7" s="151" t="s">
        <v>494</v>
      </c>
      <c r="C7" s="152"/>
      <c r="D7" s="153"/>
      <c r="E7" s="19" t="s">
        <v>344</v>
      </c>
      <c r="F7" s="73" t="s">
        <v>352</v>
      </c>
      <c r="G7" s="73" t="s">
        <v>415</v>
      </c>
      <c r="H7" s="73" t="s">
        <v>30</v>
      </c>
      <c r="I7" s="10" t="s">
        <v>12</v>
      </c>
      <c r="J7" s="57">
        <v>18</v>
      </c>
      <c r="K7" s="161"/>
      <c r="L7" s="161"/>
      <c r="M7" s="34"/>
    </row>
    <row r="8" spans="1:22" ht="20.100000000000001" customHeight="1">
      <c r="A8" s="15">
        <v>4</v>
      </c>
      <c r="B8" s="151" t="s">
        <v>494</v>
      </c>
      <c r="C8" s="152"/>
      <c r="D8" s="153"/>
      <c r="E8" s="19" t="s">
        <v>344</v>
      </c>
      <c r="F8" s="73" t="s">
        <v>24</v>
      </c>
      <c r="G8" s="73" t="s">
        <v>57</v>
      </c>
      <c r="H8" s="73" t="s">
        <v>23</v>
      </c>
      <c r="I8" s="10" t="s">
        <v>12</v>
      </c>
      <c r="J8" s="57">
        <v>36</v>
      </c>
      <c r="K8" s="161"/>
      <c r="L8" s="161"/>
      <c r="M8" s="34"/>
    </row>
    <row r="9" spans="1:22" ht="20.100000000000001" customHeight="1">
      <c r="A9" s="15">
        <v>5</v>
      </c>
      <c r="B9" s="151" t="s">
        <v>494</v>
      </c>
      <c r="C9" s="152"/>
      <c r="D9" s="153"/>
      <c r="E9" s="19" t="s">
        <v>344</v>
      </c>
      <c r="F9" s="73" t="s">
        <v>205</v>
      </c>
      <c r="G9" s="73" t="s">
        <v>207</v>
      </c>
      <c r="H9" s="73" t="s">
        <v>208</v>
      </c>
      <c r="I9" s="10" t="s">
        <v>12</v>
      </c>
      <c r="J9" s="57">
        <v>18</v>
      </c>
      <c r="K9" s="161"/>
      <c r="L9" s="161"/>
      <c r="M9" s="34"/>
    </row>
    <row r="10" spans="1:22" ht="20.100000000000001" customHeight="1">
      <c r="A10" s="15">
        <v>6</v>
      </c>
      <c r="B10" s="151" t="s">
        <v>494</v>
      </c>
      <c r="C10" s="152"/>
      <c r="D10" s="153"/>
      <c r="E10" s="19" t="s">
        <v>344</v>
      </c>
      <c r="F10" s="73" t="s">
        <v>172</v>
      </c>
      <c r="G10" s="73" t="s">
        <v>176</v>
      </c>
      <c r="H10" s="73" t="s">
        <v>174</v>
      </c>
      <c r="I10" s="10" t="s">
        <v>12</v>
      </c>
      <c r="J10" s="57">
        <v>16</v>
      </c>
      <c r="K10" s="161"/>
      <c r="L10" s="161"/>
      <c r="M10" s="34"/>
    </row>
    <row r="11" spans="1:22" ht="20.100000000000001" customHeight="1">
      <c r="A11" s="15">
        <v>7</v>
      </c>
      <c r="B11" s="151" t="s">
        <v>494</v>
      </c>
      <c r="C11" s="152"/>
      <c r="D11" s="153"/>
      <c r="E11" s="19" t="s">
        <v>344</v>
      </c>
      <c r="F11" s="73" t="s">
        <v>172</v>
      </c>
      <c r="G11" s="73" t="s">
        <v>175</v>
      </c>
      <c r="H11" s="73" t="s">
        <v>174</v>
      </c>
      <c r="I11" s="10" t="s">
        <v>12</v>
      </c>
      <c r="J11" s="57">
        <v>9</v>
      </c>
      <c r="K11" s="161"/>
      <c r="L11" s="161"/>
      <c r="M11" s="34"/>
    </row>
    <row r="12" spans="1:22" ht="20.100000000000001" customHeight="1">
      <c r="A12" s="15">
        <v>8</v>
      </c>
      <c r="B12" s="151" t="s">
        <v>494</v>
      </c>
      <c r="C12" s="152"/>
      <c r="D12" s="153"/>
      <c r="E12" s="19" t="s">
        <v>344</v>
      </c>
      <c r="F12" s="73" t="s">
        <v>144</v>
      </c>
      <c r="G12" s="73" t="s">
        <v>145</v>
      </c>
      <c r="H12" s="73" t="s">
        <v>22</v>
      </c>
      <c r="I12" s="10" t="s">
        <v>12</v>
      </c>
      <c r="J12" s="57">
        <v>18</v>
      </c>
      <c r="K12" s="161"/>
      <c r="L12" s="161"/>
      <c r="M12" s="34"/>
    </row>
    <row r="13" spans="1:22" ht="20.100000000000001" customHeight="1">
      <c r="A13" s="15">
        <v>9</v>
      </c>
      <c r="B13" s="151" t="s">
        <v>494</v>
      </c>
      <c r="C13" s="152"/>
      <c r="D13" s="153"/>
      <c r="E13" s="19" t="s">
        <v>344</v>
      </c>
      <c r="F13" s="73" t="s">
        <v>163</v>
      </c>
      <c r="G13" s="73" t="s">
        <v>168</v>
      </c>
      <c r="H13" s="73" t="s">
        <v>164</v>
      </c>
      <c r="I13" s="10" t="s">
        <v>12</v>
      </c>
      <c r="J13" s="57">
        <v>9</v>
      </c>
      <c r="K13" s="161"/>
      <c r="L13" s="161"/>
      <c r="M13" s="34"/>
    </row>
    <row r="14" spans="1:22" ht="20.100000000000001" customHeight="1">
      <c r="A14" s="15">
        <v>10</v>
      </c>
      <c r="B14" s="151" t="s">
        <v>494</v>
      </c>
      <c r="C14" s="152"/>
      <c r="D14" s="153"/>
      <c r="E14" s="19" t="s">
        <v>344</v>
      </c>
      <c r="F14" s="73" t="s">
        <v>353</v>
      </c>
      <c r="G14" s="73" t="s">
        <v>356</v>
      </c>
      <c r="H14" s="73" t="s">
        <v>83</v>
      </c>
      <c r="I14" s="10" t="s">
        <v>12</v>
      </c>
      <c r="J14" s="57">
        <v>18</v>
      </c>
      <c r="K14" s="161"/>
      <c r="L14" s="161"/>
      <c r="M14" s="34"/>
    </row>
    <row r="15" spans="1:22" ht="20.100000000000001" customHeight="1">
      <c r="A15" s="15">
        <v>11</v>
      </c>
      <c r="B15" s="151" t="s">
        <v>494</v>
      </c>
      <c r="C15" s="152"/>
      <c r="D15" s="153"/>
      <c r="E15" s="19" t="s">
        <v>344</v>
      </c>
      <c r="F15" s="73" t="s">
        <v>353</v>
      </c>
      <c r="G15" s="73" t="s">
        <v>357</v>
      </c>
      <c r="H15" s="73" t="s">
        <v>83</v>
      </c>
      <c r="I15" s="10" t="s">
        <v>12</v>
      </c>
      <c r="J15" s="57">
        <v>9</v>
      </c>
      <c r="K15" s="161"/>
      <c r="L15" s="161"/>
      <c r="M15" s="34"/>
    </row>
    <row r="16" spans="1:22" ht="20.100000000000001" customHeight="1">
      <c r="A16" s="15">
        <v>12</v>
      </c>
      <c r="B16" s="151" t="s">
        <v>494</v>
      </c>
      <c r="C16" s="152"/>
      <c r="D16" s="153"/>
      <c r="E16" s="19" t="s">
        <v>344</v>
      </c>
      <c r="F16" s="73" t="s">
        <v>353</v>
      </c>
      <c r="G16" s="73" t="s">
        <v>355</v>
      </c>
      <c r="H16" s="73" t="s">
        <v>83</v>
      </c>
      <c r="I16" s="10" t="s">
        <v>12</v>
      </c>
      <c r="J16" s="57">
        <v>9</v>
      </c>
      <c r="K16" s="161"/>
      <c r="L16" s="161"/>
      <c r="M16" s="34"/>
    </row>
    <row r="17" spans="1:13" ht="20.100000000000001" customHeight="1">
      <c r="A17" s="15">
        <v>13</v>
      </c>
      <c r="B17" s="151" t="s">
        <v>494</v>
      </c>
      <c r="C17" s="152"/>
      <c r="D17" s="153"/>
      <c r="E17" s="19" t="s">
        <v>344</v>
      </c>
      <c r="F17" s="73" t="s">
        <v>149</v>
      </c>
      <c r="G17" s="73" t="s">
        <v>354</v>
      </c>
      <c r="H17" s="73" t="s">
        <v>150</v>
      </c>
      <c r="I17" s="10" t="s">
        <v>12</v>
      </c>
      <c r="J17" s="57">
        <v>9</v>
      </c>
      <c r="K17" s="161"/>
      <c r="L17" s="161"/>
      <c r="M17" s="34"/>
    </row>
    <row r="18" spans="1:13" ht="20.100000000000001" customHeight="1">
      <c r="A18" s="15">
        <v>14</v>
      </c>
      <c r="B18" s="151" t="s">
        <v>494</v>
      </c>
      <c r="C18" s="152"/>
      <c r="D18" s="153"/>
      <c r="E18" s="19" t="s">
        <v>344</v>
      </c>
      <c r="F18" s="73" t="s">
        <v>165</v>
      </c>
      <c r="G18" s="73" t="s">
        <v>169</v>
      </c>
      <c r="H18" s="73" t="s">
        <v>164</v>
      </c>
      <c r="I18" s="10" t="s">
        <v>12</v>
      </c>
      <c r="J18" s="57">
        <v>18</v>
      </c>
      <c r="K18" s="161"/>
      <c r="L18" s="161"/>
      <c r="M18" s="34"/>
    </row>
    <row r="19" spans="1:13" ht="20.100000000000001" customHeight="1">
      <c r="A19" s="15">
        <v>15</v>
      </c>
      <c r="B19" s="151" t="s">
        <v>494</v>
      </c>
      <c r="C19" s="152"/>
      <c r="D19" s="153"/>
      <c r="E19" s="19" t="s">
        <v>344</v>
      </c>
      <c r="F19" s="73" t="s">
        <v>219</v>
      </c>
      <c r="G19" s="73" t="s">
        <v>59</v>
      </c>
      <c r="H19" s="73" t="s">
        <v>60</v>
      </c>
      <c r="I19" s="10" t="s">
        <v>12</v>
      </c>
      <c r="J19" s="57">
        <v>9</v>
      </c>
      <c r="K19" s="161"/>
      <c r="L19" s="161"/>
      <c r="M19" s="34"/>
    </row>
    <row r="20" spans="1:13" ht="20.100000000000001" customHeight="1">
      <c r="A20" s="15">
        <v>16</v>
      </c>
      <c r="B20" s="151" t="s">
        <v>494</v>
      </c>
      <c r="C20" s="152"/>
      <c r="D20" s="153"/>
      <c r="E20" s="19" t="s">
        <v>344</v>
      </c>
      <c r="F20" s="73" t="s">
        <v>220</v>
      </c>
      <c r="G20" s="73" t="s">
        <v>224</v>
      </c>
      <c r="H20" s="73" t="s">
        <v>60</v>
      </c>
      <c r="I20" s="10" t="s">
        <v>12</v>
      </c>
      <c r="J20" s="57">
        <v>9</v>
      </c>
      <c r="K20" s="161"/>
      <c r="L20" s="161"/>
      <c r="M20" s="34"/>
    </row>
    <row r="21" spans="1:13" ht="35.25" customHeight="1" thickBot="1">
      <c r="A21" s="154" t="s">
        <v>1</v>
      </c>
      <c r="B21" s="155"/>
      <c r="C21" s="155"/>
      <c r="D21" s="155"/>
      <c r="E21" s="155"/>
      <c r="F21" s="155"/>
      <c r="G21" s="155"/>
      <c r="H21" s="155"/>
      <c r="I21" s="156"/>
      <c r="J21" s="84">
        <f>SUM(J5:J20)</f>
        <v>241</v>
      </c>
      <c r="K21" s="6">
        <v>1</v>
      </c>
      <c r="L21" s="6">
        <v>27</v>
      </c>
      <c r="M21" s="14"/>
    </row>
    <row r="22" spans="1:13">
      <c r="K22" s="3"/>
      <c r="L22" s="3"/>
      <c r="M22" s="3"/>
    </row>
    <row r="23" spans="1:13">
      <c r="K23" s="3"/>
      <c r="L23" s="3"/>
      <c r="M23" s="3"/>
    </row>
  </sheetData>
  <autoFilter ref="A4:M4" xr:uid="{0B550F08-6C07-40AC-8503-8553503C5F20}">
    <filterColumn colId="1" showButton="0"/>
    <filterColumn colId="2" showButton="0"/>
  </autoFilter>
  <mergeCells count="21">
    <mergeCell ref="A21:I21"/>
    <mergeCell ref="A2:M2"/>
    <mergeCell ref="B4:D4"/>
    <mergeCell ref="K5:K20"/>
    <mergeCell ref="L5:L20"/>
    <mergeCell ref="B5:D5"/>
    <mergeCell ref="B6:D6"/>
    <mergeCell ref="B7:D7"/>
    <mergeCell ref="B8:D8"/>
    <mergeCell ref="B9:D9"/>
    <mergeCell ref="B10:D10"/>
    <mergeCell ref="B11:D11"/>
    <mergeCell ref="B12:D12"/>
    <mergeCell ref="B18:D18"/>
    <mergeCell ref="B19:D19"/>
    <mergeCell ref="B20:D20"/>
    <mergeCell ref="B13:D13"/>
    <mergeCell ref="B14:D14"/>
    <mergeCell ref="B15:D15"/>
    <mergeCell ref="B16:D16"/>
    <mergeCell ref="B17:D17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92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D4918-22FE-4D5B-B78C-D904ED09CD9A}">
  <dimension ref="A1:V20"/>
  <sheetViews>
    <sheetView view="pageBreakPreview" zoomScaleNormal="100" zoomScaleSheetLayoutView="100" workbookViewId="0">
      <pane ySplit="4" topLeftCell="A5" activePane="bottomLeft" state="frozen"/>
      <selection activeCell="A23" sqref="A23:I23"/>
      <selection pane="bottomLeft" activeCell="A23" sqref="A23:I23"/>
    </sheetView>
  </sheetViews>
  <sheetFormatPr defaultRowHeight="15"/>
  <cols>
    <col min="1" max="1" width="5.33203125" style="2" customWidth="1"/>
    <col min="2" max="2" width="3" style="2" customWidth="1"/>
    <col min="3" max="3" width="2.77734375" style="2" customWidth="1"/>
    <col min="4" max="4" width="4" style="2" customWidth="1"/>
    <col min="5" max="5" width="6.33203125" style="2" customWidth="1"/>
    <col min="6" max="6" width="19.33203125" style="2" customWidth="1"/>
    <col min="7" max="7" width="25.88671875" style="2" customWidth="1"/>
    <col min="8" max="8" width="13.109375" style="2" customWidth="1"/>
    <col min="9" max="9" width="5.33203125" style="2" customWidth="1"/>
    <col min="10" max="10" width="10.88671875" style="2" customWidth="1"/>
    <col min="11" max="11" width="9.77734375" style="1" customWidth="1"/>
    <col min="12" max="12" width="7.88671875" style="1" hidden="1" customWidth="1"/>
    <col min="13" max="13" width="10.44140625" style="1" customWidth="1"/>
  </cols>
  <sheetData>
    <row r="1" spans="1:22" ht="4.5" customHeight="1"/>
    <row r="2" spans="1:22" ht="38.25" customHeight="1">
      <c r="A2" s="144" t="s">
        <v>478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2"/>
      <c r="O2" s="12"/>
      <c r="P2" s="12"/>
      <c r="Q2" s="12"/>
      <c r="R2" s="12"/>
      <c r="S2" s="12"/>
      <c r="T2" s="12"/>
      <c r="U2" s="12"/>
      <c r="V2" s="12"/>
    </row>
    <row r="3" spans="1:22" ht="4.5" customHeight="1" thickBot="1"/>
    <row r="4" spans="1:22" ht="33" customHeight="1">
      <c r="A4" s="4" t="s">
        <v>13</v>
      </c>
      <c r="B4" s="157" t="s">
        <v>21</v>
      </c>
      <c r="C4" s="158"/>
      <c r="D4" s="159"/>
      <c r="E4" s="18" t="s">
        <v>194</v>
      </c>
      <c r="F4" s="5" t="s">
        <v>3</v>
      </c>
      <c r="G4" s="5" t="s">
        <v>0</v>
      </c>
      <c r="H4" s="5" t="s">
        <v>6</v>
      </c>
      <c r="I4" s="5" t="s">
        <v>11</v>
      </c>
      <c r="J4" s="7" t="s">
        <v>7</v>
      </c>
      <c r="K4" s="7" t="s">
        <v>476</v>
      </c>
      <c r="L4" s="7" t="s">
        <v>475</v>
      </c>
      <c r="M4" s="13" t="s">
        <v>44</v>
      </c>
    </row>
    <row r="5" spans="1:22" ht="20.100000000000001" customHeight="1">
      <c r="A5" s="15">
        <v>1</v>
      </c>
      <c r="B5" s="151" t="s">
        <v>494</v>
      </c>
      <c r="C5" s="152"/>
      <c r="D5" s="153"/>
      <c r="E5" s="19" t="s">
        <v>344</v>
      </c>
      <c r="F5" s="73" t="s">
        <v>395</v>
      </c>
      <c r="G5" s="73" t="s">
        <v>222</v>
      </c>
      <c r="H5" s="73" t="s">
        <v>31</v>
      </c>
      <c r="I5" s="10" t="s">
        <v>12</v>
      </c>
      <c r="J5" s="106">
        <v>9</v>
      </c>
      <c r="K5" s="160">
        <v>1</v>
      </c>
      <c r="L5" s="160">
        <v>27</v>
      </c>
      <c r="M5" s="34"/>
    </row>
    <row r="6" spans="1:22" ht="20.100000000000001" customHeight="1">
      <c r="A6" s="15">
        <v>2</v>
      </c>
      <c r="B6" s="151" t="s">
        <v>494</v>
      </c>
      <c r="C6" s="152"/>
      <c r="D6" s="153"/>
      <c r="E6" s="19" t="s">
        <v>344</v>
      </c>
      <c r="F6" s="73" t="s">
        <v>133</v>
      </c>
      <c r="G6" s="73" t="s">
        <v>134</v>
      </c>
      <c r="H6" s="73" t="s">
        <v>139</v>
      </c>
      <c r="I6" s="10" t="s">
        <v>12</v>
      </c>
      <c r="J6" s="106">
        <v>9</v>
      </c>
      <c r="K6" s="161"/>
      <c r="L6" s="161"/>
      <c r="M6" s="34"/>
    </row>
    <row r="7" spans="1:22" ht="20.100000000000001" customHeight="1">
      <c r="A7" s="15">
        <v>3</v>
      </c>
      <c r="B7" s="151" t="s">
        <v>494</v>
      </c>
      <c r="C7" s="152"/>
      <c r="D7" s="153"/>
      <c r="E7" s="19" t="s">
        <v>344</v>
      </c>
      <c r="F7" s="73" t="s">
        <v>135</v>
      </c>
      <c r="G7" s="73" t="s">
        <v>136</v>
      </c>
      <c r="H7" s="73" t="s">
        <v>139</v>
      </c>
      <c r="I7" s="10" t="s">
        <v>12</v>
      </c>
      <c r="J7" s="106">
        <v>45</v>
      </c>
      <c r="K7" s="161"/>
      <c r="L7" s="161"/>
      <c r="M7" s="34"/>
    </row>
    <row r="8" spans="1:22" ht="20.100000000000001" customHeight="1">
      <c r="A8" s="15">
        <v>4</v>
      </c>
      <c r="B8" s="151" t="s">
        <v>494</v>
      </c>
      <c r="C8" s="152"/>
      <c r="D8" s="153"/>
      <c r="E8" s="19" t="s">
        <v>344</v>
      </c>
      <c r="F8" s="73" t="s">
        <v>137</v>
      </c>
      <c r="G8" s="73" t="s">
        <v>138</v>
      </c>
      <c r="H8" s="73" t="s">
        <v>139</v>
      </c>
      <c r="I8" s="10" t="s">
        <v>12</v>
      </c>
      <c r="J8" s="106">
        <v>45</v>
      </c>
      <c r="K8" s="161"/>
      <c r="L8" s="161"/>
      <c r="M8" s="34"/>
    </row>
    <row r="9" spans="1:22" ht="20.100000000000001" customHeight="1">
      <c r="A9" s="15">
        <v>5</v>
      </c>
      <c r="B9" s="151" t="s">
        <v>494</v>
      </c>
      <c r="C9" s="152"/>
      <c r="D9" s="153"/>
      <c r="E9" s="19" t="s">
        <v>344</v>
      </c>
      <c r="F9" s="73" t="s">
        <v>182</v>
      </c>
      <c r="G9" s="73" t="s">
        <v>185</v>
      </c>
      <c r="H9" s="73" t="s">
        <v>181</v>
      </c>
      <c r="I9" s="10" t="s">
        <v>12</v>
      </c>
      <c r="J9" s="106">
        <v>27</v>
      </c>
      <c r="K9" s="161"/>
      <c r="L9" s="161"/>
      <c r="M9" s="34"/>
    </row>
    <row r="10" spans="1:22" ht="20.100000000000001" customHeight="1">
      <c r="A10" s="15">
        <v>6</v>
      </c>
      <c r="B10" s="151" t="s">
        <v>494</v>
      </c>
      <c r="C10" s="152"/>
      <c r="D10" s="153"/>
      <c r="E10" s="19" t="s">
        <v>344</v>
      </c>
      <c r="F10" s="73" t="s">
        <v>183</v>
      </c>
      <c r="G10" s="73" t="s">
        <v>186</v>
      </c>
      <c r="H10" s="73" t="s">
        <v>181</v>
      </c>
      <c r="I10" s="10" t="s">
        <v>12</v>
      </c>
      <c r="J10" s="106">
        <v>18</v>
      </c>
      <c r="K10" s="161"/>
      <c r="L10" s="161"/>
      <c r="M10" s="34"/>
    </row>
    <row r="11" spans="1:22" ht="20.100000000000001" customHeight="1">
      <c r="A11" s="15">
        <v>7</v>
      </c>
      <c r="B11" s="151" t="s">
        <v>494</v>
      </c>
      <c r="C11" s="152"/>
      <c r="D11" s="153"/>
      <c r="E11" s="19" t="s">
        <v>344</v>
      </c>
      <c r="F11" s="73" t="s">
        <v>180</v>
      </c>
      <c r="G11" s="73" t="s">
        <v>184</v>
      </c>
      <c r="H11" s="73" t="s">
        <v>181</v>
      </c>
      <c r="I11" s="10" t="s">
        <v>12</v>
      </c>
      <c r="J11" s="106">
        <v>45</v>
      </c>
      <c r="K11" s="161"/>
      <c r="L11" s="161"/>
      <c r="M11" s="34"/>
    </row>
    <row r="12" spans="1:22" ht="20.100000000000001" customHeight="1">
      <c r="A12" s="15">
        <v>8</v>
      </c>
      <c r="B12" s="151" t="s">
        <v>494</v>
      </c>
      <c r="C12" s="152"/>
      <c r="D12" s="153"/>
      <c r="E12" s="19" t="s">
        <v>344</v>
      </c>
      <c r="F12" s="73" t="s">
        <v>63</v>
      </c>
      <c r="G12" s="73" t="s">
        <v>399</v>
      </c>
      <c r="H12" s="73" t="s">
        <v>64</v>
      </c>
      <c r="I12" s="10" t="s">
        <v>12</v>
      </c>
      <c r="J12" s="106">
        <v>9</v>
      </c>
      <c r="K12" s="161"/>
      <c r="L12" s="161"/>
      <c r="M12" s="34"/>
    </row>
    <row r="13" spans="1:22" ht="20.100000000000001" customHeight="1">
      <c r="A13" s="15">
        <v>9</v>
      </c>
      <c r="B13" s="151" t="s">
        <v>494</v>
      </c>
      <c r="C13" s="152"/>
      <c r="D13" s="153"/>
      <c r="E13" s="19" t="s">
        <v>344</v>
      </c>
      <c r="F13" s="73" t="s">
        <v>119</v>
      </c>
      <c r="G13" s="73" t="s">
        <v>400</v>
      </c>
      <c r="H13" s="73" t="s">
        <v>121</v>
      </c>
      <c r="I13" s="10" t="s">
        <v>12</v>
      </c>
      <c r="J13" s="106">
        <v>9</v>
      </c>
      <c r="K13" s="161"/>
      <c r="L13" s="161"/>
      <c r="M13" s="34"/>
    </row>
    <row r="14" spans="1:22" ht="20.100000000000001" customHeight="1">
      <c r="A14" s="15">
        <v>10</v>
      </c>
      <c r="B14" s="151" t="s">
        <v>494</v>
      </c>
      <c r="C14" s="152"/>
      <c r="D14" s="153"/>
      <c r="E14" s="19" t="s">
        <v>344</v>
      </c>
      <c r="F14" s="73" t="s">
        <v>119</v>
      </c>
      <c r="G14" s="73" t="s">
        <v>120</v>
      </c>
      <c r="H14" s="73" t="s">
        <v>121</v>
      </c>
      <c r="I14" s="10" t="s">
        <v>12</v>
      </c>
      <c r="J14" s="106">
        <v>9</v>
      </c>
      <c r="K14" s="161"/>
      <c r="L14" s="161"/>
      <c r="M14" s="34"/>
    </row>
    <row r="15" spans="1:22" ht="20.100000000000001" customHeight="1">
      <c r="A15" s="15">
        <v>11</v>
      </c>
      <c r="B15" s="151" t="s">
        <v>494</v>
      </c>
      <c r="C15" s="152"/>
      <c r="D15" s="153"/>
      <c r="E15" s="19" t="s">
        <v>344</v>
      </c>
      <c r="F15" s="73" t="s">
        <v>42</v>
      </c>
      <c r="G15" s="73" t="s">
        <v>418</v>
      </c>
      <c r="H15" s="73" t="s">
        <v>417</v>
      </c>
      <c r="I15" s="10" t="s">
        <v>12</v>
      </c>
      <c r="J15" s="106">
        <v>36</v>
      </c>
      <c r="K15" s="161"/>
      <c r="L15" s="161"/>
      <c r="M15" s="34"/>
    </row>
    <row r="16" spans="1:22" ht="20.100000000000001" customHeight="1">
      <c r="A16" s="15">
        <v>12</v>
      </c>
      <c r="B16" s="151" t="s">
        <v>494</v>
      </c>
      <c r="C16" s="152"/>
      <c r="D16" s="153"/>
      <c r="E16" s="19" t="s">
        <v>344</v>
      </c>
      <c r="F16" s="73" t="s">
        <v>42</v>
      </c>
      <c r="G16" s="73" t="s">
        <v>418</v>
      </c>
      <c r="H16" s="73" t="s">
        <v>417</v>
      </c>
      <c r="I16" s="10" t="s">
        <v>12</v>
      </c>
      <c r="J16" s="106">
        <v>36</v>
      </c>
      <c r="K16" s="161"/>
      <c r="L16" s="161"/>
      <c r="M16" s="34"/>
    </row>
    <row r="17" spans="1:13" ht="20.100000000000001" customHeight="1">
      <c r="A17" s="15">
        <v>13</v>
      </c>
      <c r="B17" s="151" t="s">
        <v>494</v>
      </c>
      <c r="C17" s="152"/>
      <c r="D17" s="153"/>
      <c r="E17" s="19" t="s">
        <v>344</v>
      </c>
      <c r="F17" s="73" t="s">
        <v>67</v>
      </c>
      <c r="G17" s="73" t="s">
        <v>69</v>
      </c>
      <c r="H17" s="73" t="s">
        <v>68</v>
      </c>
      <c r="I17" s="10" t="s">
        <v>12</v>
      </c>
      <c r="J17" s="106">
        <v>9</v>
      </c>
      <c r="K17" s="161"/>
      <c r="L17" s="161"/>
      <c r="M17" s="34"/>
    </row>
    <row r="18" spans="1:13" ht="35.25" customHeight="1" thickBot="1">
      <c r="A18" s="154" t="s">
        <v>1</v>
      </c>
      <c r="B18" s="155"/>
      <c r="C18" s="155"/>
      <c r="D18" s="155"/>
      <c r="E18" s="155"/>
      <c r="F18" s="155"/>
      <c r="G18" s="155"/>
      <c r="H18" s="155"/>
      <c r="I18" s="156"/>
      <c r="J18" s="84">
        <f>SUM(J5:J17)</f>
        <v>306</v>
      </c>
      <c r="K18" s="6">
        <v>1</v>
      </c>
      <c r="L18" s="6">
        <v>27</v>
      </c>
      <c r="M18" s="14"/>
    </row>
    <row r="19" spans="1:13">
      <c r="K19" s="3"/>
      <c r="L19" s="3"/>
      <c r="M19" s="3"/>
    </row>
    <row r="20" spans="1:13">
      <c r="K20" s="3"/>
      <c r="L20" s="3"/>
      <c r="M20" s="3"/>
    </row>
  </sheetData>
  <autoFilter ref="A4:M4" xr:uid="{49ED4918-22FE-4D5B-B78C-D904ED09CD9A}">
    <filterColumn colId="1" showButton="0"/>
    <filterColumn colId="2" showButton="0"/>
  </autoFilter>
  <mergeCells count="18">
    <mergeCell ref="A2:M2"/>
    <mergeCell ref="B4:D4"/>
    <mergeCell ref="K5:K17"/>
    <mergeCell ref="L5:L17"/>
    <mergeCell ref="B14:D14"/>
    <mergeCell ref="B15:D15"/>
    <mergeCell ref="B16:D16"/>
    <mergeCell ref="B17:D17"/>
    <mergeCell ref="A18:I18"/>
    <mergeCell ref="B5:D5"/>
    <mergeCell ref="B6:D6"/>
    <mergeCell ref="B7:D7"/>
    <mergeCell ref="B8:D8"/>
    <mergeCell ref="B9:D9"/>
    <mergeCell ref="B10:D10"/>
    <mergeCell ref="B11:D11"/>
    <mergeCell ref="B12:D12"/>
    <mergeCell ref="B13:D13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92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B40F2-77C0-41FD-8796-B46225ACA10F}">
  <dimension ref="A1:V8"/>
  <sheetViews>
    <sheetView view="pageBreakPreview" zoomScaleNormal="100" zoomScaleSheetLayoutView="100" workbookViewId="0">
      <pane ySplit="4" topLeftCell="A5" activePane="bottomLeft" state="frozen"/>
      <selection activeCell="A23" sqref="A23:I23"/>
      <selection pane="bottomLeft" activeCell="A23" sqref="A23:I23"/>
    </sheetView>
  </sheetViews>
  <sheetFormatPr defaultRowHeight="15"/>
  <cols>
    <col min="1" max="1" width="5.33203125" style="2" customWidth="1"/>
    <col min="2" max="2" width="3" style="2" customWidth="1"/>
    <col min="3" max="3" width="2.77734375" style="2" customWidth="1"/>
    <col min="4" max="4" width="4" style="2" customWidth="1"/>
    <col min="5" max="5" width="6.33203125" style="2" customWidth="1"/>
    <col min="6" max="6" width="19.33203125" style="2" customWidth="1"/>
    <col min="7" max="7" width="29.33203125" style="2" customWidth="1"/>
    <col min="8" max="8" width="13.109375" style="2" customWidth="1"/>
    <col min="9" max="9" width="5.33203125" style="2" customWidth="1"/>
    <col min="10" max="10" width="10.88671875" style="2" customWidth="1"/>
    <col min="11" max="11" width="9.77734375" style="1" customWidth="1"/>
    <col min="12" max="12" width="7.88671875" style="1" hidden="1" customWidth="1"/>
    <col min="13" max="13" width="10.44140625" style="1" customWidth="1"/>
  </cols>
  <sheetData>
    <row r="1" spans="1:22" ht="4.5" customHeight="1"/>
    <row r="2" spans="1:22" ht="38.25" customHeight="1">
      <c r="A2" s="144" t="s">
        <v>479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2"/>
      <c r="O2" s="12"/>
      <c r="P2" s="12"/>
      <c r="Q2" s="12"/>
      <c r="R2" s="12"/>
      <c r="S2" s="12"/>
      <c r="T2" s="12"/>
      <c r="U2" s="12"/>
      <c r="V2" s="12"/>
    </row>
    <row r="3" spans="1:22" ht="4.5" customHeight="1" thickBot="1"/>
    <row r="4" spans="1:22" ht="33" customHeight="1">
      <c r="A4" s="4" t="s">
        <v>13</v>
      </c>
      <c r="B4" s="157" t="s">
        <v>21</v>
      </c>
      <c r="C4" s="158"/>
      <c r="D4" s="159"/>
      <c r="E4" s="18" t="s">
        <v>194</v>
      </c>
      <c r="F4" s="5" t="s">
        <v>3</v>
      </c>
      <c r="G4" s="5" t="s">
        <v>0</v>
      </c>
      <c r="H4" s="5" t="s">
        <v>6</v>
      </c>
      <c r="I4" s="5" t="s">
        <v>11</v>
      </c>
      <c r="J4" s="7" t="s">
        <v>7</v>
      </c>
      <c r="K4" s="7" t="s">
        <v>476</v>
      </c>
      <c r="L4" s="7" t="s">
        <v>475</v>
      </c>
      <c r="M4" s="13" t="s">
        <v>44</v>
      </c>
    </row>
    <row r="5" spans="1:22" ht="20.100000000000001" customHeight="1">
      <c r="A5" s="15">
        <v>1</v>
      </c>
      <c r="B5" s="151" t="s">
        <v>494</v>
      </c>
      <c r="C5" s="152"/>
      <c r="D5" s="153"/>
      <c r="E5" s="19" t="s">
        <v>344</v>
      </c>
      <c r="F5" s="73" t="s">
        <v>398</v>
      </c>
      <c r="G5" s="73" t="s">
        <v>416</v>
      </c>
      <c r="H5" s="73" t="s">
        <v>118</v>
      </c>
      <c r="I5" s="10" t="s">
        <v>12</v>
      </c>
      <c r="J5" s="10">
        <v>18</v>
      </c>
      <c r="K5" s="96">
        <v>1</v>
      </c>
      <c r="L5" s="96">
        <v>27</v>
      </c>
      <c r="M5" s="34"/>
    </row>
    <row r="6" spans="1:22" ht="35.25" customHeight="1" thickBot="1">
      <c r="A6" s="154" t="s">
        <v>1</v>
      </c>
      <c r="B6" s="155"/>
      <c r="C6" s="155"/>
      <c r="D6" s="155"/>
      <c r="E6" s="155"/>
      <c r="F6" s="155"/>
      <c r="G6" s="155"/>
      <c r="H6" s="155"/>
      <c r="I6" s="156"/>
      <c r="J6" s="84">
        <f>SUM(J5:J5)</f>
        <v>18</v>
      </c>
      <c r="K6" s="6">
        <v>1</v>
      </c>
      <c r="L6" s="6">
        <v>27</v>
      </c>
      <c r="M6" s="14"/>
    </row>
    <row r="7" spans="1:22">
      <c r="K7" s="3"/>
      <c r="L7" s="3"/>
      <c r="M7" s="3"/>
    </row>
    <row r="8" spans="1:22">
      <c r="K8" s="3"/>
      <c r="L8" s="3"/>
      <c r="M8" s="3"/>
    </row>
  </sheetData>
  <autoFilter ref="A4:M4" xr:uid="{A2DB40F2-77C0-41FD-8796-B46225ACA10F}">
    <filterColumn colId="1" showButton="0"/>
    <filterColumn colId="2" showButton="0"/>
  </autoFilter>
  <mergeCells count="4">
    <mergeCell ref="A6:I6"/>
    <mergeCell ref="B5:D5"/>
    <mergeCell ref="A2:M2"/>
    <mergeCell ref="B4:D4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92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46D73-AF89-43B6-9B8D-7743FCB979F2}">
  <dimension ref="A1:V8"/>
  <sheetViews>
    <sheetView view="pageBreakPreview" zoomScaleNormal="100" zoomScaleSheetLayoutView="100" workbookViewId="0">
      <pane ySplit="4" topLeftCell="A5" activePane="bottomLeft" state="frozen"/>
      <selection activeCell="A23" sqref="A23:I23"/>
      <selection pane="bottomLeft" activeCell="A23" sqref="A23:I23"/>
    </sheetView>
  </sheetViews>
  <sheetFormatPr defaultRowHeight="15"/>
  <cols>
    <col min="1" max="1" width="5.33203125" style="2" customWidth="1"/>
    <col min="2" max="2" width="3" style="2" customWidth="1"/>
    <col min="3" max="3" width="2.77734375" style="2" customWidth="1"/>
    <col min="4" max="4" width="4" style="2" customWidth="1"/>
    <col min="5" max="5" width="6.33203125" style="2" customWidth="1"/>
    <col min="6" max="6" width="19.33203125" style="2" customWidth="1"/>
    <col min="7" max="7" width="25.88671875" style="2" customWidth="1"/>
    <col min="8" max="8" width="13.109375" style="2" customWidth="1"/>
    <col min="9" max="9" width="5.33203125" style="2" customWidth="1"/>
    <col min="10" max="10" width="10.88671875" style="2" customWidth="1"/>
    <col min="11" max="11" width="9.77734375" style="1" customWidth="1"/>
    <col min="12" max="12" width="7.88671875" style="1" hidden="1" customWidth="1"/>
    <col min="13" max="13" width="10.44140625" style="1" customWidth="1"/>
  </cols>
  <sheetData>
    <row r="1" spans="1:22" ht="4.5" customHeight="1"/>
    <row r="2" spans="1:22" ht="38.25" customHeight="1">
      <c r="A2" s="144" t="s">
        <v>480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2"/>
      <c r="O2" s="12"/>
      <c r="P2" s="12"/>
      <c r="Q2" s="12"/>
      <c r="R2" s="12"/>
      <c r="S2" s="12"/>
      <c r="T2" s="12"/>
      <c r="U2" s="12"/>
      <c r="V2" s="12"/>
    </row>
    <row r="3" spans="1:22" ht="4.5" customHeight="1" thickBot="1"/>
    <row r="4" spans="1:22" ht="33" customHeight="1">
      <c r="A4" s="4" t="s">
        <v>13</v>
      </c>
      <c r="B4" s="157" t="s">
        <v>21</v>
      </c>
      <c r="C4" s="158"/>
      <c r="D4" s="159"/>
      <c r="E4" s="18" t="s">
        <v>194</v>
      </c>
      <c r="F4" s="5" t="s">
        <v>3</v>
      </c>
      <c r="G4" s="5" t="s">
        <v>0</v>
      </c>
      <c r="H4" s="5" t="s">
        <v>6</v>
      </c>
      <c r="I4" s="5" t="s">
        <v>11</v>
      </c>
      <c r="J4" s="7" t="s">
        <v>7</v>
      </c>
      <c r="K4" s="7" t="s">
        <v>476</v>
      </c>
      <c r="L4" s="7" t="s">
        <v>475</v>
      </c>
      <c r="M4" s="13" t="s">
        <v>44</v>
      </c>
    </row>
    <row r="5" spans="1:22" ht="20.100000000000001" customHeight="1">
      <c r="A5" s="15">
        <v>1</v>
      </c>
      <c r="B5" s="151" t="s">
        <v>494</v>
      </c>
      <c r="C5" s="152"/>
      <c r="D5" s="153"/>
      <c r="E5" s="19" t="s">
        <v>344</v>
      </c>
      <c r="F5" s="11" t="s">
        <v>481</v>
      </c>
      <c r="G5" s="11" t="s">
        <v>62</v>
      </c>
      <c r="H5" s="11" t="s">
        <v>61</v>
      </c>
      <c r="I5" s="10" t="s">
        <v>12</v>
      </c>
      <c r="J5" s="10">
        <v>5</v>
      </c>
      <c r="K5" s="96">
        <v>1</v>
      </c>
      <c r="L5" s="96">
        <v>27</v>
      </c>
      <c r="M5" s="34"/>
    </row>
    <row r="6" spans="1:22" ht="35.25" customHeight="1" thickBot="1">
      <c r="A6" s="154" t="s">
        <v>1</v>
      </c>
      <c r="B6" s="155"/>
      <c r="C6" s="155"/>
      <c r="D6" s="155"/>
      <c r="E6" s="155"/>
      <c r="F6" s="155"/>
      <c r="G6" s="155"/>
      <c r="H6" s="155"/>
      <c r="I6" s="156"/>
      <c r="J6" s="84">
        <f>SUM(J5:J5)</f>
        <v>5</v>
      </c>
      <c r="K6" s="6">
        <v>1</v>
      </c>
      <c r="L6" s="6">
        <v>27</v>
      </c>
      <c r="M6" s="14"/>
    </row>
    <row r="7" spans="1:22">
      <c r="K7" s="3"/>
      <c r="L7" s="3"/>
      <c r="M7" s="3"/>
    </row>
    <row r="8" spans="1:22">
      <c r="K8" s="3"/>
      <c r="L8" s="3"/>
      <c r="M8" s="3"/>
    </row>
  </sheetData>
  <autoFilter ref="A4:M4" xr:uid="{F1346D73-AF89-43B6-9B8D-7743FCB979F2}">
    <filterColumn colId="1" showButton="0"/>
    <filterColumn colId="2" showButton="0"/>
  </autoFilter>
  <mergeCells count="4">
    <mergeCell ref="A6:I6"/>
    <mergeCell ref="B5:D5"/>
    <mergeCell ref="A2:M2"/>
    <mergeCell ref="B4:D4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92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E9883-7759-447D-B1CF-052F67DD3BA5}">
  <dimension ref="A1:V13"/>
  <sheetViews>
    <sheetView view="pageBreakPreview" zoomScaleNormal="100" zoomScaleSheetLayoutView="100" workbookViewId="0">
      <pane ySplit="4" topLeftCell="A5" activePane="bottomLeft" state="frozen"/>
      <selection activeCell="A23" sqref="A23:I23"/>
      <selection pane="bottomLeft" activeCell="A23" sqref="A23:I23"/>
    </sheetView>
  </sheetViews>
  <sheetFormatPr defaultRowHeight="15"/>
  <cols>
    <col min="1" max="1" width="5.33203125" style="2" customWidth="1"/>
    <col min="2" max="2" width="3" style="2" customWidth="1"/>
    <col min="3" max="3" width="2.77734375" style="2" customWidth="1"/>
    <col min="4" max="4" width="4" style="2" customWidth="1"/>
    <col min="5" max="5" width="6.33203125" style="2" customWidth="1"/>
    <col min="6" max="6" width="19.33203125" style="2" customWidth="1"/>
    <col min="7" max="7" width="25.88671875" style="2" customWidth="1"/>
    <col min="8" max="8" width="13.109375" style="2" customWidth="1"/>
    <col min="9" max="9" width="5.33203125" style="2" customWidth="1"/>
    <col min="10" max="10" width="10.88671875" style="2" customWidth="1"/>
    <col min="11" max="11" width="9.77734375" style="1" customWidth="1"/>
    <col min="12" max="12" width="7.88671875" style="1" hidden="1" customWidth="1"/>
    <col min="13" max="13" width="10.44140625" style="1" customWidth="1"/>
  </cols>
  <sheetData>
    <row r="1" spans="1:22" ht="4.5" customHeight="1"/>
    <row r="2" spans="1:22" ht="38.25" customHeight="1">
      <c r="A2" s="144" t="s">
        <v>482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2"/>
      <c r="O2" s="12"/>
      <c r="P2" s="12"/>
      <c r="Q2" s="12"/>
      <c r="R2" s="12"/>
      <c r="S2" s="12"/>
      <c r="T2" s="12"/>
      <c r="U2" s="12"/>
      <c r="V2" s="12"/>
    </row>
    <row r="3" spans="1:22" ht="4.5" customHeight="1" thickBot="1"/>
    <row r="4" spans="1:22" ht="33" customHeight="1">
      <c r="A4" s="4" t="s">
        <v>13</v>
      </c>
      <c r="B4" s="157" t="s">
        <v>21</v>
      </c>
      <c r="C4" s="158"/>
      <c r="D4" s="159"/>
      <c r="E4" s="18" t="s">
        <v>194</v>
      </c>
      <c r="F4" s="5" t="s">
        <v>3</v>
      </c>
      <c r="G4" s="5" t="s">
        <v>0</v>
      </c>
      <c r="H4" s="5" t="s">
        <v>6</v>
      </c>
      <c r="I4" s="5" t="s">
        <v>11</v>
      </c>
      <c r="J4" s="7" t="s">
        <v>7</v>
      </c>
      <c r="K4" s="7" t="s">
        <v>476</v>
      </c>
      <c r="L4" s="7" t="s">
        <v>475</v>
      </c>
      <c r="M4" s="13" t="s">
        <v>44</v>
      </c>
    </row>
    <row r="5" spans="1:22" ht="20.100000000000001" customHeight="1">
      <c r="A5" s="15">
        <v>1</v>
      </c>
      <c r="B5" s="151" t="s">
        <v>494</v>
      </c>
      <c r="C5" s="152"/>
      <c r="D5" s="153"/>
      <c r="E5" s="19" t="s">
        <v>344</v>
      </c>
      <c r="F5" s="11" t="s">
        <v>166</v>
      </c>
      <c r="G5" s="11" t="s">
        <v>170</v>
      </c>
      <c r="H5" s="11" t="s">
        <v>164</v>
      </c>
      <c r="I5" s="10" t="s">
        <v>12</v>
      </c>
      <c r="J5" s="10">
        <v>18</v>
      </c>
      <c r="K5" s="160">
        <v>1</v>
      </c>
      <c r="L5" s="160">
        <v>27</v>
      </c>
      <c r="M5" s="34"/>
    </row>
    <row r="6" spans="1:22" ht="20.100000000000001" customHeight="1">
      <c r="A6" s="15">
        <v>2</v>
      </c>
      <c r="B6" s="151" t="s">
        <v>494</v>
      </c>
      <c r="C6" s="152"/>
      <c r="D6" s="153"/>
      <c r="E6" s="19" t="s">
        <v>344</v>
      </c>
      <c r="F6" s="11" t="s">
        <v>481</v>
      </c>
      <c r="G6" s="11" t="s">
        <v>62</v>
      </c>
      <c r="H6" s="11" t="s">
        <v>61</v>
      </c>
      <c r="I6" s="10" t="s">
        <v>12</v>
      </c>
      <c r="J6" s="10">
        <v>4</v>
      </c>
      <c r="K6" s="161"/>
      <c r="L6" s="161"/>
      <c r="M6" s="34"/>
    </row>
    <row r="7" spans="1:22" ht="20.100000000000001" customHeight="1">
      <c r="A7" s="15">
        <v>3</v>
      </c>
      <c r="B7" s="151" t="s">
        <v>494</v>
      </c>
      <c r="C7" s="152"/>
      <c r="D7" s="153"/>
      <c r="E7" s="19" t="s">
        <v>344</v>
      </c>
      <c r="F7" s="11" t="s">
        <v>394</v>
      </c>
      <c r="G7" s="11" t="s">
        <v>81</v>
      </c>
      <c r="H7" s="11" t="s">
        <v>31</v>
      </c>
      <c r="I7" s="10" t="s">
        <v>12</v>
      </c>
      <c r="J7" s="10">
        <v>2</v>
      </c>
      <c r="K7" s="161"/>
      <c r="L7" s="161"/>
      <c r="M7" s="34"/>
    </row>
    <row r="8" spans="1:22" ht="20.100000000000001" customHeight="1">
      <c r="A8" s="15">
        <v>4</v>
      </c>
      <c r="B8" s="151" t="s">
        <v>494</v>
      </c>
      <c r="C8" s="152"/>
      <c r="D8" s="153"/>
      <c r="E8" s="19" t="s">
        <v>344</v>
      </c>
      <c r="F8" s="11" t="s">
        <v>371</v>
      </c>
      <c r="G8" s="11" t="s">
        <v>373</v>
      </c>
      <c r="H8" s="11" t="s">
        <v>26</v>
      </c>
      <c r="I8" s="10" t="s">
        <v>12</v>
      </c>
      <c r="J8" s="10">
        <v>1</v>
      </c>
      <c r="K8" s="161"/>
      <c r="L8" s="161"/>
      <c r="M8" s="34"/>
    </row>
    <row r="9" spans="1:22" ht="20.100000000000001" customHeight="1">
      <c r="A9" s="15">
        <v>5</v>
      </c>
      <c r="B9" s="151" t="s">
        <v>494</v>
      </c>
      <c r="C9" s="152"/>
      <c r="D9" s="153"/>
      <c r="E9" s="19" t="s">
        <v>344</v>
      </c>
      <c r="F9" s="11" t="s">
        <v>369</v>
      </c>
      <c r="G9" s="11" t="s">
        <v>372</v>
      </c>
      <c r="H9" s="11" t="s">
        <v>26</v>
      </c>
      <c r="I9" s="10" t="s">
        <v>12</v>
      </c>
      <c r="J9" s="10">
        <v>6</v>
      </c>
      <c r="K9" s="161"/>
      <c r="L9" s="161"/>
      <c r="M9" s="34"/>
    </row>
    <row r="10" spans="1:22" ht="20.100000000000001" customHeight="1">
      <c r="A10" s="15">
        <v>6</v>
      </c>
      <c r="B10" s="151" t="s">
        <v>494</v>
      </c>
      <c r="C10" s="152"/>
      <c r="D10" s="153"/>
      <c r="E10" s="19" t="s">
        <v>344</v>
      </c>
      <c r="F10" s="11" t="s">
        <v>63</v>
      </c>
      <c r="G10" s="11" t="s">
        <v>414</v>
      </c>
      <c r="H10" s="11" t="s">
        <v>64</v>
      </c>
      <c r="I10" s="10" t="s">
        <v>12</v>
      </c>
      <c r="J10" s="10">
        <v>9</v>
      </c>
      <c r="K10" s="161"/>
      <c r="L10" s="161"/>
      <c r="M10" s="34"/>
    </row>
    <row r="11" spans="1:22" ht="35.25" customHeight="1" thickBot="1">
      <c r="A11" s="154" t="s">
        <v>1</v>
      </c>
      <c r="B11" s="155"/>
      <c r="C11" s="155"/>
      <c r="D11" s="155"/>
      <c r="E11" s="155"/>
      <c r="F11" s="155"/>
      <c r="G11" s="155"/>
      <c r="H11" s="155"/>
      <c r="I11" s="156"/>
      <c r="J11" s="84">
        <f>SUM(J5:J10)</f>
        <v>40</v>
      </c>
      <c r="K11" s="6">
        <v>1</v>
      </c>
      <c r="L11" s="6">
        <v>27</v>
      </c>
      <c r="M11" s="14"/>
    </row>
    <row r="12" spans="1:22">
      <c r="K12" s="3"/>
      <c r="L12" s="3"/>
      <c r="M12" s="3"/>
    </row>
    <row r="13" spans="1:22">
      <c r="K13" s="3"/>
      <c r="L13" s="3"/>
      <c r="M13" s="3"/>
    </row>
  </sheetData>
  <autoFilter ref="A4:M4" xr:uid="{D21E9883-7759-447D-B1CF-052F67DD3BA5}">
    <filterColumn colId="1" showButton="0"/>
    <filterColumn colId="2" showButton="0"/>
  </autoFilter>
  <mergeCells count="11">
    <mergeCell ref="A2:M2"/>
    <mergeCell ref="B4:D4"/>
    <mergeCell ref="K5:K10"/>
    <mergeCell ref="L5:L10"/>
    <mergeCell ref="A11:I11"/>
    <mergeCell ref="B5:D5"/>
    <mergeCell ref="B6:D6"/>
    <mergeCell ref="B7:D7"/>
    <mergeCell ref="B8:D8"/>
    <mergeCell ref="B9:D9"/>
    <mergeCell ref="B10:D10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92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AEE64-071D-4AE2-BBEA-704E890D57E5}">
  <dimension ref="A1:V27"/>
  <sheetViews>
    <sheetView view="pageBreakPreview" zoomScaleNormal="100" zoomScaleSheetLayoutView="100" workbookViewId="0">
      <pane ySplit="4" topLeftCell="A5" activePane="bottomLeft" state="frozen"/>
      <selection activeCell="A23" sqref="A23:I23"/>
      <selection pane="bottomLeft" activeCell="A23" sqref="A23:I23"/>
    </sheetView>
  </sheetViews>
  <sheetFormatPr defaultRowHeight="15"/>
  <cols>
    <col min="1" max="1" width="5.33203125" style="2" customWidth="1"/>
    <col min="2" max="2" width="3" style="2" customWidth="1"/>
    <col min="3" max="3" width="2.77734375" style="2" customWidth="1"/>
    <col min="4" max="4" width="4" style="2" customWidth="1"/>
    <col min="5" max="5" width="6.33203125" style="2" customWidth="1"/>
    <col min="6" max="6" width="19.33203125" style="2" customWidth="1"/>
    <col min="7" max="7" width="25.88671875" style="2" customWidth="1"/>
    <col min="8" max="8" width="13.109375" style="2" customWidth="1"/>
    <col min="9" max="9" width="5.33203125" style="2" customWidth="1"/>
    <col min="10" max="10" width="10.88671875" style="2" customWidth="1"/>
    <col min="11" max="11" width="9.77734375" style="1" customWidth="1"/>
    <col min="12" max="12" width="7.88671875" style="1" hidden="1" customWidth="1"/>
    <col min="13" max="13" width="10.44140625" style="1" customWidth="1"/>
  </cols>
  <sheetData>
    <row r="1" spans="1:22" ht="4.5" customHeight="1"/>
    <row r="2" spans="1:22" ht="38.25" customHeight="1">
      <c r="A2" s="144" t="s">
        <v>483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2"/>
      <c r="O2" s="12"/>
      <c r="P2" s="12"/>
      <c r="Q2" s="12"/>
      <c r="R2" s="12"/>
      <c r="S2" s="12"/>
      <c r="T2" s="12"/>
      <c r="U2" s="12"/>
      <c r="V2" s="12"/>
    </row>
    <row r="3" spans="1:22" ht="4.5" customHeight="1" thickBot="1"/>
    <row r="4" spans="1:22" ht="33" customHeight="1">
      <c r="A4" s="4" t="s">
        <v>13</v>
      </c>
      <c r="B4" s="157" t="s">
        <v>21</v>
      </c>
      <c r="C4" s="158"/>
      <c r="D4" s="159"/>
      <c r="E4" s="18" t="s">
        <v>194</v>
      </c>
      <c r="F4" s="5" t="s">
        <v>3</v>
      </c>
      <c r="G4" s="5" t="s">
        <v>0</v>
      </c>
      <c r="H4" s="5" t="s">
        <v>6</v>
      </c>
      <c r="I4" s="5" t="s">
        <v>11</v>
      </c>
      <c r="J4" s="7" t="s">
        <v>7</v>
      </c>
      <c r="K4" s="7" t="s">
        <v>476</v>
      </c>
      <c r="L4" s="7" t="s">
        <v>475</v>
      </c>
      <c r="M4" s="13" t="s">
        <v>44</v>
      </c>
    </row>
    <row r="5" spans="1:22" ht="20.100000000000001" customHeight="1">
      <c r="A5" s="15">
        <v>1</v>
      </c>
      <c r="B5" s="151" t="s">
        <v>494</v>
      </c>
      <c r="C5" s="152"/>
      <c r="D5" s="153"/>
      <c r="E5" s="19" t="s">
        <v>344</v>
      </c>
      <c r="F5" s="11" t="s">
        <v>140</v>
      </c>
      <c r="G5" s="11" t="s">
        <v>374</v>
      </c>
      <c r="H5" s="11" t="s">
        <v>26</v>
      </c>
      <c r="I5" s="10" t="s">
        <v>12</v>
      </c>
      <c r="J5" s="57">
        <v>27</v>
      </c>
      <c r="K5" s="160">
        <v>1</v>
      </c>
      <c r="L5" s="160">
        <v>27</v>
      </c>
      <c r="M5" s="34"/>
    </row>
    <row r="6" spans="1:22" ht="20.100000000000001" customHeight="1">
      <c r="A6" s="15">
        <v>2</v>
      </c>
      <c r="B6" s="151" t="s">
        <v>494</v>
      </c>
      <c r="C6" s="152"/>
      <c r="D6" s="153"/>
      <c r="E6" s="19" t="s">
        <v>344</v>
      </c>
      <c r="F6" s="11" t="s">
        <v>347</v>
      </c>
      <c r="G6" s="11" t="s">
        <v>196</v>
      </c>
      <c r="H6" s="11" t="s">
        <v>26</v>
      </c>
      <c r="I6" s="10" t="s">
        <v>12</v>
      </c>
      <c r="J6" s="57">
        <v>117</v>
      </c>
      <c r="K6" s="161"/>
      <c r="L6" s="161"/>
      <c r="M6" s="34"/>
    </row>
    <row r="7" spans="1:22" ht="20.100000000000001" customHeight="1">
      <c r="A7" s="15">
        <v>3</v>
      </c>
      <c r="B7" s="151" t="s">
        <v>494</v>
      </c>
      <c r="C7" s="152"/>
      <c r="D7" s="153"/>
      <c r="E7" s="19" t="s">
        <v>344</v>
      </c>
      <c r="F7" s="11" t="s">
        <v>141</v>
      </c>
      <c r="G7" s="11" t="s">
        <v>200</v>
      </c>
      <c r="H7" s="11" t="s">
        <v>26</v>
      </c>
      <c r="I7" s="10" t="s">
        <v>12</v>
      </c>
      <c r="J7" s="57">
        <v>9</v>
      </c>
      <c r="K7" s="161"/>
      <c r="L7" s="161"/>
      <c r="M7" s="34"/>
    </row>
    <row r="8" spans="1:22" ht="20.100000000000001" customHeight="1">
      <c r="A8" s="15">
        <v>4</v>
      </c>
      <c r="B8" s="151" t="s">
        <v>494</v>
      </c>
      <c r="C8" s="152"/>
      <c r="D8" s="153"/>
      <c r="E8" s="19" t="s">
        <v>344</v>
      </c>
      <c r="F8" s="11" t="s">
        <v>382</v>
      </c>
      <c r="G8" s="11" t="s">
        <v>188</v>
      </c>
      <c r="H8" s="11" t="s">
        <v>26</v>
      </c>
      <c r="I8" s="10" t="s">
        <v>12</v>
      </c>
      <c r="J8" s="57">
        <v>36</v>
      </c>
      <c r="K8" s="161"/>
      <c r="L8" s="161"/>
      <c r="M8" s="34"/>
    </row>
    <row r="9" spans="1:22" ht="20.100000000000001" customHeight="1">
      <c r="A9" s="15">
        <v>5</v>
      </c>
      <c r="B9" s="151" t="s">
        <v>494</v>
      </c>
      <c r="C9" s="152"/>
      <c r="D9" s="153"/>
      <c r="E9" s="19" t="s">
        <v>344</v>
      </c>
      <c r="F9" s="11" t="s">
        <v>382</v>
      </c>
      <c r="G9" s="11" t="s">
        <v>143</v>
      </c>
      <c r="H9" s="11" t="s">
        <v>26</v>
      </c>
      <c r="I9" s="10" t="s">
        <v>12</v>
      </c>
      <c r="J9" s="57">
        <v>72</v>
      </c>
      <c r="K9" s="161"/>
      <c r="L9" s="161"/>
      <c r="M9" s="34"/>
    </row>
    <row r="10" spans="1:22" ht="20.100000000000001" customHeight="1">
      <c r="A10" s="15">
        <v>6</v>
      </c>
      <c r="B10" s="151" t="s">
        <v>494</v>
      </c>
      <c r="C10" s="152"/>
      <c r="D10" s="153"/>
      <c r="E10" s="19" t="s">
        <v>344</v>
      </c>
      <c r="F10" s="11" t="s">
        <v>382</v>
      </c>
      <c r="G10" s="11" t="s">
        <v>143</v>
      </c>
      <c r="H10" s="11" t="s">
        <v>26</v>
      </c>
      <c r="I10" s="10" t="s">
        <v>12</v>
      </c>
      <c r="J10" s="57">
        <v>108</v>
      </c>
      <c r="K10" s="161"/>
      <c r="L10" s="161"/>
      <c r="M10" s="34"/>
    </row>
    <row r="11" spans="1:22" ht="20.100000000000001" customHeight="1">
      <c r="A11" s="15">
        <v>7</v>
      </c>
      <c r="B11" s="151" t="s">
        <v>494</v>
      </c>
      <c r="C11" s="152"/>
      <c r="D11" s="153"/>
      <c r="E11" s="19" t="s">
        <v>344</v>
      </c>
      <c r="F11" s="11" t="s">
        <v>382</v>
      </c>
      <c r="G11" s="11" t="s">
        <v>484</v>
      </c>
      <c r="H11" s="11" t="s">
        <v>26</v>
      </c>
      <c r="I11" s="10" t="s">
        <v>12</v>
      </c>
      <c r="J11" s="57">
        <v>54</v>
      </c>
      <c r="K11" s="161"/>
      <c r="L11" s="161"/>
      <c r="M11" s="34"/>
    </row>
    <row r="12" spans="1:22" ht="20.100000000000001" customHeight="1">
      <c r="A12" s="15">
        <v>8</v>
      </c>
      <c r="B12" s="151" t="s">
        <v>494</v>
      </c>
      <c r="C12" s="152"/>
      <c r="D12" s="153"/>
      <c r="E12" s="19" t="s">
        <v>344</v>
      </c>
      <c r="F12" s="11" t="s">
        <v>382</v>
      </c>
      <c r="G12" s="11" t="s">
        <v>389</v>
      </c>
      <c r="H12" s="11" t="s">
        <v>26</v>
      </c>
      <c r="I12" s="10" t="s">
        <v>12</v>
      </c>
      <c r="J12" s="57">
        <v>54</v>
      </c>
      <c r="K12" s="161"/>
      <c r="L12" s="161"/>
      <c r="M12" s="34"/>
    </row>
    <row r="13" spans="1:22" ht="20.100000000000001" customHeight="1">
      <c r="A13" s="15">
        <v>9</v>
      </c>
      <c r="B13" s="151" t="s">
        <v>494</v>
      </c>
      <c r="C13" s="152"/>
      <c r="D13" s="153"/>
      <c r="E13" s="19" t="s">
        <v>344</v>
      </c>
      <c r="F13" s="11" t="s">
        <v>141</v>
      </c>
      <c r="G13" s="11" t="s">
        <v>202</v>
      </c>
      <c r="H13" s="11" t="s">
        <v>26</v>
      </c>
      <c r="I13" s="10" t="s">
        <v>12</v>
      </c>
      <c r="J13" s="57">
        <v>9</v>
      </c>
      <c r="K13" s="161"/>
      <c r="L13" s="161"/>
      <c r="M13" s="34"/>
    </row>
    <row r="14" spans="1:22" ht="20.100000000000001" customHeight="1">
      <c r="A14" s="15">
        <v>10</v>
      </c>
      <c r="B14" s="151" t="s">
        <v>494</v>
      </c>
      <c r="C14" s="152"/>
      <c r="D14" s="153"/>
      <c r="E14" s="19" t="s">
        <v>344</v>
      </c>
      <c r="F14" s="11" t="s">
        <v>27</v>
      </c>
      <c r="G14" s="11" t="s">
        <v>203</v>
      </c>
      <c r="H14" s="11" t="s">
        <v>26</v>
      </c>
      <c r="I14" s="10" t="s">
        <v>12</v>
      </c>
      <c r="J14" s="57">
        <v>18</v>
      </c>
      <c r="K14" s="161"/>
      <c r="L14" s="161"/>
      <c r="M14" s="34"/>
    </row>
    <row r="15" spans="1:22" ht="20.100000000000001" customHeight="1">
      <c r="A15" s="15">
        <v>11</v>
      </c>
      <c r="B15" s="151" t="s">
        <v>494</v>
      </c>
      <c r="C15" s="152"/>
      <c r="D15" s="153"/>
      <c r="E15" s="19" t="s">
        <v>344</v>
      </c>
      <c r="F15" s="11" t="s">
        <v>383</v>
      </c>
      <c r="G15" s="11" t="s">
        <v>387</v>
      </c>
      <c r="H15" s="11" t="s">
        <v>26</v>
      </c>
      <c r="I15" s="10" t="s">
        <v>12</v>
      </c>
      <c r="J15" s="10">
        <v>17</v>
      </c>
      <c r="K15" s="161"/>
      <c r="L15" s="161"/>
      <c r="M15" s="34"/>
    </row>
    <row r="16" spans="1:22" ht="20.100000000000001" customHeight="1">
      <c r="A16" s="15">
        <v>12</v>
      </c>
      <c r="B16" s="151" t="s">
        <v>494</v>
      </c>
      <c r="C16" s="152"/>
      <c r="D16" s="153"/>
      <c r="E16" s="19" t="s">
        <v>344</v>
      </c>
      <c r="F16" s="11" t="s">
        <v>379</v>
      </c>
      <c r="G16" s="11" t="s">
        <v>380</v>
      </c>
      <c r="H16" s="11" t="s">
        <v>26</v>
      </c>
      <c r="I16" s="10" t="s">
        <v>12</v>
      </c>
      <c r="J16" s="57">
        <v>36</v>
      </c>
      <c r="K16" s="161"/>
      <c r="L16" s="161"/>
      <c r="M16" s="34"/>
    </row>
    <row r="17" spans="1:13" ht="20.100000000000001" customHeight="1">
      <c r="A17" s="15">
        <v>13</v>
      </c>
      <c r="B17" s="151" t="s">
        <v>494</v>
      </c>
      <c r="C17" s="152"/>
      <c r="D17" s="153"/>
      <c r="E17" s="19" t="s">
        <v>344</v>
      </c>
      <c r="F17" s="11" t="s">
        <v>370</v>
      </c>
      <c r="G17" s="11" t="s">
        <v>201</v>
      </c>
      <c r="H17" s="11" t="s">
        <v>26</v>
      </c>
      <c r="I17" s="10" t="s">
        <v>12</v>
      </c>
      <c r="J17" s="57">
        <v>9</v>
      </c>
      <c r="K17" s="161"/>
      <c r="L17" s="161"/>
      <c r="M17" s="34"/>
    </row>
    <row r="18" spans="1:13" ht="20.100000000000001" customHeight="1">
      <c r="A18" s="15">
        <v>14</v>
      </c>
      <c r="B18" s="151" t="s">
        <v>494</v>
      </c>
      <c r="C18" s="152"/>
      <c r="D18" s="153"/>
      <c r="E18" s="19" t="s">
        <v>344</v>
      </c>
      <c r="F18" s="11" t="s">
        <v>369</v>
      </c>
      <c r="G18" s="11" t="s">
        <v>372</v>
      </c>
      <c r="H18" s="11" t="s">
        <v>26</v>
      </c>
      <c r="I18" s="10" t="s">
        <v>12</v>
      </c>
      <c r="J18" s="57">
        <v>3</v>
      </c>
      <c r="K18" s="161"/>
      <c r="L18" s="161"/>
      <c r="M18" s="34"/>
    </row>
    <row r="19" spans="1:13" ht="20.100000000000001" customHeight="1">
      <c r="A19" s="15">
        <v>15</v>
      </c>
      <c r="B19" s="151" t="s">
        <v>494</v>
      </c>
      <c r="C19" s="152"/>
      <c r="D19" s="153"/>
      <c r="E19" s="19" t="s">
        <v>344</v>
      </c>
      <c r="F19" s="11" t="s">
        <v>199</v>
      </c>
      <c r="G19" s="11" t="s">
        <v>364</v>
      </c>
      <c r="H19" s="11" t="s">
        <v>363</v>
      </c>
      <c r="I19" s="10" t="s">
        <v>12</v>
      </c>
      <c r="J19" s="57">
        <v>9</v>
      </c>
      <c r="K19" s="161"/>
      <c r="L19" s="161"/>
      <c r="M19" s="34"/>
    </row>
    <row r="20" spans="1:13" ht="20.100000000000001" customHeight="1">
      <c r="A20" s="15">
        <v>16</v>
      </c>
      <c r="B20" s="151" t="s">
        <v>494</v>
      </c>
      <c r="C20" s="152"/>
      <c r="D20" s="153"/>
      <c r="E20" s="19" t="s">
        <v>344</v>
      </c>
      <c r="F20" s="11" t="s">
        <v>28</v>
      </c>
      <c r="G20" s="11" t="s">
        <v>368</v>
      </c>
      <c r="H20" s="11" t="s">
        <v>363</v>
      </c>
      <c r="I20" s="10" t="s">
        <v>12</v>
      </c>
      <c r="J20" s="57">
        <v>54</v>
      </c>
      <c r="K20" s="161"/>
      <c r="L20" s="161"/>
      <c r="M20" s="34"/>
    </row>
    <row r="21" spans="1:13" ht="20.100000000000001" customHeight="1">
      <c r="A21" s="15">
        <v>17</v>
      </c>
      <c r="B21" s="151" t="s">
        <v>494</v>
      </c>
      <c r="C21" s="152"/>
      <c r="D21" s="153"/>
      <c r="E21" s="19" t="s">
        <v>344</v>
      </c>
      <c r="F21" s="11" t="s">
        <v>28</v>
      </c>
      <c r="G21" s="11" t="s">
        <v>367</v>
      </c>
      <c r="H21" s="11" t="s">
        <v>363</v>
      </c>
      <c r="I21" s="10" t="s">
        <v>12</v>
      </c>
      <c r="J21" s="57">
        <v>126</v>
      </c>
      <c r="K21" s="161"/>
      <c r="L21" s="161"/>
      <c r="M21" s="34"/>
    </row>
    <row r="22" spans="1:13" ht="20.100000000000001" customHeight="1">
      <c r="A22" s="15">
        <v>18</v>
      </c>
      <c r="B22" s="151" t="s">
        <v>494</v>
      </c>
      <c r="C22" s="152"/>
      <c r="D22" s="153"/>
      <c r="E22" s="19" t="s">
        <v>344</v>
      </c>
      <c r="F22" s="11" t="s">
        <v>28</v>
      </c>
      <c r="G22" s="11" t="s">
        <v>365</v>
      </c>
      <c r="H22" s="11" t="s">
        <v>363</v>
      </c>
      <c r="I22" s="10" t="s">
        <v>12</v>
      </c>
      <c r="J22" s="57">
        <v>9</v>
      </c>
      <c r="K22" s="161"/>
      <c r="L22" s="161"/>
      <c r="M22" s="34"/>
    </row>
    <row r="23" spans="1:13" ht="20.100000000000001" customHeight="1">
      <c r="A23" s="15">
        <v>19</v>
      </c>
      <c r="B23" s="151" t="s">
        <v>494</v>
      </c>
      <c r="C23" s="152"/>
      <c r="D23" s="153"/>
      <c r="E23" s="19" t="s">
        <v>344</v>
      </c>
      <c r="F23" s="11" t="s">
        <v>28</v>
      </c>
      <c r="G23" s="11" t="s">
        <v>366</v>
      </c>
      <c r="H23" s="11" t="s">
        <v>363</v>
      </c>
      <c r="I23" s="10" t="s">
        <v>12</v>
      </c>
      <c r="J23" s="57">
        <v>9</v>
      </c>
      <c r="K23" s="161"/>
      <c r="L23" s="161"/>
      <c r="M23" s="34"/>
    </row>
    <row r="24" spans="1:13" ht="20.100000000000001" customHeight="1" thickBot="1">
      <c r="A24" s="15">
        <v>20</v>
      </c>
      <c r="B24" s="151" t="s">
        <v>494</v>
      </c>
      <c r="C24" s="152"/>
      <c r="D24" s="153"/>
      <c r="E24" s="95" t="s">
        <v>344</v>
      </c>
      <c r="F24" s="94"/>
      <c r="G24" s="94"/>
      <c r="H24" s="94"/>
      <c r="I24" s="93" t="s">
        <v>12</v>
      </c>
      <c r="J24" s="93"/>
      <c r="K24" s="162"/>
      <c r="L24" s="162"/>
      <c r="M24" s="92"/>
    </row>
    <row r="25" spans="1:13" ht="35.25" customHeight="1" thickBot="1">
      <c r="A25" s="154" t="s">
        <v>1</v>
      </c>
      <c r="B25" s="155"/>
      <c r="C25" s="155"/>
      <c r="D25" s="155"/>
      <c r="E25" s="155"/>
      <c r="F25" s="155"/>
      <c r="G25" s="155"/>
      <c r="H25" s="155"/>
      <c r="I25" s="156"/>
      <c r="J25" s="84">
        <f>SUM(J5:J24)</f>
        <v>776</v>
      </c>
      <c r="K25" s="6">
        <v>1</v>
      </c>
      <c r="L25" s="6">
        <v>27</v>
      </c>
      <c r="M25" s="14"/>
    </row>
    <row r="26" spans="1:13">
      <c r="K26" s="3"/>
      <c r="L26" s="3"/>
      <c r="M26" s="3"/>
    </row>
    <row r="27" spans="1:13">
      <c r="K27" s="3"/>
      <c r="L27" s="3"/>
      <c r="M27" s="3"/>
    </row>
  </sheetData>
  <autoFilter ref="A4:M4" xr:uid="{795AEE64-071D-4AE2-BBEA-704E890D57E5}">
    <filterColumn colId="1" showButton="0"/>
    <filterColumn colId="2" showButton="0"/>
  </autoFilter>
  <mergeCells count="25">
    <mergeCell ref="A2:M2"/>
    <mergeCell ref="B4:D4"/>
    <mergeCell ref="K5:K24"/>
    <mergeCell ref="L5:L24"/>
    <mergeCell ref="B14:D14"/>
    <mergeCell ref="B15:D15"/>
    <mergeCell ref="B16:D16"/>
    <mergeCell ref="B21:D21"/>
    <mergeCell ref="B22:D22"/>
    <mergeCell ref="A25:I25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23:D23"/>
    <mergeCell ref="B24:D24"/>
    <mergeCell ref="B17:D17"/>
    <mergeCell ref="B18:D18"/>
    <mergeCell ref="B19:D19"/>
    <mergeCell ref="B20:D20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92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E7CCF-A56F-407A-962C-7F0D41D28038}">
  <dimension ref="A1:V25"/>
  <sheetViews>
    <sheetView view="pageBreakPreview" zoomScaleNormal="100" zoomScaleSheetLayoutView="100" workbookViewId="0">
      <pane ySplit="4" topLeftCell="A5" activePane="bottomLeft" state="frozen"/>
      <selection activeCell="A23" sqref="A23:I23"/>
      <selection pane="bottomLeft" activeCell="A23" sqref="A23:I23"/>
    </sheetView>
  </sheetViews>
  <sheetFormatPr defaultRowHeight="15"/>
  <cols>
    <col min="1" max="1" width="5.33203125" style="2" customWidth="1"/>
    <col min="2" max="2" width="3" style="2" customWidth="1"/>
    <col min="3" max="3" width="2.77734375" style="2" customWidth="1"/>
    <col min="4" max="4" width="4" style="2" customWidth="1"/>
    <col min="5" max="5" width="6.33203125" style="2" customWidth="1"/>
    <col min="6" max="6" width="19.33203125" style="2" customWidth="1"/>
    <col min="7" max="7" width="25.88671875" style="2" customWidth="1"/>
    <col min="8" max="8" width="13.109375" style="2" customWidth="1"/>
    <col min="9" max="9" width="5.33203125" style="2" customWidth="1"/>
    <col min="10" max="10" width="10.88671875" style="2" customWidth="1"/>
    <col min="11" max="11" width="9.77734375" style="1" customWidth="1"/>
    <col min="12" max="12" width="7.88671875" style="1" hidden="1" customWidth="1"/>
    <col min="13" max="13" width="10.44140625" style="1" customWidth="1"/>
  </cols>
  <sheetData>
    <row r="1" spans="1:22" ht="4.5" customHeight="1"/>
    <row r="2" spans="1:22" ht="38.25" customHeight="1">
      <c r="A2" s="144" t="s">
        <v>485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2"/>
      <c r="O2" s="12"/>
      <c r="P2" s="12"/>
      <c r="Q2" s="12"/>
      <c r="R2" s="12"/>
      <c r="S2" s="12"/>
      <c r="T2" s="12"/>
      <c r="U2" s="12"/>
      <c r="V2" s="12"/>
    </row>
    <row r="3" spans="1:22" ht="4.5" customHeight="1" thickBot="1"/>
    <row r="4" spans="1:22" ht="33" customHeight="1">
      <c r="A4" s="4" t="s">
        <v>13</v>
      </c>
      <c r="B4" s="157" t="s">
        <v>21</v>
      </c>
      <c r="C4" s="158"/>
      <c r="D4" s="159"/>
      <c r="E4" s="18" t="s">
        <v>194</v>
      </c>
      <c r="F4" s="5" t="s">
        <v>3</v>
      </c>
      <c r="G4" s="5" t="s">
        <v>0</v>
      </c>
      <c r="H4" s="5" t="s">
        <v>6</v>
      </c>
      <c r="I4" s="5" t="s">
        <v>11</v>
      </c>
      <c r="J4" s="7" t="s">
        <v>7</v>
      </c>
      <c r="K4" s="7" t="s">
        <v>476</v>
      </c>
      <c r="L4" s="7" t="s">
        <v>475</v>
      </c>
      <c r="M4" s="13" t="s">
        <v>44</v>
      </c>
    </row>
    <row r="5" spans="1:22" ht="20.100000000000001" customHeight="1">
      <c r="A5" s="15">
        <v>1</v>
      </c>
      <c r="B5" s="151" t="s">
        <v>494</v>
      </c>
      <c r="C5" s="152"/>
      <c r="D5" s="153"/>
      <c r="E5" s="19" t="s">
        <v>344</v>
      </c>
      <c r="F5" s="73" t="s">
        <v>27</v>
      </c>
      <c r="G5" s="73" t="s">
        <v>385</v>
      </c>
      <c r="H5" s="73" t="s">
        <v>26</v>
      </c>
      <c r="I5" s="10" t="s">
        <v>12</v>
      </c>
      <c r="J5" s="57">
        <v>9</v>
      </c>
      <c r="K5" s="160">
        <v>1</v>
      </c>
      <c r="L5" s="160">
        <v>27</v>
      </c>
      <c r="M5" s="34"/>
    </row>
    <row r="6" spans="1:22" ht="20.100000000000001" customHeight="1">
      <c r="A6" s="15">
        <v>2</v>
      </c>
      <c r="B6" s="151" t="s">
        <v>494</v>
      </c>
      <c r="C6" s="152"/>
      <c r="D6" s="153"/>
      <c r="E6" s="19" t="s">
        <v>344</v>
      </c>
      <c r="F6" s="73" t="s">
        <v>383</v>
      </c>
      <c r="G6" s="73" t="s">
        <v>387</v>
      </c>
      <c r="H6" s="73" t="s">
        <v>26</v>
      </c>
      <c r="I6" s="10" t="s">
        <v>12</v>
      </c>
      <c r="J6" s="57">
        <v>10</v>
      </c>
      <c r="K6" s="161"/>
      <c r="L6" s="161"/>
      <c r="M6" s="34"/>
    </row>
    <row r="7" spans="1:22" ht="20.100000000000001" customHeight="1">
      <c r="A7" s="15">
        <v>3</v>
      </c>
      <c r="B7" s="151" t="s">
        <v>494</v>
      </c>
      <c r="C7" s="152"/>
      <c r="D7" s="153"/>
      <c r="E7" s="19" t="s">
        <v>344</v>
      </c>
      <c r="F7" s="73" t="s">
        <v>41</v>
      </c>
      <c r="G7" s="73" t="s">
        <v>378</v>
      </c>
      <c r="H7" s="73" t="s">
        <v>26</v>
      </c>
      <c r="I7" s="10" t="s">
        <v>12</v>
      </c>
      <c r="J7" s="57">
        <v>9</v>
      </c>
      <c r="K7" s="161"/>
      <c r="L7" s="161"/>
      <c r="M7" s="34"/>
    </row>
    <row r="8" spans="1:22" ht="20.100000000000001" customHeight="1">
      <c r="A8" s="15">
        <v>4</v>
      </c>
      <c r="B8" s="151" t="s">
        <v>494</v>
      </c>
      <c r="C8" s="152"/>
      <c r="D8" s="153"/>
      <c r="E8" s="19" t="s">
        <v>344</v>
      </c>
      <c r="F8" s="73" t="s">
        <v>41</v>
      </c>
      <c r="G8" s="73" t="s">
        <v>378</v>
      </c>
      <c r="H8" s="73" t="s">
        <v>26</v>
      </c>
      <c r="I8" s="10" t="s">
        <v>12</v>
      </c>
      <c r="J8" s="57">
        <v>9</v>
      </c>
      <c r="K8" s="161"/>
      <c r="L8" s="161"/>
      <c r="M8" s="34"/>
    </row>
    <row r="9" spans="1:22" ht="20.100000000000001" customHeight="1">
      <c r="A9" s="15">
        <v>5</v>
      </c>
      <c r="B9" s="151" t="s">
        <v>494</v>
      </c>
      <c r="C9" s="152"/>
      <c r="D9" s="153"/>
      <c r="E9" s="19" t="s">
        <v>344</v>
      </c>
      <c r="F9" s="73" t="s">
        <v>375</v>
      </c>
      <c r="G9" s="73" t="s">
        <v>376</v>
      </c>
      <c r="H9" s="73" t="s">
        <v>26</v>
      </c>
      <c r="I9" s="10" t="s">
        <v>12</v>
      </c>
      <c r="J9" s="57">
        <v>63</v>
      </c>
      <c r="K9" s="161"/>
      <c r="L9" s="161"/>
      <c r="M9" s="34"/>
    </row>
    <row r="10" spans="1:22" ht="20.100000000000001" customHeight="1">
      <c r="A10" s="15">
        <v>6</v>
      </c>
      <c r="B10" s="151" t="s">
        <v>494</v>
      </c>
      <c r="C10" s="152"/>
      <c r="D10" s="153"/>
      <c r="E10" s="19" t="s">
        <v>344</v>
      </c>
      <c r="F10" s="73" t="s">
        <v>375</v>
      </c>
      <c r="G10" s="73" t="s">
        <v>376</v>
      </c>
      <c r="H10" s="73" t="s">
        <v>26</v>
      </c>
      <c r="I10" s="10" t="s">
        <v>12</v>
      </c>
      <c r="J10" s="57">
        <v>18</v>
      </c>
      <c r="K10" s="161"/>
      <c r="L10" s="161"/>
      <c r="M10" s="34"/>
    </row>
    <row r="11" spans="1:22" ht="20.100000000000001" customHeight="1">
      <c r="A11" s="15">
        <v>7</v>
      </c>
      <c r="B11" s="151" t="s">
        <v>494</v>
      </c>
      <c r="C11" s="152"/>
      <c r="D11" s="153"/>
      <c r="E11" s="19" t="s">
        <v>344</v>
      </c>
      <c r="F11" s="73" t="s">
        <v>375</v>
      </c>
      <c r="G11" s="73" t="s">
        <v>381</v>
      </c>
      <c r="H11" s="73" t="s">
        <v>26</v>
      </c>
      <c r="I11" s="10" t="s">
        <v>12</v>
      </c>
      <c r="J11" s="57">
        <v>27</v>
      </c>
      <c r="K11" s="161"/>
      <c r="L11" s="161"/>
      <c r="M11" s="34"/>
    </row>
    <row r="12" spans="1:22" ht="20.100000000000001" customHeight="1">
      <c r="A12" s="15">
        <v>8</v>
      </c>
      <c r="B12" s="151" t="s">
        <v>494</v>
      </c>
      <c r="C12" s="152"/>
      <c r="D12" s="153"/>
      <c r="E12" s="19" t="s">
        <v>344</v>
      </c>
      <c r="F12" s="73" t="s">
        <v>405</v>
      </c>
      <c r="G12" s="73" t="s">
        <v>216</v>
      </c>
      <c r="H12" s="73" t="s">
        <v>48</v>
      </c>
      <c r="I12" s="10" t="s">
        <v>12</v>
      </c>
      <c r="J12" s="57">
        <v>18</v>
      </c>
      <c r="K12" s="161"/>
      <c r="L12" s="161"/>
      <c r="M12" s="34"/>
    </row>
    <row r="13" spans="1:22" ht="20.100000000000001" customHeight="1">
      <c r="A13" s="15">
        <v>9</v>
      </c>
      <c r="B13" s="151" t="s">
        <v>494</v>
      </c>
      <c r="C13" s="152"/>
      <c r="D13" s="153"/>
      <c r="E13" s="19" t="s">
        <v>344</v>
      </c>
      <c r="F13" s="73" t="s">
        <v>217</v>
      </c>
      <c r="G13" s="73" t="s">
        <v>216</v>
      </c>
      <c r="H13" s="73" t="s">
        <v>48</v>
      </c>
      <c r="I13" s="10" t="s">
        <v>12</v>
      </c>
      <c r="J13" s="57">
        <v>9</v>
      </c>
      <c r="K13" s="161"/>
      <c r="L13" s="161"/>
      <c r="M13" s="34"/>
    </row>
    <row r="14" spans="1:22" ht="20.100000000000001" customHeight="1">
      <c r="A14" s="15">
        <v>10</v>
      </c>
      <c r="B14" s="151" t="s">
        <v>494</v>
      </c>
      <c r="C14" s="152"/>
      <c r="D14" s="153"/>
      <c r="E14" s="19" t="s">
        <v>344</v>
      </c>
      <c r="F14" s="73" t="s">
        <v>124</v>
      </c>
      <c r="G14" s="73" t="s">
        <v>419</v>
      </c>
      <c r="H14" s="73" t="s">
        <v>48</v>
      </c>
      <c r="I14" s="10" t="s">
        <v>12</v>
      </c>
      <c r="J14" s="57">
        <v>9</v>
      </c>
      <c r="K14" s="161"/>
      <c r="L14" s="161"/>
      <c r="M14" s="34"/>
    </row>
    <row r="15" spans="1:22" ht="20.100000000000001" customHeight="1">
      <c r="A15" s="15">
        <v>11</v>
      </c>
      <c r="B15" s="151" t="s">
        <v>494</v>
      </c>
      <c r="C15" s="152"/>
      <c r="D15" s="153"/>
      <c r="E15" s="19" t="s">
        <v>344</v>
      </c>
      <c r="F15" s="73" t="s">
        <v>124</v>
      </c>
      <c r="G15" s="73" t="s">
        <v>419</v>
      </c>
      <c r="H15" s="73" t="s">
        <v>48</v>
      </c>
      <c r="I15" s="10" t="s">
        <v>12</v>
      </c>
      <c r="J15" s="57">
        <v>9</v>
      </c>
      <c r="K15" s="161"/>
      <c r="L15" s="161"/>
      <c r="M15" s="34"/>
    </row>
    <row r="16" spans="1:22" ht="20.100000000000001" customHeight="1">
      <c r="A16" s="15">
        <v>12</v>
      </c>
      <c r="B16" s="151" t="s">
        <v>494</v>
      </c>
      <c r="C16" s="152"/>
      <c r="D16" s="153"/>
      <c r="E16" s="19" t="s">
        <v>344</v>
      </c>
      <c r="F16" s="73" t="s">
        <v>406</v>
      </c>
      <c r="G16" s="73" t="s">
        <v>420</v>
      </c>
      <c r="H16" s="73" t="s">
        <v>48</v>
      </c>
      <c r="I16" s="10" t="s">
        <v>12</v>
      </c>
      <c r="J16" s="57">
        <v>18</v>
      </c>
      <c r="K16" s="161"/>
      <c r="L16" s="161"/>
      <c r="M16" s="34"/>
    </row>
    <row r="17" spans="1:13" ht="20.100000000000001" customHeight="1">
      <c r="A17" s="15">
        <v>13</v>
      </c>
      <c r="B17" s="151" t="s">
        <v>494</v>
      </c>
      <c r="C17" s="152"/>
      <c r="D17" s="153"/>
      <c r="E17" s="19" t="s">
        <v>344</v>
      </c>
      <c r="F17" s="73" t="s">
        <v>406</v>
      </c>
      <c r="G17" s="73" t="s">
        <v>420</v>
      </c>
      <c r="H17" s="73" t="s">
        <v>48</v>
      </c>
      <c r="I17" s="10" t="s">
        <v>12</v>
      </c>
      <c r="J17" s="57">
        <v>18</v>
      </c>
      <c r="K17" s="161"/>
      <c r="L17" s="161"/>
      <c r="M17" s="34"/>
    </row>
    <row r="18" spans="1:13" ht="20.100000000000001" customHeight="1">
      <c r="A18" s="15">
        <v>14</v>
      </c>
      <c r="B18" s="151" t="s">
        <v>494</v>
      </c>
      <c r="C18" s="152"/>
      <c r="D18" s="153"/>
      <c r="E18" s="19" t="s">
        <v>344</v>
      </c>
      <c r="F18" s="73" t="s">
        <v>407</v>
      </c>
      <c r="G18" s="73" t="s">
        <v>408</v>
      </c>
      <c r="H18" s="73" t="s">
        <v>48</v>
      </c>
      <c r="I18" s="10" t="s">
        <v>12</v>
      </c>
      <c r="J18" s="57">
        <v>36</v>
      </c>
      <c r="K18" s="161"/>
      <c r="L18" s="161"/>
      <c r="M18" s="34"/>
    </row>
    <row r="19" spans="1:13" ht="20.100000000000001" customHeight="1">
      <c r="A19" s="15">
        <v>15</v>
      </c>
      <c r="B19" s="151" t="s">
        <v>494</v>
      </c>
      <c r="C19" s="152"/>
      <c r="D19" s="153"/>
      <c r="E19" s="19" t="s">
        <v>344</v>
      </c>
      <c r="F19" s="73" t="s">
        <v>40</v>
      </c>
      <c r="G19" s="73" t="s">
        <v>409</v>
      </c>
      <c r="H19" s="73" t="s">
        <v>48</v>
      </c>
      <c r="I19" s="10" t="s">
        <v>12</v>
      </c>
      <c r="J19" s="57">
        <v>81</v>
      </c>
      <c r="K19" s="161"/>
      <c r="L19" s="161"/>
      <c r="M19" s="34"/>
    </row>
    <row r="20" spans="1:13" ht="20.100000000000001" customHeight="1">
      <c r="A20" s="15">
        <v>16</v>
      </c>
      <c r="B20" s="151" t="s">
        <v>494</v>
      </c>
      <c r="C20" s="152"/>
      <c r="D20" s="153"/>
      <c r="E20" s="19" t="s">
        <v>344</v>
      </c>
      <c r="F20" s="73" t="s">
        <v>410</v>
      </c>
      <c r="G20" s="73" t="s">
        <v>411</v>
      </c>
      <c r="H20" s="73" t="s">
        <v>48</v>
      </c>
      <c r="I20" s="10" t="s">
        <v>12</v>
      </c>
      <c r="J20" s="57">
        <v>18</v>
      </c>
      <c r="K20" s="161"/>
      <c r="L20" s="161"/>
      <c r="M20" s="34"/>
    </row>
    <row r="21" spans="1:13" ht="20.100000000000001" customHeight="1">
      <c r="A21" s="15">
        <v>17</v>
      </c>
      <c r="B21" s="151" t="s">
        <v>494</v>
      </c>
      <c r="C21" s="152"/>
      <c r="D21" s="153"/>
      <c r="E21" s="19" t="s">
        <v>344</v>
      </c>
      <c r="F21" s="73" t="s">
        <v>410</v>
      </c>
      <c r="G21" s="73" t="s">
        <v>411</v>
      </c>
      <c r="H21" s="73" t="s">
        <v>48</v>
      </c>
      <c r="I21" s="10" t="s">
        <v>12</v>
      </c>
      <c r="J21" s="57">
        <v>18</v>
      </c>
      <c r="K21" s="161"/>
      <c r="L21" s="161"/>
      <c r="M21" s="34"/>
    </row>
    <row r="22" spans="1:13" ht="20.100000000000001" customHeight="1">
      <c r="A22" s="15">
        <v>18</v>
      </c>
      <c r="B22" s="151" t="s">
        <v>494</v>
      </c>
      <c r="C22" s="152"/>
      <c r="D22" s="153"/>
      <c r="E22" s="19" t="s">
        <v>344</v>
      </c>
      <c r="F22" s="73" t="s">
        <v>63</v>
      </c>
      <c r="G22" s="73" t="s">
        <v>179</v>
      </c>
      <c r="H22" s="73" t="s">
        <v>178</v>
      </c>
      <c r="I22" s="10" t="s">
        <v>12</v>
      </c>
      <c r="J22" s="57">
        <v>18</v>
      </c>
      <c r="K22" s="161"/>
      <c r="L22" s="161"/>
      <c r="M22" s="34"/>
    </row>
    <row r="23" spans="1:13" ht="35.25" customHeight="1" thickBot="1">
      <c r="A23" s="154" t="s">
        <v>1</v>
      </c>
      <c r="B23" s="155"/>
      <c r="C23" s="155"/>
      <c r="D23" s="155"/>
      <c r="E23" s="155"/>
      <c r="F23" s="155"/>
      <c r="G23" s="155"/>
      <c r="H23" s="155"/>
      <c r="I23" s="156"/>
      <c r="J23" s="84">
        <f>SUM(J5:J22)</f>
        <v>397</v>
      </c>
      <c r="K23" s="6">
        <v>1</v>
      </c>
      <c r="L23" s="6">
        <v>27</v>
      </c>
      <c r="M23" s="14"/>
    </row>
    <row r="24" spans="1:13">
      <c r="K24" s="3"/>
      <c r="L24" s="3"/>
      <c r="M24" s="3"/>
    </row>
    <row r="25" spans="1:13">
      <c r="K25" s="3"/>
      <c r="L25" s="3"/>
      <c r="M25" s="3"/>
    </row>
  </sheetData>
  <autoFilter ref="A4:M4" xr:uid="{310E7CCF-A56F-407A-962C-7F0D41D28038}">
    <filterColumn colId="1" showButton="0"/>
    <filterColumn colId="2" showButton="0"/>
  </autoFilter>
  <mergeCells count="23">
    <mergeCell ref="A2:M2"/>
    <mergeCell ref="B4:D4"/>
    <mergeCell ref="K5:K22"/>
    <mergeCell ref="L5:L22"/>
    <mergeCell ref="B14:D14"/>
    <mergeCell ref="B15:D15"/>
    <mergeCell ref="B16:D16"/>
    <mergeCell ref="B22:D22"/>
    <mergeCell ref="A23:I23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7:D17"/>
    <mergeCell ref="B18:D18"/>
    <mergeCell ref="B19:D19"/>
    <mergeCell ref="B20:D20"/>
    <mergeCell ref="B21:D21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92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29DB0-009E-428D-9B60-C4AD04E4A6CB}">
  <dimension ref="A1:V13"/>
  <sheetViews>
    <sheetView view="pageBreakPreview" zoomScaleNormal="100" zoomScaleSheetLayoutView="100" workbookViewId="0">
      <pane ySplit="4" topLeftCell="A5" activePane="bottomLeft" state="frozen"/>
      <selection activeCell="A23" sqref="A23:I23"/>
      <selection pane="bottomLeft" activeCell="A23" sqref="A23:I23"/>
    </sheetView>
  </sheetViews>
  <sheetFormatPr defaultRowHeight="15"/>
  <cols>
    <col min="1" max="1" width="5.33203125" style="2" customWidth="1"/>
    <col min="2" max="2" width="3" style="2" customWidth="1"/>
    <col min="3" max="3" width="2.77734375" style="2" customWidth="1"/>
    <col min="4" max="4" width="4" style="2" customWidth="1"/>
    <col min="5" max="5" width="6.33203125" style="2" customWidth="1"/>
    <col min="6" max="6" width="19.33203125" style="2" customWidth="1"/>
    <col min="7" max="7" width="25.88671875" style="2" customWidth="1"/>
    <col min="8" max="8" width="13.109375" style="2" customWidth="1"/>
    <col min="9" max="9" width="5.33203125" style="2" customWidth="1"/>
    <col min="10" max="10" width="10.88671875" style="2" customWidth="1"/>
    <col min="11" max="11" width="9.77734375" style="1" customWidth="1"/>
    <col min="12" max="12" width="7.88671875" style="1" hidden="1" customWidth="1"/>
    <col min="13" max="13" width="10.44140625" style="1" customWidth="1"/>
  </cols>
  <sheetData>
    <row r="1" spans="1:22" ht="4.5" customHeight="1"/>
    <row r="2" spans="1:22" ht="38.25" customHeight="1">
      <c r="A2" s="144" t="s">
        <v>486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2"/>
      <c r="O2" s="12"/>
      <c r="P2" s="12"/>
      <c r="Q2" s="12"/>
      <c r="R2" s="12"/>
      <c r="S2" s="12"/>
      <c r="T2" s="12"/>
      <c r="U2" s="12"/>
      <c r="V2" s="12"/>
    </row>
    <row r="3" spans="1:22" ht="4.5" customHeight="1" thickBot="1"/>
    <row r="4" spans="1:22" ht="33" customHeight="1">
      <c r="A4" s="4" t="s">
        <v>13</v>
      </c>
      <c r="B4" s="157" t="s">
        <v>21</v>
      </c>
      <c r="C4" s="158"/>
      <c r="D4" s="159"/>
      <c r="E4" s="18" t="s">
        <v>194</v>
      </c>
      <c r="F4" s="5" t="s">
        <v>3</v>
      </c>
      <c r="G4" s="5" t="s">
        <v>0</v>
      </c>
      <c r="H4" s="5" t="s">
        <v>6</v>
      </c>
      <c r="I4" s="5" t="s">
        <v>11</v>
      </c>
      <c r="J4" s="7" t="s">
        <v>7</v>
      </c>
      <c r="K4" s="7" t="s">
        <v>476</v>
      </c>
      <c r="L4" s="7" t="s">
        <v>475</v>
      </c>
      <c r="M4" s="13" t="s">
        <v>44</v>
      </c>
    </row>
    <row r="5" spans="1:22" ht="20.100000000000001" customHeight="1">
      <c r="A5" s="15">
        <v>1</v>
      </c>
      <c r="B5" s="151" t="s">
        <v>494</v>
      </c>
      <c r="C5" s="152"/>
      <c r="D5" s="153"/>
      <c r="E5" s="19" t="s">
        <v>344</v>
      </c>
      <c r="F5" s="73" t="s">
        <v>27</v>
      </c>
      <c r="G5" s="73" t="s">
        <v>388</v>
      </c>
      <c r="H5" s="73" t="s">
        <v>26</v>
      </c>
      <c r="I5" s="10" t="s">
        <v>12</v>
      </c>
      <c r="J5" s="57">
        <v>54</v>
      </c>
      <c r="K5" s="160">
        <v>1</v>
      </c>
      <c r="L5" s="160">
        <v>27</v>
      </c>
      <c r="M5" s="34"/>
    </row>
    <row r="6" spans="1:22" ht="20.100000000000001" customHeight="1">
      <c r="A6" s="15">
        <v>2</v>
      </c>
      <c r="B6" s="151" t="s">
        <v>494</v>
      </c>
      <c r="C6" s="152"/>
      <c r="D6" s="153"/>
      <c r="E6" s="19" t="s">
        <v>344</v>
      </c>
      <c r="F6" s="73" t="s">
        <v>27</v>
      </c>
      <c r="G6" s="73" t="s">
        <v>390</v>
      </c>
      <c r="H6" s="73" t="s">
        <v>26</v>
      </c>
      <c r="I6" s="10" t="s">
        <v>12</v>
      </c>
      <c r="J6" s="57">
        <v>27</v>
      </c>
      <c r="K6" s="161"/>
      <c r="L6" s="161"/>
      <c r="M6" s="34"/>
    </row>
    <row r="7" spans="1:22" ht="20.100000000000001" customHeight="1">
      <c r="A7" s="15">
        <v>3</v>
      </c>
      <c r="B7" s="151" t="s">
        <v>494</v>
      </c>
      <c r="C7" s="152"/>
      <c r="D7" s="153"/>
      <c r="E7" s="19" t="s">
        <v>344</v>
      </c>
      <c r="F7" s="73" t="s">
        <v>27</v>
      </c>
      <c r="G7" s="73" t="s">
        <v>204</v>
      </c>
      <c r="H7" s="73" t="s">
        <v>26</v>
      </c>
      <c r="I7" s="10" t="s">
        <v>12</v>
      </c>
      <c r="J7" s="57">
        <v>18</v>
      </c>
      <c r="K7" s="161"/>
      <c r="L7" s="161"/>
      <c r="M7" s="34"/>
    </row>
    <row r="8" spans="1:22" ht="20.100000000000001" customHeight="1">
      <c r="A8" s="15">
        <v>4</v>
      </c>
      <c r="B8" s="151" t="s">
        <v>494</v>
      </c>
      <c r="C8" s="152"/>
      <c r="D8" s="153"/>
      <c r="E8" s="19" t="s">
        <v>344</v>
      </c>
      <c r="F8" s="73" t="s">
        <v>27</v>
      </c>
      <c r="G8" s="73" t="s">
        <v>386</v>
      </c>
      <c r="H8" s="73" t="s">
        <v>26</v>
      </c>
      <c r="I8" s="10" t="s">
        <v>12</v>
      </c>
      <c r="J8" s="57">
        <v>9</v>
      </c>
      <c r="K8" s="161"/>
      <c r="L8" s="161"/>
      <c r="M8" s="34"/>
    </row>
    <row r="9" spans="1:22" ht="20.100000000000001" customHeight="1">
      <c r="A9" s="15">
        <v>5</v>
      </c>
      <c r="B9" s="151" t="s">
        <v>494</v>
      </c>
      <c r="C9" s="152"/>
      <c r="D9" s="153"/>
      <c r="E9" s="19" t="s">
        <v>344</v>
      </c>
      <c r="F9" s="73" t="s">
        <v>41</v>
      </c>
      <c r="G9" s="73" t="s">
        <v>377</v>
      </c>
      <c r="H9" s="73" t="s">
        <v>26</v>
      </c>
      <c r="I9" s="10" t="s">
        <v>12</v>
      </c>
      <c r="J9" s="57">
        <v>9</v>
      </c>
      <c r="K9" s="161"/>
      <c r="L9" s="161"/>
      <c r="M9" s="34"/>
    </row>
    <row r="10" spans="1:22" ht="20.100000000000001" customHeight="1">
      <c r="A10" s="15">
        <v>6</v>
      </c>
      <c r="B10" s="151" t="s">
        <v>494</v>
      </c>
      <c r="C10" s="152"/>
      <c r="D10" s="153"/>
      <c r="E10" s="19" t="s">
        <v>344</v>
      </c>
      <c r="F10" s="73" t="s">
        <v>375</v>
      </c>
      <c r="G10" s="73" t="s">
        <v>384</v>
      </c>
      <c r="H10" s="73" t="s">
        <v>26</v>
      </c>
      <c r="I10" s="10" t="s">
        <v>12</v>
      </c>
      <c r="J10" s="57">
        <v>27</v>
      </c>
      <c r="K10" s="161"/>
      <c r="L10" s="161"/>
      <c r="M10" s="34"/>
    </row>
    <row r="11" spans="1:22" ht="35.25" customHeight="1" thickBot="1">
      <c r="A11" s="154" t="s">
        <v>1</v>
      </c>
      <c r="B11" s="155"/>
      <c r="C11" s="155"/>
      <c r="D11" s="155"/>
      <c r="E11" s="155"/>
      <c r="F11" s="155"/>
      <c r="G11" s="155"/>
      <c r="H11" s="155"/>
      <c r="I11" s="156"/>
      <c r="J11" s="84">
        <f>SUM(J5:J10)</f>
        <v>144</v>
      </c>
      <c r="K11" s="6">
        <v>1</v>
      </c>
      <c r="L11" s="6">
        <v>27</v>
      </c>
      <c r="M11" s="14"/>
    </row>
    <row r="12" spans="1:22">
      <c r="K12" s="3"/>
      <c r="L12" s="3"/>
      <c r="M12" s="3"/>
    </row>
    <row r="13" spans="1:22">
      <c r="K13" s="3"/>
      <c r="L13" s="3"/>
      <c r="M13" s="3"/>
    </row>
  </sheetData>
  <autoFilter ref="A4:M4" xr:uid="{C4029DB0-009E-428D-9B60-C4AD04E4A6CB}">
    <filterColumn colId="1" showButton="0"/>
    <filterColumn colId="2" showButton="0"/>
  </autoFilter>
  <mergeCells count="11">
    <mergeCell ref="A2:M2"/>
    <mergeCell ref="B4:D4"/>
    <mergeCell ref="K5:K10"/>
    <mergeCell ref="L5:L10"/>
    <mergeCell ref="A11:I11"/>
    <mergeCell ref="B5:D5"/>
    <mergeCell ref="B6:D6"/>
    <mergeCell ref="B7:D7"/>
    <mergeCell ref="B8:D8"/>
    <mergeCell ref="B9:D9"/>
    <mergeCell ref="B10:D10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92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9D96E-0174-4113-8428-4CBE1AA1083F}">
  <dimension ref="A1:V11"/>
  <sheetViews>
    <sheetView view="pageBreakPreview" zoomScaleNormal="100" zoomScaleSheetLayoutView="100" workbookViewId="0">
      <pane ySplit="4" topLeftCell="A5" activePane="bottomLeft" state="frozen"/>
      <selection activeCell="A23" sqref="A23:I23"/>
      <selection pane="bottomLeft" activeCell="A23" sqref="A23:I23"/>
    </sheetView>
  </sheetViews>
  <sheetFormatPr defaultRowHeight="15"/>
  <cols>
    <col min="1" max="1" width="5.33203125" style="2" customWidth="1"/>
    <col min="2" max="2" width="3" style="2" customWidth="1"/>
    <col min="3" max="3" width="2.77734375" style="2" customWidth="1"/>
    <col min="4" max="4" width="4" style="2" customWidth="1"/>
    <col min="5" max="5" width="6.33203125" style="2" customWidth="1"/>
    <col min="6" max="6" width="19.33203125" style="2" customWidth="1"/>
    <col min="7" max="7" width="25.88671875" style="2" customWidth="1"/>
    <col min="8" max="8" width="13.109375" style="2" customWidth="1"/>
    <col min="9" max="9" width="5.33203125" style="2" customWidth="1"/>
    <col min="10" max="10" width="10.88671875" style="2" customWidth="1"/>
    <col min="11" max="11" width="9.77734375" style="1" customWidth="1"/>
    <col min="12" max="12" width="7.88671875" style="1" hidden="1" customWidth="1"/>
    <col min="13" max="13" width="10.44140625" style="1" customWidth="1"/>
  </cols>
  <sheetData>
    <row r="1" spans="1:22" ht="4.5" customHeight="1"/>
    <row r="2" spans="1:22" ht="38.25" customHeight="1">
      <c r="A2" s="144" t="s">
        <v>487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2"/>
      <c r="O2" s="12"/>
      <c r="P2" s="12"/>
      <c r="Q2" s="12"/>
      <c r="R2" s="12"/>
      <c r="S2" s="12"/>
      <c r="T2" s="12"/>
      <c r="U2" s="12"/>
      <c r="V2" s="12"/>
    </row>
    <row r="3" spans="1:22" ht="4.5" customHeight="1" thickBot="1"/>
    <row r="4" spans="1:22" ht="33" customHeight="1">
      <c r="A4" s="4" t="s">
        <v>13</v>
      </c>
      <c r="B4" s="157" t="s">
        <v>21</v>
      </c>
      <c r="C4" s="158"/>
      <c r="D4" s="159"/>
      <c r="E4" s="18" t="s">
        <v>194</v>
      </c>
      <c r="F4" s="5" t="s">
        <v>3</v>
      </c>
      <c r="G4" s="5" t="s">
        <v>0</v>
      </c>
      <c r="H4" s="5" t="s">
        <v>6</v>
      </c>
      <c r="I4" s="5" t="s">
        <v>11</v>
      </c>
      <c r="J4" s="7" t="s">
        <v>7</v>
      </c>
      <c r="K4" s="7" t="s">
        <v>476</v>
      </c>
      <c r="L4" s="7" t="s">
        <v>475</v>
      </c>
      <c r="M4" s="13" t="s">
        <v>44</v>
      </c>
    </row>
    <row r="5" spans="1:22" ht="20.100000000000001" customHeight="1">
      <c r="A5" s="15">
        <v>1</v>
      </c>
      <c r="B5" s="151" t="s">
        <v>494</v>
      </c>
      <c r="C5" s="152"/>
      <c r="D5" s="153"/>
      <c r="E5" s="19" t="s">
        <v>344</v>
      </c>
      <c r="F5" s="73" t="s">
        <v>401</v>
      </c>
      <c r="G5" s="73" t="s">
        <v>402</v>
      </c>
      <c r="H5" s="73" t="s">
        <v>123</v>
      </c>
      <c r="I5" s="10" t="s">
        <v>12</v>
      </c>
      <c r="J5" s="57">
        <v>36</v>
      </c>
      <c r="K5" s="160">
        <v>1</v>
      </c>
      <c r="L5" s="160">
        <v>27</v>
      </c>
      <c r="M5" s="34"/>
    </row>
    <row r="6" spans="1:22" ht="20.100000000000001" customHeight="1">
      <c r="A6" s="15">
        <v>2</v>
      </c>
      <c r="B6" s="151" t="s">
        <v>494</v>
      </c>
      <c r="C6" s="152"/>
      <c r="D6" s="153"/>
      <c r="E6" s="19" t="s">
        <v>344</v>
      </c>
      <c r="F6" s="73" t="s">
        <v>403</v>
      </c>
      <c r="G6" s="73" t="s">
        <v>404</v>
      </c>
      <c r="H6" s="73" t="s">
        <v>48</v>
      </c>
      <c r="I6" s="10" t="s">
        <v>12</v>
      </c>
      <c r="J6" s="57">
        <v>108</v>
      </c>
      <c r="K6" s="161"/>
      <c r="L6" s="161"/>
      <c r="M6" s="34"/>
    </row>
    <row r="7" spans="1:22" ht="20.100000000000001" customHeight="1">
      <c r="A7" s="15">
        <v>3</v>
      </c>
      <c r="B7" s="151" t="s">
        <v>494</v>
      </c>
      <c r="C7" s="152"/>
      <c r="D7" s="153"/>
      <c r="E7" s="19" t="s">
        <v>344</v>
      </c>
      <c r="F7" s="73" t="s">
        <v>412</v>
      </c>
      <c r="G7" s="73" t="s">
        <v>413</v>
      </c>
      <c r="H7" s="73" t="s">
        <v>48</v>
      </c>
      <c r="I7" s="10" t="s">
        <v>12</v>
      </c>
      <c r="J7" s="57">
        <v>108</v>
      </c>
      <c r="K7" s="161"/>
      <c r="L7" s="161"/>
      <c r="M7" s="34"/>
    </row>
    <row r="8" spans="1:22" ht="20.100000000000001" customHeight="1">
      <c r="A8" s="15">
        <v>4</v>
      </c>
      <c r="B8" s="151" t="s">
        <v>494</v>
      </c>
      <c r="C8" s="152"/>
      <c r="D8" s="153"/>
      <c r="E8" s="19" t="s">
        <v>344</v>
      </c>
      <c r="F8" s="73" t="s">
        <v>25</v>
      </c>
      <c r="G8" s="73" t="s">
        <v>421</v>
      </c>
      <c r="H8" s="73" t="s">
        <v>422</v>
      </c>
      <c r="I8" s="10" t="s">
        <v>12</v>
      </c>
      <c r="J8" s="57">
        <v>54</v>
      </c>
      <c r="K8" s="161"/>
      <c r="L8" s="161"/>
      <c r="M8" s="34"/>
    </row>
    <row r="9" spans="1:22" ht="35.25" customHeight="1" thickBot="1">
      <c r="A9" s="154" t="s">
        <v>1</v>
      </c>
      <c r="B9" s="155"/>
      <c r="C9" s="155"/>
      <c r="D9" s="155"/>
      <c r="E9" s="155"/>
      <c r="F9" s="155"/>
      <c r="G9" s="155"/>
      <c r="H9" s="155"/>
      <c r="I9" s="156"/>
      <c r="J9" s="84">
        <f>SUM(J5:J8)</f>
        <v>306</v>
      </c>
      <c r="K9" s="6">
        <v>1</v>
      </c>
      <c r="L9" s="6">
        <v>27</v>
      </c>
      <c r="M9" s="14"/>
    </row>
    <row r="10" spans="1:22">
      <c r="K10" s="3"/>
      <c r="L10" s="3"/>
      <c r="M10" s="3"/>
    </row>
    <row r="11" spans="1:22">
      <c r="K11" s="3"/>
      <c r="L11" s="3"/>
      <c r="M11" s="3"/>
    </row>
  </sheetData>
  <autoFilter ref="A4:M4" xr:uid="{6C79D96E-0174-4113-8428-4CBE1AA1083F}">
    <filterColumn colId="1" showButton="0"/>
    <filterColumn colId="2" showButton="0"/>
  </autoFilter>
  <mergeCells count="9">
    <mergeCell ref="A2:M2"/>
    <mergeCell ref="B4:D4"/>
    <mergeCell ref="K5:K8"/>
    <mergeCell ref="L5:L8"/>
    <mergeCell ref="A9:I9"/>
    <mergeCell ref="B5:D5"/>
    <mergeCell ref="B6:D6"/>
    <mergeCell ref="B7:D7"/>
    <mergeCell ref="B8:D8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92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C3E3B-82BB-45AA-B7AC-AFF9A17E823A}">
  <dimension ref="A1:V44"/>
  <sheetViews>
    <sheetView view="pageBreakPreview" zoomScaleNormal="100" zoomScaleSheetLayoutView="100" workbookViewId="0">
      <pane ySplit="4" topLeftCell="A21" activePane="bottomLeft" state="frozen"/>
      <selection activeCell="B67" sqref="B67:D67"/>
      <selection pane="bottomLeft" activeCell="B67" sqref="B67:D67"/>
    </sheetView>
  </sheetViews>
  <sheetFormatPr defaultRowHeight="15"/>
  <cols>
    <col min="1" max="1" width="5.33203125" style="2" customWidth="1"/>
    <col min="2" max="4" width="4.33203125" style="2" customWidth="1"/>
    <col min="5" max="5" width="6.33203125" style="2" customWidth="1"/>
    <col min="6" max="6" width="19.33203125" style="2" customWidth="1"/>
    <col min="7" max="7" width="25.88671875" style="2" customWidth="1"/>
    <col min="8" max="8" width="13.109375" style="2" customWidth="1"/>
    <col min="9" max="9" width="5.33203125" style="2" customWidth="1"/>
    <col min="10" max="10" width="10.88671875" style="2" customWidth="1"/>
    <col min="11" max="11" width="9.77734375" style="1" customWidth="1"/>
    <col min="12" max="12" width="7.88671875" style="1" hidden="1" customWidth="1"/>
    <col min="13" max="13" width="10.44140625" style="1" customWidth="1"/>
  </cols>
  <sheetData>
    <row r="1" spans="1:22" ht="4.5" customHeight="1"/>
    <row r="2" spans="1:22" ht="38.25" customHeight="1">
      <c r="A2" s="144" t="s">
        <v>45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2"/>
      <c r="O2" s="12"/>
      <c r="P2" s="12"/>
      <c r="Q2" s="12"/>
      <c r="R2" s="12"/>
      <c r="S2" s="12"/>
      <c r="T2" s="12"/>
      <c r="U2" s="12"/>
      <c r="V2" s="12"/>
    </row>
    <row r="3" spans="1:22" ht="4.5" customHeight="1" thickBot="1"/>
    <row r="4" spans="1:22" ht="33" customHeight="1">
      <c r="A4" s="4" t="s">
        <v>13</v>
      </c>
      <c r="B4" s="157" t="s">
        <v>21</v>
      </c>
      <c r="C4" s="158"/>
      <c r="D4" s="159"/>
      <c r="E4" s="18" t="s">
        <v>194</v>
      </c>
      <c r="F4" s="103" t="s">
        <v>3</v>
      </c>
      <c r="G4" s="103" t="s">
        <v>0</v>
      </c>
      <c r="H4" s="103" t="s">
        <v>6</v>
      </c>
      <c r="I4" s="5" t="s">
        <v>11</v>
      </c>
      <c r="J4" s="7" t="s">
        <v>7</v>
      </c>
      <c r="K4" s="7" t="s">
        <v>476</v>
      </c>
      <c r="L4" s="7" t="s">
        <v>475</v>
      </c>
      <c r="M4" s="13" t="s">
        <v>44</v>
      </c>
    </row>
    <row r="5" spans="1:22" ht="20.100000000000001" customHeight="1">
      <c r="A5" s="15">
        <v>1</v>
      </c>
      <c r="B5" s="151" t="s">
        <v>232</v>
      </c>
      <c r="C5" s="152"/>
      <c r="D5" s="153"/>
      <c r="E5" s="49" t="s">
        <v>423</v>
      </c>
      <c r="F5" s="108" t="s">
        <v>56</v>
      </c>
      <c r="G5" s="74" t="s">
        <v>58</v>
      </c>
      <c r="H5" s="74" t="s">
        <v>30</v>
      </c>
      <c r="I5" s="10" t="s">
        <v>12</v>
      </c>
      <c r="J5" s="57">
        <v>8</v>
      </c>
      <c r="K5" s="160">
        <v>1</v>
      </c>
      <c r="L5" s="160">
        <v>27</v>
      </c>
      <c r="M5" s="34"/>
    </row>
    <row r="6" spans="1:22" ht="20.100000000000001" customHeight="1">
      <c r="A6" s="15">
        <v>2</v>
      </c>
      <c r="B6" s="151" t="s">
        <v>232</v>
      </c>
      <c r="C6" s="152"/>
      <c r="D6" s="153"/>
      <c r="E6" s="49" t="s">
        <v>423</v>
      </c>
      <c r="F6" s="72" t="s">
        <v>153</v>
      </c>
      <c r="G6" s="73" t="s">
        <v>225</v>
      </c>
      <c r="H6" s="73" t="s">
        <v>121</v>
      </c>
      <c r="I6" s="10" t="s">
        <v>12</v>
      </c>
      <c r="J6" s="57">
        <v>8</v>
      </c>
      <c r="K6" s="161"/>
      <c r="L6" s="161"/>
      <c r="M6" s="34"/>
    </row>
    <row r="7" spans="1:22" ht="20.100000000000001" customHeight="1">
      <c r="A7" s="15">
        <v>3</v>
      </c>
      <c r="B7" s="151" t="s">
        <v>232</v>
      </c>
      <c r="C7" s="152"/>
      <c r="D7" s="153"/>
      <c r="E7" s="49" t="s">
        <v>423</v>
      </c>
      <c r="F7" s="73" t="s">
        <v>24</v>
      </c>
      <c r="G7" s="73" t="s">
        <v>233</v>
      </c>
      <c r="H7" s="73" t="s">
        <v>22</v>
      </c>
      <c r="I7" s="10" t="s">
        <v>12</v>
      </c>
      <c r="J7" s="57">
        <v>4</v>
      </c>
      <c r="K7" s="161"/>
      <c r="L7" s="161"/>
      <c r="M7" s="34"/>
    </row>
    <row r="8" spans="1:22" ht="20.100000000000001" customHeight="1">
      <c r="A8" s="15">
        <v>4</v>
      </c>
      <c r="B8" s="151" t="s">
        <v>232</v>
      </c>
      <c r="C8" s="152"/>
      <c r="D8" s="153"/>
      <c r="E8" s="49" t="s">
        <v>423</v>
      </c>
      <c r="F8" s="73" t="s">
        <v>24</v>
      </c>
      <c r="G8" s="73" t="s">
        <v>233</v>
      </c>
      <c r="H8" s="73" t="s">
        <v>22</v>
      </c>
      <c r="I8" s="10" t="s">
        <v>12</v>
      </c>
      <c r="J8" s="57">
        <v>4</v>
      </c>
      <c r="K8" s="161"/>
      <c r="L8" s="161"/>
      <c r="M8" s="34"/>
    </row>
    <row r="9" spans="1:22" ht="20.100000000000001" customHeight="1">
      <c r="A9" s="15">
        <v>5</v>
      </c>
      <c r="B9" s="151" t="s">
        <v>232</v>
      </c>
      <c r="C9" s="152"/>
      <c r="D9" s="153"/>
      <c r="E9" s="49" t="s">
        <v>423</v>
      </c>
      <c r="F9" s="59" t="s">
        <v>24</v>
      </c>
      <c r="G9" s="59" t="s">
        <v>233</v>
      </c>
      <c r="H9" s="50" t="s">
        <v>22</v>
      </c>
      <c r="I9" s="10" t="s">
        <v>12</v>
      </c>
      <c r="J9" s="57">
        <v>8</v>
      </c>
      <c r="K9" s="161"/>
      <c r="L9" s="161"/>
      <c r="M9" s="34"/>
    </row>
    <row r="10" spans="1:22" ht="20.100000000000001" customHeight="1">
      <c r="A10" s="15">
        <v>6</v>
      </c>
      <c r="B10" s="151" t="s">
        <v>232</v>
      </c>
      <c r="C10" s="152"/>
      <c r="D10" s="153"/>
      <c r="E10" s="49" t="s">
        <v>423</v>
      </c>
      <c r="F10" s="59" t="s">
        <v>24</v>
      </c>
      <c r="G10" s="59" t="s">
        <v>233</v>
      </c>
      <c r="H10" s="50" t="s">
        <v>22</v>
      </c>
      <c r="I10" s="10" t="s">
        <v>12</v>
      </c>
      <c r="J10" s="57">
        <v>4</v>
      </c>
      <c r="K10" s="161"/>
      <c r="L10" s="161"/>
      <c r="M10" s="34"/>
    </row>
    <row r="11" spans="1:22" ht="20.100000000000001" customHeight="1">
      <c r="A11" s="15">
        <v>7</v>
      </c>
      <c r="B11" s="151" t="s">
        <v>232</v>
      </c>
      <c r="C11" s="152"/>
      <c r="D11" s="153"/>
      <c r="E11" s="49" t="s">
        <v>423</v>
      </c>
      <c r="F11" s="73" t="s">
        <v>24</v>
      </c>
      <c r="G11" s="73" t="s">
        <v>233</v>
      </c>
      <c r="H11" s="73" t="s">
        <v>22</v>
      </c>
      <c r="I11" s="10" t="s">
        <v>12</v>
      </c>
      <c r="J11" s="57">
        <v>4</v>
      </c>
      <c r="K11" s="161"/>
      <c r="L11" s="161"/>
      <c r="M11" s="34"/>
    </row>
    <row r="12" spans="1:22" ht="20.100000000000001" customHeight="1">
      <c r="A12" s="15">
        <v>8</v>
      </c>
      <c r="B12" s="151" t="s">
        <v>232</v>
      </c>
      <c r="C12" s="152"/>
      <c r="D12" s="153"/>
      <c r="E12" s="49" t="s">
        <v>423</v>
      </c>
      <c r="F12" s="59" t="s">
        <v>24</v>
      </c>
      <c r="G12" s="59" t="s">
        <v>233</v>
      </c>
      <c r="H12" s="50" t="s">
        <v>22</v>
      </c>
      <c r="I12" s="10" t="s">
        <v>12</v>
      </c>
      <c r="J12" s="57">
        <v>4</v>
      </c>
      <c r="K12" s="161"/>
      <c r="L12" s="161"/>
      <c r="M12" s="34"/>
    </row>
    <row r="13" spans="1:22" ht="20.100000000000001" customHeight="1">
      <c r="A13" s="15">
        <v>9</v>
      </c>
      <c r="B13" s="151" t="s">
        <v>232</v>
      </c>
      <c r="C13" s="152"/>
      <c r="D13" s="153"/>
      <c r="E13" s="49" t="s">
        <v>423</v>
      </c>
      <c r="F13" s="73" t="s">
        <v>24</v>
      </c>
      <c r="G13" s="73" t="s">
        <v>234</v>
      </c>
      <c r="H13" s="73" t="s">
        <v>22</v>
      </c>
      <c r="I13" s="10" t="s">
        <v>12</v>
      </c>
      <c r="J13" s="57">
        <v>4</v>
      </c>
      <c r="K13" s="161"/>
      <c r="L13" s="161"/>
      <c r="M13" s="34"/>
    </row>
    <row r="14" spans="1:22" ht="20.100000000000001" customHeight="1">
      <c r="A14" s="15">
        <v>10</v>
      </c>
      <c r="B14" s="151" t="s">
        <v>232</v>
      </c>
      <c r="C14" s="152"/>
      <c r="D14" s="153"/>
      <c r="E14" s="49" t="s">
        <v>423</v>
      </c>
      <c r="F14" s="73" t="s">
        <v>24</v>
      </c>
      <c r="G14" s="73" t="s">
        <v>234</v>
      </c>
      <c r="H14" s="73" t="s">
        <v>22</v>
      </c>
      <c r="I14" s="10" t="s">
        <v>12</v>
      </c>
      <c r="J14" s="57">
        <v>8</v>
      </c>
      <c r="K14" s="161"/>
      <c r="L14" s="161"/>
      <c r="M14" s="34"/>
    </row>
    <row r="15" spans="1:22" ht="20.100000000000001" customHeight="1">
      <c r="A15" s="15">
        <v>11</v>
      </c>
      <c r="B15" s="151" t="s">
        <v>232</v>
      </c>
      <c r="C15" s="152"/>
      <c r="D15" s="153"/>
      <c r="E15" s="49" t="s">
        <v>423</v>
      </c>
      <c r="F15" s="73" t="s">
        <v>24</v>
      </c>
      <c r="G15" s="73" t="s">
        <v>234</v>
      </c>
      <c r="H15" s="73" t="s">
        <v>22</v>
      </c>
      <c r="I15" s="10" t="s">
        <v>12</v>
      </c>
      <c r="J15" s="57">
        <v>8</v>
      </c>
      <c r="K15" s="161"/>
      <c r="L15" s="161"/>
      <c r="M15" s="34"/>
    </row>
    <row r="16" spans="1:22" ht="20.100000000000001" customHeight="1">
      <c r="A16" s="15">
        <v>12</v>
      </c>
      <c r="B16" s="151" t="s">
        <v>232</v>
      </c>
      <c r="C16" s="152"/>
      <c r="D16" s="153"/>
      <c r="E16" s="49" t="s">
        <v>423</v>
      </c>
      <c r="F16" s="72" t="s">
        <v>24</v>
      </c>
      <c r="G16" s="11" t="s">
        <v>234</v>
      </c>
      <c r="H16" s="73" t="s">
        <v>22</v>
      </c>
      <c r="I16" s="10" t="s">
        <v>12</v>
      </c>
      <c r="J16" s="57">
        <v>4</v>
      </c>
      <c r="K16" s="161"/>
      <c r="L16" s="161"/>
      <c r="M16" s="34"/>
    </row>
    <row r="17" spans="1:13" ht="20.100000000000001" customHeight="1">
      <c r="A17" s="15">
        <v>13</v>
      </c>
      <c r="B17" s="151" t="s">
        <v>232</v>
      </c>
      <c r="C17" s="152"/>
      <c r="D17" s="153"/>
      <c r="E17" s="49" t="s">
        <v>423</v>
      </c>
      <c r="F17" s="74" t="s">
        <v>24</v>
      </c>
      <c r="G17" s="74" t="s">
        <v>346</v>
      </c>
      <c r="H17" s="74" t="s">
        <v>23</v>
      </c>
      <c r="I17" s="10" t="s">
        <v>12</v>
      </c>
      <c r="J17" s="57">
        <v>8</v>
      </c>
      <c r="K17" s="161"/>
      <c r="L17" s="161"/>
      <c r="M17" s="34"/>
    </row>
    <row r="18" spans="1:13" ht="20.100000000000001" customHeight="1">
      <c r="A18" s="15">
        <v>14</v>
      </c>
      <c r="B18" s="151" t="s">
        <v>232</v>
      </c>
      <c r="C18" s="152"/>
      <c r="D18" s="153"/>
      <c r="E18" s="49" t="s">
        <v>423</v>
      </c>
      <c r="F18" s="73" t="s">
        <v>155</v>
      </c>
      <c r="G18" s="73" t="s">
        <v>159</v>
      </c>
      <c r="H18" s="73" t="s">
        <v>23</v>
      </c>
      <c r="I18" s="10" t="s">
        <v>12</v>
      </c>
      <c r="J18" s="57">
        <v>28</v>
      </c>
      <c r="K18" s="161"/>
      <c r="L18" s="161"/>
      <c r="M18" s="34"/>
    </row>
    <row r="19" spans="1:13" ht="20.100000000000001" customHeight="1">
      <c r="A19" s="15">
        <v>15</v>
      </c>
      <c r="B19" s="151" t="s">
        <v>232</v>
      </c>
      <c r="C19" s="152"/>
      <c r="D19" s="153"/>
      <c r="E19" s="49" t="s">
        <v>423</v>
      </c>
      <c r="F19" s="75" t="s">
        <v>157</v>
      </c>
      <c r="G19" s="59" t="s">
        <v>239</v>
      </c>
      <c r="H19" s="50" t="s">
        <v>23</v>
      </c>
      <c r="I19" s="10" t="s">
        <v>12</v>
      </c>
      <c r="J19" s="57">
        <v>3</v>
      </c>
      <c r="K19" s="161"/>
      <c r="L19" s="161"/>
      <c r="M19" s="34"/>
    </row>
    <row r="20" spans="1:13" ht="20.100000000000001" customHeight="1">
      <c r="A20" s="15">
        <v>16</v>
      </c>
      <c r="B20" s="151" t="s">
        <v>232</v>
      </c>
      <c r="C20" s="152"/>
      <c r="D20" s="153"/>
      <c r="E20" s="49" t="s">
        <v>423</v>
      </c>
      <c r="F20" s="50" t="s">
        <v>165</v>
      </c>
      <c r="G20" s="50" t="s">
        <v>171</v>
      </c>
      <c r="H20" s="50" t="s">
        <v>164</v>
      </c>
      <c r="I20" s="10" t="s">
        <v>12</v>
      </c>
      <c r="J20" s="57">
        <v>12</v>
      </c>
      <c r="K20" s="161"/>
      <c r="L20" s="161"/>
      <c r="M20" s="34"/>
    </row>
    <row r="21" spans="1:13" ht="20.100000000000001" customHeight="1">
      <c r="A21" s="15">
        <v>17</v>
      </c>
      <c r="B21" s="151" t="s">
        <v>232</v>
      </c>
      <c r="C21" s="152"/>
      <c r="D21" s="153"/>
      <c r="E21" s="49" t="s">
        <v>423</v>
      </c>
      <c r="F21" s="73" t="s">
        <v>154</v>
      </c>
      <c r="G21" s="73" t="s">
        <v>206</v>
      </c>
      <c r="H21" s="73" t="s">
        <v>30</v>
      </c>
      <c r="I21" s="10" t="s">
        <v>12</v>
      </c>
      <c r="J21" s="57">
        <v>8</v>
      </c>
      <c r="K21" s="161"/>
      <c r="L21" s="161"/>
      <c r="M21" s="34"/>
    </row>
    <row r="22" spans="1:13" ht="20.100000000000001" customHeight="1">
      <c r="A22" s="15">
        <v>18</v>
      </c>
      <c r="B22" s="151" t="s">
        <v>232</v>
      </c>
      <c r="C22" s="152"/>
      <c r="D22" s="153"/>
      <c r="E22" s="49" t="s">
        <v>423</v>
      </c>
      <c r="F22" s="73" t="s">
        <v>163</v>
      </c>
      <c r="G22" s="73" t="s">
        <v>167</v>
      </c>
      <c r="H22" s="73" t="s">
        <v>164</v>
      </c>
      <c r="I22" s="10" t="s">
        <v>12</v>
      </c>
      <c r="J22" s="57">
        <v>4</v>
      </c>
      <c r="K22" s="161"/>
      <c r="L22" s="161"/>
      <c r="M22" s="34"/>
    </row>
    <row r="23" spans="1:13" ht="20.100000000000001" customHeight="1">
      <c r="A23" s="15">
        <v>19</v>
      </c>
      <c r="B23" s="151" t="s">
        <v>232</v>
      </c>
      <c r="C23" s="152"/>
      <c r="D23" s="153"/>
      <c r="E23" s="49" t="s">
        <v>423</v>
      </c>
      <c r="F23" s="59" t="s">
        <v>163</v>
      </c>
      <c r="G23" s="59" t="s">
        <v>237</v>
      </c>
      <c r="H23" s="50" t="s">
        <v>164</v>
      </c>
      <c r="I23" s="10" t="s">
        <v>12</v>
      </c>
      <c r="J23" s="57">
        <v>4</v>
      </c>
      <c r="K23" s="161"/>
      <c r="L23" s="161"/>
      <c r="M23" s="34"/>
    </row>
    <row r="24" spans="1:13" ht="20.100000000000001" customHeight="1" thickBot="1">
      <c r="A24" s="15">
        <v>20</v>
      </c>
      <c r="B24" s="151" t="s">
        <v>232</v>
      </c>
      <c r="C24" s="152"/>
      <c r="D24" s="153"/>
      <c r="E24" s="49" t="s">
        <v>423</v>
      </c>
      <c r="F24" s="73" t="s">
        <v>146</v>
      </c>
      <c r="G24" s="73" t="s">
        <v>147</v>
      </c>
      <c r="H24" s="73" t="s">
        <v>148</v>
      </c>
      <c r="I24" s="93" t="s">
        <v>12</v>
      </c>
      <c r="J24" s="93">
        <v>4</v>
      </c>
      <c r="K24" s="162"/>
      <c r="L24" s="162"/>
      <c r="M24" s="92"/>
    </row>
    <row r="25" spans="1:13" ht="33" customHeight="1">
      <c r="A25" s="4" t="s">
        <v>13</v>
      </c>
      <c r="B25" s="157" t="s">
        <v>21</v>
      </c>
      <c r="C25" s="158"/>
      <c r="D25" s="159"/>
      <c r="E25" s="18" t="s">
        <v>194</v>
      </c>
      <c r="F25" s="5" t="s">
        <v>3</v>
      </c>
      <c r="G25" s="5" t="s">
        <v>0</v>
      </c>
      <c r="H25" s="5" t="s">
        <v>6</v>
      </c>
      <c r="I25" s="5" t="s">
        <v>11</v>
      </c>
      <c r="J25" s="7" t="s">
        <v>7</v>
      </c>
      <c r="K25" s="7" t="s">
        <v>476</v>
      </c>
      <c r="L25" s="7" t="s">
        <v>475</v>
      </c>
      <c r="M25" s="13" t="s">
        <v>44</v>
      </c>
    </row>
    <row r="26" spans="1:13" ht="20.100000000000001" customHeight="1">
      <c r="A26" s="91">
        <v>21</v>
      </c>
      <c r="B26" s="151" t="s">
        <v>232</v>
      </c>
      <c r="C26" s="152"/>
      <c r="D26" s="153"/>
      <c r="E26" s="49" t="s">
        <v>423</v>
      </c>
      <c r="F26" s="73" t="s">
        <v>158</v>
      </c>
      <c r="G26" s="73" t="s">
        <v>162</v>
      </c>
      <c r="H26" s="73" t="s">
        <v>23</v>
      </c>
      <c r="I26" s="88" t="s">
        <v>12</v>
      </c>
      <c r="J26" s="57">
        <v>12</v>
      </c>
      <c r="K26" s="163">
        <v>1</v>
      </c>
      <c r="L26" s="86"/>
      <c r="M26" s="85"/>
    </row>
    <row r="27" spans="1:13" ht="20.100000000000001" customHeight="1">
      <c r="A27" s="91">
        <v>22</v>
      </c>
      <c r="B27" s="151" t="s">
        <v>232</v>
      </c>
      <c r="C27" s="152"/>
      <c r="D27" s="153"/>
      <c r="E27" s="49" t="s">
        <v>423</v>
      </c>
      <c r="F27" s="73" t="s">
        <v>144</v>
      </c>
      <c r="G27" s="73" t="s">
        <v>145</v>
      </c>
      <c r="H27" s="73" t="s">
        <v>22</v>
      </c>
      <c r="I27" s="88" t="s">
        <v>12</v>
      </c>
      <c r="J27" s="57">
        <v>12</v>
      </c>
      <c r="K27" s="164"/>
      <c r="L27" s="86"/>
      <c r="M27" s="85"/>
    </row>
    <row r="28" spans="1:13" ht="20.100000000000001" customHeight="1">
      <c r="A28" s="91">
        <v>23</v>
      </c>
      <c r="B28" s="151" t="s">
        <v>232</v>
      </c>
      <c r="C28" s="152"/>
      <c r="D28" s="153"/>
      <c r="E28" s="49" t="s">
        <v>423</v>
      </c>
      <c r="F28" s="73" t="s">
        <v>424</v>
      </c>
      <c r="G28" s="73" t="s">
        <v>207</v>
      </c>
      <c r="H28" s="73" t="s">
        <v>208</v>
      </c>
      <c r="I28" s="88" t="s">
        <v>12</v>
      </c>
      <c r="J28" s="57">
        <v>4</v>
      </c>
      <c r="K28" s="164"/>
      <c r="L28" s="86"/>
      <c r="M28" s="85"/>
    </row>
    <row r="29" spans="1:13" ht="20.100000000000001" customHeight="1">
      <c r="A29" s="91">
        <v>24</v>
      </c>
      <c r="B29" s="151" t="s">
        <v>232</v>
      </c>
      <c r="C29" s="152"/>
      <c r="D29" s="153"/>
      <c r="E29" s="49" t="s">
        <v>423</v>
      </c>
      <c r="F29" s="59" t="s">
        <v>172</v>
      </c>
      <c r="G29" s="59" t="s">
        <v>175</v>
      </c>
      <c r="H29" s="50" t="s">
        <v>174</v>
      </c>
      <c r="I29" s="88" t="s">
        <v>12</v>
      </c>
      <c r="J29" s="57">
        <v>4</v>
      </c>
      <c r="K29" s="164"/>
      <c r="L29" s="86"/>
      <c r="M29" s="85"/>
    </row>
    <row r="30" spans="1:13" ht="20.100000000000001" customHeight="1">
      <c r="A30" s="91">
        <v>25</v>
      </c>
      <c r="B30" s="151" t="s">
        <v>232</v>
      </c>
      <c r="C30" s="152"/>
      <c r="D30" s="153"/>
      <c r="E30" s="49" t="s">
        <v>423</v>
      </c>
      <c r="F30" s="73" t="s">
        <v>172</v>
      </c>
      <c r="G30" s="73" t="s">
        <v>176</v>
      </c>
      <c r="H30" s="73" t="s">
        <v>174</v>
      </c>
      <c r="I30" s="88" t="s">
        <v>12</v>
      </c>
      <c r="J30" s="57">
        <v>4</v>
      </c>
      <c r="K30" s="164"/>
      <c r="L30" s="86"/>
      <c r="M30" s="85"/>
    </row>
    <row r="31" spans="1:13" ht="20.100000000000001" customHeight="1">
      <c r="A31" s="91">
        <v>26</v>
      </c>
      <c r="B31" s="151" t="s">
        <v>232</v>
      </c>
      <c r="C31" s="152"/>
      <c r="D31" s="153"/>
      <c r="E31" s="49" t="s">
        <v>423</v>
      </c>
      <c r="F31" s="73" t="s">
        <v>172</v>
      </c>
      <c r="G31" s="73" t="s">
        <v>173</v>
      </c>
      <c r="H31" s="73" t="s">
        <v>174</v>
      </c>
      <c r="I31" s="88" t="s">
        <v>12</v>
      </c>
      <c r="J31" s="57">
        <v>8</v>
      </c>
      <c r="K31" s="164"/>
      <c r="L31" s="86"/>
      <c r="M31" s="85"/>
    </row>
    <row r="32" spans="1:13" ht="20.100000000000001" customHeight="1">
      <c r="A32" s="91">
        <v>27</v>
      </c>
      <c r="B32" s="151" t="s">
        <v>232</v>
      </c>
      <c r="C32" s="152"/>
      <c r="D32" s="153"/>
      <c r="E32" s="49" t="s">
        <v>423</v>
      </c>
      <c r="F32" s="59" t="s">
        <v>230</v>
      </c>
      <c r="G32" s="59" t="s">
        <v>231</v>
      </c>
      <c r="H32" s="50" t="s">
        <v>227</v>
      </c>
      <c r="I32" s="88" t="s">
        <v>12</v>
      </c>
      <c r="J32" s="57">
        <v>4</v>
      </c>
      <c r="K32" s="164"/>
      <c r="L32" s="86"/>
      <c r="M32" s="85"/>
    </row>
    <row r="33" spans="1:13" ht="20.100000000000001" customHeight="1">
      <c r="A33" s="91">
        <v>28</v>
      </c>
      <c r="B33" s="151" t="s">
        <v>232</v>
      </c>
      <c r="C33" s="152"/>
      <c r="D33" s="153"/>
      <c r="E33" s="49" t="s">
        <v>423</v>
      </c>
      <c r="F33" s="59" t="s">
        <v>182</v>
      </c>
      <c r="G33" s="59" t="s">
        <v>185</v>
      </c>
      <c r="H33" s="50" t="s">
        <v>181</v>
      </c>
      <c r="I33" s="88" t="s">
        <v>12</v>
      </c>
      <c r="J33" s="57">
        <v>20</v>
      </c>
      <c r="K33" s="164"/>
      <c r="L33" s="86"/>
      <c r="M33" s="85"/>
    </row>
    <row r="34" spans="1:13" ht="20.100000000000001" customHeight="1">
      <c r="A34" s="91">
        <v>29</v>
      </c>
      <c r="B34" s="151" t="s">
        <v>232</v>
      </c>
      <c r="C34" s="152"/>
      <c r="D34" s="153"/>
      <c r="E34" s="49" t="s">
        <v>423</v>
      </c>
      <c r="F34" s="59" t="s">
        <v>183</v>
      </c>
      <c r="G34" s="59" t="s">
        <v>186</v>
      </c>
      <c r="H34" s="50" t="s">
        <v>181</v>
      </c>
      <c r="I34" s="88" t="s">
        <v>12</v>
      </c>
      <c r="J34" s="57">
        <v>48</v>
      </c>
      <c r="K34" s="164"/>
      <c r="L34" s="86"/>
      <c r="M34" s="85"/>
    </row>
    <row r="35" spans="1:13" ht="20.100000000000001" customHeight="1">
      <c r="A35" s="91">
        <v>30</v>
      </c>
      <c r="B35" s="151" t="s">
        <v>232</v>
      </c>
      <c r="C35" s="152"/>
      <c r="D35" s="153"/>
      <c r="E35" s="49" t="s">
        <v>423</v>
      </c>
      <c r="F35" s="59" t="s">
        <v>180</v>
      </c>
      <c r="G35" s="59" t="s">
        <v>184</v>
      </c>
      <c r="H35" s="50" t="s">
        <v>181</v>
      </c>
      <c r="I35" s="88" t="s">
        <v>12</v>
      </c>
      <c r="J35" s="57">
        <v>20</v>
      </c>
      <c r="K35" s="164"/>
      <c r="L35" s="86"/>
      <c r="M35" s="85"/>
    </row>
    <row r="36" spans="1:13" ht="20.100000000000001" customHeight="1">
      <c r="A36" s="91">
        <v>31</v>
      </c>
      <c r="B36" s="151" t="s">
        <v>232</v>
      </c>
      <c r="C36" s="152"/>
      <c r="D36" s="153"/>
      <c r="E36" s="49" t="s">
        <v>423</v>
      </c>
      <c r="F36" s="73" t="s">
        <v>219</v>
      </c>
      <c r="G36" s="81" t="s">
        <v>59</v>
      </c>
      <c r="H36" s="73" t="s">
        <v>60</v>
      </c>
      <c r="I36" s="88" t="s">
        <v>12</v>
      </c>
      <c r="J36" s="57">
        <v>4</v>
      </c>
      <c r="K36" s="164"/>
      <c r="L36" s="86"/>
      <c r="M36" s="85"/>
    </row>
    <row r="37" spans="1:13" ht="20.100000000000001" customHeight="1">
      <c r="A37" s="91">
        <v>32</v>
      </c>
      <c r="B37" s="151" t="s">
        <v>232</v>
      </c>
      <c r="C37" s="152"/>
      <c r="D37" s="153"/>
      <c r="E37" s="49" t="s">
        <v>423</v>
      </c>
      <c r="F37" s="73" t="s">
        <v>220</v>
      </c>
      <c r="G37" s="81" t="s">
        <v>224</v>
      </c>
      <c r="H37" s="73" t="s">
        <v>60</v>
      </c>
      <c r="I37" s="88" t="s">
        <v>12</v>
      </c>
      <c r="J37" s="57">
        <v>4</v>
      </c>
      <c r="K37" s="164"/>
      <c r="L37" s="86"/>
      <c r="M37" s="85"/>
    </row>
    <row r="38" spans="1:13" ht="20.100000000000001" customHeight="1">
      <c r="A38" s="91">
        <v>33</v>
      </c>
      <c r="B38" s="151" t="s">
        <v>232</v>
      </c>
      <c r="C38" s="152"/>
      <c r="D38" s="153"/>
      <c r="E38" s="49" t="s">
        <v>423</v>
      </c>
      <c r="F38" s="11" t="s">
        <v>459</v>
      </c>
      <c r="G38" s="72" t="s">
        <v>461</v>
      </c>
      <c r="H38" s="11" t="s">
        <v>460</v>
      </c>
      <c r="I38" s="88" t="s">
        <v>12</v>
      </c>
      <c r="J38" s="57">
        <v>4</v>
      </c>
      <c r="K38" s="164"/>
      <c r="L38" s="86"/>
      <c r="M38" s="85"/>
    </row>
    <row r="39" spans="1:13" ht="20.100000000000001" customHeight="1">
      <c r="A39" s="91">
        <v>34</v>
      </c>
      <c r="B39" s="151" t="s">
        <v>232</v>
      </c>
      <c r="C39" s="152"/>
      <c r="D39" s="153"/>
      <c r="E39" s="49" t="s">
        <v>423</v>
      </c>
      <c r="F39" s="73" t="s">
        <v>459</v>
      </c>
      <c r="G39" s="81" t="s">
        <v>461</v>
      </c>
      <c r="H39" s="73" t="s">
        <v>460</v>
      </c>
      <c r="I39" s="88" t="s">
        <v>12</v>
      </c>
      <c r="J39" s="57">
        <v>4</v>
      </c>
      <c r="K39" s="164"/>
      <c r="L39" s="86"/>
      <c r="M39" s="85"/>
    </row>
    <row r="40" spans="1:13" ht="20.100000000000001" customHeight="1">
      <c r="A40" s="91">
        <v>35</v>
      </c>
      <c r="B40" s="151" t="s">
        <v>232</v>
      </c>
      <c r="C40" s="152"/>
      <c r="D40" s="153"/>
      <c r="E40" s="49" t="s">
        <v>423</v>
      </c>
      <c r="F40" s="73" t="s">
        <v>67</v>
      </c>
      <c r="G40" s="81" t="s">
        <v>323</v>
      </c>
      <c r="H40" s="73" t="s">
        <v>68</v>
      </c>
      <c r="I40" s="88" t="s">
        <v>12</v>
      </c>
      <c r="J40" s="57">
        <v>4</v>
      </c>
      <c r="K40" s="164"/>
      <c r="L40" s="86"/>
      <c r="M40" s="85"/>
    </row>
    <row r="41" spans="1:13" ht="20.100000000000001" customHeight="1">
      <c r="A41" s="91">
        <v>36</v>
      </c>
      <c r="B41" s="151" t="s">
        <v>232</v>
      </c>
      <c r="C41" s="152"/>
      <c r="D41" s="153"/>
      <c r="E41" s="49" t="s">
        <v>423</v>
      </c>
      <c r="F41" s="73" t="s">
        <v>46</v>
      </c>
      <c r="G41" s="81" t="s">
        <v>324</v>
      </c>
      <c r="H41" s="73" t="s">
        <v>123</v>
      </c>
      <c r="I41" s="88" t="s">
        <v>12</v>
      </c>
      <c r="J41" s="57">
        <v>16</v>
      </c>
      <c r="K41" s="164"/>
      <c r="L41" s="86"/>
      <c r="M41" s="85"/>
    </row>
    <row r="42" spans="1:13" ht="35.25" customHeight="1" thickBot="1">
      <c r="A42" s="154" t="s">
        <v>1</v>
      </c>
      <c r="B42" s="155"/>
      <c r="C42" s="155"/>
      <c r="D42" s="155"/>
      <c r="E42" s="155"/>
      <c r="F42" s="155"/>
      <c r="G42" s="155"/>
      <c r="H42" s="155"/>
      <c r="I42" s="156"/>
      <c r="J42" s="84">
        <f>SUM(J5:J41)</f>
        <v>311</v>
      </c>
      <c r="K42" s="6">
        <v>1</v>
      </c>
      <c r="L42" s="6">
        <v>27</v>
      </c>
      <c r="M42" s="14"/>
    </row>
    <row r="43" spans="1:13">
      <c r="K43" s="3"/>
      <c r="L43" s="3"/>
      <c r="M43" s="3"/>
    </row>
    <row r="44" spans="1:13">
      <c r="K44" s="3"/>
      <c r="L44" s="3"/>
      <c r="M44" s="3"/>
    </row>
  </sheetData>
  <autoFilter ref="A4:M42" xr:uid="{54D5C1B7-8511-4422-B6F3-4D6E8EEEAC87}"/>
  <mergeCells count="43">
    <mergeCell ref="A2:M2"/>
    <mergeCell ref="B4:D4"/>
    <mergeCell ref="K5:K24"/>
    <mergeCell ref="L5:L24"/>
    <mergeCell ref="B25:D25"/>
    <mergeCell ref="B13:D13"/>
    <mergeCell ref="B14:D14"/>
    <mergeCell ref="B15:D15"/>
    <mergeCell ref="B21:D21"/>
    <mergeCell ref="B22:D22"/>
    <mergeCell ref="B23:D23"/>
    <mergeCell ref="B24:D24"/>
    <mergeCell ref="A42:I42"/>
    <mergeCell ref="K26:K41"/>
    <mergeCell ref="B5:D5"/>
    <mergeCell ref="B6:D6"/>
    <mergeCell ref="B7:D7"/>
    <mergeCell ref="B8:D8"/>
    <mergeCell ref="B9:D9"/>
    <mergeCell ref="B10:D10"/>
    <mergeCell ref="B11:D11"/>
    <mergeCell ref="B12:D12"/>
    <mergeCell ref="B16:D16"/>
    <mergeCell ref="B17:D17"/>
    <mergeCell ref="B18:D18"/>
    <mergeCell ref="B19:D19"/>
    <mergeCell ref="B20:D20"/>
    <mergeCell ref="B34:D34"/>
    <mergeCell ref="B26:D26"/>
    <mergeCell ref="B27:D27"/>
    <mergeCell ref="B28:D28"/>
    <mergeCell ref="B29:D29"/>
    <mergeCell ref="B30:D30"/>
    <mergeCell ref="B31:D31"/>
    <mergeCell ref="B32:D32"/>
    <mergeCell ref="B33:D33"/>
    <mergeCell ref="B41:D41"/>
    <mergeCell ref="B35:D35"/>
    <mergeCell ref="B36:D36"/>
    <mergeCell ref="B37:D37"/>
    <mergeCell ref="B38:D38"/>
    <mergeCell ref="B39:D39"/>
    <mergeCell ref="B40:D40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92" orientation="landscape" r:id="rId1"/>
  <rowBreaks count="1" manualBreakCount="1">
    <brk id="24" max="10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138C3-B0DA-4CE2-9156-0E83B4AF3007}">
  <dimension ref="A1:V42"/>
  <sheetViews>
    <sheetView view="pageBreakPreview" zoomScaleNormal="100" zoomScaleSheetLayoutView="100" workbookViewId="0">
      <pane ySplit="4" topLeftCell="A29" activePane="bottomLeft" state="frozen"/>
      <selection activeCell="B67" sqref="B67:D67"/>
      <selection pane="bottomLeft" activeCell="B67" sqref="B67:D67"/>
    </sheetView>
  </sheetViews>
  <sheetFormatPr defaultRowHeight="15"/>
  <cols>
    <col min="1" max="1" width="5.33203125" style="2" customWidth="1"/>
    <col min="2" max="4" width="4.33203125" style="2" customWidth="1"/>
    <col min="5" max="5" width="6.33203125" style="2" customWidth="1"/>
    <col min="6" max="6" width="19.33203125" style="2" customWidth="1"/>
    <col min="7" max="7" width="25.88671875" style="2" customWidth="1"/>
    <col min="8" max="8" width="13.109375" style="2" customWidth="1"/>
    <col min="9" max="9" width="5.33203125" style="2" customWidth="1"/>
    <col min="10" max="10" width="10.88671875" style="2" customWidth="1"/>
    <col min="11" max="11" width="9.77734375" style="1" customWidth="1"/>
    <col min="12" max="12" width="7.88671875" style="1" hidden="1" customWidth="1"/>
    <col min="13" max="13" width="10.44140625" style="1" customWidth="1"/>
  </cols>
  <sheetData>
    <row r="1" spans="1:22" ht="4.5" customHeight="1"/>
    <row r="2" spans="1:22" ht="38.25" customHeight="1">
      <c r="A2" s="144" t="s">
        <v>218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2"/>
      <c r="O2" s="12"/>
      <c r="P2" s="12"/>
      <c r="Q2" s="12"/>
      <c r="R2" s="12"/>
      <c r="S2" s="12"/>
      <c r="T2" s="12"/>
      <c r="U2" s="12"/>
      <c r="V2" s="12"/>
    </row>
    <row r="3" spans="1:22" ht="4.5" customHeight="1" thickBot="1"/>
    <row r="4" spans="1:22" ht="33" customHeight="1">
      <c r="A4" s="4" t="s">
        <v>13</v>
      </c>
      <c r="B4" s="157" t="s">
        <v>21</v>
      </c>
      <c r="C4" s="158"/>
      <c r="D4" s="159"/>
      <c r="E4" s="18" t="s">
        <v>194</v>
      </c>
      <c r="F4" s="103" t="s">
        <v>3</v>
      </c>
      <c r="G4" s="103" t="s">
        <v>0</v>
      </c>
      <c r="H4" s="103" t="s">
        <v>6</v>
      </c>
      <c r="I4" s="5" t="s">
        <v>11</v>
      </c>
      <c r="J4" s="7" t="s">
        <v>7</v>
      </c>
      <c r="K4" s="7" t="s">
        <v>476</v>
      </c>
      <c r="L4" s="7" t="s">
        <v>475</v>
      </c>
      <c r="M4" s="13" t="s">
        <v>44</v>
      </c>
    </row>
    <row r="5" spans="1:22" ht="20.100000000000001" customHeight="1">
      <c r="A5" s="15">
        <v>1</v>
      </c>
      <c r="B5" s="151" t="s">
        <v>232</v>
      </c>
      <c r="C5" s="152"/>
      <c r="D5" s="153"/>
      <c r="E5" s="49" t="s">
        <v>423</v>
      </c>
      <c r="F5" s="73" t="s">
        <v>235</v>
      </c>
      <c r="G5" s="73" t="s">
        <v>236</v>
      </c>
      <c r="H5" s="73" t="s">
        <v>23</v>
      </c>
      <c r="I5" s="10" t="s">
        <v>12</v>
      </c>
      <c r="J5" s="57">
        <v>32</v>
      </c>
      <c r="K5" s="160">
        <v>1</v>
      </c>
      <c r="L5" s="160">
        <v>27</v>
      </c>
      <c r="M5" s="34"/>
    </row>
    <row r="6" spans="1:22" ht="20.100000000000001" customHeight="1">
      <c r="A6" s="15">
        <v>2</v>
      </c>
      <c r="B6" s="151" t="s">
        <v>232</v>
      </c>
      <c r="C6" s="152"/>
      <c r="D6" s="153"/>
      <c r="E6" s="49" t="s">
        <v>423</v>
      </c>
      <c r="F6" s="73" t="s">
        <v>149</v>
      </c>
      <c r="G6" s="73" t="s">
        <v>152</v>
      </c>
      <c r="H6" s="73" t="s">
        <v>150</v>
      </c>
      <c r="I6" s="10" t="s">
        <v>12</v>
      </c>
      <c r="J6" s="57">
        <v>4</v>
      </c>
      <c r="K6" s="161"/>
      <c r="L6" s="161"/>
      <c r="M6" s="34"/>
    </row>
    <row r="7" spans="1:22" ht="20.100000000000001" customHeight="1">
      <c r="A7" s="15">
        <v>3</v>
      </c>
      <c r="B7" s="151" t="s">
        <v>232</v>
      </c>
      <c r="C7" s="152"/>
      <c r="D7" s="153"/>
      <c r="E7" s="49" t="s">
        <v>423</v>
      </c>
      <c r="F7" s="59" t="s">
        <v>149</v>
      </c>
      <c r="G7" s="59" t="s">
        <v>151</v>
      </c>
      <c r="H7" s="50" t="s">
        <v>150</v>
      </c>
      <c r="I7" s="10" t="s">
        <v>12</v>
      </c>
      <c r="J7" s="57">
        <v>44</v>
      </c>
      <c r="K7" s="161"/>
      <c r="L7" s="161"/>
      <c r="M7" s="34"/>
    </row>
    <row r="8" spans="1:22" ht="20.100000000000001" customHeight="1">
      <c r="A8" s="15">
        <v>4</v>
      </c>
      <c r="B8" s="151" t="s">
        <v>232</v>
      </c>
      <c r="C8" s="152"/>
      <c r="D8" s="153"/>
      <c r="E8" s="49" t="s">
        <v>423</v>
      </c>
      <c r="F8" s="73" t="s">
        <v>149</v>
      </c>
      <c r="G8" s="73" t="s">
        <v>238</v>
      </c>
      <c r="H8" s="73" t="s">
        <v>150</v>
      </c>
      <c r="I8" s="10" t="s">
        <v>12</v>
      </c>
      <c r="J8" s="57">
        <v>8</v>
      </c>
      <c r="K8" s="161"/>
      <c r="L8" s="161"/>
      <c r="M8" s="34"/>
    </row>
    <row r="9" spans="1:22" ht="20.100000000000001" customHeight="1">
      <c r="A9" s="15">
        <v>5</v>
      </c>
      <c r="B9" s="151" t="s">
        <v>232</v>
      </c>
      <c r="C9" s="152"/>
      <c r="D9" s="153"/>
      <c r="E9" s="49" t="s">
        <v>423</v>
      </c>
      <c r="F9" s="50" t="s">
        <v>156</v>
      </c>
      <c r="G9" s="50" t="s">
        <v>160</v>
      </c>
      <c r="H9" s="50" t="s">
        <v>23</v>
      </c>
      <c r="I9" s="10" t="s">
        <v>12</v>
      </c>
      <c r="J9" s="57">
        <v>28</v>
      </c>
      <c r="K9" s="161"/>
      <c r="L9" s="161"/>
      <c r="M9" s="34"/>
    </row>
    <row r="10" spans="1:22" ht="20.100000000000001" customHeight="1">
      <c r="A10" s="15">
        <v>6</v>
      </c>
      <c r="B10" s="151" t="s">
        <v>232</v>
      </c>
      <c r="C10" s="152"/>
      <c r="D10" s="153"/>
      <c r="E10" s="49" t="s">
        <v>423</v>
      </c>
      <c r="F10" s="76" t="s">
        <v>209</v>
      </c>
      <c r="G10" s="76" t="s">
        <v>71</v>
      </c>
      <c r="H10" s="76" t="s">
        <v>240</v>
      </c>
      <c r="I10" s="10" t="s">
        <v>12</v>
      </c>
      <c r="J10" s="77">
        <v>4</v>
      </c>
      <c r="K10" s="161"/>
      <c r="L10" s="161"/>
      <c r="M10" s="34"/>
    </row>
    <row r="11" spans="1:22" ht="20.100000000000001" customHeight="1">
      <c r="A11" s="15">
        <v>7</v>
      </c>
      <c r="B11" s="151" t="s">
        <v>232</v>
      </c>
      <c r="C11" s="152"/>
      <c r="D11" s="153"/>
      <c r="E11" s="49" t="s">
        <v>423</v>
      </c>
      <c r="F11" s="62" t="s">
        <v>133</v>
      </c>
      <c r="G11" s="64" t="s">
        <v>281</v>
      </c>
      <c r="H11" s="63" t="s">
        <v>139</v>
      </c>
      <c r="I11" s="10" t="s">
        <v>12</v>
      </c>
      <c r="J11" s="57">
        <v>4</v>
      </c>
      <c r="K11" s="161"/>
      <c r="L11" s="161"/>
      <c r="M11" s="34"/>
    </row>
    <row r="12" spans="1:22" ht="20.100000000000001" customHeight="1">
      <c r="A12" s="15">
        <v>8</v>
      </c>
      <c r="B12" s="151" t="s">
        <v>232</v>
      </c>
      <c r="C12" s="152"/>
      <c r="D12" s="153"/>
      <c r="E12" s="49" t="s">
        <v>423</v>
      </c>
      <c r="F12" s="62" t="s">
        <v>135</v>
      </c>
      <c r="G12" s="64" t="s">
        <v>136</v>
      </c>
      <c r="H12" s="63" t="s">
        <v>139</v>
      </c>
      <c r="I12" s="10" t="s">
        <v>12</v>
      </c>
      <c r="J12" s="57">
        <v>36</v>
      </c>
      <c r="K12" s="161"/>
      <c r="L12" s="161"/>
      <c r="M12" s="34"/>
    </row>
    <row r="13" spans="1:22" ht="20.100000000000001" customHeight="1">
      <c r="A13" s="15">
        <v>9</v>
      </c>
      <c r="B13" s="151" t="s">
        <v>232</v>
      </c>
      <c r="C13" s="152"/>
      <c r="D13" s="153"/>
      <c r="E13" s="49" t="s">
        <v>423</v>
      </c>
      <c r="F13" s="62" t="s">
        <v>137</v>
      </c>
      <c r="G13" s="64" t="s">
        <v>138</v>
      </c>
      <c r="H13" s="63" t="s">
        <v>139</v>
      </c>
      <c r="I13" s="10" t="s">
        <v>12</v>
      </c>
      <c r="J13" s="57">
        <v>36</v>
      </c>
      <c r="K13" s="161"/>
      <c r="L13" s="161"/>
      <c r="M13" s="34"/>
    </row>
    <row r="14" spans="1:22" ht="20.100000000000001" customHeight="1">
      <c r="A14" s="15">
        <v>10</v>
      </c>
      <c r="B14" s="151" t="s">
        <v>232</v>
      </c>
      <c r="C14" s="152"/>
      <c r="D14" s="153"/>
      <c r="E14" s="49" t="s">
        <v>423</v>
      </c>
      <c r="F14" s="73" t="s">
        <v>177</v>
      </c>
      <c r="G14" s="81" t="s">
        <v>325</v>
      </c>
      <c r="H14" s="73" t="s">
        <v>48</v>
      </c>
      <c r="I14" s="10" t="s">
        <v>12</v>
      </c>
      <c r="J14" s="57">
        <v>4</v>
      </c>
      <c r="K14" s="161"/>
      <c r="L14" s="161"/>
      <c r="M14" s="34"/>
    </row>
    <row r="15" spans="1:22" ht="20.100000000000001" customHeight="1">
      <c r="A15" s="15">
        <v>11</v>
      </c>
      <c r="B15" s="151" t="s">
        <v>232</v>
      </c>
      <c r="C15" s="152"/>
      <c r="D15" s="153"/>
      <c r="E15" s="49" t="s">
        <v>423</v>
      </c>
      <c r="F15" s="81" t="s">
        <v>177</v>
      </c>
      <c r="G15" s="81" t="s">
        <v>325</v>
      </c>
      <c r="H15" s="81" t="s">
        <v>48</v>
      </c>
      <c r="I15" s="10" t="s">
        <v>12</v>
      </c>
      <c r="J15" s="57">
        <v>4</v>
      </c>
      <c r="K15" s="161"/>
      <c r="L15" s="161"/>
      <c r="M15" s="34"/>
    </row>
    <row r="16" spans="1:22" ht="20.100000000000001" customHeight="1">
      <c r="A16" s="15">
        <v>12</v>
      </c>
      <c r="B16" s="151" t="s">
        <v>232</v>
      </c>
      <c r="C16" s="152"/>
      <c r="D16" s="153"/>
      <c r="E16" s="49" t="s">
        <v>423</v>
      </c>
      <c r="F16" s="73" t="s">
        <v>177</v>
      </c>
      <c r="G16" s="81" t="s">
        <v>325</v>
      </c>
      <c r="H16" s="73" t="s">
        <v>48</v>
      </c>
      <c r="I16" s="10" t="s">
        <v>12</v>
      </c>
      <c r="J16" s="57">
        <v>4</v>
      </c>
      <c r="K16" s="161"/>
      <c r="L16" s="161"/>
      <c r="M16" s="34"/>
    </row>
    <row r="17" spans="1:13" ht="20.100000000000001" customHeight="1">
      <c r="A17" s="15">
        <v>13</v>
      </c>
      <c r="B17" s="151" t="s">
        <v>232</v>
      </c>
      <c r="C17" s="152"/>
      <c r="D17" s="153"/>
      <c r="E17" s="49" t="s">
        <v>423</v>
      </c>
      <c r="F17" s="73" t="s">
        <v>177</v>
      </c>
      <c r="G17" s="81" t="s">
        <v>325</v>
      </c>
      <c r="H17" s="73" t="s">
        <v>48</v>
      </c>
      <c r="I17" s="10" t="s">
        <v>12</v>
      </c>
      <c r="J17" s="57">
        <v>4</v>
      </c>
      <c r="K17" s="161"/>
      <c r="L17" s="161"/>
      <c r="M17" s="34"/>
    </row>
    <row r="18" spans="1:13" ht="20.100000000000001" customHeight="1">
      <c r="A18" s="15">
        <v>14</v>
      </c>
      <c r="B18" s="151" t="s">
        <v>232</v>
      </c>
      <c r="C18" s="152"/>
      <c r="D18" s="153"/>
      <c r="E18" s="49" t="s">
        <v>423</v>
      </c>
      <c r="F18" s="73" t="s">
        <v>177</v>
      </c>
      <c r="G18" s="81" t="s">
        <v>326</v>
      </c>
      <c r="H18" s="73" t="s">
        <v>48</v>
      </c>
      <c r="I18" s="10" t="s">
        <v>12</v>
      </c>
      <c r="J18" s="57">
        <v>8</v>
      </c>
      <c r="K18" s="161"/>
      <c r="L18" s="161"/>
      <c r="M18" s="34"/>
    </row>
    <row r="19" spans="1:13" ht="20.100000000000001" customHeight="1">
      <c r="A19" s="15">
        <v>15</v>
      </c>
      <c r="B19" s="151" t="s">
        <v>232</v>
      </c>
      <c r="C19" s="152"/>
      <c r="D19" s="153"/>
      <c r="E19" s="49" t="s">
        <v>423</v>
      </c>
      <c r="F19" s="73" t="s">
        <v>177</v>
      </c>
      <c r="G19" s="81" t="s">
        <v>327</v>
      </c>
      <c r="H19" s="73" t="s">
        <v>48</v>
      </c>
      <c r="I19" s="10" t="s">
        <v>12</v>
      </c>
      <c r="J19" s="57">
        <v>4</v>
      </c>
      <c r="K19" s="161"/>
      <c r="L19" s="161"/>
      <c r="M19" s="34"/>
    </row>
    <row r="20" spans="1:13" ht="20.100000000000001" customHeight="1">
      <c r="A20" s="15">
        <v>16</v>
      </c>
      <c r="B20" s="151" t="s">
        <v>232</v>
      </c>
      <c r="C20" s="152"/>
      <c r="D20" s="153"/>
      <c r="E20" s="49" t="s">
        <v>423</v>
      </c>
      <c r="F20" s="73" t="s">
        <v>328</v>
      </c>
      <c r="G20" s="81" t="s">
        <v>341</v>
      </c>
      <c r="H20" s="73" t="s">
        <v>48</v>
      </c>
      <c r="I20" s="10" t="s">
        <v>12</v>
      </c>
      <c r="J20" s="57">
        <v>16</v>
      </c>
      <c r="K20" s="161"/>
      <c r="L20" s="161"/>
      <c r="M20" s="34"/>
    </row>
    <row r="21" spans="1:13" ht="20.100000000000001" customHeight="1">
      <c r="A21" s="15">
        <v>17</v>
      </c>
      <c r="B21" s="151" t="s">
        <v>232</v>
      </c>
      <c r="C21" s="152"/>
      <c r="D21" s="153"/>
      <c r="E21" s="49" t="s">
        <v>423</v>
      </c>
      <c r="F21" s="73" t="s">
        <v>124</v>
      </c>
      <c r="G21" s="81" t="s">
        <v>329</v>
      </c>
      <c r="H21" s="73" t="s">
        <v>48</v>
      </c>
      <c r="I21" s="10" t="s">
        <v>12</v>
      </c>
      <c r="J21" s="57">
        <v>8</v>
      </c>
      <c r="K21" s="161"/>
      <c r="L21" s="161"/>
      <c r="M21" s="34"/>
    </row>
    <row r="22" spans="1:13" ht="20.100000000000001" customHeight="1">
      <c r="A22" s="15">
        <v>18</v>
      </c>
      <c r="B22" s="151" t="s">
        <v>232</v>
      </c>
      <c r="C22" s="152"/>
      <c r="D22" s="153"/>
      <c r="E22" s="49" t="s">
        <v>423</v>
      </c>
      <c r="F22" s="73" t="s">
        <v>124</v>
      </c>
      <c r="G22" s="81" t="s">
        <v>329</v>
      </c>
      <c r="H22" s="73" t="s">
        <v>48</v>
      </c>
      <c r="I22" s="10" t="s">
        <v>12</v>
      </c>
      <c r="J22" s="57">
        <v>4</v>
      </c>
      <c r="K22" s="161"/>
      <c r="L22" s="161"/>
      <c r="M22" s="34"/>
    </row>
    <row r="23" spans="1:13" ht="20.100000000000001" customHeight="1">
      <c r="A23" s="15">
        <v>19</v>
      </c>
      <c r="B23" s="151" t="s">
        <v>232</v>
      </c>
      <c r="C23" s="152"/>
      <c r="D23" s="153"/>
      <c r="E23" s="49" t="s">
        <v>423</v>
      </c>
      <c r="F23" s="73" t="s">
        <v>35</v>
      </c>
      <c r="G23" s="81" t="s">
        <v>472</v>
      </c>
      <c r="H23" s="73" t="s">
        <v>48</v>
      </c>
      <c r="I23" s="10" t="s">
        <v>12</v>
      </c>
      <c r="J23" s="57">
        <v>48</v>
      </c>
      <c r="K23" s="161"/>
      <c r="L23" s="161"/>
      <c r="M23" s="34"/>
    </row>
    <row r="24" spans="1:13" ht="20.100000000000001" customHeight="1" thickBot="1">
      <c r="A24" s="15">
        <v>20</v>
      </c>
      <c r="B24" s="151" t="s">
        <v>232</v>
      </c>
      <c r="C24" s="152"/>
      <c r="D24" s="153"/>
      <c r="E24" s="49" t="s">
        <v>423</v>
      </c>
      <c r="F24" s="73" t="s">
        <v>126</v>
      </c>
      <c r="G24" s="81" t="s">
        <v>127</v>
      </c>
      <c r="H24" s="73" t="s">
        <v>48</v>
      </c>
      <c r="I24" s="93" t="s">
        <v>12</v>
      </c>
      <c r="J24" s="57">
        <v>8</v>
      </c>
      <c r="K24" s="162"/>
      <c r="L24" s="162"/>
      <c r="M24" s="92"/>
    </row>
    <row r="25" spans="1:13" ht="33" customHeight="1">
      <c r="A25" s="4" t="s">
        <v>13</v>
      </c>
      <c r="B25" s="157" t="s">
        <v>21</v>
      </c>
      <c r="C25" s="158"/>
      <c r="D25" s="159"/>
      <c r="E25" s="18" t="s">
        <v>194</v>
      </c>
      <c r="F25" s="5" t="s">
        <v>3</v>
      </c>
      <c r="G25" s="5" t="s">
        <v>0</v>
      </c>
      <c r="H25" s="5" t="s">
        <v>6</v>
      </c>
      <c r="I25" s="5" t="s">
        <v>11</v>
      </c>
      <c r="J25" s="7" t="s">
        <v>7</v>
      </c>
      <c r="K25" s="7" t="s">
        <v>476</v>
      </c>
      <c r="L25" s="7" t="s">
        <v>475</v>
      </c>
      <c r="M25" s="13" t="s">
        <v>44</v>
      </c>
    </row>
    <row r="26" spans="1:13" ht="20.100000000000001" customHeight="1">
      <c r="A26" s="91">
        <v>21</v>
      </c>
      <c r="B26" s="151" t="s">
        <v>232</v>
      </c>
      <c r="C26" s="152"/>
      <c r="D26" s="153"/>
      <c r="E26" s="49" t="s">
        <v>423</v>
      </c>
      <c r="F26" s="73" t="s">
        <v>126</v>
      </c>
      <c r="G26" s="81" t="s">
        <v>128</v>
      </c>
      <c r="H26" s="73" t="s">
        <v>48</v>
      </c>
      <c r="I26" s="88" t="s">
        <v>12</v>
      </c>
      <c r="J26" s="57">
        <v>8</v>
      </c>
      <c r="K26" s="163">
        <v>1</v>
      </c>
      <c r="L26" s="86"/>
      <c r="M26" s="85"/>
    </row>
    <row r="27" spans="1:13" ht="20.100000000000001" customHeight="1">
      <c r="A27" s="91">
        <v>22</v>
      </c>
      <c r="B27" s="151" t="s">
        <v>232</v>
      </c>
      <c r="C27" s="152"/>
      <c r="D27" s="153"/>
      <c r="E27" s="49" t="s">
        <v>423</v>
      </c>
      <c r="F27" s="73" t="s">
        <v>334</v>
      </c>
      <c r="G27" s="81" t="s">
        <v>335</v>
      </c>
      <c r="H27" s="73" t="s">
        <v>48</v>
      </c>
      <c r="I27" s="88" t="s">
        <v>12</v>
      </c>
      <c r="J27" s="57">
        <v>16</v>
      </c>
      <c r="K27" s="164"/>
      <c r="L27" s="86"/>
      <c r="M27" s="85"/>
    </row>
    <row r="28" spans="1:13" ht="20.100000000000001" customHeight="1">
      <c r="A28" s="91">
        <v>23</v>
      </c>
      <c r="B28" s="151" t="s">
        <v>232</v>
      </c>
      <c r="C28" s="152"/>
      <c r="D28" s="153"/>
      <c r="E28" s="49" t="s">
        <v>423</v>
      </c>
      <c r="F28" s="73" t="s">
        <v>129</v>
      </c>
      <c r="G28" s="81" t="s">
        <v>131</v>
      </c>
      <c r="H28" s="73" t="s">
        <v>48</v>
      </c>
      <c r="I28" s="88" t="s">
        <v>12</v>
      </c>
      <c r="J28" s="57">
        <v>8</v>
      </c>
      <c r="K28" s="164"/>
      <c r="L28" s="86"/>
      <c r="M28" s="85"/>
    </row>
    <row r="29" spans="1:13" ht="20.100000000000001" customHeight="1">
      <c r="A29" s="91">
        <v>24</v>
      </c>
      <c r="B29" s="151" t="s">
        <v>232</v>
      </c>
      <c r="C29" s="152"/>
      <c r="D29" s="153"/>
      <c r="E29" s="49" t="s">
        <v>423</v>
      </c>
      <c r="F29" s="62" t="s">
        <v>129</v>
      </c>
      <c r="G29" s="64" t="s">
        <v>130</v>
      </c>
      <c r="H29" s="83" t="s">
        <v>48</v>
      </c>
      <c r="I29" s="88" t="s">
        <v>12</v>
      </c>
      <c r="J29" s="57">
        <v>8</v>
      </c>
      <c r="K29" s="164"/>
      <c r="L29" s="86"/>
      <c r="M29" s="85"/>
    </row>
    <row r="30" spans="1:13" ht="20.100000000000001" customHeight="1">
      <c r="A30" s="91">
        <v>25</v>
      </c>
      <c r="B30" s="151" t="s">
        <v>232</v>
      </c>
      <c r="C30" s="152"/>
      <c r="D30" s="153"/>
      <c r="E30" s="49" t="s">
        <v>423</v>
      </c>
      <c r="F30" s="73" t="s">
        <v>70</v>
      </c>
      <c r="G30" s="81" t="s">
        <v>336</v>
      </c>
      <c r="H30" s="73" t="s">
        <v>48</v>
      </c>
      <c r="I30" s="88" t="s">
        <v>12</v>
      </c>
      <c r="J30" s="57">
        <v>4</v>
      </c>
      <c r="K30" s="164"/>
      <c r="L30" s="86"/>
      <c r="M30" s="85"/>
    </row>
    <row r="31" spans="1:13" ht="20.100000000000001" customHeight="1">
      <c r="A31" s="91">
        <v>26</v>
      </c>
      <c r="B31" s="151" t="s">
        <v>232</v>
      </c>
      <c r="C31" s="152"/>
      <c r="D31" s="153"/>
      <c r="E31" s="49" t="s">
        <v>423</v>
      </c>
      <c r="F31" s="76" t="s">
        <v>177</v>
      </c>
      <c r="G31" s="76" t="s">
        <v>420</v>
      </c>
      <c r="H31" s="76" t="s">
        <v>48</v>
      </c>
      <c r="I31" s="88" t="s">
        <v>12</v>
      </c>
      <c r="J31" s="57">
        <v>16</v>
      </c>
      <c r="K31" s="164"/>
      <c r="L31" s="86"/>
      <c r="M31" s="85"/>
    </row>
    <row r="32" spans="1:13" ht="20.100000000000001" customHeight="1">
      <c r="A32" s="91">
        <v>27</v>
      </c>
      <c r="B32" s="151" t="s">
        <v>232</v>
      </c>
      <c r="C32" s="152"/>
      <c r="D32" s="153"/>
      <c r="E32" s="49" t="s">
        <v>423</v>
      </c>
      <c r="F32" s="50" t="s">
        <v>177</v>
      </c>
      <c r="G32" s="50" t="s">
        <v>420</v>
      </c>
      <c r="H32" s="50" t="s">
        <v>48</v>
      </c>
      <c r="I32" s="88" t="s">
        <v>12</v>
      </c>
      <c r="J32" s="57">
        <v>8</v>
      </c>
      <c r="K32" s="164"/>
      <c r="L32" s="86"/>
      <c r="M32" s="85"/>
    </row>
    <row r="33" spans="1:13" ht="20.100000000000001" customHeight="1">
      <c r="A33" s="91">
        <v>28</v>
      </c>
      <c r="B33" s="151" t="s">
        <v>232</v>
      </c>
      <c r="C33" s="152"/>
      <c r="D33" s="153"/>
      <c r="E33" s="49" t="s">
        <v>423</v>
      </c>
      <c r="F33" s="59" t="s">
        <v>338</v>
      </c>
      <c r="G33" s="59" t="s">
        <v>339</v>
      </c>
      <c r="H33" s="50" t="s">
        <v>48</v>
      </c>
      <c r="I33" s="88" t="s">
        <v>12</v>
      </c>
      <c r="J33" s="57">
        <v>8</v>
      </c>
      <c r="K33" s="164"/>
      <c r="L33" s="86"/>
      <c r="M33" s="85"/>
    </row>
    <row r="34" spans="1:13" ht="20.100000000000001" customHeight="1">
      <c r="A34" s="91">
        <v>29</v>
      </c>
      <c r="B34" s="151" t="s">
        <v>232</v>
      </c>
      <c r="C34" s="152"/>
      <c r="D34" s="153"/>
      <c r="E34" s="49" t="s">
        <v>423</v>
      </c>
      <c r="F34" s="59" t="s">
        <v>338</v>
      </c>
      <c r="G34" s="59" t="s">
        <v>339</v>
      </c>
      <c r="H34" s="50" t="s">
        <v>48</v>
      </c>
      <c r="I34" s="88" t="s">
        <v>12</v>
      </c>
      <c r="J34" s="57">
        <v>16</v>
      </c>
      <c r="K34" s="164"/>
      <c r="L34" s="86"/>
      <c r="M34" s="85"/>
    </row>
    <row r="35" spans="1:13" ht="20.100000000000001" customHeight="1">
      <c r="A35" s="91">
        <v>30</v>
      </c>
      <c r="B35" s="151" t="s">
        <v>232</v>
      </c>
      <c r="C35" s="152"/>
      <c r="D35" s="153"/>
      <c r="E35" s="49" t="s">
        <v>423</v>
      </c>
      <c r="F35" s="59" t="s">
        <v>338</v>
      </c>
      <c r="G35" s="59" t="s">
        <v>339</v>
      </c>
      <c r="H35" s="50" t="s">
        <v>48</v>
      </c>
      <c r="I35" s="88" t="s">
        <v>12</v>
      </c>
      <c r="J35" s="57">
        <v>8</v>
      </c>
      <c r="K35" s="164"/>
      <c r="L35" s="86"/>
      <c r="M35" s="85"/>
    </row>
    <row r="36" spans="1:13" ht="20.100000000000001" customHeight="1">
      <c r="A36" s="91">
        <v>31</v>
      </c>
      <c r="B36" s="151" t="s">
        <v>232</v>
      </c>
      <c r="C36" s="152"/>
      <c r="D36" s="153"/>
      <c r="E36" s="49" t="s">
        <v>423</v>
      </c>
      <c r="F36" s="73" t="s">
        <v>338</v>
      </c>
      <c r="G36" s="81" t="s">
        <v>339</v>
      </c>
      <c r="H36" s="73" t="s">
        <v>48</v>
      </c>
      <c r="I36" s="88" t="s">
        <v>12</v>
      </c>
      <c r="J36" s="57">
        <v>8</v>
      </c>
      <c r="K36" s="164"/>
      <c r="L36" s="86"/>
      <c r="M36" s="85"/>
    </row>
    <row r="37" spans="1:13" ht="20.100000000000001" customHeight="1">
      <c r="A37" s="91">
        <v>32</v>
      </c>
      <c r="B37" s="151" t="s">
        <v>232</v>
      </c>
      <c r="C37" s="152"/>
      <c r="D37" s="153"/>
      <c r="E37" s="49" t="s">
        <v>423</v>
      </c>
      <c r="F37" s="73" t="s">
        <v>338</v>
      </c>
      <c r="G37" s="81" t="s">
        <v>339</v>
      </c>
      <c r="H37" s="73" t="s">
        <v>48</v>
      </c>
      <c r="I37" s="88" t="s">
        <v>12</v>
      </c>
      <c r="J37" s="57">
        <v>8</v>
      </c>
      <c r="K37" s="164"/>
      <c r="L37" s="86"/>
      <c r="M37" s="85"/>
    </row>
    <row r="38" spans="1:13" ht="20.100000000000001" customHeight="1">
      <c r="A38" s="91">
        <v>33</v>
      </c>
      <c r="B38" s="151" t="s">
        <v>232</v>
      </c>
      <c r="C38" s="152"/>
      <c r="D38" s="153"/>
      <c r="E38" s="49" t="s">
        <v>423</v>
      </c>
      <c r="F38" s="59" t="s">
        <v>198</v>
      </c>
      <c r="G38" s="59" t="s">
        <v>340</v>
      </c>
      <c r="H38" s="50" t="s">
        <v>48</v>
      </c>
      <c r="I38" s="88" t="s">
        <v>12</v>
      </c>
      <c r="J38" s="57">
        <v>4</v>
      </c>
      <c r="K38" s="164"/>
      <c r="L38" s="86"/>
      <c r="M38" s="85"/>
    </row>
    <row r="39" spans="1:13" ht="20.100000000000001" customHeight="1">
      <c r="A39" s="91">
        <v>34</v>
      </c>
      <c r="B39" s="151" t="s">
        <v>232</v>
      </c>
      <c r="C39" s="152"/>
      <c r="D39" s="153"/>
      <c r="E39" s="49" t="s">
        <v>423</v>
      </c>
      <c r="F39" s="11" t="s">
        <v>63</v>
      </c>
      <c r="G39" s="72" t="s">
        <v>179</v>
      </c>
      <c r="H39" s="11" t="s">
        <v>178</v>
      </c>
      <c r="I39" s="88" t="s">
        <v>12</v>
      </c>
      <c r="J39" s="57">
        <v>8</v>
      </c>
      <c r="K39" s="164"/>
      <c r="L39" s="86"/>
      <c r="M39" s="85"/>
    </row>
    <row r="40" spans="1:13" ht="35.25" customHeight="1" thickBot="1">
      <c r="A40" s="154" t="s">
        <v>1</v>
      </c>
      <c r="B40" s="155"/>
      <c r="C40" s="155"/>
      <c r="D40" s="155"/>
      <c r="E40" s="155"/>
      <c r="F40" s="155"/>
      <c r="G40" s="155"/>
      <c r="H40" s="155"/>
      <c r="I40" s="156"/>
      <c r="J40" s="84">
        <f>SUM(J5:J39)</f>
        <v>436</v>
      </c>
      <c r="K40" s="6">
        <v>1</v>
      </c>
      <c r="L40" s="6">
        <v>27</v>
      </c>
      <c r="M40" s="14"/>
    </row>
    <row r="41" spans="1:13">
      <c r="K41" s="3"/>
      <c r="L41" s="3"/>
      <c r="M41" s="3"/>
    </row>
    <row r="42" spans="1:13">
      <c r="K42" s="3"/>
      <c r="L42" s="3"/>
      <c r="M42" s="3"/>
    </row>
  </sheetData>
  <autoFilter ref="A4:M4" xr:uid="{54D5C1B7-8511-4422-B6F3-4D6E8EEEAC87}"/>
  <mergeCells count="41">
    <mergeCell ref="A2:M2"/>
    <mergeCell ref="B4:D4"/>
    <mergeCell ref="K5:K24"/>
    <mergeCell ref="L5:L24"/>
    <mergeCell ref="B25:D25"/>
    <mergeCell ref="B13:D13"/>
    <mergeCell ref="B14:D14"/>
    <mergeCell ref="B15:D15"/>
    <mergeCell ref="B21:D21"/>
    <mergeCell ref="B22:D22"/>
    <mergeCell ref="B23:D23"/>
    <mergeCell ref="B24:D24"/>
    <mergeCell ref="A40:I40"/>
    <mergeCell ref="K26:K39"/>
    <mergeCell ref="B5:D5"/>
    <mergeCell ref="B6:D6"/>
    <mergeCell ref="B7:D7"/>
    <mergeCell ref="B8:D8"/>
    <mergeCell ref="B9:D9"/>
    <mergeCell ref="B10:D10"/>
    <mergeCell ref="B11:D11"/>
    <mergeCell ref="B12:D12"/>
    <mergeCell ref="B16:D16"/>
    <mergeCell ref="B17:D17"/>
    <mergeCell ref="B18:D18"/>
    <mergeCell ref="B19:D19"/>
    <mergeCell ref="B20:D20"/>
    <mergeCell ref="B34:D34"/>
    <mergeCell ref="B26:D26"/>
    <mergeCell ref="B27:D27"/>
    <mergeCell ref="B28:D28"/>
    <mergeCell ref="B29:D29"/>
    <mergeCell ref="B30:D30"/>
    <mergeCell ref="B37:D37"/>
    <mergeCell ref="B38:D38"/>
    <mergeCell ref="B39:D39"/>
    <mergeCell ref="B31:D31"/>
    <mergeCell ref="B32:D32"/>
    <mergeCell ref="B33:D33"/>
    <mergeCell ref="B35:D35"/>
    <mergeCell ref="B36:D36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92" orientation="landscape" r:id="rId1"/>
  <rowBreaks count="1" manualBreakCount="1">
    <brk id="24" max="10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58834-BC3B-4EF2-952A-EEDE1BD70E15}">
  <dimension ref="A1:V14"/>
  <sheetViews>
    <sheetView view="pageBreakPreview" zoomScaleNormal="100" zoomScaleSheetLayoutView="100" workbookViewId="0">
      <pane ySplit="4" topLeftCell="A5" activePane="bottomLeft" state="frozen"/>
      <selection activeCell="B67" sqref="B67:D67"/>
      <selection pane="bottomLeft" activeCell="B67" sqref="B67:D67"/>
    </sheetView>
  </sheetViews>
  <sheetFormatPr defaultRowHeight="15"/>
  <cols>
    <col min="1" max="1" width="5.33203125" style="2" customWidth="1"/>
    <col min="2" max="4" width="4.33203125" style="2" customWidth="1"/>
    <col min="5" max="5" width="6.33203125" style="2" customWidth="1"/>
    <col min="6" max="6" width="19.33203125" style="2" customWidth="1"/>
    <col min="7" max="7" width="25.88671875" style="2" customWidth="1"/>
    <col min="8" max="8" width="13.109375" style="2" customWidth="1"/>
    <col min="9" max="9" width="5.33203125" style="2" customWidth="1"/>
    <col min="10" max="10" width="10.88671875" style="2" customWidth="1"/>
    <col min="11" max="11" width="9.77734375" style="1" customWidth="1"/>
    <col min="12" max="12" width="7.88671875" style="1" hidden="1" customWidth="1"/>
    <col min="13" max="13" width="10.44140625" style="1" customWidth="1"/>
  </cols>
  <sheetData>
    <row r="1" spans="1:22" ht="4.5" customHeight="1"/>
    <row r="2" spans="1:22" ht="38.25" customHeight="1">
      <c r="A2" s="144" t="s">
        <v>191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2"/>
      <c r="O2" s="12"/>
      <c r="P2" s="12"/>
      <c r="Q2" s="12"/>
      <c r="R2" s="12"/>
      <c r="S2" s="12"/>
      <c r="T2" s="12"/>
      <c r="U2" s="12"/>
      <c r="V2" s="12"/>
    </row>
    <row r="3" spans="1:22" ht="4.5" customHeight="1" thickBot="1"/>
    <row r="4" spans="1:22" ht="33" customHeight="1">
      <c r="A4" s="4" t="s">
        <v>13</v>
      </c>
      <c r="B4" s="157" t="s">
        <v>21</v>
      </c>
      <c r="C4" s="158"/>
      <c r="D4" s="159"/>
      <c r="E4" s="18" t="s">
        <v>194</v>
      </c>
      <c r="F4" s="103" t="s">
        <v>3</v>
      </c>
      <c r="G4" s="103" t="s">
        <v>0</v>
      </c>
      <c r="H4" s="103" t="s">
        <v>6</v>
      </c>
      <c r="I4" s="5" t="s">
        <v>11</v>
      </c>
      <c r="J4" s="7" t="s">
        <v>7</v>
      </c>
      <c r="K4" s="7" t="s">
        <v>476</v>
      </c>
      <c r="L4" s="7" t="s">
        <v>475</v>
      </c>
      <c r="M4" s="13" t="s">
        <v>44</v>
      </c>
    </row>
    <row r="5" spans="1:22" ht="20.100000000000001" customHeight="1">
      <c r="A5" s="15">
        <v>1</v>
      </c>
      <c r="B5" s="151" t="s">
        <v>232</v>
      </c>
      <c r="C5" s="152"/>
      <c r="D5" s="153"/>
      <c r="E5" s="49" t="s">
        <v>423</v>
      </c>
      <c r="F5" s="59" t="s">
        <v>282</v>
      </c>
      <c r="G5" s="59" t="s">
        <v>89</v>
      </c>
      <c r="H5" s="50" t="s">
        <v>38</v>
      </c>
      <c r="I5" s="10" t="s">
        <v>12</v>
      </c>
      <c r="J5" s="57">
        <v>4</v>
      </c>
      <c r="K5" s="160">
        <v>1</v>
      </c>
      <c r="L5" s="160">
        <v>27</v>
      </c>
      <c r="M5" s="34"/>
    </row>
    <row r="6" spans="1:22" ht="20.100000000000001" customHeight="1">
      <c r="A6" s="15">
        <v>2</v>
      </c>
      <c r="B6" s="151" t="s">
        <v>232</v>
      </c>
      <c r="C6" s="152"/>
      <c r="D6" s="153"/>
      <c r="E6" s="49" t="s">
        <v>423</v>
      </c>
      <c r="F6" s="59" t="s">
        <v>282</v>
      </c>
      <c r="G6" s="59" t="s">
        <v>215</v>
      </c>
      <c r="H6" s="50" t="s">
        <v>38</v>
      </c>
      <c r="I6" s="10" t="s">
        <v>12</v>
      </c>
      <c r="J6" s="57">
        <v>4</v>
      </c>
      <c r="K6" s="161"/>
      <c r="L6" s="161"/>
      <c r="M6" s="34"/>
    </row>
    <row r="7" spans="1:22" ht="20.100000000000001" customHeight="1">
      <c r="A7" s="15">
        <v>3</v>
      </c>
      <c r="B7" s="151" t="s">
        <v>232</v>
      </c>
      <c r="C7" s="152"/>
      <c r="D7" s="153"/>
      <c r="E7" s="49" t="s">
        <v>423</v>
      </c>
      <c r="F7" s="73" t="s">
        <v>63</v>
      </c>
      <c r="G7" s="81" t="s">
        <v>179</v>
      </c>
      <c r="H7" s="73" t="s">
        <v>178</v>
      </c>
      <c r="I7" s="10" t="s">
        <v>12</v>
      </c>
      <c r="J7" s="57">
        <v>40</v>
      </c>
      <c r="K7" s="161"/>
      <c r="L7" s="161"/>
      <c r="M7" s="34"/>
    </row>
    <row r="8" spans="1:22" ht="20.100000000000001" customHeight="1">
      <c r="A8" s="15">
        <v>4</v>
      </c>
      <c r="B8" s="151" t="s">
        <v>232</v>
      </c>
      <c r="C8" s="152"/>
      <c r="D8" s="153"/>
      <c r="E8" s="49" t="s">
        <v>423</v>
      </c>
      <c r="F8" s="11" t="s">
        <v>119</v>
      </c>
      <c r="G8" s="72" t="s">
        <v>120</v>
      </c>
      <c r="H8" s="11" t="s">
        <v>121</v>
      </c>
      <c r="I8" s="10" t="s">
        <v>12</v>
      </c>
      <c r="J8" s="57">
        <v>8</v>
      </c>
      <c r="K8" s="161"/>
      <c r="L8" s="161"/>
      <c r="M8" s="34"/>
    </row>
    <row r="9" spans="1:22" ht="20.100000000000001" customHeight="1">
      <c r="A9" s="15">
        <v>5</v>
      </c>
      <c r="B9" s="151" t="s">
        <v>232</v>
      </c>
      <c r="C9" s="152"/>
      <c r="D9" s="153"/>
      <c r="E9" s="49" t="s">
        <v>423</v>
      </c>
      <c r="F9" s="11" t="s">
        <v>119</v>
      </c>
      <c r="G9" s="72" t="s">
        <v>122</v>
      </c>
      <c r="H9" s="11" t="s">
        <v>121</v>
      </c>
      <c r="I9" s="10" t="s">
        <v>12</v>
      </c>
      <c r="J9" s="57">
        <v>4</v>
      </c>
      <c r="K9" s="161"/>
      <c r="L9" s="161"/>
      <c r="M9" s="34"/>
    </row>
    <row r="10" spans="1:22" ht="20.100000000000001" customHeight="1">
      <c r="A10" s="15">
        <v>6</v>
      </c>
      <c r="B10" s="151" t="s">
        <v>232</v>
      </c>
      <c r="C10" s="152"/>
      <c r="D10" s="153"/>
      <c r="E10" s="49" t="s">
        <v>423</v>
      </c>
      <c r="F10" s="73" t="s">
        <v>314</v>
      </c>
      <c r="G10" s="73" t="s">
        <v>109</v>
      </c>
      <c r="H10" s="73" t="s">
        <v>47</v>
      </c>
      <c r="I10" s="10" t="s">
        <v>12</v>
      </c>
      <c r="J10" s="57">
        <v>4</v>
      </c>
      <c r="K10" s="161"/>
      <c r="L10" s="161"/>
      <c r="M10" s="34"/>
    </row>
    <row r="11" spans="1:22" ht="20.100000000000001" customHeight="1">
      <c r="A11" s="15">
        <v>7</v>
      </c>
      <c r="B11" s="151" t="s">
        <v>232</v>
      </c>
      <c r="C11" s="152"/>
      <c r="D11" s="153"/>
      <c r="E11" s="49" t="s">
        <v>423</v>
      </c>
      <c r="F11" s="73" t="s">
        <v>314</v>
      </c>
      <c r="G11" s="81" t="s">
        <v>109</v>
      </c>
      <c r="H11" s="73" t="s">
        <v>47</v>
      </c>
      <c r="I11" s="10" t="s">
        <v>12</v>
      </c>
      <c r="J11" s="57">
        <v>4</v>
      </c>
      <c r="K11" s="161"/>
      <c r="L11" s="161"/>
      <c r="M11" s="34"/>
    </row>
    <row r="12" spans="1:22" ht="35.25" customHeight="1" thickBot="1">
      <c r="A12" s="154" t="s">
        <v>1</v>
      </c>
      <c r="B12" s="155"/>
      <c r="C12" s="155"/>
      <c r="D12" s="155"/>
      <c r="E12" s="155"/>
      <c r="F12" s="155"/>
      <c r="G12" s="155"/>
      <c r="H12" s="155"/>
      <c r="I12" s="156"/>
      <c r="J12" s="84">
        <f>SUM(J5:J11)</f>
        <v>68</v>
      </c>
      <c r="K12" s="6">
        <v>1</v>
      </c>
      <c r="L12" s="6">
        <v>27</v>
      </c>
      <c r="M12" s="14"/>
    </row>
    <row r="13" spans="1:22">
      <c r="K13" s="3"/>
      <c r="L13" s="3"/>
      <c r="M13" s="3"/>
    </row>
    <row r="14" spans="1:22">
      <c r="K14" s="3"/>
      <c r="L14" s="3"/>
      <c r="M14" s="3"/>
    </row>
  </sheetData>
  <autoFilter ref="A4:M4" xr:uid="{54D5C1B7-8511-4422-B6F3-4D6E8EEEAC87}"/>
  <mergeCells count="12">
    <mergeCell ref="A2:M2"/>
    <mergeCell ref="B4:D4"/>
    <mergeCell ref="K5:K11"/>
    <mergeCell ref="L5:L11"/>
    <mergeCell ref="A12:I12"/>
    <mergeCell ref="B5:D5"/>
    <mergeCell ref="B6:D6"/>
    <mergeCell ref="B7:D7"/>
    <mergeCell ref="B8:D8"/>
    <mergeCell ref="B9:D9"/>
    <mergeCell ref="B10:D10"/>
    <mergeCell ref="B11:D11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92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3ACA5-1003-4A32-9CE8-13C99ED174C2}">
  <dimension ref="A1:V8"/>
  <sheetViews>
    <sheetView view="pageBreakPreview" zoomScaleNormal="100" zoomScaleSheetLayoutView="100" workbookViewId="0">
      <pane ySplit="4" topLeftCell="A5" activePane="bottomLeft" state="frozen"/>
      <selection activeCell="B67" sqref="B67:D67"/>
      <selection pane="bottomLeft" activeCell="B67" sqref="B67:D67"/>
    </sheetView>
  </sheetViews>
  <sheetFormatPr defaultRowHeight="15"/>
  <cols>
    <col min="1" max="1" width="5.33203125" style="2" customWidth="1"/>
    <col min="2" max="4" width="4.33203125" style="2" customWidth="1"/>
    <col min="5" max="5" width="6.33203125" style="2" customWidth="1"/>
    <col min="6" max="6" width="19.33203125" style="2" customWidth="1"/>
    <col min="7" max="7" width="25.88671875" style="2" customWidth="1"/>
    <col min="8" max="8" width="13.109375" style="2" customWidth="1"/>
    <col min="9" max="9" width="5.33203125" style="2" customWidth="1"/>
    <col min="10" max="10" width="10.88671875" style="2" customWidth="1"/>
    <col min="11" max="11" width="9.77734375" style="1" customWidth="1"/>
    <col min="12" max="12" width="7.88671875" style="1" hidden="1" customWidth="1"/>
    <col min="13" max="13" width="10.44140625" style="1" customWidth="1"/>
  </cols>
  <sheetData>
    <row r="1" spans="1:22" ht="4.5" customHeight="1"/>
    <row r="2" spans="1:22" ht="38.25" customHeight="1">
      <c r="A2" s="144" t="s">
        <v>478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2"/>
      <c r="O2" s="12"/>
      <c r="P2" s="12"/>
      <c r="Q2" s="12"/>
      <c r="R2" s="12"/>
      <c r="S2" s="12"/>
      <c r="T2" s="12"/>
      <c r="U2" s="12"/>
      <c r="V2" s="12"/>
    </row>
    <row r="3" spans="1:22" ht="4.5" customHeight="1" thickBot="1"/>
    <row r="4" spans="1:22" ht="33" customHeight="1">
      <c r="A4" s="4" t="s">
        <v>13</v>
      </c>
      <c r="B4" s="157" t="s">
        <v>21</v>
      </c>
      <c r="C4" s="158"/>
      <c r="D4" s="159"/>
      <c r="E4" s="18" t="s">
        <v>194</v>
      </c>
      <c r="F4" s="103" t="s">
        <v>3</v>
      </c>
      <c r="G4" s="103" t="s">
        <v>0</v>
      </c>
      <c r="H4" s="103" t="s">
        <v>6</v>
      </c>
      <c r="I4" s="5" t="s">
        <v>11</v>
      </c>
      <c r="J4" s="7" t="s">
        <v>7</v>
      </c>
      <c r="K4" s="7" t="s">
        <v>476</v>
      </c>
      <c r="L4" s="7" t="s">
        <v>475</v>
      </c>
      <c r="M4" s="13" t="s">
        <v>44</v>
      </c>
    </row>
    <row r="5" spans="1:22" ht="20.100000000000001" customHeight="1">
      <c r="A5" s="15">
        <v>1</v>
      </c>
      <c r="B5" s="151" t="s">
        <v>232</v>
      </c>
      <c r="C5" s="152"/>
      <c r="D5" s="153"/>
      <c r="E5" s="49" t="s">
        <v>423</v>
      </c>
      <c r="F5" s="73" t="s">
        <v>228</v>
      </c>
      <c r="G5" s="81" t="s">
        <v>300</v>
      </c>
      <c r="H5" s="73" t="s">
        <v>229</v>
      </c>
      <c r="I5" s="10" t="s">
        <v>12</v>
      </c>
      <c r="J5" s="57">
        <v>1</v>
      </c>
      <c r="K5" s="96">
        <v>1</v>
      </c>
      <c r="L5" s="96">
        <v>27</v>
      </c>
      <c r="M5" s="34"/>
    </row>
    <row r="6" spans="1:22" ht="35.25" customHeight="1" thickBot="1">
      <c r="A6" s="154" t="s">
        <v>1</v>
      </c>
      <c r="B6" s="155"/>
      <c r="C6" s="155"/>
      <c r="D6" s="155"/>
      <c r="E6" s="155"/>
      <c r="F6" s="155"/>
      <c r="G6" s="155"/>
      <c r="H6" s="155"/>
      <c r="I6" s="156"/>
      <c r="J6" s="84">
        <f>SUM(J5:J5)</f>
        <v>1</v>
      </c>
      <c r="K6" s="6">
        <v>1</v>
      </c>
      <c r="L6" s="6">
        <v>27</v>
      </c>
      <c r="M6" s="14"/>
    </row>
    <row r="7" spans="1:22">
      <c r="K7" s="3"/>
      <c r="L7" s="3"/>
      <c r="M7" s="3"/>
    </row>
    <row r="8" spans="1:22">
      <c r="K8" s="3"/>
      <c r="L8" s="3"/>
      <c r="M8" s="3"/>
    </row>
  </sheetData>
  <autoFilter ref="A4:M4" xr:uid="{54D5C1B7-8511-4422-B6F3-4D6E8EEEAC87}"/>
  <mergeCells count="4">
    <mergeCell ref="A6:I6"/>
    <mergeCell ref="B5:D5"/>
    <mergeCell ref="A2:M2"/>
    <mergeCell ref="B4:D4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92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C7EA8-F7FF-47F2-A928-63CE435134E8}">
  <dimension ref="A1:V14"/>
  <sheetViews>
    <sheetView view="pageBreakPreview" zoomScaleNormal="100" zoomScaleSheetLayoutView="100" workbookViewId="0">
      <pane ySplit="4" topLeftCell="A5" activePane="bottomLeft" state="frozen"/>
      <selection activeCell="B67" sqref="B67:D67"/>
      <selection pane="bottomLeft" activeCell="B67" sqref="B67:D67"/>
    </sheetView>
  </sheetViews>
  <sheetFormatPr defaultRowHeight="15"/>
  <cols>
    <col min="1" max="1" width="5.33203125" style="2" customWidth="1"/>
    <col min="2" max="4" width="4.33203125" style="2" customWidth="1"/>
    <col min="5" max="5" width="6.33203125" style="2" customWidth="1"/>
    <col min="6" max="6" width="19.33203125" style="2" customWidth="1"/>
    <col min="7" max="7" width="25.88671875" style="2" customWidth="1"/>
    <col min="8" max="8" width="13.109375" style="2" customWidth="1"/>
    <col min="9" max="9" width="5.33203125" style="2" customWidth="1"/>
    <col min="10" max="10" width="10.88671875" style="2" customWidth="1"/>
    <col min="11" max="11" width="9.77734375" style="1" customWidth="1"/>
    <col min="12" max="12" width="7.88671875" style="1" hidden="1" customWidth="1"/>
    <col min="13" max="13" width="10.44140625" style="1" customWidth="1"/>
  </cols>
  <sheetData>
    <row r="1" spans="1:22" ht="4.5" customHeight="1"/>
    <row r="2" spans="1:22" ht="38.25" customHeight="1">
      <c r="A2" s="144" t="s">
        <v>479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2"/>
      <c r="O2" s="12"/>
      <c r="P2" s="12"/>
      <c r="Q2" s="12"/>
      <c r="R2" s="12"/>
      <c r="S2" s="12"/>
      <c r="T2" s="12"/>
      <c r="U2" s="12"/>
      <c r="V2" s="12"/>
    </row>
    <row r="3" spans="1:22" ht="4.5" customHeight="1" thickBot="1"/>
    <row r="4" spans="1:22" ht="33" customHeight="1">
      <c r="A4" s="4" t="s">
        <v>13</v>
      </c>
      <c r="B4" s="157" t="s">
        <v>21</v>
      </c>
      <c r="C4" s="158"/>
      <c r="D4" s="159"/>
      <c r="E4" s="18" t="s">
        <v>194</v>
      </c>
      <c r="F4" s="103" t="s">
        <v>3</v>
      </c>
      <c r="G4" s="103" t="s">
        <v>0</v>
      </c>
      <c r="H4" s="103" t="s">
        <v>6</v>
      </c>
      <c r="I4" s="5" t="s">
        <v>11</v>
      </c>
      <c r="J4" s="7" t="s">
        <v>7</v>
      </c>
      <c r="K4" s="7" t="s">
        <v>476</v>
      </c>
      <c r="L4" s="7" t="s">
        <v>475</v>
      </c>
      <c r="M4" s="13" t="s">
        <v>44</v>
      </c>
    </row>
    <row r="5" spans="1:22" ht="20.100000000000001" customHeight="1">
      <c r="A5" s="15">
        <v>1</v>
      </c>
      <c r="B5" s="151" t="s">
        <v>232</v>
      </c>
      <c r="C5" s="152"/>
      <c r="D5" s="153"/>
      <c r="E5" s="49" t="s">
        <v>423</v>
      </c>
      <c r="F5" s="73" t="s">
        <v>24</v>
      </c>
      <c r="G5" s="81" t="s">
        <v>66</v>
      </c>
      <c r="H5" s="73" t="s">
        <v>47</v>
      </c>
      <c r="I5" s="10" t="s">
        <v>12</v>
      </c>
      <c r="J5" s="57">
        <v>4</v>
      </c>
      <c r="K5" s="160">
        <v>1</v>
      </c>
      <c r="L5" s="160">
        <v>27</v>
      </c>
      <c r="M5" s="34"/>
    </row>
    <row r="6" spans="1:22" ht="20.100000000000001" customHeight="1">
      <c r="A6" s="15">
        <v>2</v>
      </c>
      <c r="B6" s="151" t="s">
        <v>232</v>
      </c>
      <c r="C6" s="152"/>
      <c r="D6" s="153"/>
      <c r="E6" s="49" t="s">
        <v>423</v>
      </c>
      <c r="F6" s="73" t="s">
        <v>24</v>
      </c>
      <c r="G6" s="81" t="s">
        <v>66</v>
      </c>
      <c r="H6" s="73" t="s">
        <v>47</v>
      </c>
      <c r="I6" s="10" t="s">
        <v>12</v>
      </c>
      <c r="J6" s="57">
        <v>16</v>
      </c>
      <c r="K6" s="161"/>
      <c r="L6" s="161"/>
      <c r="M6" s="34"/>
    </row>
    <row r="7" spans="1:22" ht="20.100000000000001" customHeight="1">
      <c r="A7" s="15">
        <v>3</v>
      </c>
      <c r="B7" s="151" t="s">
        <v>232</v>
      </c>
      <c r="C7" s="152"/>
      <c r="D7" s="153"/>
      <c r="E7" s="49" t="s">
        <v>423</v>
      </c>
      <c r="F7" s="73" t="s">
        <v>24</v>
      </c>
      <c r="G7" s="81" t="s">
        <v>66</v>
      </c>
      <c r="H7" s="73" t="s">
        <v>47</v>
      </c>
      <c r="I7" s="10" t="s">
        <v>12</v>
      </c>
      <c r="J7" s="57">
        <v>8</v>
      </c>
      <c r="K7" s="161"/>
      <c r="L7" s="161"/>
      <c r="M7" s="34"/>
    </row>
    <row r="8" spans="1:22" ht="20.100000000000001" customHeight="1">
      <c r="A8" s="15">
        <v>4</v>
      </c>
      <c r="B8" s="151" t="s">
        <v>232</v>
      </c>
      <c r="C8" s="152"/>
      <c r="D8" s="153"/>
      <c r="E8" s="49" t="s">
        <v>423</v>
      </c>
      <c r="F8" s="73" t="s">
        <v>24</v>
      </c>
      <c r="G8" s="81" t="s">
        <v>66</v>
      </c>
      <c r="H8" s="73" t="s">
        <v>47</v>
      </c>
      <c r="I8" s="10" t="s">
        <v>12</v>
      </c>
      <c r="J8" s="57">
        <v>8</v>
      </c>
      <c r="K8" s="161"/>
      <c r="L8" s="161"/>
      <c r="M8" s="34"/>
    </row>
    <row r="9" spans="1:22" ht="20.100000000000001" customHeight="1">
      <c r="A9" s="15">
        <v>5</v>
      </c>
      <c r="B9" s="151" t="s">
        <v>232</v>
      </c>
      <c r="C9" s="152"/>
      <c r="D9" s="153"/>
      <c r="E9" s="49" t="s">
        <v>423</v>
      </c>
      <c r="F9" s="11" t="s">
        <v>24</v>
      </c>
      <c r="G9" s="72" t="s">
        <v>66</v>
      </c>
      <c r="H9" s="11" t="s">
        <v>47</v>
      </c>
      <c r="I9" s="10" t="s">
        <v>12</v>
      </c>
      <c r="J9" s="57">
        <v>40</v>
      </c>
      <c r="K9" s="161"/>
      <c r="L9" s="161"/>
      <c r="M9" s="34"/>
    </row>
    <row r="10" spans="1:22" ht="20.100000000000001" customHeight="1">
      <c r="A10" s="15">
        <v>6</v>
      </c>
      <c r="B10" s="151" t="s">
        <v>232</v>
      </c>
      <c r="C10" s="152"/>
      <c r="D10" s="153"/>
      <c r="E10" s="49" t="s">
        <v>423</v>
      </c>
      <c r="F10" s="73" t="s">
        <v>314</v>
      </c>
      <c r="G10" s="81" t="s">
        <v>109</v>
      </c>
      <c r="H10" s="73" t="s">
        <v>47</v>
      </c>
      <c r="I10" s="10" t="s">
        <v>12</v>
      </c>
      <c r="J10" s="57">
        <v>8</v>
      </c>
      <c r="K10" s="161"/>
      <c r="L10" s="161"/>
      <c r="M10" s="34"/>
    </row>
    <row r="11" spans="1:22" ht="20.100000000000001" customHeight="1">
      <c r="A11" s="15">
        <v>7</v>
      </c>
      <c r="B11" s="151" t="s">
        <v>232</v>
      </c>
      <c r="C11" s="152"/>
      <c r="D11" s="153"/>
      <c r="E11" s="49" t="s">
        <v>423</v>
      </c>
      <c r="F11" s="73" t="s">
        <v>107</v>
      </c>
      <c r="G11" s="81" t="s">
        <v>111</v>
      </c>
      <c r="H11" s="73" t="s">
        <v>47</v>
      </c>
      <c r="I11" s="10" t="s">
        <v>12</v>
      </c>
      <c r="J11" s="57">
        <v>8</v>
      </c>
      <c r="K11" s="161"/>
      <c r="L11" s="161"/>
      <c r="M11" s="34"/>
    </row>
    <row r="12" spans="1:22" ht="35.25" customHeight="1" thickBot="1">
      <c r="A12" s="154" t="s">
        <v>1</v>
      </c>
      <c r="B12" s="155"/>
      <c r="C12" s="155"/>
      <c r="D12" s="155"/>
      <c r="E12" s="155"/>
      <c r="F12" s="155"/>
      <c r="G12" s="155"/>
      <c r="H12" s="155"/>
      <c r="I12" s="156"/>
      <c r="J12" s="84">
        <f>SUM(J5:J11)</f>
        <v>92</v>
      </c>
      <c r="K12" s="6">
        <v>1</v>
      </c>
      <c r="L12" s="6">
        <v>27</v>
      </c>
      <c r="M12" s="14"/>
    </row>
    <row r="13" spans="1:22">
      <c r="K13" s="3"/>
      <c r="L13" s="3"/>
      <c r="M13" s="3"/>
    </row>
    <row r="14" spans="1:22">
      <c r="K14" s="3"/>
      <c r="L14" s="3"/>
      <c r="M14" s="3"/>
    </row>
  </sheetData>
  <autoFilter ref="A4:M4" xr:uid="{54D5C1B7-8511-4422-B6F3-4D6E8EEEAC87}"/>
  <mergeCells count="12">
    <mergeCell ref="A2:M2"/>
    <mergeCell ref="B4:D4"/>
    <mergeCell ref="K5:K11"/>
    <mergeCell ref="L5:L11"/>
    <mergeCell ref="A12:I12"/>
    <mergeCell ref="B5:D5"/>
    <mergeCell ref="B6:D6"/>
    <mergeCell ref="B7:D7"/>
    <mergeCell ref="B8:D8"/>
    <mergeCell ref="B9:D9"/>
    <mergeCell ref="B10:D10"/>
    <mergeCell ref="B11:D11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92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9CD96-54EC-41B8-AED4-A903C37B97E3}">
  <dimension ref="A1:V22"/>
  <sheetViews>
    <sheetView view="pageBreakPreview" zoomScaleNormal="100" zoomScaleSheetLayoutView="100" workbookViewId="0">
      <pane ySplit="4" topLeftCell="A5" activePane="bottomLeft" state="frozen"/>
      <selection activeCell="B67" sqref="B67:D67"/>
      <selection pane="bottomLeft" activeCell="B67" sqref="B67:D67"/>
    </sheetView>
  </sheetViews>
  <sheetFormatPr defaultRowHeight="15"/>
  <cols>
    <col min="1" max="1" width="5.33203125" style="2" customWidth="1"/>
    <col min="2" max="4" width="4.33203125" style="2" customWidth="1"/>
    <col min="5" max="5" width="6.33203125" style="2" customWidth="1"/>
    <col min="6" max="6" width="19.33203125" style="2" customWidth="1"/>
    <col min="7" max="7" width="25.88671875" style="2" customWidth="1"/>
    <col min="8" max="8" width="13.109375" style="2" customWidth="1"/>
    <col min="9" max="9" width="5.33203125" style="2" customWidth="1"/>
    <col min="10" max="10" width="10.88671875" style="2" customWidth="1"/>
    <col min="11" max="11" width="9.77734375" style="1" customWidth="1"/>
    <col min="12" max="12" width="7.88671875" style="1" hidden="1" customWidth="1"/>
    <col min="13" max="13" width="10.44140625" style="1" customWidth="1"/>
  </cols>
  <sheetData>
    <row r="1" spans="1:22" ht="4.5" customHeight="1"/>
    <row r="2" spans="1:22" ht="38.25" customHeight="1">
      <c r="A2" s="144" t="s">
        <v>480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2"/>
      <c r="O2" s="12"/>
      <c r="P2" s="12"/>
      <c r="Q2" s="12"/>
      <c r="R2" s="12"/>
      <c r="S2" s="12"/>
      <c r="T2" s="12"/>
      <c r="U2" s="12"/>
      <c r="V2" s="12"/>
    </row>
    <row r="3" spans="1:22" ht="4.5" customHeight="1" thickBot="1"/>
    <row r="4" spans="1:22" ht="33" customHeight="1">
      <c r="A4" s="4" t="s">
        <v>13</v>
      </c>
      <c r="B4" s="157" t="s">
        <v>21</v>
      </c>
      <c r="C4" s="158"/>
      <c r="D4" s="159"/>
      <c r="E4" s="18" t="s">
        <v>194</v>
      </c>
      <c r="F4" s="103" t="s">
        <v>3</v>
      </c>
      <c r="G4" s="103" t="s">
        <v>0</v>
      </c>
      <c r="H4" s="103" t="s">
        <v>6</v>
      </c>
      <c r="I4" s="5" t="s">
        <v>11</v>
      </c>
      <c r="J4" s="7" t="s">
        <v>7</v>
      </c>
      <c r="K4" s="7" t="s">
        <v>476</v>
      </c>
      <c r="L4" s="7" t="s">
        <v>475</v>
      </c>
      <c r="M4" s="13" t="s">
        <v>44</v>
      </c>
    </row>
    <row r="5" spans="1:22" ht="20.100000000000001" customHeight="1">
      <c r="A5" s="15">
        <v>1</v>
      </c>
      <c r="B5" s="151" t="s">
        <v>232</v>
      </c>
      <c r="C5" s="152"/>
      <c r="D5" s="153"/>
      <c r="E5" s="49" t="s">
        <v>423</v>
      </c>
      <c r="F5" s="73" t="s">
        <v>124</v>
      </c>
      <c r="G5" s="81" t="s">
        <v>308</v>
      </c>
      <c r="H5" s="73" t="s">
        <v>48</v>
      </c>
      <c r="I5" s="10" t="s">
        <v>12</v>
      </c>
      <c r="J5" s="57">
        <v>4</v>
      </c>
      <c r="K5" s="160">
        <v>1</v>
      </c>
      <c r="L5" s="160">
        <v>27</v>
      </c>
      <c r="M5" s="34"/>
    </row>
    <row r="6" spans="1:22" ht="20.100000000000001" customHeight="1">
      <c r="A6" s="15">
        <v>2</v>
      </c>
      <c r="B6" s="151" t="s">
        <v>232</v>
      </c>
      <c r="C6" s="152"/>
      <c r="D6" s="153"/>
      <c r="E6" s="49" t="s">
        <v>423</v>
      </c>
      <c r="F6" s="73" t="s">
        <v>124</v>
      </c>
      <c r="G6" s="81" t="s">
        <v>309</v>
      </c>
      <c r="H6" s="73" t="s">
        <v>48</v>
      </c>
      <c r="I6" s="10" t="s">
        <v>12</v>
      </c>
      <c r="J6" s="57">
        <v>8</v>
      </c>
      <c r="K6" s="161"/>
      <c r="L6" s="161"/>
      <c r="M6" s="34"/>
    </row>
    <row r="7" spans="1:22" ht="20.100000000000001" customHeight="1">
      <c r="A7" s="15">
        <v>3</v>
      </c>
      <c r="B7" s="151" t="s">
        <v>232</v>
      </c>
      <c r="C7" s="152"/>
      <c r="D7" s="153"/>
      <c r="E7" s="49" t="s">
        <v>423</v>
      </c>
      <c r="F7" s="73" t="s">
        <v>124</v>
      </c>
      <c r="G7" s="81" t="s">
        <v>308</v>
      </c>
      <c r="H7" s="73" t="s">
        <v>48</v>
      </c>
      <c r="I7" s="10" t="s">
        <v>12</v>
      </c>
      <c r="J7" s="57">
        <v>4</v>
      </c>
      <c r="K7" s="161"/>
      <c r="L7" s="161"/>
      <c r="M7" s="34"/>
    </row>
    <row r="8" spans="1:22" ht="20.100000000000001" customHeight="1">
      <c r="A8" s="15">
        <v>4</v>
      </c>
      <c r="B8" s="151" t="s">
        <v>232</v>
      </c>
      <c r="C8" s="152"/>
      <c r="D8" s="153"/>
      <c r="E8" s="49" t="s">
        <v>423</v>
      </c>
      <c r="F8" s="73" t="s">
        <v>124</v>
      </c>
      <c r="G8" s="81" t="s">
        <v>310</v>
      </c>
      <c r="H8" s="73" t="s">
        <v>48</v>
      </c>
      <c r="I8" s="10" t="s">
        <v>12</v>
      </c>
      <c r="J8" s="57">
        <v>4</v>
      </c>
      <c r="K8" s="161"/>
      <c r="L8" s="161"/>
      <c r="M8" s="34"/>
    </row>
    <row r="9" spans="1:22" ht="20.100000000000001" customHeight="1">
      <c r="A9" s="15">
        <v>5</v>
      </c>
      <c r="B9" s="151" t="s">
        <v>232</v>
      </c>
      <c r="C9" s="152"/>
      <c r="D9" s="153"/>
      <c r="E9" s="49" t="s">
        <v>423</v>
      </c>
      <c r="F9" s="73" t="s">
        <v>124</v>
      </c>
      <c r="G9" s="81" t="s">
        <v>311</v>
      </c>
      <c r="H9" s="73" t="s">
        <v>48</v>
      </c>
      <c r="I9" s="10" t="s">
        <v>12</v>
      </c>
      <c r="J9" s="57">
        <v>4</v>
      </c>
      <c r="K9" s="161"/>
      <c r="L9" s="161"/>
      <c r="M9" s="34"/>
    </row>
    <row r="10" spans="1:22" ht="20.100000000000001" customHeight="1">
      <c r="A10" s="15">
        <v>6</v>
      </c>
      <c r="B10" s="151" t="s">
        <v>232</v>
      </c>
      <c r="C10" s="152"/>
      <c r="D10" s="153"/>
      <c r="E10" s="49" t="s">
        <v>423</v>
      </c>
      <c r="F10" s="73" t="s">
        <v>126</v>
      </c>
      <c r="G10" s="81" t="s">
        <v>457</v>
      </c>
      <c r="H10" s="73" t="s">
        <v>48</v>
      </c>
      <c r="I10" s="10" t="s">
        <v>12</v>
      </c>
      <c r="J10" s="57">
        <v>3</v>
      </c>
      <c r="K10" s="161"/>
      <c r="L10" s="161"/>
      <c r="M10" s="34"/>
    </row>
    <row r="11" spans="1:22" ht="20.100000000000001" customHeight="1">
      <c r="A11" s="15">
        <v>7</v>
      </c>
      <c r="B11" s="151" t="s">
        <v>232</v>
      </c>
      <c r="C11" s="152"/>
      <c r="D11" s="153"/>
      <c r="E11" s="49" t="s">
        <v>423</v>
      </c>
      <c r="F11" s="73" t="s">
        <v>126</v>
      </c>
      <c r="G11" s="81" t="s">
        <v>458</v>
      </c>
      <c r="H11" s="73" t="s">
        <v>48</v>
      </c>
      <c r="I11" s="10" t="s">
        <v>12</v>
      </c>
      <c r="J11" s="57">
        <v>3</v>
      </c>
      <c r="K11" s="161"/>
      <c r="L11" s="161"/>
      <c r="M11" s="34"/>
    </row>
    <row r="12" spans="1:22" ht="20.100000000000001" customHeight="1">
      <c r="A12" s="15">
        <v>8</v>
      </c>
      <c r="B12" s="151" t="s">
        <v>232</v>
      </c>
      <c r="C12" s="152"/>
      <c r="D12" s="153"/>
      <c r="E12" s="49" t="s">
        <v>423</v>
      </c>
      <c r="F12" s="73" t="s">
        <v>124</v>
      </c>
      <c r="G12" s="81" t="s">
        <v>132</v>
      </c>
      <c r="H12" s="73" t="s">
        <v>48</v>
      </c>
      <c r="I12" s="10" t="s">
        <v>12</v>
      </c>
      <c r="J12" s="57">
        <v>8</v>
      </c>
      <c r="K12" s="161"/>
      <c r="L12" s="161"/>
      <c r="M12" s="34"/>
    </row>
    <row r="13" spans="1:22" ht="20.100000000000001" customHeight="1">
      <c r="A13" s="15">
        <v>9</v>
      </c>
      <c r="B13" s="151" t="s">
        <v>232</v>
      </c>
      <c r="C13" s="152"/>
      <c r="D13" s="153"/>
      <c r="E13" s="49" t="s">
        <v>423</v>
      </c>
      <c r="F13" s="73" t="s">
        <v>124</v>
      </c>
      <c r="G13" s="81" t="s">
        <v>312</v>
      </c>
      <c r="H13" s="73" t="s">
        <v>48</v>
      </c>
      <c r="I13" s="10" t="s">
        <v>12</v>
      </c>
      <c r="J13" s="57">
        <v>4</v>
      </c>
      <c r="K13" s="161"/>
      <c r="L13" s="161"/>
      <c r="M13" s="34"/>
    </row>
    <row r="14" spans="1:22" ht="20.100000000000001" customHeight="1">
      <c r="A14" s="15">
        <v>10</v>
      </c>
      <c r="B14" s="151" t="s">
        <v>232</v>
      </c>
      <c r="C14" s="152"/>
      <c r="D14" s="153"/>
      <c r="E14" s="49" t="s">
        <v>423</v>
      </c>
      <c r="F14" s="73" t="s">
        <v>314</v>
      </c>
      <c r="G14" s="81" t="s">
        <v>109</v>
      </c>
      <c r="H14" s="73" t="s">
        <v>47</v>
      </c>
      <c r="I14" s="10" t="s">
        <v>12</v>
      </c>
      <c r="J14" s="57">
        <v>4</v>
      </c>
      <c r="K14" s="161"/>
      <c r="L14" s="161"/>
      <c r="M14" s="34"/>
    </row>
    <row r="15" spans="1:22" ht="20.100000000000001" customHeight="1">
      <c r="A15" s="15">
        <v>11</v>
      </c>
      <c r="B15" s="151" t="s">
        <v>232</v>
      </c>
      <c r="C15" s="152"/>
      <c r="D15" s="153"/>
      <c r="E15" s="49" t="s">
        <v>423</v>
      </c>
      <c r="F15" s="73" t="s">
        <v>314</v>
      </c>
      <c r="G15" s="81" t="s">
        <v>109</v>
      </c>
      <c r="H15" s="73" t="s">
        <v>47</v>
      </c>
      <c r="I15" s="10" t="s">
        <v>12</v>
      </c>
      <c r="J15" s="57">
        <v>4</v>
      </c>
      <c r="K15" s="161"/>
      <c r="L15" s="161"/>
      <c r="M15" s="34"/>
    </row>
    <row r="16" spans="1:22" ht="20.100000000000001" customHeight="1">
      <c r="A16" s="15">
        <v>12</v>
      </c>
      <c r="B16" s="151" t="s">
        <v>232</v>
      </c>
      <c r="C16" s="152"/>
      <c r="D16" s="153"/>
      <c r="E16" s="49" t="s">
        <v>423</v>
      </c>
      <c r="F16" s="73" t="s">
        <v>314</v>
      </c>
      <c r="G16" s="81" t="s">
        <v>109</v>
      </c>
      <c r="H16" s="73" t="s">
        <v>47</v>
      </c>
      <c r="I16" s="10" t="s">
        <v>12</v>
      </c>
      <c r="J16" s="57">
        <v>4</v>
      </c>
      <c r="K16" s="161"/>
      <c r="L16" s="161"/>
      <c r="M16" s="34"/>
    </row>
    <row r="17" spans="1:13" ht="20.100000000000001" customHeight="1">
      <c r="A17" s="15">
        <v>13</v>
      </c>
      <c r="B17" s="151" t="s">
        <v>232</v>
      </c>
      <c r="C17" s="152"/>
      <c r="D17" s="153"/>
      <c r="E17" s="49" t="s">
        <v>423</v>
      </c>
      <c r="F17" s="73" t="s">
        <v>314</v>
      </c>
      <c r="G17" s="81" t="s">
        <v>109</v>
      </c>
      <c r="H17" s="73" t="s">
        <v>47</v>
      </c>
      <c r="I17" s="10" t="s">
        <v>12</v>
      </c>
      <c r="J17" s="57">
        <v>4</v>
      </c>
      <c r="K17" s="161"/>
      <c r="L17" s="161"/>
      <c r="M17" s="34"/>
    </row>
    <row r="18" spans="1:13" ht="20.100000000000001" customHeight="1">
      <c r="A18" s="15">
        <v>14</v>
      </c>
      <c r="B18" s="151" t="s">
        <v>232</v>
      </c>
      <c r="C18" s="152"/>
      <c r="D18" s="153"/>
      <c r="E18" s="49" t="s">
        <v>423</v>
      </c>
      <c r="F18" s="73" t="s">
        <v>330</v>
      </c>
      <c r="G18" s="81" t="s">
        <v>331</v>
      </c>
      <c r="H18" s="73" t="s">
        <v>48</v>
      </c>
      <c r="I18" s="10" t="s">
        <v>12</v>
      </c>
      <c r="J18" s="57">
        <v>8</v>
      </c>
      <c r="K18" s="161"/>
      <c r="L18" s="161"/>
      <c r="M18" s="34"/>
    </row>
    <row r="19" spans="1:13" ht="20.100000000000001" customHeight="1">
      <c r="A19" s="15">
        <v>15</v>
      </c>
      <c r="B19" s="151" t="s">
        <v>232</v>
      </c>
      <c r="C19" s="152"/>
      <c r="D19" s="153"/>
      <c r="E19" s="49" t="s">
        <v>423</v>
      </c>
      <c r="F19" s="59" t="s">
        <v>125</v>
      </c>
      <c r="G19" s="59" t="s">
        <v>343</v>
      </c>
      <c r="H19" s="50" t="s">
        <v>48</v>
      </c>
      <c r="I19" s="10" t="s">
        <v>12</v>
      </c>
      <c r="J19" s="57">
        <v>4</v>
      </c>
      <c r="K19" s="161"/>
      <c r="L19" s="161"/>
      <c r="M19" s="34"/>
    </row>
    <row r="20" spans="1:13" ht="35.25" customHeight="1" thickBot="1">
      <c r="A20" s="154" t="s">
        <v>1</v>
      </c>
      <c r="B20" s="155"/>
      <c r="C20" s="155"/>
      <c r="D20" s="155"/>
      <c r="E20" s="155"/>
      <c r="F20" s="155"/>
      <c r="G20" s="155"/>
      <c r="H20" s="155"/>
      <c r="I20" s="156"/>
      <c r="J20" s="84">
        <f>SUM(J5:J19)</f>
        <v>70</v>
      </c>
      <c r="K20" s="6">
        <v>1</v>
      </c>
      <c r="L20" s="6">
        <v>27</v>
      </c>
      <c r="M20" s="14"/>
    </row>
    <row r="21" spans="1:13">
      <c r="K21" s="3"/>
      <c r="L21" s="3"/>
      <c r="M21" s="3"/>
    </row>
    <row r="22" spans="1:13">
      <c r="K22" s="3"/>
      <c r="L22" s="3"/>
      <c r="M22" s="3"/>
    </row>
  </sheetData>
  <autoFilter ref="A4:M4" xr:uid="{54D5C1B7-8511-4422-B6F3-4D6E8EEEAC87}"/>
  <mergeCells count="20">
    <mergeCell ref="A2:M2"/>
    <mergeCell ref="B4:D4"/>
    <mergeCell ref="K5:K19"/>
    <mergeCell ref="L5:L19"/>
    <mergeCell ref="B14:D14"/>
    <mergeCell ref="B15:D15"/>
    <mergeCell ref="B16:D16"/>
    <mergeCell ref="B17:D17"/>
    <mergeCell ref="B18:D18"/>
    <mergeCell ref="B19:D19"/>
    <mergeCell ref="A20:I20"/>
    <mergeCell ref="B5:D5"/>
    <mergeCell ref="B6:D6"/>
    <mergeCell ref="B7:D7"/>
    <mergeCell ref="B8:D8"/>
    <mergeCell ref="B9:D9"/>
    <mergeCell ref="B10:D10"/>
    <mergeCell ref="B11:D11"/>
    <mergeCell ref="B12:D12"/>
    <mergeCell ref="B13:D13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92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2FC83-FCB1-46E0-9201-C4E227545249}">
  <dimension ref="A1:V24"/>
  <sheetViews>
    <sheetView view="pageBreakPreview" zoomScaleNormal="100" zoomScaleSheetLayoutView="100" workbookViewId="0">
      <pane ySplit="4" topLeftCell="A5" activePane="bottomLeft" state="frozen"/>
      <selection activeCell="B67" sqref="B67:D67"/>
      <selection pane="bottomLeft" activeCell="B67" sqref="B67:D67"/>
    </sheetView>
  </sheetViews>
  <sheetFormatPr defaultRowHeight="15"/>
  <cols>
    <col min="1" max="1" width="5.33203125" style="2" customWidth="1"/>
    <col min="2" max="4" width="4.33203125" style="2" customWidth="1"/>
    <col min="5" max="5" width="6.33203125" style="2" customWidth="1"/>
    <col min="6" max="6" width="19.33203125" style="2" customWidth="1"/>
    <col min="7" max="7" width="25.88671875" style="2" customWidth="1"/>
    <col min="8" max="8" width="13.109375" style="2" customWidth="1"/>
    <col min="9" max="9" width="5.33203125" style="2" customWidth="1"/>
    <col min="10" max="10" width="10.88671875" style="2" customWidth="1"/>
    <col min="11" max="11" width="9.77734375" style="1" customWidth="1"/>
    <col min="12" max="12" width="7.88671875" style="1" hidden="1" customWidth="1"/>
    <col min="13" max="13" width="10.44140625" style="1" customWidth="1"/>
  </cols>
  <sheetData>
    <row r="1" spans="1:22" ht="4.5" customHeight="1"/>
    <row r="2" spans="1:22" ht="38.25" customHeight="1">
      <c r="A2" s="144" t="s">
        <v>482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2"/>
      <c r="O2" s="12"/>
      <c r="P2" s="12"/>
      <c r="Q2" s="12"/>
      <c r="R2" s="12"/>
      <c r="S2" s="12"/>
      <c r="T2" s="12"/>
      <c r="U2" s="12"/>
      <c r="V2" s="12"/>
    </row>
    <row r="3" spans="1:22" ht="4.5" customHeight="1" thickBot="1"/>
    <row r="4" spans="1:22" ht="33" customHeight="1">
      <c r="A4" s="4" t="s">
        <v>13</v>
      </c>
      <c r="B4" s="157" t="s">
        <v>21</v>
      </c>
      <c r="C4" s="158"/>
      <c r="D4" s="159"/>
      <c r="E4" s="18" t="s">
        <v>194</v>
      </c>
      <c r="F4" s="103" t="s">
        <v>3</v>
      </c>
      <c r="G4" s="103" t="s">
        <v>0</v>
      </c>
      <c r="H4" s="103" t="s">
        <v>6</v>
      </c>
      <c r="I4" s="5" t="s">
        <v>11</v>
      </c>
      <c r="J4" s="7" t="s">
        <v>7</v>
      </c>
      <c r="K4" s="7" t="s">
        <v>476</v>
      </c>
      <c r="L4" s="7" t="s">
        <v>475</v>
      </c>
      <c r="M4" s="13" t="s">
        <v>44</v>
      </c>
    </row>
    <row r="5" spans="1:22" ht="20.100000000000001" customHeight="1">
      <c r="A5" s="15">
        <v>1</v>
      </c>
      <c r="B5" s="151" t="s">
        <v>232</v>
      </c>
      <c r="C5" s="152"/>
      <c r="D5" s="153"/>
      <c r="E5" s="49" t="s">
        <v>423</v>
      </c>
      <c r="F5" s="59" t="s">
        <v>36</v>
      </c>
      <c r="G5" s="59" t="s">
        <v>211</v>
      </c>
      <c r="H5" s="50" t="s">
        <v>34</v>
      </c>
      <c r="I5" s="10" t="s">
        <v>12</v>
      </c>
      <c r="J5" s="57">
        <v>16</v>
      </c>
      <c r="K5" s="160">
        <v>1</v>
      </c>
      <c r="L5" s="160">
        <v>27</v>
      </c>
      <c r="M5" s="34"/>
    </row>
    <row r="6" spans="1:22" ht="20.100000000000001" customHeight="1">
      <c r="A6" s="15">
        <v>2</v>
      </c>
      <c r="B6" s="151" t="s">
        <v>232</v>
      </c>
      <c r="C6" s="152"/>
      <c r="D6" s="153"/>
      <c r="E6" s="49" t="s">
        <v>423</v>
      </c>
      <c r="F6" s="59" t="s">
        <v>36</v>
      </c>
      <c r="G6" s="59" t="s">
        <v>211</v>
      </c>
      <c r="H6" s="50" t="s">
        <v>34</v>
      </c>
      <c r="I6" s="10" t="s">
        <v>12</v>
      </c>
      <c r="J6" s="57">
        <v>64</v>
      </c>
      <c r="K6" s="161"/>
      <c r="L6" s="161"/>
      <c r="M6" s="34"/>
    </row>
    <row r="7" spans="1:22" ht="20.100000000000001" customHeight="1">
      <c r="A7" s="15">
        <v>3</v>
      </c>
      <c r="B7" s="151" t="s">
        <v>232</v>
      </c>
      <c r="C7" s="152"/>
      <c r="D7" s="153"/>
      <c r="E7" s="49" t="s">
        <v>423</v>
      </c>
      <c r="F7" s="59" t="s">
        <v>97</v>
      </c>
      <c r="G7" s="59" t="s">
        <v>106</v>
      </c>
      <c r="H7" s="50" t="s">
        <v>98</v>
      </c>
      <c r="I7" s="10" t="s">
        <v>12</v>
      </c>
      <c r="J7" s="57">
        <v>72</v>
      </c>
      <c r="K7" s="161"/>
      <c r="L7" s="161"/>
      <c r="M7" s="34"/>
    </row>
    <row r="8" spans="1:22" ht="20.100000000000001" customHeight="1">
      <c r="A8" s="15">
        <v>4</v>
      </c>
      <c r="B8" s="151" t="s">
        <v>232</v>
      </c>
      <c r="C8" s="152"/>
      <c r="D8" s="153"/>
      <c r="E8" s="49" t="s">
        <v>423</v>
      </c>
      <c r="F8" s="59" t="s">
        <v>82</v>
      </c>
      <c r="G8" s="59" t="s">
        <v>84</v>
      </c>
      <c r="H8" s="50" t="s">
        <v>83</v>
      </c>
      <c r="I8" s="10" t="s">
        <v>12</v>
      </c>
      <c r="J8" s="57">
        <v>4</v>
      </c>
      <c r="K8" s="161"/>
      <c r="L8" s="161"/>
      <c r="M8" s="34"/>
    </row>
    <row r="9" spans="1:22" ht="20.100000000000001" customHeight="1">
      <c r="A9" s="15">
        <v>5</v>
      </c>
      <c r="B9" s="151" t="s">
        <v>232</v>
      </c>
      <c r="C9" s="152"/>
      <c r="D9" s="153"/>
      <c r="E9" s="49" t="s">
        <v>423</v>
      </c>
      <c r="F9" s="59" t="s">
        <v>90</v>
      </c>
      <c r="G9" s="59" t="s">
        <v>99</v>
      </c>
      <c r="H9" s="50" t="s">
        <v>210</v>
      </c>
      <c r="I9" s="10" t="s">
        <v>12</v>
      </c>
      <c r="J9" s="57">
        <v>16</v>
      </c>
      <c r="K9" s="161"/>
      <c r="L9" s="161"/>
      <c r="M9" s="34"/>
    </row>
    <row r="10" spans="1:22" ht="20.100000000000001" customHeight="1">
      <c r="A10" s="15">
        <v>6</v>
      </c>
      <c r="B10" s="151" t="s">
        <v>232</v>
      </c>
      <c r="C10" s="152"/>
      <c r="D10" s="153"/>
      <c r="E10" s="49" t="s">
        <v>423</v>
      </c>
      <c r="F10" s="73" t="s">
        <v>314</v>
      </c>
      <c r="G10" s="73" t="s">
        <v>315</v>
      </c>
      <c r="H10" s="73" t="s">
        <v>47</v>
      </c>
      <c r="I10" s="10" t="s">
        <v>12</v>
      </c>
      <c r="J10" s="57">
        <v>4</v>
      </c>
      <c r="K10" s="161"/>
      <c r="L10" s="161"/>
      <c r="M10" s="34"/>
    </row>
    <row r="11" spans="1:22" ht="20.100000000000001" customHeight="1">
      <c r="A11" s="15">
        <v>7</v>
      </c>
      <c r="B11" s="151" t="s">
        <v>232</v>
      </c>
      <c r="C11" s="152"/>
      <c r="D11" s="153"/>
      <c r="E11" s="49" t="s">
        <v>423</v>
      </c>
      <c r="F11" s="73" t="s">
        <v>316</v>
      </c>
      <c r="G11" s="81" t="s">
        <v>317</v>
      </c>
      <c r="H11" s="73" t="s">
        <v>47</v>
      </c>
      <c r="I11" s="10" t="s">
        <v>12</v>
      </c>
      <c r="J11" s="57">
        <v>4</v>
      </c>
      <c r="K11" s="161"/>
      <c r="L11" s="161"/>
      <c r="M11" s="34"/>
    </row>
    <row r="12" spans="1:22" ht="20.100000000000001" customHeight="1">
      <c r="A12" s="15">
        <v>8</v>
      </c>
      <c r="B12" s="151" t="s">
        <v>232</v>
      </c>
      <c r="C12" s="152"/>
      <c r="D12" s="153"/>
      <c r="E12" s="49" t="s">
        <v>423</v>
      </c>
      <c r="F12" s="73" t="s">
        <v>320</v>
      </c>
      <c r="G12" s="81" t="s">
        <v>321</v>
      </c>
      <c r="H12" s="73" t="s">
        <v>47</v>
      </c>
      <c r="I12" s="10" t="s">
        <v>12</v>
      </c>
      <c r="J12" s="57">
        <v>4</v>
      </c>
      <c r="K12" s="161"/>
      <c r="L12" s="161"/>
      <c r="M12" s="34"/>
    </row>
    <row r="13" spans="1:22" ht="20.100000000000001" customHeight="1">
      <c r="A13" s="15">
        <v>9</v>
      </c>
      <c r="B13" s="151" t="s">
        <v>232</v>
      </c>
      <c r="C13" s="152"/>
      <c r="D13" s="153"/>
      <c r="E13" s="49" t="s">
        <v>423</v>
      </c>
      <c r="F13" s="73" t="s">
        <v>322</v>
      </c>
      <c r="G13" s="73" t="s">
        <v>110</v>
      </c>
      <c r="H13" s="73" t="s">
        <v>47</v>
      </c>
      <c r="I13" s="10" t="s">
        <v>12</v>
      </c>
      <c r="J13" s="57">
        <v>8</v>
      </c>
      <c r="K13" s="161"/>
      <c r="L13" s="161"/>
      <c r="M13" s="34"/>
    </row>
    <row r="14" spans="1:22" ht="20.100000000000001" customHeight="1">
      <c r="A14" s="15">
        <v>10</v>
      </c>
      <c r="B14" s="151" t="s">
        <v>232</v>
      </c>
      <c r="C14" s="152"/>
      <c r="D14" s="153"/>
      <c r="E14" s="49" t="s">
        <v>423</v>
      </c>
      <c r="F14" s="11" t="s">
        <v>177</v>
      </c>
      <c r="G14" s="72" t="s">
        <v>332</v>
      </c>
      <c r="H14" s="11" t="s">
        <v>48</v>
      </c>
      <c r="I14" s="10" t="s">
        <v>12</v>
      </c>
      <c r="J14" s="57">
        <v>4</v>
      </c>
      <c r="K14" s="161"/>
      <c r="L14" s="161"/>
      <c r="M14" s="34"/>
    </row>
    <row r="15" spans="1:22" ht="20.100000000000001" customHeight="1">
      <c r="A15" s="15">
        <v>11</v>
      </c>
      <c r="B15" s="151" t="s">
        <v>232</v>
      </c>
      <c r="C15" s="152"/>
      <c r="D15" s="153"/>
      <c r="E15" s="49" t="s">
        <v>423</v>
      </c>
      <c r="F15" s="73" t="s">
        <v>177</v>
      </c>
      <c r="G15" s="81" t="s">
        <v>332</v>
      </c>
      <c r="H15" s="73" t="s">
        <v>48</v>
      </c>
      <c r="I15" s="10" t="s">
        <v>12</v>
      </c>
      <c r="J15" s="57">
        <v>8</v>
      </c>
      <c r="K15" s="161"/>
      <c r="L15" s="161"/>
      <c r="M15" s="34"/>
    </row>
    <row r="16" spans="1:22" ht="20.100000000000001" customHeight="1">
      <c r="A16" s="15">
        <v>12</v>
      </c>
      <c r="B16" s="151" t="s">
        <v>232</v>
      </c>
      <c r="C16" s="152"/>
      <c r="D16" s="153"/>
      <c r="E16" s="49" t="s">
        <v>423</v>
      </c>
      <c r="F16" s="73" t="s">
        <v>177</v>
      </c>
      <c r="G16" s="81" t="s">
        <v>332</v>
      </c>
      <c r="H16" s="73" t="s">
        <v>48</v>
      </c>
      <c r="I16" s="10" t="s">
        <v>12</v>
      </c>
      <c r="J16" s="77">
        <v>4</v>
      </c>
      <c r="K16" s="161"/>
      <c r="L16" s="161"/>
      <c r="M16" s="34"/>
    </row>
    <row r="17" spans="1:13" ht="20.100000000000001" customHeight="1">
      <c r="A17" s="15">
        <v>13</v>
      </c>
      <c r="B17" s="151" t="s">
        <v>232</v>
      </c>
      <c r="C17" s="152"/>
      <c r="D17" s="153"/>
      <c r="E17" s="49" t="s">
        <v>423</v>
      </c>
      <c r="F17" s="73" t="s">
        <v>177</v>
      </c>
      <c r="G17" s="81" t="s">
        <v>332</v>
      </c>
      <c r="H17" s="73" t="s">
        <v>48</v>
      </c>
      <c r="I17" s="10" t="s">
        <v>12</v>
      </c>
      <c r="J17" s="57">
        <v>4</v>
      </c>
      <c r="K17" s="161"/>
      <c r="L17" s="161"/>
      <c r="M17" s="34"/>
    </row>
    <row r="18" spans="1:13" ht="20.100000000000001" customHeight="1">
      <c r="A18" s="15">
        <v>14</v>
      </c>
      <c r="B18" s="151" t="s">
        <v>232</v>
      </c>
      <c r="C18" s="152"/>
      <c r="D18" s="153"/>
      <c r="E18" s="49" t="s">
        <v>423</v>
      </c>
      <c r="F18" s="73" t="s">
        <v>177</v>
      </c>
      <c r="G18" s="81" t="s">
        <v>332</v>
      </c>
      <c r="H18" s="73" t="s">
        <v>48</v>
      </c>
      <c r="I18" s="10" t="s">
        <v>12</v>
      </c>
      <c r="J18" s="57">
        <v>4</v>
      </c>
      <c r="K18" s="161"/>
      <c r="L18" s="161"/>
      <c r="M18" s="34"/>
    </row>
    <row r="19" spans="1:13" ht="20.100000000000001" customHeight="1">
      <c r="A19" s="15">
        <v>15</v>
      </c>
      <c r="B19" s="151" t="s">
        <v>232</v>
      </c>
      <c r="C19" s="152"/>
      <c r="D19" s="153"/>
      <c r="E19" s="49" t="s">
        <v>423</v>
      </c>
      <c r="F19" s="73" t="s">
        <v>177</v>
      </c>
      <c r="G19" s="81" t="s">
        <v>333</v>
      </c>
      <c r="H19" s="73" t="s">
        <v>48</v>
      </c>
      <c r="I19" s="10" t="s">
        <v>12</v>
      </c>
      <c r="J19" s="57">
        <v>4</v>
      </c>
      <c r="K19" s="161"/>
      <c r="L19" s="161"/>
      <c r="M19" s="34"/>
    </row>
    <row r="20" spans="1:13" ht="20.100000000000001" customHeight="1">
      <c r="A20" s="15">
        <v>16</v>
      </c>
      <c r="B20" s="151" t="s">
        <v>232</v>
      </c>
      <c r="C20" s="152"/>
      <c r="D20" s="153"/>
      <c r="E20" s="49" t="s">
        <v>423</v>
      </c>
      <c r="F20" s="73" t="s">
        <v>177</v>
      </c>
      <c r="G20" s="81" t="s">
        <v>473</v>
      </c>
      <c r="H20" s="73" t="s">
        <v>48</v>
      </c>
      <c r="I20" s="10" t="s">
        <v>12</v>
      </c>
      <c r="J20" s="57">
        <v>8</v>
      </c>
      <c r="K20" s="161"/>
      <c r="L20" s="161"/>
      <c r="M20" s="34"/>
    </row>
    <row r="21" spans="1:13" ht="20.100000000000001" customHeight="1">
      <c r="A21" s="15">
        <v>17</v>
      </c>
      <c r="B21" s="151" t="s">
        <v>232</v>
      </c>
      <c r="C21" s="152"/>
      <c r="D21" s="153"/>
      <c r="E21" s="49" t="s">
        <v>423</v>
      </c>
      <c r="F21" s="73" t="s">
        <v>177</v>
      </c>
      <c r="G21" s="81" t="s">
        <v>474</v>
      </c>
      <c r="H21" s="73" t="s">
        <v>48</v>
      </c>
      <c r="I21" s="10" t="s">
        <v>12</v>
      </c>
      <c r="J21" s="57">
        <v>8</v>
      </c>
      <c r="K21" s="161"/>
      <c r="L21" s="161"/>
      <c r="M21" s="34"/>
    </row>
    <row r="22" spans="1:13" ht="35.25" customHeight="1" thickBot="1">
      <c r="A22" s="154" t="s">
        <v>1</v>
      </c>
      <c r="B22" s="155"/>
      <c r="C22" s="155"/>
      <c r="D22" s="155"/>
      <c r="E22" s="155"/>
      <c r="F22" s="155"/>
      <c r="G22" s="155"/>
      <c r="H22" s="155"/>
      <c r="I22" s="156"/>
      <c r="J22" s="84">
        <f>SUM(J5:J21)</f>
        <v>236</v>
      </c>
      <c r="K22" s="6">
        <v>1</v>
      </c>
      <c r="L22" s="6">
        <v>27</v>
      </c>
      <c r="M22" s="14"/>
    </row>
    <row r="23" spans="1:13">
      <c r="K23" s="3"/>
      <c r="L23" s="3"/>
      <c r="M23" s="3"/>
    </row>
    <row r="24" spans="1:13">
      <c r="K24" s="3"/>
      <c r="L24" s="3"/>
      <c r="M24" s="3"/>
    </row>
  </sheetData>
  <autoFilter ref="A4:M4" xr:uid="{54D5C1B7-8511-4422-B6F3-4D6E8EEEAC87}"/>
  <mergeCells count="22">
    <mergeCell ref="A2:M2"/>
    <mergeCell ref="B4:D4"/>
    <mergeCell ref="K5:K21"/>
    <mergeCell ref="L5:L21"/>
    <mergeCell ref="B14:D14"/>
    <mergeCell ref="B15:D15"/>
    <mergeCell ref="B16:D16"/>
    <mergeCell ref="A22:I22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7:D17"/>
    <mergeCell ref="B18:D18"/>
    <mergeCell ref="B19:D19"/>
    <mergeCell ref="B20:D20"/>
    <mergeCell ref="B21:D21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92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3ED28-5ED9-4631-938F-F2630B562F68}">
  <dimension ref="A1:V36"/>
  <sheetViews>
    <sheetView view="pageBreakPreview" zoomScaleNormal="100" zoomScaleSheetLayoutView="100" workbookViewId="0">
      <pane ySplit="4" topLeftCell="A21" activePane="bottomLeft" state="frozen"/>
      <selection activeCell="B67" sqref="B67:D67"/>
      <selection pane="bottomLeft" activeCell="B67" sqref="B67:D67"/>
    </sheetView>
  </sheetViews>
  <sheetFormatPr defaultRowHeight="15"/>
  <cols>
    <col min="1" max="1" width="5.33203125" style="2" customWidth="1"/>
    <col min="2" max="4" width="4.33203125" style="2" customWidth="1"/>
    <col min="5" max="5" width="6.33203125" style="2" customWidth="1"/>
    <col min="6" max="6" width="19.33203125" style="2" customWidth="1"/>
    <col min="7" max="7" width="25.88671875" style="2" customWidth="1"/>
    <col min="8" max="8" width="13.109375" style="2" customWidth="1"/>
    <col min="9" max="9" width="5.33203125" style="2" customWidth="1"/>
    <col min="10" max="10" width="10.88671875" style="2" customWidth="1"/>
    <col min="11" max="11" width="9.77734375" style="1" customWidth="1"/>
    <col min="12" max="12" width="7.88671875" style="1" hidden="1" customWidth="1"/>
    <col min="13" max="13" width="10.44140625" style="1" customWidth="1"/>
  </cols>
  <sheetData>
    <row r="1" spans="1:22" ht="4.5" customHeight="1"/>
    <row r="2" spans="1:22" ht="38.25" customHeight="1">
      <c r="A2" s="144" t="s">
        <v>483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2"/>
      <c r="O2" s="12"/>
      <c r="P2" s="12"/>
      <c r="Q2" s="12"/>
      <c r="R2" s="12"/>
      <c r="S2" s="12"/>
      <c r="T2" s="12"/>
      <c r="U2" s="12"/>
      <c r="V2" s="12"/>
    </row>
    <row r="3" spans="1:22" ht="4.5" customHeight="1" thickBot="1"/>
    <row r="4" spans="1:22" ht="33" customHeight="1">
      <c r="A4" s="4" t="s">
        <v>13</v>
      </c>
      <c r="B4" s="157" t="s">
        <v>21</v>
      </c>
      <c r="C4" s="158"/>
      <c r="D4" s="159"/>
      <c r="E4" s="18" t="s">
        <v>194</v>
      </c>
      <c r="F4" s="103" t="s">
        <v>3</v>
      </c>
      <c r="G4" s="103" t="s">
        <v>0</v>
      </c>
      <c r="H4" s="103" t="s">
        <v>6</v>
      </c>
      <c r="I4" s="5" t="s">
        <v>11</v>
      </c>
      <c r="J4" s="7" t="s">
        <v>7</v>
      </c>
      <c r="K4" s="7" t="s">
        <v>476</v>
      </c>
      <c r="L4" s="7" t="s">
        <v>475</v>
      </c>
      <c r="M4" s="13" t="s">
        <v>44</v>
      </c>
    </row>
    <row r="5" spans="1:22" ht="20.100000000000001" customHeight="1">
      <c r="A5" s="15">
        <v>1</v>
      </c>
      <c r="B5" s="151" t="s">
        <v>232</v>
      </c>
      <c r="C5" s="152"/>
      <c r="D5" s="153"/>
      <c r="E5" s="49" t="s">
        <v>423</v>
      </c>
      <c r="F5" s="73" t="s">
        <v>166</v>
      </c>
      <c r="G5" s="73" t="s">
        <v>170</v>
      </c>
      <c r="H5" s="73" t="s">
        <v>164</v>
      </c>
      <c r="I5" s="10" t="s">
        <v>12</v>
      </c>
      <c r="J5" s="57">
        <v>12</v>
      </c>
      <c r="K5" s="160">
        <v>1</v>
      </c>
      <c r="L5" s="160">
        <v>27</v>
      </c>
      <c r="M5" s="34"/>
    </row>
    <row r="6" spans="1:22" ht="20.100000000000001" customHeight="1">
      <c r="A6" s="15">
        <v>2</v>
      </c>
      <c r="B6" s="151" t="s">
        <v>232</v>
      </c>
      <c r="C6" s="152"/>
      <c r="D6" s="153"/>
      <c r="E6" s="49" t="s">
        <v>423</v>
      </c>
      <c r="F6" s="59" t="s">
        <v>43</v>
      </c>
      <c r="G6" s="59" t="s">
        <v>444</v>
      </c>
      <c r="H6" s="50" t="s">
        <v>30</v>
      </c>
      <c r="I6" s="10" t="s">
        <v>12</v>
      </c>
      <c r="J6" s="57">
        <v>8</v>
      </c>
      <c r="K6" s="161"/>
      <c r="L6" s="161"/>
      <c r="M6" s="34"/>
    </row>
    <row r="7" spans="1:22" ht="20.100000000000001" customHeight="1">
      <c r="A7" s="15">
        <v>3</v>
      </c>
      <c r="B7" s="151" t="s">
        <v>232</v>
      </c>
      <c r="C7" s="152"/>
      <c r="D7" s="153"/>
      <c r="E7" s="49" t="s">
        <v>423</v>
      </c>
      <c r="F7" s="50" t="s">
        <v>43</v>
      </c>
      <c r="G7" s="50" t="s">
        <v>444</v>
      </c>
      <c r="H7" s="50" t="s">
        <v>30</v>
      </c>
      <c r="I7" s="10" t="s">
        <v>12</v>
      </c>
      <c r="J7" s="57">
        <v>20</v>
      </c>
      <c r="K7" s="161"/>
      <c r="L7" s="161"/>
      <c r="M7" s="34"/>
    </row>
    <row r="8" spans="1:22" ht="20.100000000000001" customHeight="1">
      <c r="A8" s="15">
        <v>4</v>
      </c>
      <c r="B8" s="151" t="s">
        <v>232</v>
      </c>
      <c r="C8" s="152"/>
      <c r="D8" s="153"/>
      <c r="E8" s="49" t="s">
        <v>423</v>
      </c>
      <c r="F8" s="76" t="s">
        <v>43</v>
      </c>
      <c r="G8" s="76" t="s">
        <v>445</v>
      </c>
      <c r="H8" s="76" t="s">
        <v>30</v>
      </c>
      <c r="I8" s="10" t="s">
        <v>12</v>
      </c>
      <c r="J8" s="57">
        <v>8</v>
      </c>
      <c r="K8" s="161"/>
      <c r="L8" s="161"/>
      <c r="M8" s="34"/>
    </row>
    <row r="9" spans="1:22" ht="20.100000000000001" customHeight="1">
      <c r="A9" s="15">
        <v>5</v>
      </c>
      <c r="B9" s="151" t="s">
        <v>232</v>
      </c>
      <c r="C9" s="152"/>
      <c r="D9" s="153"/>
      <c r="E9" s="49" t="s">
        <v>423</v>
      </c>
      <c r="F9" s="78" t="s">
        <v>43</v>
      </c>
      <c r="G9" s="76" t="s">
        <v>445</v>
      </c>
      <c r="H9" s="78" t="s">
        <v>30</v>
      </c>
      <c r="I9" s="10" t="s">
        <v>12</v>
      </c>
      <c r="J9" s="57">
        <v>16</v>
      </c>
      <c r="K9" s="161"/>
      <c r="L9" s="161"/>
      <c r="M9" s="34"/>
    </row>
    <row r="10" spans="1:22" ht="20.100000000000001" customHeight="1">
      <c r="A10" s="15">
        <v>6</v>
      </c>
      <c r="B10" s="151" t="s">
        <v>232</v>
      </c>
      <c r="C10" s="152"/>
      <c r="D10" s="153"/>
      <c r="E10" s="49" t="s">
        <v>423</v>
      </c>
      <c r="F10" s="76" t="s">
        <v>86</v>
      </c>
      <c r="G10" s="76" t="s">
        <v>87</v>
      </c>
      <c r="H10" s="76" t="s">
        <v>88</v>
      </c>
      <c r="I10" s="10" t="s">
        <v>12</v>
      </c>
      <c r="J10" s="57">
        <v>4</v>
      </c>
      <c r="K10" s="161"/>
      <c r="L10" s="161"/>
      <c r="M10" s="34"/>
    </row>
    <row r="11" spans="1:22" ht="20.100000000000001" customHeight="1">
      <c r="A11" s="15">
        <v>7</v>
      </c>
      <c r="B11" s="151" t="s">
        <v>232</v>
      </c>
      <c r="C11" s="152"/>
      <c r="D11" s="153"/>
      <c r="E11" s="49" t="s">
        <v>423</v>
      </c>
      <c r="F11" s="59" t="s">
        <v>76</v>
      </c>
      <c r="G11" s="59" t="s">
        <v>212</v>
      </c>
      <c r="H11" s="50" t="s">
        <v>34</v>
      </c>
      <c r="I11" s="10" t="s">
        <v>12</v>
      </c>
      <c r="J11" s="57">
        <v>12</v>
      </c>
      <c r="K11" s="161"/>
      <c r="L11" s="161"/>
      <c r="M11" s="34"/>
    </row>
    <row r="12" spans="1:22" ht="20.100000000000001" customHeight="1">
      <c r="A12" s="15">
        <v>8</v>
      </c>
      <c r="B12" s="151" t="s">
        <v>232</v>
      </c>
      <c r="C12" s="152"/>
      <c r="D12" s="153"/>
      <c r="E12" s="49" t="s">
        <v>423</v>
      </c>
      <c r="F12" s="59" t="s">
        <v>76</v>
      </c>
      <c r="G12" s="59" t="s">
        <v>212</v>
      </c>
      <c r="H12" s="50" t="s">
        <v>34</v>
      </c>
      <c r="I12" s="10" t="s">
        <v>12</v>
      </c>
      <c r="J12" s="57">
        <v>32</v>
      </c>
      <c r="K12" s="161"/>
      <c r="L12" s="161"/>
      <c r="M12" s="34"/>
    </row>
    <row r="13" spans="1:22" ht="20.100000000000001" customHeight="1">
      <c r="A13" s="15">
        <v>9</v>
      </c>
      <c r="B13" s="151" t="s">
        <v>232</v>
      </c>
      <c r="C13" s="152"/>
      <c r="D13" s="153"/>
      <c r="E13" s="49" t="s">
        <v>423</v>
      </c>
      <c r="F13" s="76" t="s">
        <v>35</v>
      </c>
      <c r="G13" s="76" t="s">
        <v>77</v>
      </c>
      <c r="H13" s="76" t="s">
        <v>34</v>
      </c>
      <c r="I13" s="10" t="s">
        <v>12</v>
      </c>
      <c r="J13" s="57">
        <v>32</v>
      </c>
      <c r="K13" s="161"/>
      <c r="L13" s="161"/>
      <c r="M13" s="34"/>
    </row>
    <row r="14" spans="1:22" ht="20.100000000000001" customHeight="1">
      <c r="A14" s="15">
        <v>10</v>
      </c>
      <c r="B14" s="151" t="s">
        <v>232</v>
      </c>
      <c r="C14" s="152"/>
      <c r="D14" s="153"/>
      <c r="E14" s="49" t="s">
        <v>423</v>
      </c>
      <c r="F14" s="59" t="s">
        <v>35</v>
      </c>
      <c r="G14" s="59" t="s">
        <v>77</v>
      </c>
      <c r="H14" s="50" t="s">
        <v>34</v>
      </c>
      <c r="I14" s="10" t="s">
        <v>12</v>
      </c>
      <c r="J14" s="57">
        <v>68</v>
      </c>
      <c r="K14" s="161"/>
      <c r="L14" s="161"/>
      <c r="M14" s="34"/>
    </row>
    <row r="15" spans="1:22" ht="20.100000000000001" customHeight="1">
      <c r="A15" s="15">
        <v>11</v>
      </c>
      <c r="B15" s="151" t="s">
        <v>232</v>
      </c>
      <c r="C15" s="152"/>
      <c r="D15" s="153"/>
      <c r="E15" s="49" t="s">
        <v>423</v>
      </c>
      <c r="F15" s="50" t="s">
        <v>75</v>
      </c>
      <c r="G15" s="50" t="s">
        <v>78</v>
      </c>
      <c r="H15" s="50" t="s">
        <v>34</v>
      </c>
      <c r="I15" s="10" t="s">
        <v>12</v>
      </c>
      <c r="J15" s="57">
        <v>8</v>
      </c>
      <c r="K15" s="161"/>
      <c r="L15" s="161"/>
      <c r="M15" s="34"/>
    </row>
    <row r="16" spans="1:22" ht="20.100000000000001" customHeight="1">
      <c r="A16" s="15">
        <v>12</v>
      </c>
      <c r="B16" s="151" t="s">
        <v>232</v>
      </c>
      <c r="C16" s="152"/>
      <c r="D16" s="153"/>
      <c r="E16" s="49" t="s">
        <v>423</v>
      </c>
      <c r="F16" s="59" t="s">
        <v>242</v>
      </c>
      <c r="G16" s="59" t="s">
        <v>213</v>
      </c>
      <c r="H16" s="50" t="s">
        <v>243</v>
      </c>
      <c r="I16" s="10" t="s">
        <v>12</v>
      </c>
      <c r="J16" s="57">
        <v>4</v>
      </c>
      <c r="K16" s="161"/>
      <c r="L16" s="161"/>
      <c r="M16" s="34"/>
    </row>
    <row r="17" spans="1:13" ht="20.100000000000001" customHeight="1">
      <c r="A17" s="15">
        <v>13</v>
      </c>
      <c r="B17" s="151" t="s">
        <v>232</v>
      </c>
      <c r="C17" s="152"/>
      <c r="D17" s="153"/>
      <c r="E17" s="49" t="s">
        <v>423</v>
      </c>
      <c r="F17" s="59" t="s">
        <v>96</v>
      </c>
      <c r="G17" s="59" t="s">
        <v>104</v>
      </c>
      <c r="H17" s="50" t="s">
        <v>105</v>
      </c>
      <c r="I17" s="10" t="s">
        <v>12</v>
      </c>
      <c r="J17" s="57">
        <v>4</v>
      </c>
      <c r="K17" s="161"/>
      <c r="L17" s="161"/>
      <c r="M17" s="34"/>
    </row>
    <row r="18" spans="1:13" ht="20.100000000000001" customHeight="1">
      <c r="A18" s="15">
        <v>14</v>
      </c>
      <c r="B18" s="151" t="s">
        <v>232</v>
      </c>
      <c r="C18" s="152"/>
      <c r="D18" s="153"/>
      <c r="E18" s="49" t="s">
        <v>423</v>
      </c>
      <c r="F18" s="62" t="s">
        <v>85</v>
      </c>
      <c r="G18" s="62" t="s">
        <v>446</v>
      </c>
      <c r="H18" s="63" t="s">
        <v>88</v>
      </c>
      <c r="I18" s="10" t="s">
        <v>12</v>
      </c>
      <c r="J18" s="57">
        <v>4</v>
      </c>
      <c r="K18" s="161"/>
      <c r="L18" s="161"/>
      <c r="M18" s="34"/>
    </row>
    <row r="19" spans="1:13" ht="20.100000000000001" customHeight="1">
      <c r="A19" s="15">
        <v>15</v>
      </c>
      <c r="B19" s="151" t="s">
        <v>232</v>
      </c>
      <c r="C19" s="152"/>
      <c r="D19" s="153"/>
      <c r="E19" s="49" t="s">
        <v>423</v>
      </c>
      <c r="F19" s="59" t="s">
        <v>226</v>
      </c>
      <c r="G19" s="59" t="s">
        <v>221</v>
      </c>
      <c r="H19" s="50" t="s">
        <v>31</v>
      </c>
      <c r="I19" s="10" t="s">
        <v>12</v>
      </c>
      <c r="J19" s="57">
        <v>4</v>
      </c>
      <c r="K19" s="161"/>
      <c r="L19" s="161"/>
      <c r="M19" s="34"/>
    </row>
    <row r="20" spans="1:13" ht="20.100000000000001" customHeight="1">
      <c r="A20" s="15">
        <v>16</v>
      </c>
      <c r="B20" s="151" t="s">
        <v>232</v>
      </c>
      <c r="C20" s="152"/>
      <c r="D20" s="153"/>
      <c r="E20" s="49" t="s">
        <v>423</v>
      </c>
      <c r="F20" s="59" t="s">
        <v>79</v>
      </c>
      <c r="G20" s="59" t="s">
        <v>81</v>
      </c>
      <c r="H20" s="50" t="s">
        <v>31</v>
      </c>
      <c r="I20" s="10" t="s">
        <v>12</v>
      </c>
      <c r="J20" s="57">
        <v>4</v>
      </c>
      <c r="K20" s="161"/>
      <c r="L20" s="161"/>
      <c r="M20" s="34"/>
    </row>
    <row r="21" spans="1:13" ht="20.100000000000001" customHeight="1">
      <c r="A21" s="15">
        <v>17</v>
      </c>
      <c r="B21" s="151" t="s">
        <v>232</v>
      </c>
      <c r="C21" s="152"/>
      <c r="D21" s="153"/>
      <c r="E21" s="49" t="s">
        <v>423</v>
      </c>
      <c r="F21" s="59" t="s">
        <v>241</v>
      </c>
      <c r="G21" s="59" t="s">
        <v>80</v>
      </c>
      <c r="H21" s="50" t="s">
        <v>31</v>
      </c>
      <c r="I21" s="10" t="s">
        <v>12</v>
      </c>
      <c r="J21" s="57">
        <v>4</v>
      </c>
      <c r="K21" s="161"/>
      <c r="L21" s="161"/>
      <c r="M21" s="34"/>
    </row>
    <row r="22" spans="1:13" ht="20.100000000000001" customHeight="1">
      <c r="A22" s="15">
        <v>18</v>
      </c>
      <c r="B22" s="151" t="s">
        <v>232</v>
      </c>
      <c r="C22" s="152"/>
      <c r="D22" s="153"/>
      <c r="E22" s="49" t="s">
        <v>423</v>
      </c>
      <c r="F22" s="59" t="s">
        <v>442</v>
      </c>
      <c r="G22" s="59" t="s">
        <v>447</v>
      </c>
      <c r="H22" s="50" t="s">
        <v>31</v>
      </c>
      <c r="I22" s="10" t="s">
        <v>12</v>
      </c>
      <c r="J22" s="57">
        <v>4</v>
      </c>
      <c r="K22" s="161"/>
      <c r="L22" s="161"/>
      <c r="M22" s="34"/>
    </row>
    <row r="23" spans="1:13" ht="20.100000000000001" customHeight="1">
      <c r="A23" s="15">
        <v>19</v>
      </c>
      <c r="B23" s="151" t="s">
        <v>232</v>
      </c>
      <c r="C23" s="152"/>
      <c r="D23" s="153"/>
      <c r="E23" s="49" t="s">
        <v>423</v>
      </c>
      <c r="F23" s="59" t="s">
        <v>443</v>
      </c>
      <c r="G23" s="59" t="s">
        <v>448</v>
      </c>
      <c r="H23" s="50" t="s">
        <v>31</v>
      </c>
      <c r="I23" s="10" t="s">
        <v>12</v>
      </c>
      <c r="J23" s="57">
        <v>4</v>
      </c>
      <c r="K23" s="161"/>
      <c r="L23" s="161"/>
      <c r="M23" s="34"/>
    </row>
    <row r="24" spans="1:13" ht="20.100000000000001" customHeight="1" thickBot="1">
      <c r="A24" s="15">
        <v>20</v>
      </c>
      <c r="B24" s="151" t="s">
        <v>232</v>
      </c>
      <c r="C24" s="152"/>
      <c r="D24" s="153"/>
      <c r="E24" s="49" t="s">
        <v>423</v>
      </c>
      <c r="F24" s="76" t="s">
        <v>94</v>
      </c>
      <c r="G24" s="76" t="s">
        <v>103</v>
      </c>
      <c r="H24" s="76" t="s">
        <v>95</v>
      </c>
      <c r="I24" s="93" t="s">
        <v>12</v>
      </c>
      <c r="J24" s="57">
        <v>4</v>
      </c>
      <c r="K24" s="162"/>
      <c r="L24" s="162"/>
      <c r="M24" s="92"/>
    </row>
    <row r="25" spans="1:13" ht="33" customHeight="1">
      <c r="A25" s="4" t="s">
        <v>13</v>
      </c>
      <c r="B25" s="157" t="s">
        <v>21</v>
      </c>
      <c r="C25" s="158"/>
      <c r="D25" s="159"/>
      <c r="E25" s="18" t="s">
        <v>194</v>
      </c>
      <c r="F25" s="5" t="s">
        <v>3</v>
      </c>
      <c r="G25" s="5" t="s">
        <v>0</v>
      </c>
      <c r="H25" s="5" t="s">
        <v>6</v>
      </c>
      <c r="I25" s="5" t="s">
        <v>11</v>
      </c>
      <c r="J25" s="7" t="s">
        <v>7</v>
      </c>
      <c r="K25" s="7" t="s">
        <v>476</v>
      </c>
      <c r="L25" s="7" t="s">
        <v>475</v>
      </c>
      <c r="M25" s="13" t="s">
        <v>44</v>
      </c>
    </row>
    <row r="26" spans="1:13" ht="20.100000000000001" customHeight="1">
      <c r="A26" s="91">
        <v>21</v>
      </c>
      <c r="B26" s="151" t="s">
        <v>232</v>
      </c>
      <c r="C26" s="152"/>
      <c r="D26" s="153"/>
      <c r="E26" s="49" t="s">
        <v>423</v>
      </c>
      <c r="F26" s="59" t="s">
        <v>92</v>
      </c>
      <c r="G26" s="59" t="s">
        <v>102</v>
      </c>
      <c r="H26" s="50" t="s">
        <v>93</v>
      </c>
      <c r="I26" s="88" t="s">
        <v>12</v>
      </c>
      <c r="J26" s="57">
        <v>4</v>
      </c>
      <c r="K26" s="163">
        <v>1</v>
      </c>
      <c r="L26" s="86"/>
      <c r="M26" s="85"/>
    </row>
    <row r="27" spans="1:13" ht="20.100000000000001" customHeight="1">
      <c r="A27" s="91">
        <v>22</v>
      </c>
      <c r="B27" s="151" t="s">
        <v>232</v>
      </c>
      <c r="C27" s="152"/>
      <c r="D27" s="153"/>
      <c r="E27" s="49" t="s">
        <v>423</v>
      </c>
      <c r="F27" s="59" t="s">
        <v>91</v>
      </c>
      <c r="G27" s="59" t="s">
        <v>100</v>
      </c>
      <c r="H27" s="50" t="s">
        <v>101</v>
      </c>
      <c r="I27" s="88" t="s">
        <v>12</v>
      </c>
      <c r="J27" s="57">
        <v>4</v>
      </c>
      <c r="K27" s="164"/>
      <c r="L27" s="86"/>
      <c r="M27" s="85"/>
    </row>
    <row r="28" spans="1:13" ht="20.100000000000001" customHeight="1">
      <c r="A28" s="91">
        <v>23</v>
      </c>
      <c r="B28" s="151" t="s">
        <v>232</v>
      </c>
      <c r="C28" s="152"/>
      <c r="D28" s="153"/>
      <c r="E28" s="49" t="s">
        <v>423</v>
      </c>
      <c r="F28" s="73" t="s">
        <v>318</v>
      </c>
      <c r="G28" s="81" t="s">
        <v>108</v>
      </c>
      <c r="H28" s="73" t="s">
        <v>47</v>
      </c>
      <c r="I28" s="88" t="s">
        <v>12</v>
      </c>
      <c r="J28" s="57">
        <v>2</v>
      </c>
      <c r="K28" s="164"/>
      <c r="L28" s="86"/>
      <c r="M28" s="85"/>
    </row>
    <row r="29" spans="1:13" ht="20.100000000000001" customHeight="1">
      <c r="A29" s="91">
        <v>24</v>
      </c>
      <c r="B29" s="151" t="s">
        <v>232</v>
      </c>
      <c r="C29" s="152"/>
      <c r="D29" s="153"/>
      <c r="E29" s="49" t="s">
        <v>423</v>
      </c>
      <c r="F29" s="73" t="s">
        <v>319</v>
      </c>
      <c r="G29" s="81" t="s">
        <v>108</v>
      </c>
      <c r="H29" s="73" t="s">
        <v>47</v>
      </c>
      <c r="I29" s="88" t="s">
        <v>12</v>
      </c>
      <c r="J29" s="57">
        <v>8</v>
      </c>
      <c r="K29" s="164"/>
      <c r="L29" s="86"/>
      <c r="M29" s="85"/>
    </row>
    <row r="30" spans="1:13" ht="20.100000000000001" customHeight="1">
      <c r="A30" s="91">
        <v>25</v>
      </c>
      <c r="B30" s="151" t="s">
        <v>232</v>
      </c>
      <c r="C30" s="152"/>
      <c r="D30" s="153"/>
      <c r="E30" s="49" t="s">
        <v>423</v>
      </c>
      <c r="F30" s="73" t="s">
        <v>318</v>
      </c>
      <c r="G30" s="81" t="s">
        <v>108</v>
      </c>
      <c r="H30" s="73" t="s">
        <v>47</v>
      </c>
      <c r="I30" s="88" t="s">
        <v>12</v>
      </c>
      <c r="J30" s="57">
        <v>4</v>
      </c>
      <c r="K30" s="164"/>
      <c r="L30" s="86"/>
      <c r="M30" s="85"/>
    </row>
    <row r="31" spans="1:13" ht="20.100000000000001" customHeight="1">
      <c r="A31" s="91">
        <v>26</v>
      </c>
      <c r="B31" s="151" t="s">
        <v>232</v>
      </c>
      <c r="C31" s="152"/>
      <c r="D31" s="153"/>
      <c r="E31" s="49" t="s">
        <v>423</v>
      </c>
      <c r="F31" s="73" t="s">
        <v>319</v>
      </c>
      <c r="G31" s="73" t="s">
        <v>108</v>
      </c>
      <c r="H31" s="73" t="s">
        <v>47</v>
      </c>
      <c r="I31" s="88" t="s">
        <v>12</v>
      </c>
      <c r="J31" s="57">
        <v>4</v>
      </c>
      <c r="K31" s="164"/>
      <c r="L31" s="86"/>
      <c r="M31" s="85"/>
    </row>
    <row r="32" spans="1:13" ht="20.100000000000001" customHeight="1">
      <c r="A32" s="91">
        <v>27</v>
      </c>
      <c r="B32" s="151" t="s">
        <v>232</v>
      </c>
      <c r="C32" s="152"/>
      <c r="D32" s="153"/>
      <c r="E32" s="49" t="s">
        <v>423</v>
      </c>
      <c r="F32" s="73" t="s">
        <v>318</v>
      </c>
      <c r="G32" s="81" t="s">
        <v>108</v>
      </c>
      <c r="H32" s="73" t="s">
        <v>47</v>
      </c>
      <c r="I32" s="88" t="s">
        <v>12</v>
      </c>
      <c r="J32" s="57">
        <v>4</v>
      </c>
      <c r="K32" s="164"/>
      <c r="L32" s="86"/>
      <c r="M32" s="85"/>
    </row>
    <row r="33" spans="1:13" ht="20.100000000000001" customHeight="1">
      <c r="A33" s="91">
        <v>28</v>
      </c>
      <c r="B33" s="151" t="s">
        <v>232</v>
      </c>
      <c r="C33" s="152"/>
      <c r="D33" s="153"/>
      <c r="E33" s="49" t="s">
        <v>423</v>
      </c>
      <c r="F33" s="73" t="s">
        <v>318</v>
      </c>
      <c r="G33" s="81" t="s">
        <v>108</v>
      </c>
      <c r="H33" s="73" t="s">
        <v>47</v>
      </c>
      <c r="I33" s="88" t="s">
        <v>12</v>
      </c>
      <c r="J33" s="57">
        <v>4</v>
      </c>
      <c r="K33" s="164"/>
      <c r="L33" s="86"/>
      <c r="M33" s="85"/>
    </row>
    <row r="34" spans="1:13" ht="35.25" customHeight="1" thickBot="1">
      <c r="A34" s="154" t="s">
        <v>1</v>
      </c>
      <c r="B34" s="155"/>
      <c r="C34" s="155"/>
      <c r="D34" s="155"/>
      <c r="E34" s="155"/>
      <c r="F34" s="155"/>
      <c r="G34" s="155"/>
      <c r="H34" s="155"/>
      <c r="I34" s="156"/>
      <c r="J34" s="84">
        <f>SUM(J5:J33)</f>
        <v>290</v>
      </c>
      <c r="K34" s="6">
        <v>1</v>
      </c>
      <c r="L34" s="6">
        <v>27</v>
      </c>
      <c r="M34" s="14"/>
    </row>
    <row r="35" spans="1:13">
      <c r="K35" s="3"/>
      <c r="L35" s="3"/>
      <c r="M35" s="3"/>
    </row>
    <row r="36" spans="1:13">
      <c r="K36" s="3"/>
      <c r="L36" s="3"/>
      <c r="M36" s="3"/>
    </row>
  </sheetData>
  <autoFilter ref="A4:M4" xr:uid="{54D5C1B7-8511-4422-B6F3-4D6E8EEEAC87}"/>
  <mergeCells count="35">
    <mergeCell ref="A2:M2"/>
    <mergeCell ref="B4:D4"/>
    <mergeCell ref="K5:K24"/>
    <mergeCell ref="L5:L24"/>
    <mergeCell ref="B25:D25"/>
    <mergeCell ref="B22:D22"/>
    <mergeCell ref="B23:D23"/>
    <mergeCell ref="B24:D24"/>
    <mergeCell ref="B20:D20"/>
    <mergeCell ref="B21:D21"/>
    <mergeCell ref="K26:K33"/>
    <mergeCell ref="B14:D14"/>
    <mergeCell ref="B15:D15"/>
    <mergeCell ref="B16:D16"/>
    <mergeCell ref="B31:D31"/>
    <mergeCell ref="B32:D32"/>
    <mergeCell ref="B33:D33"/>
    <mergeCell ref="B26:D26"/>
    <mergeCell ref="B27:D27"/>
    <mergeCell ref="B28:D28"/>
    <mergeCell ref="B29:D29"/>
    <mergeCell ref="A34:I3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7:D17"/>
    <mergeCell ref="B18:D18"/>
    <mergeCell ref="B19:D19"/>
    <mergeCell ref="B30:D30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92" orientation="landscape" r:id="rId1"/>
  <rowBreaks count="1" manualBreakCount="1">
    <brk id="24" max="10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DDA21-D46A-4DB5-864A-A28061D73E2F}">
  <dimension ref="A1:V75"/>
  <sheetViews>
    <sheetView view="pageBreakPreview" zoomScaleNormal="100" zoomScaleSheetLayoutView="100" workbookViewId="0">
      <pane ySplit="4" topLeftCell="A38" activePane="bottomLeft" state="frozen"/>
      <selection activeCell="B67" sqref="B67:D67"/>
      <selection pane="bottomLeft" activeCell="B67" sqref="B67:D67"/>
    </sheetView>
  </sheetViews>
  <sheetFormatPr defaultRowHeight="15"/>
  <cols>
    <col min="1" max="1" width="5.33203125" style="2" customWidth="1"/>
    <col min="2" max="4" width="4.33203125" style="2" customWidth="1"/>
    <col min="5" max="5" width="6.33203125" style="2" customWidth="1"/>
    <col min="6" max="6" width="19.33203125" style="2" customWidth="1"/>
    <col min="7" max="7" width="25.88671875" style="2" customWidth="1"/>
    <col min="8" max="8" width="13.109375" style="2" customWidth="1"/>
    <col min="9" max="9" width="5.33203125" style="2" customWidth="1"/>
    <col min="10" max="10" width="10.88671875" style="2" customWidth="1"/>
    <col min="11" max="11" width="9.77734375" style="1" customWidth="1"/>
    <col min="12" max="12" width="7.88671875" style="1" hidden="1" customWidth="1"/>
    <col min="13" max="13" width="10.44140625" style="1" customWidth="1"/>
  </cols>
  <sheetData>
    <row r="1" spans="1:22" ht="4.5" customHeight="1"/>
    <row r="2" spans="1:22" ht="38.25" customHeight="1">
      <c r="A2" s="144" t="s">
        <v>485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2"/>
      <c r="O2" s="12"/>
      <c r="P2" s="12"/>
      <c r="Q2" s="12"/>
      <c r="R2" s="12"/>
      <c r="S2" s="12"/>
      <c r="T2" s="12"/>
      <c r="U2" s="12"/>
      <c r="V2" s="12"/>
    </row>
    <row r="3" spans="1:22" ht="4.5" customHeight="1" thickBot="1"/>
    <row r="4" spans="1:22" ht="33" customHeight="1">
      <c r="A4" s="4" t="s">
        <v>13</v>
      </c>
      <c r="B4" s="157" t="s">
        <v>21</v>
      </c>
      <c r="C4" s="158"/>
      <c r="D4" s="159"/>
      <c r="E4" s="18" t="s">
        <v>194</v>
      </c>
      <c r="F4" s="103" t="s">
        <v>3</v>
      </c>
      <c r="G4" s="103" t="s">
        <v>0</v>
      </c>
      <c r="H4" s="103" t="s">
        <v>6</v>
      </c>
      <c r="I4" s="5" t="s">
        <v>11</v>
      </c>
      <c r="J4" s="7" t="s">
        <v>7</v>
      </c>
      <c r="K4" s="7" t="s">
        <v>476</v>
      </c>
      <c r="L4" s="7" t="s">
        <v>475</v>
      </c>
      <c r="M4" s="13" t="s">
        <v>44</v>
      </c>
    </row>
    <row r="5" spans="1:22" ht="20.100000000000001" customHeight="1">
      <c r="A5" s="15">
        <v>1</v>
      </c>
      <c r="B5" s="151" t="s">
        <v>232</v>
      </c>
      <c r="C5" s="152"/>
      <c r="D5" s="153"/>
      <c r="E5" s="49" t="s">
        <v>423</v>
      </c>
      <c r="F5" s="59" t="s">
        <v>140</v>
      </c>
      <c r="G5" s="59" t="s">
        <v>187</v>
      </c>
      <c r="H5" s="50" t="s">
        <v>26</v>
      </c>
      <c r="I5" s="10" t="s">
        <v>12</v>
      </c>
      <c r="J5" s="57">
        <v>8</v>
      </c>
      <c r="K5" s="160">
        <v>1</v>
      </c>
      <c r="L5" s="160">
        <v>27</v>
      </c>
      <c r="M5" s="34"/>
    </row>
    <row r="6" spans="1:22" ht="20.100000000000001" customHeight="1">
      <c r="A6" s="15">
        <v>2</v>
      </c>
      <c r="B6" s="151" t="s">
        <v>232</v>
      </c>
      <c r="C6" s="152"/>
      <c r="D6" s="153"/>
      <c r="E6" s="49" t="s">
        <v>423</v>
      </c>
      <c r="F6" s="50" t="s">
        <v>140</v>
      </c>
      <c r="G6" s="50" t="s">
        <v>187</v>
      </c>
      <c r="H6" s="50" t="s">
        <v>26</v>
      </c>
      <c r="I6" s="10" t="s">
        <v>12</v>
      </c>
      <c r="J6" s="57">
        <v>8</v>
      </c>
      <c r="K6" s="161"/>
      <c r="L6" s="161"/>
      <c r="M6" s="34"/>
    </row>
    <row r="7" spans="1:22" ht="20.100000000000001" customHeight="1">
      <c r="A7" s="15">
        <v>3</v>
      </c>
      <c r="B7" s="151" t="s">
        <v>232</v>
      </c>
      <c r="C7" s="152"/>
      <c r="D7" s="153"/>
      <c r="E7" s="49" t="s">
        <v>423</v>
      </c>
      <c r="F7" s="75" t="s">
        <v>140</v>
      </c>
      <c r="G7" s="59" t="s">
        <v>187</v>
      </c>
      <c r="H7" s="50" t="s">
        <v>26</v>
      </c>
      <c r="I7" s="10" t="s">
        <v>12</v>
      </c>
      <c r="J7" s="57">
        <v>8</v>
      </c>
      <c r="K7" s="161"/>
      <c r="L7" s="161"/>
      <c r="M7" s="34"/>
    </row>
    <row r="8" spans="1:22" ht="20.100000000000001" customHeight="1">
      <c r="A8" s="15">
        <v>4</v>
      </c>
      <c r="B8" s="151" t="s">
        <v>232</v>
      </c>
      <c r="C8" s="152"/>
      <c r="D8" s="153"/>
      <c r="E8" s="49" t="s">
        <v>423</v>
      </c>
      <c r="F8" s="62" t="s">
        <v>140</v>
      </c>
      <c r="G8" s="64" t="s">
        <v>187</v>
      </c>
      <c r="H8" s="63" t="s">
        <v>26</v>
      </c>
      <c r="I8" s="10" t="s">
        <v>12</v>
      </c>
      <c r="J8" s="57">
        <v>8</v>
      </c>
      <c r="K8" s="161"/>
      <c r="L8" s="161"/>
      <c r="M8" s="34"/>
    </row>
    <row r="9" spans="1:22" ht="20.100000000000001" customHeight="1">
      <c r="A9" s="15">
        <v>5</v>
      </c>
      <c r="B9" s="151" t="s">
        <v>232</v>
      </c>
      <c r="C9" s="152"/>
      <c r="D9" s="153"/>
      <c r="E9" s="49" t="s">
        <v>423</v>
      </c>
      <c r="F9" s="75" t="s">
        <v>140</v>
      </c>
      <c r="G9" s="59" t="s">
        <v>187</v>
      </c>
      <c r="H9" s="50" t="s">
        <v>26</v>
      </c>
      <c r="I9" s="10" t="s">
        <v>12</v>
      </c>
      <c r="J9" s="57">
        <v>8</v>
      </c>
      <c r="K9" s="161"/>
      <c r="L9" s="161"/>
      <c r="M9" s="34"/>
    </row>
    <row r="10" spans="1:22" ht="20.100000000000001" customHeight="1">
      <c r="A10" s="15">
        <v>6</v>
      </c>
      <c r="B10" s="151" t="s">
        <v>232</v>
      </c>
      <c r="C10" s="152"/>
      <c r="D10" s="153"/>
      <c r="E10" s="49" t="s">
        <v>423</v>
      </c>
      <c r="F10" s="59" t="s">
        <v>140</v>
      </c>
      <c r="G10" s="59" t="s">
        <v>189</v>
      </c>
      <c r="H10" s="50" t="s">
        <v>26</v>
      </c>
      <c r="I10" s="10" t="s">
        <v>12</v>
      </c>
      <c r="J10" s="57">
        <v>32</v>
      </c>
      <c r="K10" s="161"/>
      <c r="L10" s="161"/>
      <c r="M10" s="34"/>
    </row>
    <row r="11" spans="1:22" ht="20.100000000000001" customHeight="1">
      <c r="A11" s="15">
        <v>7</v>
      </c>
      <c r="B11" s="151" t="s">
        <v>232</v>
      </c>
      <c r="C11" s="152"/>
      <c r="D11" s="153"/>
      <c r="E11" s="49" t="s">
        <v>423</v>
      </c>
      <c r="F11" s="59" t="s">
        <v>140</v>
      </c>
      <c r="G11" s="59" t="s">
        <v>196</v>
      </c>
      <c r="H11" s="50" t="s">
        <v>26</v>
      </c>
      <c r="I11" s="10" t="s">
        <v>12</v>
      </c>
      <c r="J11" s="57">
        <v>4</v>
      </c>
      <c r="K11" s="161"/>
      <c r="L11" s="161"/>
      <c r="M11" s="34"/>
    </row>
    <row r="12" spans="1:22" ht="20.100000000000001" customHeight="1">
      <c r="A12" s="15">
        <v>8</v>
      </c>
      <c r="B12" s="151" t="s">
        <v>232</v>
      </c>
      <c r="C12" s="152"/>
      <c r="D12" s="153"/>
      <c r="E12" s="49" t="s">
        <v>423</v>
      </c>
      <c r="F12" s="75" t="s">
        <v>140</v>
      </c>
      <c r="G12" s="59" t="s">
        <v>196</v>
      </c>
      <c r="H12" s="50" t="s">
        <v>26</v>
      </c>
      <c r="I12" s="10" t="s">
        <v>12</v>
      </c>
      <c r="J12" s="57">
        <v>4</v>
      </c>
      <c r="K12" s="161"/>
      <c r="L12" s="161"/>
      <c r="M12" s="34"/>
    </row>
    <row r="13" spans="1:22" ht="20.100000000000001" customHeight="1">
      <c r="A13" s="15">
        <v>9</v>
      </c>
      <c r="B13" s="151" t="s">
        <v>232</v>
      </c>
      <c r="C13" s="152"/>
      <c r="D13" s="153"/>
      <c r="E13" s="49" t="s">
        <v>423</v>
      </c>
      <c r="F13" s="60" t="s">
        <v>140</v>
      </c>
      <c r="G13" s="76" t="s">
        <v>196</v>
      </c>
      <c r="H13" s="61" t="s">
        <v>26</v>
      </c>
      <c r="I13" s="10" t="s">
        <v>12</v>
      </c>
      <c r="J13" s="57">
        <v>4</v>
      </c>
      <c r="K13" s="161"/>
      <c r="L13" s="161"/>
      <c r="M13" s="34"/>
    </row>
    <row r="14" spans="1:22" ht="20.100000000000001" customHeight="1">
      <c r="A14" s="15">
        <v>10</v>
      </c>
      <c r="B14" s="151" t="s">
        <v>232</v>
      </c>
      <c r="C14" s="152"/>
      <c r="D14" s="153"/>
      <c r="E14" s="49" t="s">
        <v>423</v>
      </c>
      <c r="F14" s="75" t="s">
        <v>140</v>
      </c>
      <c r="G14" s="59" t="s">
        <v>196</v>
      </c>
      <c r="H14" s="50" t="s">
        <v>26</v>
      </c>
      <c r="I14" s="10" t="s">
        <v>12</v>
      </c>
      <c r="J14" s="57">
        <v>4</v>
      </c>
      <c r="K14" s="161"/>
      <c r="L14" s="161"/>
      <c r="M14" s="34"/>
    </row>
    <row r="15" spans="1:22" ht="20.100000000000001" customHeight="1">
      <c r="A15" s="15">
        <v>11</v>
      </c>
      <c r="B15" s="151" t="s">
        <v>232</v>
      </c>
      <c r="C15" s="152"/>
      <c r="D15" s="153"/>
      <c r="E15" s="49" t="s">
        <v>423</v>
      </c>
      <c r="F15" s="75" t="s">
        <v>33</v>
      </c>
      <c r="G15" s="59" t="s">
        <v>188</v>
      </c>
      <c r="H15" s="50" t="s">
        <v>26</v>
      </c>
      <c r="I15" s="10" t="s">
        <v>12</v>
      </c>
      <c r="J15" s="57">
        <v>16</v>
      </c>
      <c r="K15" s="161"/>
      <c r="L15" s="161"/>
      <c r="M15" s="34"/>
    </row>
    <row r="16" spans="1:22" ht="20.100000000000001" customHeight="1">
      <c r="A16" s="15">
        <v>12</v>
      </c>
      <c r="B16" s="151" t="s">
        <v>232</v>
      </c>
      <c r="C16" s="152"/>
      <c r="D16" s="153"/>
      <c r="E16" s="49" t="s">
        <v>423</v>
      </c>
      <c r="F16" s="75" t="s">
        <v>33</v>
      </c>
      <c r="G16" s="59" t="s">
        <v>188</v>
      </c>
      <c r="H16" s="50" t="s">
        <v>26</v>
      </c>
      <c r="I16" s="10" t="s">
        <v>12</v>
      </c>
      <c r="J16" s="57">
        <v>16</v>
      </c>
      <c r="K16" s="161"/>
      <c r="L16" s="161"/>
      <c r="M16" s="34"/>
    </row>
    <row r="17" spans="1:13" ht="20.100000000000001" customHeight="1">
      <c r="A17" s="15">
        <v>13</v>
      </c>
      <c r="B17" s="151" t="s">
        <v>232</v>
      </c>
      <c r="C17" s="152"/>
      <c r="D17" s="153"/>
      <c r="E17" s="49" t="s">
        <v>423</v>
      </c>
      <c r="F17" s="73" t="s">
        <v>33</v>
      </c>
      <c r="G17" s="73" t="s">
        <v>143</v>
      </c>
      <c r="H17" s="73" t="s">
        <v>26</v>
      </c>
      <c r="I17" s="10" t="s">
        <v>12</v>
      </c>
      <c r="J17" s="57">
        <v>24</v>
      </c>
      <c r="K17" s="161"/>
      <c r="L17" s="161"/>
      <c r="M17" s="34"/>
    </row>
    <row r="18" spans="1:13" ht="20.100000000000001" customHeight="1">
      <c r="A18" s="15">
        <v>14</v>
      </c>
      <c r="B18" s="151" t="s">
        <v>232</v>
      </c>
      <c r="C18" s="152"/>
      <c r="D18" s="153"/>
      <c r="E18" s="49" t="s">
        <v>423</v>
      </c>
      <c r="F18" s="50" t="s">
        <v>33</v>
      </c>
      <c r="G18" s="50" t="s">
        <v>143</v>
      </c>
      <c r="H18" s="50" t="s">
        <v>26</v>
      </c>
      <c r="I18" s="10" t="s">
        <v>12</v>
      </c>
      <c r="J18" s="57">
        <v>16</v>
      </c>
      <c r="K18" s="161"/>
      <c r="L18" s="161"/>
      <c r="M18" s="34"/>
    </row>
    <row r="19" spans="1:13" ht="20.100000000000001" customHeight="1">
      <c r="A19" s="15">
        <v>15</v>
      </c>
      <c r="B19" s="151" t="s">
        <v>232</v>
      </c>
      <c r="C19" s="152"/>
      <c r="D19" s="153"/>
      <c r="E19" s="49" t="s">
        <v>423</v>
      </c>
      <c r="F19" s="50" t="s">
        <v>33</v>
      </c>
      <c r="G19" s="50" t="s">
        <v>143</v>
      </c>
      <c r="H19" s="50" t="s">
        <v>26</v>
      </c>
      <c r="I19" s="10" t="s">
        <v>12</v>
      </c>
      <c r="J19" s="57">
        <v>24</v>
      </c>
      <c r="K19" s="161"/>
      <c r="L19" s="161"/>
      <c r="M19" s="34"/>
    </row>
    <row r="20" spans="1:13" ht="20.100000000000001" customHeight="1">
      <c r="A20" s="15">
        <v>16</v>
      </c>
      <c r="B20" s="151" t="s">
        <v>232</v>
      </c>
      <c r="C20" s="152"/>
      <c r="D20" s="153"/>
      <c r="E20" s="49" t="s">
        <v>423</v>
      </c>
      <c r="F20" s="50" t="s">
        <v>33</v>
      </c>
      <c r="G20" s="50" t="s">
        <v>143</v>
      </c>
      <c r="H20" s="50" t="s">
        <v>26</v>
      </c>
      <c r="I20" s="10" t="s">
        <v>12</v>
      </c>
      <c r="J20" s="57">
        <v>24</v>
      </c>
      <c r="K20" s="161"/>
      <c r="L20" s="161"/>
      <c r="M20" s="34"/>
    </row>
    <row r="21" spans="1:13" ht="20.100000000000001" customHeight="1">
      <c r="A21" s="15">
        <v>17</v>
      </c>
      <c r="B21" s="151" t="s">
        <v>232</v>
      </c>
      <c r="C21" s="152"/>
      <c r="D21" s="153"/>
      <c r="E21" s="49" t="s">
        <v>423</v>
      </c>
      <c r="F21" s="50" t="s">
        <v>33</v>
      </c>
      <c r="G21" s="50" t="s">
        <v>266</v>
      </c>
      <c r="H21" s="50" t="s">
        <v>26</v>
      </c>
      <c r="I21" s="10" t="s">
        <v>12</v>
      </c>
      <c r="J21" s="57">
        <v>24</v>
      </c>
      <c r="K21" s="161"/>
      <c r="L21" s="161"/>
      <c r="M21" s="34"/>
    </row>
    <row r="22" spans="1:13" ht="20.100000000000001" customHeight="1">
      <c r="A22" s="15">
        <v>18</v>
      </c>
      <c r="B22" s="151" t="s">
        <v>232</v>
      </c>
      <c r="C22" s="152"/>
      <c r="D22" s="153"/>
      <c r="E22" s="49" t="s">
        <v>423</v>
      </c>
      <c r="F22" s="79" t="s">
        <v>33</v>
      </c>
      <c r="G22" s="59" t="s">
        <v>269</v>
      </c>
      <c r="H22" s="50" t="s">
        <v>26</v>
      </c>
      <c r="I22" s="10" t="s">
        <v>12</v>
      </c>
      <c r="J22" s="57">
        <v>4</v>
      </c>
      <c r="K22" s="161"/>
      <c r="L22" s="161"/>
      <c r="M22" s="34"/>
    </row>
    <row r="23" spans="1:13" ht="20.100000000000001" customHeight="1">
      <c r="A23" s="15">
        <v>19</v>
      </c>
      <c r="B23" s="151" t="s">
        <v>232</v>
      </c>
      <c r="C23" s="152"/>
      <c r="D23" s="153"/>
      <c r="E23" s="49" t="s">
        <v>423</v>
      </c>
      <c r="F23" s="50" t="s">
        <v>33</v>
      </c>
      <c r="G23" s="50" t="s">
        <v>265</v>
      </c>
      <c r="H23" s="50" t="s">
        <v>26</v>
      </c>
      <c r="I23" s="10" t="s">
        <v>12</v>
      </c>
      <c r="J23" s="57">
        <v>16</v>
      </c>
      <c r="K23" s="161"/>
      <c r="L23" s="161"/>
      <c r="M23" s="34"/>
    </row>
    <row r="24" spans="1:13" ht="20.100000000000001" customHeight="1" thickBot="1">
      <c r="A24" s="15">
        <v>20</v>
      </c>
      <c r="B24" s="151" t="s">
        <v>232</v>
      </c>
      <c r="C24" s="152"/>
      <c r="D24" s="153"/>
      <c r="E24" s="49" t="s">
        <v>423</v>
      </c>
      <c r="F24" s="78" t="s">
        <v>40</v>
      </c>
      <c r="G24" s="76" t="s">
        <v>427</v>
      </c>
      <c r="H24" s="76" t="s">
        <v>26</v>
      </c>
      <c r="I24" s="93" t="s">
        <v>12</v>
      </c>
      <c r="J24" s="57">
        <v>12</v>
      </c>
      <c r="K24" s="162"/>
      <c r="L24" s="162"/>
      <c r="M24" s="92"/>
    </row>
    <row r="25" spans="1:13" ht="33" customHeight="1">
      <c r="A25" s="4" t="s">
        <v>13</v>
      </c>
      <c r="B25" s="157" t="s">
        <v>21</v>
      </c>
      <c r="C25" s="158"/>
      <c r="D25" s="159"/>
      <c r="E25" s="18" t="s">
        <v>194</v>
      </c>
      <c r="F25" s="5" t="s">
        <v>3</v>
      </c>
      <c r="G25" s="5" t="s">
        <v>0</v>
      </c>
      <c r="H25" s="5" t="s">
        <v>6</v>
      </c>
      <c r="I25" s="5" t="s">
        <v>11</v>
      </c>
      <c r="J25" s="7" t="s">
        <v>7</v>
      </c>
      <c r="K25" s="7" t="s">
        <v>476</v>
      </c>
      <c r="L25" s="7" t="s">
        <v>475</v>
      </c>
      <c r="M25" s="13" t="s">
        <v>44</v>
      </c>
    </row>
    <row r="26" spans="1:13" ht="20.100000000000001" customHeight="1">
      <c r="A26" s="91">
        <v>21</v>
      </c>
      <c r="B26" s="151" t="s">
        <v>232</v>
      </c>
      <c r="C26" s="152"/>
      <c r="D26" s="153"/>
      <c r="E26" s="49" t="s">
        <v>423</v>
      </c>
      <c r="F26" s="50" t="s">
        <v>40</v>
      </c>
      <c r="G26" s="50" t="s">
        <v>427</v>
      </c>
      <c r="H26" s="50" t="s">
        <v>26</v>
      </c>
      <c r="I26" s="88" t="s">
        <v>12</v>
      </c>
      <c r="J26" s="57">
        <v>12</v>
      </c>
      <c r="K26" s="163">
        <v>1</v>
      </c>
      <c r="L26" s="86"/>
      <c r="M26" s="85"/>
    </row>
    <row r="27" spans="1:13" ht="20.100000000000001" customHeight="1">
      <c r="A27" s="91">
        <v>22</v>
      </c>
      <c r="B27" s="151" t="s">
        <v>232</v>
      </c>
      <c r="C27" s="152"/>
      <c r="D27" s="153"/>
      <c r="E27" s="49" t="s">
        <v>423</v>
      </c>
      <c r="F27" s="79" t="s">
        <v>40</v>
      </c>
      <c r="G27" s="59" t="s">
        <v>427</v>
      </c>
      <c r="H27" s="50" t="s">
        <v>26</v>
      </c>
      <c r="I27" s="88" t="s">
        <v>12</v>
      </c>
      <c r="J27" s="57">
        <v>12</v>
      </c>
      <c r="K27" s="164"/>
      <c r="L27" s="86"/>
      <c r="M27" s="85"/>
    </row>
    <row r="28" spans="1:13" ht="20.100000000000001" customHeight="1">
      <c r="A28" s="91">
        <v>23</v>
      </c>
      <c r="B28" s="151" t="s">
        <v>232</v>
      </c>
      <c r="C28" s="152"/>
      <c r="D28" s="153"/>
      <c r="E28" s="49" t="s">
        <v>423</v>
      </c>
      <c r="F28" s="59" t="s">
        <v>40</v>
      </c>
      <c r="G28" s="59" t="s">
        <v>427</v>
      </c>
      <c r="H28" s="50" t="s">
        <v>26</v>
      </c>
      <c r="I28" s="88" t="s">
        <v>12</v>
      </c>
      <c r="J28" s="57">
        <v>12</v>
      </c>
      <c r="K28" s="164"/>
      <c r="L28" s="86"/>
      <c r="M28" s="85"/>
    </row>
    <row r="29" spans="1:13" ht="20.100000000000001" customHeight="1">
      <c r="A29" s="91">
        <v>24</v>
      </c>
      <c r="B29" s="151" t="s">
        <v>232</v>
      </c>
      <c r="C29" s="152"/>
      <c r="D29" s="153"/>
      <c r="E29" s="49" t="s">
        <v>423</v>
      </c>
      <c r="F29" s="59" t="s">
        <v>40</v>
      </c>
      <c r="G29" s="59" t="s">
        <v>427</v>
      </c>
      <c r="H29" s="50" t="s">
        <v>26</v>
      </c>
      <c r="I29" s="88" t="s">
        <v>12</v>
      </c>
      <c r="J29" s="57">
        <v>12</v>
      </c>
      <c r="K29" s="164"/>
      <c r="L29" s="86"/>
      <c r="M29" s="85"/>
    </row>
    <row r="30" spans="1:13" ht="20.100000000000001" customHeight="1">
      <c r="A30" s="91">
        <v>25</v>
      </c>
      <c r="B30" s="151" t="s">
        <v>232</v>
      </c>
      <c r="C30" s="152"/>
      <c r="D30" s="153"/>
      <c r="E30" s="49" t="s">
        <v>423</v>
      </c>
      <c r="F30" s="59" t="s">
        <v>28</v>
      </c>
      <c r="G30" s="59" t="s">
        <v>428</v>
      </c>
      <c r="H30" s="50" t="s">
        <v>26</v>
      </c>
      <c r="I30" s="88" t="s">
        <v>12</v>
      </c>
      <c r="J30" s="57">
        <v>4</v>
      </c>
      <c r="K30" s="164"/>
      <c r="L30" s="86"/>
      <c r="M30" s="85"/>
    </row>
    <row r="31" spans="1:13" ht="20.100000000000001" customHeight="1">
      <c r="A31" s="91">
        <v>26</v>
      </c>
      <c r="B31" s="151" t="s">
        <v>232</v>
      </c>
      <c r="C31" s="152"/>
      <c r="D31" s="153"/>
      <c r="E31" s="49" t="s">
        <v>423</v>
      </c>
      <c r="F31" s="75" t="s">
        <v>244</v>
      </c>
      <c r="G31" s="59" t="s">
        <v>429</v>
      </c>
      <c r="H31" s="50" t="s">
        <v>26</v>
      </c>
      <c r="I31" s="88" t="s">
        <v>12</v>
      </c>
      <c r="J31" s="57">
        <v>8</v>
      </c>
      <c r="K31" s="164"/>
      <c r="L31" s="86"/>
      <c r="M31" s="85"/>
    </row>
    <row r="32" spans="1:13" ht="20.100000000000001" customHeight="1">
      <c r="A32" s="91">
        <v>27</v>
      </c>
      <c r="B32" s="151" t="s">
        <v>232</v>
      </c>
      <c r="C32" s="152"/>
      <c r="D32" s="153"/>
      <c r="E32" s="49" t="s">
        <v>423</v>
      </c>
      <c r="F32" s="75" t="s">
        <v>244</v>
      </c>
      <c r="G32" s="59" t="s">
        <v>429</v>
      </c>
      <c r="H32" s="50" t="s">
        <v>26</v>
      </c>
      <c r="I32" s="88" t="s">
        <v>12</v>
      </c>
      <c r="J32" s="57">
        <v>4</v>
      </c>
      <c r="K32" s="164"/>
      <c r="L32" s="86"/>
      <c r="M32" s="85"/>
    </row>
    <row r="33" spans="1:13" ht="20.100000000000001" customHeight="1">
      <c r="A33" s="91">
        <v>28</v>
      </c>
      <c r="B33" s="151" t="s">
        <v>232</v>
      </c>
      <c r="C33" s="152"/>
      <c r="D33" s="153"/>
      <c r="E33" s="49" t="s">
        <v>423</v>
      </c>
      <c r="F33" s="50" t="s">
        <v>244</v>
      </c>
      <c r="G33" s="50" t="s">
        <v>430</v>
      </c>
      <c r="H33" s="50" t="s">
        <v>26</v>
      </c>
      <c r="I33" s="88" t="s">
        <v>12</v>
      </c>
      <c r="J33" s="77">
        <v>4</v>
      </c>
      <c r="K33" s="164"/>
      <c r="L33" s="86"/>
      <c r="M33" s="85"/>
    </row>
    <row r="34" spans="1:13" ht="20.100000000000001" customHeight="1">
      <c r="A34" s="91">
        <v>29</v>
      </c>
      <c r="B34" s="151" t="s">
        <v>232</v>
      </c>
      <c r="C34" s="152"/>
      <c r="D34" s="153"/>
      <c r="E34" s="49" t="s">
        <v>423</v>
      </c>
      <c r="F34" s="50" t="s">
        <v>244</v>
      </c>
      <c r="G34" s="50" t="s">
        <v>270</v>
      </c>
      <c r="H34" s="50" t="s">
        <v>26</v>
      </c>
      <c r="I34" s="88" t="s">
        <v>12</v>
      </c>
      <c r="J34" s="77">
        <v>4</v>
      </c>
      <c r="K34" s="164"/>
      <c r="L34" s="86"/>
      <c r="M34" s="85"/>
    </row>
    <row r="35" spans="1:13" ht="20.100000000000001" customHeight="1">
      <c r="A35" s="91">
        <v>30</v>
      </c>
      <c r="B35" s="151" t="s">
        <v>232</v>
      </c>
      <c r="C35" s="152"/>
      <c r="D35" s="153"/>
      <c r="E35" s="49" t="s">
        <v>423</v>
      </c>
      <c r="F35" s="59" t="s">
        <v>244</v>
      </c>
      <c r="G35" s="59" t="s">
        <v>431</v>
      </c>
      <c r="H35" s="50" t="s">
        <v>26</v>
      </c>
      <c r="I35" s="88" t="s">
        <v>12</v>
      </c>
      <c r="J35" s="57">
        <v>4</v>
      </c>
      <c r="K35" s="164"/>
      <c r="L35" s="86"/>
      <c r="M35" s="85"/>
    </row>
    <row r="36" spans="1:13" ht="20.100000000000001" customHeight="1">
      <c r="A36" s="91">
        <v>31</v>
      </c>
      <c r="B36" s="151" t="s">
        <v>232</v>
      </c>
      <c r="C36" s="152"/>
      <c r="D36" s="153"/>
      <c r="E36" s="49" t="s">
        <v>423</v>
      </c>
      <c r="F36" s="76" t="s">
        <v>244</v>
      </c>
      <c r="G36" s="76" t="s">
        <v>431</v>
      </c>
      <c r="H36" s="76" t="s">
        <v>26</v>
      </c>
      <c r="I36" s="88" t="s">
        <v>12</v>
      </c>
      <c r="J36" s="57">
        <v>4</v>
      </c>
      <c r="K36" s="164"/>
      <c r="L36" s="86"/>
      <c r="M36" s="85"/>
    </row>
    <row r="37" spans="1:13" ht="20.100000000000001" customHeight="1">
      <c r="A37" s="91">
        <v>32</v>
      </c>
      <c r="B37" s="151" t="s">
        <v>232</v>
      </c>
      <c r="C37" s="152"/>
      <c r="D37" s="153"/>
      <c r="E37" s="49" t="s">
        <v>423</v>
      </c>
      <c r="F37" s="59" t="s">
        <v>244</v>
      </c>
      <c r="G37" s="59" t="s">
        <v>431</v>
      </c>
      <c r="H37" s="50" t="s">
        <v>26</v>
      </c>
      <c r="I37" s="88" t="s">
        <v>12</v>
      </c>
      <c r="J37" s="57">
        <v>4</v>
      </c>
      <c r="K37" s="164"/>
      <c r="L37" s="86"/>
      <c r="M37" s="85"/>
    </row>
    <row r="38" spans="1:13" ht="20.100000000000001" customHeight="1">
      <c r="A38" s="91">
        <v>33</v>
      </c>
      <c r="B38" s="151" t="s">
        <v>232</v>
      </c>
      <c r="C38" s="152"/>
      <c r="D38" s="153"/>
      <c r="E38" s="49" t="s">
        <v>423</v>
      </c>
      <c r="F38" s="76" t="s">
        <v>244</v>
      </c>
      <c r="G38" s="80" t="s">
        <v>431</v>
      </c>
      <c r="H38" s="76" t="s">
        <v>26</v>
      </c>
      <c r="I38" s="88" t="s">
        <v>12</v>
      </c>
      <c r="J38" s="57">
        <v>4</v>
      </c>
      <c r="K38" s="164"/>
      <c r="L38" s="86"/>
      <c r="M38" s="85"/>
    </row>
    <row r="39" spans="1:13" ht="20.100000000000001" customHeight="1">
      <c r="A39" s="91">
        <v>34</v>
      </c>
      <c r="B39" s="151" t="s">
        <v>232</v>
      </c>
      <c r="C39" s="152"/>
      <c r="D39" s="153"/>
      <c r="E39" s="49" t="s">
        <v>423</v>
      </c>
      <c r="F39" s="76" t="s">
        <v>244</v>
      </c>
      <c r="G39" s="76" t="s">
        <v>431</v>
      </c>
      <c r="H39" s="76" t="s">
        <v>26</v>
      </c>
      <c r="I39" s="88" t="s">
        <v>12</v>
      </c>
      <c r="J39" s="57">
        <v>4</v>
      </c>
      <c r="K39" s="164"/>
      <c r="L39" s="86"/>
      <c r="M39" s="85"/>
    </row>
    <row r="40" spans="1:13" ht="20.100000000000001" customHeight="1">
      <c r="A40" s="91">
        <v>35</v>
      </c>
      <c r="B40" s="151" t="s">
        <v>232</v>
      </c>
      <c r="C40" s="152"/>
      <c r="D40" s="153"/>
      <c r="E40" s="49" t="s">
        <v>423</v>
      </c>
      <c r="F40" s="59" t="s">
        <v>244</v>
      </c>
      <c r="G40" s="59" t="s">
        <v>432</v>
      </c>
      <c r="H40" s="50" t="s">
        <v>26</v>
      </c>
      <c r="I40" s="88" t="s">
        <v>12</v>
      </c>
      <c r="J40" s="57">
        <v>8</v>
      </c>
      <c r="K40" s="164"/>
      <c r="L40" s="86"/>
      <c r="M40" s="85"/>
    </row>
    <row r="41" spans="1:13" ht="20.100000000000001" customHeight="1">
      <c r="A41" s="91">
        <v>36</v>
      </c>
      <c r="B41" s="151" t="s">
        <v>232</v>
      </c>
      <c r="C41" s="152"/>
      <c r="D41" s="153"/>
      <c r="E41" s="49" t="s">
        <v>423</v>
      </c>
      <c r="F41" s="59" t="s">
        <v>244</v>
      </c>
      <c r="G41" s="59" t="s">
        <v>432</v>
      </c>
      <c r="H41" s="50" t="s">
        <v>26</v>
      </c>
      <c r="I41" s="88" t="s">
        <v>12</v>
      </c>
      <c r="J41" s="57">
        <v>8</v>
      </c>
      <c r="K41" s="164"/>
      <c r="L41" s="86"/>
      <c r="M41" s="85"/>
    </row>
    <row r="42" spans="1:13" ht="20.100000000000001" customHeight="1">
      <c r="A42" s="91">
        <v>37</v>
      </c>
      <c r="B42" s="151" t="s">
        <v>232</v>
      </c>
      <c r="C42" s="152"/>
      <c r="D42" s="153"/>
      <c r="E42" s="49" t="s">
        <v>423</v>
      </c>
      <c r="F42" s="76" t="s">
        <v>244</v>
      </c>
      <c r="G42" s="80" t="s">
        <v>433</v>
      </c>
      <c r="H42" s="76" t="s">
        <v>26</v>
      </c>
      <c r="I42" s="88" t="s">
        <v>12</v>
      </c>
      <c r="J42" s="57">
        <v>8</v>
      </c>
      <c r="K42" s="164"/>
      <c r="L42" s="86"/>
      <c r="M42" s="85"/>
    </row>
    <row r="43" spans="1:13" ht="20.100000000000001" customHeight="1">
      <c r="A43" s="91">
        <v>38</v>
      </c>
      <c r="B43" s="151" t="s">
        <v>232</v>
      </c>
      <c r="C43" s="152"/>
      <c r="D43" s="153"/>
      <c r="E43" s="49" t="s">
        <v>423</v>
      </c>
      <c r="F43" s="76" t="s">
        <v>244</v>
      </c>
      <c r="G43" s="80" t="s">
        <v>434</v>
      </c>
      <c r="H43" s="76" t="s">
        <v>26</v>
      </c>
      <c r="I43" s="88" t="s">
        <v>12</v>
      </c>
      <c r="J43" s="57">
        <v>4</v>
      </c>
      <c r="K43" s="164"/>
      <c r="L43" s="86"/>
      <c r="M43" s="85"/>
    </row>
    <row r="44" spans="1:13" ht="20.100000000000001" customHeight="1">
      <c r="A44" s="91">
        <v>39</v>
      </c>
      <c r="B44" s="151" t="s">
        <v>232</v>
      </c>
      <c r="C44" s="152"/>
      <c r="D44" s="153"/>
      <c r="E44" s="49" t="s">
        <v>423</v>
      </c>
      <c r="F44" s="76" t="s">
        <v>244</v>
      </c>
      <c r="G44" s="80" t="s">
        <v>434</v>
      </c>
      <c r="H44" s="76" t="s">
        <v>26</v>
      </c>
      <c r="I44" s="88" t="s">
        <v>12</v>
      </c>
      <c r="J44" s="57">
        <v>4</v>
      </c>
      <c r="K44" s="164"/>
      <c r="L44" s="86"/>
      <c r="M44" s="85"/>
    </row>
    <row r="45" spans="1:13" ht="20.100000000000001" customHeight="1">
      <c r="A45" s="91">
        <v>40</v>
      </c>
      <c r="B45" s="151" t="s">
        <v>232</v>
      </c>
      <c r="C45" s="152"/>
      <c r="D45" s="153"/>
      <c r="E45" s="49" t="s">
        <v>423</v>
      </c>
      <c r="F45" s="76" t="s">
        <v>244</v>
      </c>
      <c r="G45" s="76" t="s">
        <v>260</v>
      </c>
      <c r="H45" s="76" t="s">
        <v>26</v>
      </c>
      <c r="I45" s="88" t="s">
        <v>12</v>
      </c>
      <c r="J45" s="57">
        <v>4</v>
      </c>
      <c r="K45" s="164"/>
      <c r="L45" s="86"/>
      <c r="M45" s="85"/>
    </row>
    <row r="46" spans="1:13" ht="20.100000000000001" customHeight="1">
      <c r="A46" s="91">
        <v>41</v>
      </c>
      <c r="B46" s="151" t="s">
        <v>232</v>
      </c>
      <c r="C46" s="152"/>
      <c r="D46" s="153"/>
      <c r="E46" s="49" t="s">
        <v>423</v>
      </c>
      <c r="F46" s="76" t="s">
        <v>244</v>
      </c>
      <c r="G46" s="80" t="s">
        <v>260</v>
      </c>
      <c r="H46" s="76" t="s">
        <v>26</v>
      </c>
      <c r="I46" s="88" t="s">
        <v>12</v>
      </c>
      <c r="J46" s="57">
        <v>4</v>
      </c>
      <c r="K46" s="164"/>
      <c r="L46" s="86"/>
      <c r="M46" s="85"/>
    </row>
    <row r="47" spans="1:13" ht="20.100000000000001" customHeight="1">
      <c r="A47" s="91">
        <v>42</v>
      </c>
      <c r="B47" s="151" t="s">
        <v>232</v>
      </c>
      <c r="C47" s="152"/>
      <c r="D47" s="153"/>
      <c r="E47" s="49" t="s">
        <v>423</v>
      </c>
      <c r="F47" s="76" t="s">
        <v>244</v>
      </c>
      <c r="G47" s="80" t="s">
        <v>257</v>
      </c>
      <c r="H47" s="76" t="s">
        <v>26</v>
      </c>
      <c r="I47" s="88" t="s">
        <v>12</v>
      </c>
      <c r="J47" s="57">
        <v>4</v>
      </c>
      <c r="K47" s="164"/>
      <c r="L47" s="86"/>
      <c r="M47" s="85"/>
    </row>
    <row r="48" spans="1:13" ht="20.100000000000001" customHeight="1">
      <c r="A48" s="91">
        <v>43</v>
      </c>
      <c r="B48" s="151" t="s">
        <v>232</v>
      </c>
      <c r="C48" s="152"/>
      <c r="D48" s="153"/>
      <c r="E48" s="49" t="s">
        <v>423</v>
      </c>
      <c r="F48" s="50" t="s">
        <v>244</v>
      </c>
      <c r="G48" s="50" t="s">
        <v>257</v>
      </c>
      <c r="H48" s="76" t="s">
        <v>26</v>
      </c>
      <c r="I48" s="88" t="s">
        <v>12</v>
      </c>
      <c r="J48" s="57">
        <v>4</v>
      </c>
      <c r="K48" s="164"/>
      <c r="L48" s="86"/>
      <c r="M48" s="85"/>
    </row>
    <row r="49" spans="1:13" ht="20.100000000000001" customHeight="1" thickBot="1">
      <c r="A49" s="91">
        <v>44</v>
      </c>
      <c r="B49" s="151" t="s">
        <v>232</v>
      </c>
      <c r="C49" s="152"/>
      <c r="D49" s="153"/>
      <c r="E49" s="49" t="s">
        <v>423</v>
      </c>
      <c r="F49" s="50" t="s">
        <v>244</v>
      </c>
      <c r="G49" s="50" t="s">
        <v>257</v>
      </c>
      <c r="H49" s="76" t="s">
        <v>26</v>
      </c>
      <c r="I49" s="88" t="s">
        <v>12</v>
      </c>
      <c r="J49" s="57">
        <v>4</v>
      </c>
      <c r="K49" s="168"/>
      <c r="L49" s="86"/>
      <c r="M49" s="85"/>
    </row>
    <row r="50" spans="1:13" ht="33" customHeight="1">
      <c r="A50" s="4" t="s">
        <v>13</v>
      </c>
      <c r="B50" s="157" t="s">
        <v>21</v>
      </c>
      <c r="C50" s="158"/>
      <c r="D50" s="159"/>
      <c r="E50" s="18" t="s">
        <v>194</v>
      </c>
      <c r="F50" s="5" t="s">
        <v>3</v>
      </c>
      <c r="G50" s="5" t="s">
        <v>0</v>
      </c>
      <c r="H50" s="5" t="s">
        <v>6</v>
      </c>
      <c r="I50" s="5" t="s">
        <v>11</v>
      </c>
      <c r="J50" s="7" t="s">
        <v>7</v>
      </c>
      <c r="K50" s="7" t="s">
        <v>476</v>
      </c>
      <c r="L50" s="7" t="s">
        <v>475</v>
      </c>
      <c r="M50" s="13" t="s">
        <v>44</v>
      </c>
    </row>
    <row r="51" spans="1:13" ht="20.100000000000001" customHeight="1">
      <c r="A51" s="91">
        <v>46</v>
      </c>
      <c r="B51" s="151" t="s">
        <v>232</v>
      </c>
      <c r="C51" s="152"/>
      <c r="D51" s="153"/>
      <c r="E51" s="49" t="s">
        <v>423</v>
      </c>
      <c r="F51" s="50" t="s">
        <v>244</v>
      </c>
      <c r="G51" s="50" t="s">
        <v>257</v>
      </c>
      <c r="H51" s="50" t="s">
        <v>26</v>
      </c>
      <c r="I51" s="88" t="s">
        <v>12</v>
      </c>
      <c r="J51" s="57">
        <v>4</v>
      </c>
      <c r="K51" s="163">
        <v>1</v>
      </c>
      <c r="L51" s="86"/>
      <c r="M51" s="85"/>
    </row>
    <row r="52" spans="1:13" ht="20.100000000000001" customHeight="1">
      <c r="A52" s="91">
        <v>47</v>
      </c>
      <c r="B52" s="151" t="s">
        <v>232</v>
      </c>
      <c r="C52" s="152"/>
      <c r="D52" s="153"/>
      <c r="E52" s="49" t="s">
        <v>423</v>
      </c>
      <c r="F52" s="59" t="s">
        <v>28</v>
      </c>
      <c r="G52" s="59" t="s">
        <v>435</v>
      </c>
      <c r="H52" s="50" t="s">
        <v>26</v>
      </c>
      <c r="I52" s="88" t="s">
        <v>12</v>
      </c>
      <c r="J52" s="57">
        <v>4</v>
      </c>
      <c r="K52" s="164"/>
      <c r="L52" s="86"/>
      <c r="M52" s="85"/>
    </row>
    <row r="53" spans="1:13" ht="20.100000000000001" customHeight="1">
      <c r="A53" s="91">
        <v>48</v>
      </c>
      <c r="B53" s="151" t="s">
        <v>232</v>
      </c>
      <c r="C53" s="152"/>
      <c r="D53" s="153"/>
      <c r="E53" s="49" t="s">
        <v>423</v>
      </c>
      <c r="F53" s="76" t="s">
        <v>244</v>
      </c>
      <c r="G53" s="76" t="s">
        <v>192</v>
      </c>
      <c r="H53" s="76" t="s">
        <v>26</v>
      </c>
      <c r="I53" s="88" t="s">
        <v>12</v>
      </c>
      <c r="J53" s="77">
        <v>16</v>
      </c>
      <c r="K53" s="164"/>
      <c r="L53" s="86"/>
      <c r="M53" s="85"/>
    </row>
    <row r="54" spans="1:13" ht="20.100000000000001" customHeight="1">
      <c r="A54" s="91">
        <v>49</v>
      </c>
      <c r="B54" s="151" t="s">
        <v>232</v>
      </c>
      <c r="C54" s="152"/>
      <c r="D54" s="153"/>
      <c r="E54" s="49" t="s">
        <v>423</v>
      </c>
      <c r="F54" s="76" t="s">
        <v>244</v>
      </c>
      <c r="G54" s="76" t="s">
        <v>253</v>
      </c>
      <c r="H54" s="76" t="s">
        <v>26</v>
      </c>
      <c r="I54" s="88" t="s">
        <v>12</v>
      </c>
      <c r="J54" s="57">
        <v>8</v>
      </c>
      <c r="K54" s="164"/>
      <c r="L54" s="86"/>
      <c r="M54" s="85"/>
    </row>
    <row r="55" spans="1:13" ht="20.100000000000001" customHeight="1">
      <c r="A55" s="91">
        <v>50</v>
      </c>
      <c r="B55" s="151" t="s">
        <v>232</v>
      </c>
      <c r="C55" s="152"/>
      <c r="D55" s="153"/>
      <c r="E55" s="49" t="s">
        <v>423</v>
      </c>
      <c r="F55" s="76" t="s">
        <v>244</v>
      </c>
      <c r="G55" s="76" t="s">
        <v>253</v>
      </c>
      <c r="H55" s="76" t="s">
        <v>26</v>
      </c>
      <c r="I55" s="88" t="s">
        <v>12</v>
      </c>
      <c r="J55" s="57">
        <v>12</v>
      </c>
      <c r="K55" s="164"/>
      <c r="L55" s="86"/>
      <c r="M55" s="85"/>
    </row>
    <row r="56" spans="1:13" ht="20.100000000000001" customHeight="1">
      <c r="A56" s="91">
        <v>51</v>
      </c>
      <c r="B56" s="151" t="s">
        <v>232</v>
      </c>
      <c r="C56" s="152"/>
      <c r="D56" s="153"/>
      <c r="E56" s="49" t="s">
        <v>423</v>
      </c>
      <c r="F56" s="59" t="s">
        <v>244</v>
      </c>
      <c r="G56" s="59" t="s">
        <v>437</v>
      </c>
      <c r="H56" s="50" t="s">
        <v>26</v>
      </c>
      <c r="I56" s="88" t="s">
        <v>12</v>
      </c>
      <c r="J56" s="57">
        <v>4</v>
      </c>
      <c r="K56" s="164"/>
      <c r="L56" s="86"/>
      <c r="M56" s="85"/>
    </row>
    <row r="57" spans="1:13" ht="20.100000000000001" customHeight="1">
      <c r="A57" s="91">
        <v>52</v>
      </c>
      <c r="B57" s="151" t="s">
        <v>232</v>
      </c>
      <c r="C57" s="152"/>
      <c r="D57" s="153"/>
      <c r="E57" s="49" t="s">
        <v>423</v>
      </c>
      <c r="F57" s="59" t="s">
        <v>244</v>
      </c>
      <c r="G57" s="59" t="s">
        <v>267</v>
      </c>
      <c r="H57" s="50" t="s">
        <v>26</v>
      </c>
      <c r="I57" s="88" t="s">
        <v>12</v>
      </c>
      <c r="J57" s="57">
        <v>24</v>
      </c>
      <c r="K57" s="164"/>
      <c r="L57" s="86"/>
      <c r="M57" s="85"/>
    </row>
    <row r="58" spans="1:13" ht="20.100000000000001" customHeight="1">
      <c r="A58" s="91">
        <v>53</v>
      </c>
      <c r="B58" s="151" t="s">
        <v>232</v>
      </c>
      <c r="C58" s="152"/>
      <c r="D58" s="153"/>
      <c r="E58" s="49" t="s">
        <v>423</v>
      </c>
      <c r="F58" s="59" t="s">
        <v>27</v>
      </c>
      <c r="G58" s="59" t="s">
        <v>276</v>
      </c>
      <c r="H58" s="50" t="s">
        <v>26</v>
      </c>
      <c r="I58" s="88" t="s">
        <v>12</v>
      </c>
      <c r="J58" s="57">
        <v>4</v>
      </c>
      <c r="K58" s="164"/>
      <c r="L58" s="86"/>
      <c r="M58" s="85"/>
    </row>
    <row r="59" spans="1:13" ht="20.100000000000001" customHeight="1">
      <c r="A59" s="91">
        <v>54</v>
      </c>
      <c r="B59" s="151" t="s">
        <v>232</v>
      </c>
      <c r="C59" s="152"/>
      <c r="D59" s="153"/>
      <c r="E59" s="49" t="s">
        <v>423</v>
      </c>
      <c r="F59" s="59" t="s">
        <v>41</v>
      </c>
      <c r="G59" s="59" t="s">
        <v>193</v>
      </c>
      <c r="H59" s="50" t="s">
        <v>26</v>
      </c>
      <c r="I59" s="88" t="s">
        <v>12</v>
      </c>
      <c r="J59" s="57">
        <v>4</v>
      </c>
      <c r="K59" s="164"/>
      <c r="L59" s="86"/>
      <c r="M59" s="85"/>
    </row>
    <row r="60" spans="1:13" ht="20.100000000000001" customHeight="1">
      <c r="A60" s="91">
        <v>55</v>
      </c>
      <c r="B60" s="151" t="s">
        <v>232</v>
      </c>
      <c r="C60" s="152"/>
      <c r="D60" s="153"/>
      <c r="E60" s="49" t="s">
        <v>423</v>
      </c>
      <c r="F60" s="59" t="s">
        <v>41</v>
      </c>
      <c r="G60" s="59" t="s">
        <v>193</v>
      </c>
      <c r="H60" s="50" t="s">
        <v>26</v>
      </c>
      <c r="I60" s="88" t="s">
        <v>12</v>
      </c>
      <c r="J60" s="57">
        <v>4</v>
      </c>
      <c r="K60" s="164"/>
      <c r="L60" s="86"/>
      <c r="M60" s="85"/>
    </row>
    <row r="61" spans="1:13" ht="20.100000000000001" customHeight="1">
      <c r="A61" s="91">
        <v>56</v>
      </c>
      <c r="B61" s="151" t="s">
        <v>232</v>
      </c>
      <c r="C61" s="152"/>
      <c r="D61" s="153"/>
      <c r="E61" s="49" t="s">
        <v>423</v>
      </c>
      <c r="F61" s="50" t="s">
        <v>73</v>
      </c>
      <c r="G61" s="50" t="s">
        <v>74</v>
      </c>
      <c r="H61" s="50" t="s">
        <v>30</v>
      </c>
      <c r="I61" s="88" t="s">
        <v>12</v>
      </c>
      <c r="J61" s="57">
        <v>4</v>
      </c>
      <c r="K61" s="164"/>
      <c r="L61" s="86"/>
      <c r="M61" s="85"/>
    </row>
    <row r="62" spans="1:13" ht="20.100000000000001" customHeight="1">
      <c r="A62" s="91">
        <v>57</v>
      </c>
      <c r="B62" s="151" t="s">
        <v>232</v>
      </c>
      <c r="C62" s="152"/>
      <c r="D62" s="153"/>
      <c r="E62" s="49" t="s">
        <v>423</v>
      </c>
      <c r="F62" s="59" t="s">
        <v>282</v>
      </c>
      <c r="G62" s="59" t="s">
        <v>215</v>
      </c>
      <c r="H62" s="50" t="s">
        <v>38</v>
      </c>
      <c r="I62" s="88" t="s">
        <v>12</v>
      </c>
      <c r="J62" s="57">
        <v>4</v>
      </c>
      <c r="K62" s="164"/>
      <c r="L62" s="86"/>
      <c r="M62" s="85"/>
    </row>
    <row r="63" spans="1:13" ht="20.100000000000001" customHeight="1">
      <c r="A63" s="91">
        <v>58</v>
      </c>
      <c r="B63" s="151" t="s">
        <v>232</v>
      </c>
      <c r="C63" s="152"/>
      <c r="D63" s="153"/>
      <c r="E63" s="49" t="s">
        <v>423</v>
      </c>
      <c r="F63" s="73" t="s">
        <v>302</v>
      </c>
      <c r="G63" s="81" t="s">
        <v>303</v>
      </c>
      <c r="H63" s="73" t="s">
        <v>301</v>
      </c>
      <c r="I63" s="88" t="s">
        <v>12</v>
      </c>
      <c r="J63" s="57">
        <v>16</v>
      </c>
      <c r="K63" s="164"/>
      <c r="L63" s="86"/>
      <c r="M63" s="85"/>
    </row>
    <row r="64" spans="1:13" ht="20.100000000000001" customHeight="1">
      <c r="A64" s="91">
        <v>59</v>
      </c>
      <c r="B64" s="151" t="s">
        <v>232</v>
      </c>
      <c r="C64" s="152"/>
      <c r="D64" s="153"/>
      <c r="E64" s="49" t="s">
        <v>423</v>
      </c>
      <c r="F64" s="73" t="s">
        <v>304</v>
      </c>
      <c r="G64" s="81" t="s">
        <v>305</v>
      </c>
      <c r="H64" s="73" t="s">
        <v>301</v>
      </c>
      <c r="I64" s="88" t="s">
        <v>12</v>
      </c>
      <c r="J64" s="57">
        <v>16</v>
      </c>
      <c r="K64" s="164"/>
      <c r="L64" s="86"/>
      <c r="M64" s="85"/>
    </row>
    <row r="65" spans="1:13" ht="20.100000000000001" customHeight="1">
      <c r="A65" s="91">
        <v>60</v>
      </c>
      <c r="B65" s="151" t="s">
        <v>232</v>
      </c>
      <c r="C65" s="152"/>
      <c r="D65" s="153"/>
      <c r="E65" s="49" t="s">
        <v>423</v>
      </c>
      <c r="F65" s="82" t="s">
        <v>157</v>
      </c>
      <c r="G65" s="82" t="s">
        <v>239</v>
      </c>
      <c r="H65" s="65" t="s">
        <v>23</v>
      </c>
      <c r="I65" s="88" t="s">
        <v>12</v>
      </c>
      <c r="J65" s="57">
        <v>1</v>
      </c>
      <c r="K65" s="164"/>
      <c r="L65" s="86"/>
      <c r="M65" s="85"/>
    </row>
    <row r="66" spans="1:13" ht="20.100000000000001" customHeight="1">
      <c r="A66" s="91">
        <v>61</v>
      </c>
      <c r="B66" s="151" t="s">
        <v>232</v>
      </c>
      <c r="C66" s="152"/>
      <c r="D66" s="153"/>
      <c r="E66" s="49" t="s">
        <v>423</v>
      </c>
      <c r="F66" s="62" t="s">
        <v>126</v>
      </c>
      <c r="G66" s="64" t="s">
        <v>457</v>
      </c>
      <c r="H66" s="63" t="s">
        <v>48</v>
      </c>
      <c r="I66" s="88" t="s">
        <v>12</v>
      </c>
      <c r="J66" s="57">
        <v>1</v>
      </c>
      <c r="K66" s="164"/>
      <c r="L66" s="86"/>
      <c r="M66" s="85"/>
    </row>
    <row r="67" spans="1:13" ht="20.100000000000001" customHeight="1">
      <c r="A67" s="91">
        <v>62</v>
      </c>
      <c r="B67" s="151" t="s">
        <v>232</v>
      </c>
      <c r="C67" s="152"/>
      <c r="D67" s="153"/>
      <c r="E67" s="49" t="s">
        <v>423</v>
      </c>
      <c r="F67" s="62" t="s">
        <v>126</v>
      </c>
      <c r="G67" s="64" t="s">
        <v>458</v>
      </c>
      <c r="H67" s="63" t="s">
        <v>48</v>
      </c>
      <c r="I67" s="88" t="s">
        <v>12</v>
      </c>
      <c r="J67" s="57">
        <v>1</v>
      </c>
      <c r="K67" s="164"/>
      <c r="L67" s="86"/>
      <c r="M67" s="85"/>
    </row>
    <row r="68" spans="1:13" ht="20.100000000000001" customHeight="1">
      <c r="A68" s="91">
        <v>63</v>
      </c>
      <c r="B68" s="151" t="s">
        <v>232</v>
      </c>
      <c r="C68" s="152"/>
      <c r="D68" s="153"/>
      <c r="E68" s="49" t="s">
        <v>423</v>
      </c>
      <c r="F68" s="62" t="s">
        <v>63</v>
      </c>
      <c r="G68" s="64" t="s">
        <v>65</v>
      </c>
      <c r="H68" s="63" t="s">
        <v>64</v>
      </c>
      <c r="I68" s="88" t="s">
        <v>12</v>
      </c>
      <c r="J68" s="57">
        <v>1</v>
      </c>
      <c r="K68" s="164"/>
      <c r="L68" s="86"/>
      <c r="M68" s="85"/>
    </row>
    <row r="69" spans="1:13" ht="20.100000000000001" customHeight="1">
      <c r="A69" s="91">
        <v>64</v>
      </c>
      <c r="B69" s="151" t="s">
        <v>232</v>
      </c>
      <c r="C69" s="152"/>
      <c r="D69" s="153"/>
      <c r="E69" s="49" t="s">
        <v>423</v>
      </c>
      <c r="F69" s="62" t="s">
        <v>318</v>
      </c>
      <c r="G69" s="64" t="s">
        <v>108</v>
      </c>
      <c r="H69" s="63" t="s">
        <v>47</v>
      </c>
      <c r="I69" s="88" t="s">
        <v>12</v>
      </c>
      <c r="J69" s="57">
        <v>2</v>
      </c>
      <c r="K69" s="164"/>
      <c r="L69" s="163">
        <v>27</v>
      </c>
      <c r="M69" s="85"/>
    </row>
    <row r="70" spans="1:13" ht="20.100000000000001" customHeight="1">
      <c r="A70" s="91">
        <v>65</v>
      </c>
      <c r="B70" s="151" t="s">
        <v>232</v>
      </c>
      <c r="C70" s="152"/>
      <c r="D70" s="153"/>
      <c r="E70" s="49" t="s">
        <v>423</v>
      </c>
      <c r="F70" s="62" t="s">
        <v>337</v>
      </c>
      <c r="G70" s="64" t="s">
        <v>342</v>
      </c>
      <c r="H70" s="63" t="s">
        <v>48</v>
      </c>
      <c r="I70" s="88" t="s">
        <v>12</v>
      </c>
      <c r="J70" s="57">
        <v>4</v>
      </c>
      <c r="K70" s="164"/>
      <c r="L70" s="164"/>
      <c r="M70" s="85"/>
    </row>
    <row r="71" spans="1:13" ht="20.100000000000001" customHeight="1">
      <c r="A71" s="91">
        <v>66</v>
      </c>
      <c r="B71" s="151" t="s">
        <v>232</v>
      </c>
      <c r="C71" s="152"/>
      <c r="D71" s="153"/>
      <c r="E71" s="49" t="s">
        <v>423</v>
      </c>
      <c r="F71" s="62" t="s">
        <v>70</v>
      </c>
      <c r="G71" s="64" t="s">
        <v>342</v>
      </c>
      <c r="H71" s="63" t="s">
        <v>48</v>
      </c>
      <c r="I71" s="88" t="s">
        <v>12</v>
      </c>
      <c r="J71" s="57">
        <v>12</v>
      </c>
      <c r="K71" s="164"/>
      <c r="L71" s="164"/>
      <c r="M71" s="85"/>
    </row>
    <row r="72" spans="1:13" ht="20.100000000000001" customHeight="1">
      <c r="A72" s="91">
        <v>67</v>
      </c>
      <c r="B72" s="151" t="s">
        <v>232</v>
      </c>
      <c r="C72" s="152"/>
      <c r="D72" s="153"/>
      <c r="E72" s="49" t="s">
        <v>423</v>
      </c>
      <c r="F72" s="59" t="s">
        <v>217</v>
      </c>
      <c r="G72" s="59" t="s">
        <v>216</v>
      </c>
      <c r="H72" s="50" t="s">
        <v>48</v>
      </c>
      <c r="I72" s="88" t="s">
        <v>12</v>
      </c>
      <c r="J72" s="57">
        <v>1</v>
      </c>
      <c r="K72" s="169"/>
      <c r="L72" s="164"/>
      <c r="M72" s="85"/>
    </row>
    <row r="73" spans="1:13" ht="35.25" customHeight="1" thickBot="1">
      <c r="A73" s="154" t="s">
        <v>1</v>
      </c>
      <c r="B73" s="155"/>
      <c r="C73" s="155"/>
      <c r="D73" s="155"/>
      <c r="E73" s="155"/>
      <c r="F73" s="155"/>
      <c r="G73" s="155"/>
      <c r="H73" s="155"/>
      <c r="I73" s="156"/>
      <c r="J73" s="84">
        <f>SUM(J5:J72)</f>
        <v>555</v>
      </c>
      <c r="K73" s="6">
        <v>1</v>
      </c>
      <c r="L73" s="6">
        <v>27</v>
      </c>
      <c r="M73" s="14"/>
    </row>
    <row r="74" spans="1:13">
      <c r="K74" s="3"/>
      <c r="L74" s="3"/>
      <c r="M74" s="3"/>
    </row>
    <row r="75" spans="1:13">
      <c r="K75" s="3"/>
      <c r="L75" s="3"/>
      <c r="M75" s="3"/>
    </row>
  </sheetData>
  <autoFilter ref="A4:M4" xr:uid="{54D5C1B7-8511-4422-B6F3-4D6E8EEEAC87}"/>
  <mergeCells count="76">
    <mergeCell ref="L69:L72"/>
    <mergeCell ref="B5:D5"/>
    <mergeCell ref="B6:D6"/>
    <mergeCell ref="B7:D7"/>
    <mergeCell ref="A2:M2"/>
    <mergeCell ref="B4:D4"/>
    <mergeCell ref="K5:K24"/>
    <mergeCell ref="L5:L24"/>
    <mergeCell ref="B25:D25"/>
    <mergeCell ref="B13:D13"/>
    <mergeCell ref="B8:D8"/>
    <mergeCell ref="B9:D9"/>
    <mergeCell ref="B10:D10"/>
    <mergeCell ref="B11:D11"/>
    <mergeCell ref="B12:D12"/>
    <mergeCell ref="B14:D14"/>
    <mergeCell ref="A73:I73"/>
    <mergeCell ref="B50:D50"/>
    <mergeCell ref="K26:K49"/>
    <mergeCell ref="K51:K72"/>
    <mergeCell ref="B27:D27"/>
    <mergeCell ref="B28:D28"/>
    <mergeCell ref="B29:D29"/>
    <mergeCell ref="B30:D30"/>
    <mergeCell ref="B26:D26"/>
    <mergeCell ref="B42:D42"/>
    <mergeCell ref="B31:D31"/>
    <mergeCell ref="B32:D32"/>
    <mergeCell ref="B33:D33"/>
    <mergeCell ref="B34:D34"/>
    <mergeCell ref="B35:D35"/>
    <mergeCell ref="B36:D36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37:D37"/>
    <mergeCell ref="B38:D38"/>
    <mergeCell ref="B39:D39"/>
    <mergeCell ref="B40:D40"/>
    <mergeCell ref="B41:D41"/>
    <mergeCell ref="B55:D55"/>
    <mergeCell ref="B43:D43"/>
    <mergeCell ref="B44:D44"/>
    <mergeCell ref="B45:D45"/>
    <mergeCell ref="B46:D46"/>
    <mergeCell ref="B47:D47"/>
    <mergeCell ref="B48:D48"/>
    <mergeCell ref="B49:D49"/>
    <mergeCell ref="B51:D51"/>
    <mergeCell ref="B52:D52"/>
    <mergeCell ref="B53:D53"/>
    <mergeCell ref="B54:D54"/>
    <mergeCell ref="B67:D67"/>
    <mergeCell ref="B56:D56"/>
    <mergeCell ref="B57:D57"/>
    <mergeCell ref="B58:D58"/>
    <mergeCell ref="B59:D59"/>
    <mergeCell ref="B60:D60"/>
    <mergeCell ref="B61:D61"/>
    <mergeCell ref="B62:D62"/>
    <mergeCell ref="B63:D63"/>
    <mergeCell ref="B64:D64"/>
    <mergeCell ref="B65:D65"/>
    <mergeCell ref="B66:D66"/>
    <mergeCell ref="B68:D68"/>
    <mergeCell ref="B69:D69"/>
    <mergeCell ref="B70:D70"/>
    <mergeCell ref="B71:D71"/>
    <mergeCell ref="B72:D72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92" orientation="landscape" r:id="rId1"/>
  <rowBreaks count="1" manualBreakCount="1">
    <brk id="24" max="10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B6EA9-CF77-4540-9ECC-DB7DDE46CD8A}">
  <dimension ref="A1:V17"/>
  <sheetViews>
    <sheetView view="pageBreakPreview" zoomScaleNormal="100" zoomScaleSheetLayoutView="100" workbookViewId="0">
      <pane ySplit="4" topLeftCell="A5" activePane="bottomLeft" state="frozen"/>
      <selection activeCell="B67" sqref="B67:D67"/>
      <selection pane="bottomLeft" activeCell="B67" sqref="B67:D67"/>
    </sheetView>
  </sheetViews>
  <sheetFormatPr defaultRowHeight="15"/>
  <cols>
    <col min="1" max="1" width="5.33203125" style="2" customWidth="1"/>
    <col min="2" max="4" width="4.33203125" style="2" customWidth="1"/>
    <col min="5" max="5" width="6.33203125" style="2" customWidth="1"/>
    <col min="6" max="6" width="19.33203125" style="2" customWidth="1"/>
    <col min="7" max="7" width="25.88671875" style="2" customWidth="1"/>
    <col min="8" max="8" width="13.109375" style="2" customWidth="1"/>
    <col min="9" max="9" width="5.33203125" style="2" customWidth="1"/>
    <col min="10" max="10" width="10.88671875" style="2" customWidth="1"/>
    <col min="11" max="11" width="9.77734375" style="1" customWidth="1"/>
    <col min="12" max="12" width="7.88671875" style="1" hidden="1" customWidth="1"/>
    <col min="13" max="13" width="10.44140625" style="1" customWidth="1"/>
  </cols>
  <sheetData>
    <row r="1" spans="1:22" ht="4.5" customHeight="1"/>
    <row r="2" spans="1:22" ht="38.25" customHeight="1">
      <c r="A2" s="144" t="s">
        <v>486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2"/>
      <c r="O2" s="12"/>
      <c r="P2" s="12"/>
      <c r="Q2" s="12"/>
      <c r="R2" s="12"/>
      <c r="S2" s="12"/>
      <c r="T2" s="12"/>
      <c r="U2" s="12"/>
      <c r="V2" s="12"/>
    </row>
    <row r="3" spans="1:22" ht="4.5" customHeight="1" thickBot="1"/>
    <row r="4" spans="1:22" ht="33" customHeight="1">
      <c r="A4" s="4" t="s">
        <v>13</v>
      </c>
      <c r="B4" s="157" t="s">
        <v>21</v>
      </c>
      <c r="C4" s="158"/>
      <c r="D4" s="159"/>
      <c r="E4" s="18" t="s">
        <v>194</v>
      </c>
      <c r="F4" s="103" t="s">
        <v>3</v>
      </c>
      <c r="G4" s="103" t="s">
        <v>0</v>
      </c>
      <c r="H4" s="103" t="s">
        <v>6</v>
      </c>
      <c r="I4" s="5" t="s">
        <v>11</v>
      </c>
      <c r="J4" s="7" t="s">
        <v>7</v>
      </c>
      <c r="K4" s="7" t="s">
        <v>476</v>
      </c>
      <c r="L4" s="7" t="s">
        <v>475</v>
      </c>
      <c r="M4" s="13" t="s">
        <v>44</v>
      </c>
    </row>
    <row r="5" spans="1:22" ht="20.100000000000001" customHeight="1">
      <c r="A5" s="15">
        <v>1</v>
      </c>
      <c r="B5" s="151" t="s">
        <v>232</v>
      </c>
      <c r="C5" s="152"/>
      <c r="D5" s="153"/>
      <c r="E5" s="49" t="s">
        <v>423</v>
      </c>
      <c r="F5" s="59" t="s">
        <v>298</v>
      </c>
      <c r="G5" s="59" t="s">
        <v>449</v>
      </c>
      <c r="H5" s="50" t="s">
        <v>118</v>
      </c>
      <c r="I5" s="10" t="s">
        <v>12</v>
      </c>
      <c r="J5" s="57">
        <v>4</v>
      </c>
      <c r="K5" s="160">
        <v>1</v>
      </c>
      <c r="L5" s="160">
        <v>27</v>
      </c>
      <c r="M5" s="34"/>
    </row>
    <row r="6" spans="1:22" ht="20.100000000000001" customHeight="1">
      <c r="A6" s="15">
        <v>2</v>
      </c>
      <c r="B6" s="151" t="s">
        <v>232</v>
      </c>
      <c r="C6" s="152"/>
      <c r="D6" s="153"/>
      <c r="E6" s="49" t="s">
        <v>423</v>
      </c>
      <c r="F6" s="59" t="s">
        <v>298</v>
      </c>
      <c r="G6" s="59" t="s">
        <v>449</v>
      </c>
      <c r="H6" s="50" t="s">
        <v>118</v>
      </c>
      <c r="I6" s="10" t="s">
        <v>12</v>
      </c>
      <c r="J6" s="57">
        <v>4</v>
      </c>
      <c r="K6" s="161"/>
      <c r="L6" s="161"/>
      <c r="M6" s="34"/>
    </row>
    <row r="7" spans="1:22" ht="20.100000000000001" customHeight="1">
      <c r="A7" s="15">
        <v>3</v>
      </c>
      <c r="B7" s="151" t="s">
        <v>232</v>
      </c>
      <c r="C7" s="152"/>
      <c r="D7" s="153"/>
      <c r="E7" s="49" t="s">
        <v>423</v>
      </c>
      <c r="F7" s="59" t="s">
        <v>298</v>
      </c>
      <c r="G7" s="59" t="s">
        <v>450</v>
      </c>
      <c r="H7" s="50" t="s">
        <v>118</v>
      </c>
      <c r="I7" s="10" t="s">
        <v>12</v>
      </c>
      <c r="J7" s="57">
        <v>8</v>
      </c>
      <c r="K7" s="161"/>
      <c r="L7" s="161"/>
      <c r="M7" s="34"/>
    </row>
    <row r="8" spans="1:22" ht="20.100000000000001" customHeight="1">
      <c r="A8" s="15">
        <v>4</v>
      </c>
      <c r="B8" s="151" t="s">
        <v>232</v>
      </c>
      <c r="C8" s="152"/>
      <c r="D8" s="153"/>
      <c r="E8" s="49" t="s">
        <v>423</v>
      </c>
      <c r="F8" s="59" t="s">
        <v>298</v>
      </c>
      <c r="G8" s="59" t="s">
        <v>451</v>
      </c>
      <c r="H8" s="50" t="s">
        <v>118</v>
      </c>
      <c r="I8" s="10" t="s">
        <v>12</v>
      </c>
      <c r="J8" s="57">
        <v>4</v>
      </c>
      <c r="K8" s="161"/>
      <c r="L8" s="161"/>
      <c r="M8" s="34"/>
    </row>
    <row r="9" spans="1:22" ht="20.100000000000001" customHeight="1">
      <c r="A9" s="15">
        <v>5</v>
      </c>
      <c r="B9" s="151" t="s">
        <v>232</v>
      </c>
      <c r="C9" s="152"/>
      <c r="D9" s="153"/>
      <c r="E9" s="49" t="s">
        <v>423</v>
      </c>
      <c r="F9" s="59" t="s">
        <v>298</v>
      </c>
      <c r="G9" s="59" t="s">
        <v>452</v>
      </c>
      <c r="H9" s="50" t="s">
        <v>118</v>
      </c>
      <c r="I9" s="10" t="s">
        <v>12</v>
      </c>
      <c r="J9" s="57">
        <v>4</v>
      </c>
      <c r="K9" s="161"/>
      <c r="L9" s="161"/>
      <c r="M9" s="34"/>
    </row>
    <row r="10" spans="1:22" ht="20.100000000000001" customHeight="1">
      <c r="A10" s="15">
        <v>6</v>
      </c>
      <c r="B10" s="151" t="s">
        <v>232</v>
      </c>
      <c r="C10" s="152"/>
      <c r="D10" s="153"/>
      <c r="E10" s="49" t="s">
        <v>423</v>
      </c>
      <c r="F10" s="62" t="s">
        <v>298</v>
      </c>
      <c r="G10" s="64" t="s">
        <v>453</v>
      </c>
      <c r="H10" s="63" t="s">
        <v>118</v>
      </c>
      <c r="I10" s="10" t="s">
        <v>12</v>
      </c>
      <c r="J10" s="57">
        <v>4</v>
      </c>
      <c r="K10" s="161"/>
      <c r="L10" s="161"/>
      <c r="M10" s="34"/>
    </row>
    <row r="11" spans="1:22" ht="20.100000000000001" customHeight="1">
      <c r="A11" s="15">
        <v>7</v>
      </c>
      <c r="B11" s="151" t="s">
        <v>232</v>
      </c>
      <c r="C11" s="152"/>
      <c r="D11" s="153"/>
      <c r="E11" s="49" t="s">
        <v>423</v>
      </c>
      <c r="F11" s="62" t="s">
        <v>298</v>
      </c>
      <c r="G11" s="64" t="s">
        <v>453</v>
      </c>
      <c r="H11" s="63" t="s">
        <v>118</v>
      </c>
      <c r="I11" s="10" t="s">
        <v>12</v>
      </c>
      <c r="J11" s="57">
        <v>4</v>
      </c>
      <c r="K11" s="161"/>
      <c r="L11" s="161"/>
      <c r="M11" s="34"/>
    </row>
    <row r="12" spans="1:22" ht="20.100000000000001" customHeight="1">
      <c r="A12" s="15">
        <v>8</v>
      </c>
      <c r="B12" s="151" t="s">
        <v>232</v>
      </c>
      <c r="C12" s="152"/>
      <c r="D12" s="153"/>
      <c r="E12" s="49" t="s">
        <v>423</v>
      </c>
      <c r="F12" s="73" t="s">
        <v>298</v>
      </c>
      <c r="G12" s="81" t="s">
        <v>453</v>
      </c>
      <c r="H12" s="73" t="s">
        <v>118</v>
      </c>
      <c r="I12" s="10" t="s">
        <v>12</v>
      </c>
      <c r="J12" s="57">
        <v>4</v>
      </c>
      <c r="K12" s="161"/>
      <c r="L12" s="161"/>
      <c r="M12" s="34"/>
    </row>
    <row r="13" spans="1:22" ht="20.100000000000001" customHeight="1">
      <c r="A13" s="15">
        <v>9</v>
      </c>
      <c r="B13" s="151" t="s">
        <v>232</v>
      </c>
      <c r="C13" s="152"/>
      <c r="D13" s="153"/>
      <c r="E13" s="49" t="s">
        <v>423</v>
      </c>
      <c r="F13" s="73" t="s">
        <v>298</v>
      </c>
      <c r="G13" s="81" t="s">
        <v>454</v>
      </c>
      <c r="H13" s="73" t="s">
        <v>118</v>
      </c>
      <c r="I13" s="10" t="s">
        <v>12</v>
      </c>
      <c r="J13" s="57">
        <v>8</v>
      </c>
      <c r="K13" s="161"/>
      <c r="L13" s="161"/>
      <c r="M13" s="34"/>
    </row>
    <row r="14" spans="1:22" ht="20.100000000000001" customHeight="1">
      <c r="A14" s="15">
        <v>10</v>
      </c>
      <c r="B14" s="151" t="s">
        <v>232</v>
      </c>
      <c r="C14" s="152"/>
      <c r="D14" s="153"/>
      <c r="E14" s="49" t="s">
        <v>423</v>
      </c>
      <c r="F14" s="73" t="s">
        <v>298</v>
      </c>
      <c r="G14" s="81" t="s">
        <v>455</v>
      </c>
      <c r="H14" s="73" t="s">
        <v>118</v>
      </c>
      <c r="I14" s="10" t="s">
        <v>12</v>
      </c>
      <c r="J14" s="57">
        <v>4</v>
      </c>
      <c r="K14" s="161"/>
      <c r="L14" s="161"/>
      <c r="M14" s="34"/>
    </row>
    <row r="15" spans="1:22" ht="35.25" customHeight="1" thickBot="1">
      <c r="A15" s="154" t="s">
        <v>1</v>
      </c>
      <c r="B15" s="155"/>
      <c r="C15" s="155"/>
      <c r="D15" s="155"/>
      <c r="E15" s="155"/>
      <c r="F15" s="155"/>
      <c r="G15" s="155"/>
      <c r="H15" s="155"/>
      <c r="I15" s="156"/>
      <c r="J15" s="84">
        <f>SUM(J5:J14)</f>
        <v>48</v>
      </c>
      <c r="K15" s="6">
        <v>1</v>
      </c>
      <c r="L15" s="6">
        <v>27</v>
      </c>
      <c r="M15" s="14"/>
    </row>
    <row r="16" spans="1:22">
      <c r="K16" s="3"/>
      <c r="L16" s="3"/>
      <c r="M16" s="3"/>
    </row>
    <row r="17" spans="11:13">
      <c r="K17" s="3"/>
      <c r="L17" s="3"/>
      <c r="M17" s="3"/>
    </row>
  </sheetData>
  <autoFilter ref="A4:M4" xr:uid="{7AFB6EA9-CF77-4540-9ECC-DB7DDE46CD8A}">
    <filterColumn colId="1" showButton="0"/>
    <filterColumn colId="2" showButton="0"/>
  </autoFilter>
  <mergeCells count="15">
    <mergeCell ref="A2:M2"/>
    <mergeCell ref="B4:D4"/>
    <mergeCell ref="K5:K14"/>
    <mergeCell ref="L5:L14"/>
    <mergeCell ref="B14:D14"/>
    <mergeCell ref="A15:I15"/>
    <mergeCell ref="B5:D5"/>
    <mergeCell ref="B6:D6"/>
    <mergeCell ref="B7:D7"/>
    <mergeCell ref="B8:D8"/>
    <mergeCell ref="B9:D9"/>
    <mergeCell ref="B10:D10"/>
    <mergeCell ref="B11:D11"/>
    <mergeCell ref="B12:D12"/>
    <mergeCell ref="B13:D13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92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299F1-E1AE-45FB-B98A-747E64CFE45D}">
  <dimension ref="A1:V64"/>
  <sheetViews>
    <sheetView view="pageBreakPreview" zoomScaleNormal="100" zoomScaleSheetLayoutView="100" workbookViewId="0">
      <pane ySplit="4" topLeftCell="A5" activePane="bottomLeft" state="frozen"/>
      <selection activeCell="B67" sqref="B67:D67"/>
      <selection pane="bottomLeft" activeCell="B67" sqref="B67:D67"/>
    </sheetView>
  </sheetViews>
  <sheetFormatPr defaultRowHeight="15"/>
  <cols>
    <col min="1" max="1" width="5.33203125" style="2" customWidth="1"/>
    <col min="2" max="4" width="4.33203125" style="2" customWidth="1"/>
    <col min="5" max="5" width="6.33203125" style="2" customWidth="1"/>
    <col min="6" max="6" width="19.33203125" style="2" customWidth="1"/>
    <col min="7" max="7" width="25.88671875" style="2" customWidth="1"/>
    <col min="8" max="8" width="13.109375" style="2" customWidth="1"/>
    <col min="9" max="9" width="5.33203125" style="2" customWidth="1"/>
    <col min="10" max="10" width="10.88671875" style="2" customWidth="1"/>
    <col min="11" max="11" width="9.77734375" style="1" customWidth="1"/>
    <col min="12" max="12" width="7.88671875" style="1" hidden="1" customWidth="1"/>
    <col min="13" max="13" width="10.44140625" style="1" customWidth="1"/>
  </cols>
  <sheetData>
    <row r="1" spans="1:22" ht="4.5" customHeight="1"/>
    <row r="2" spans="1:22" ht="38.25" customHeight="1">
      <c r="A2" s="144" t="s">
        <v>487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2"/>
      <c r="O2" s="12"/>
      <c r="P2" s="12"/>
      <c r="Q2" s="12"/>
      <c r="R2" s="12"/>
      <c r="S2" s="12"/>
      <c r="T2" s="12"/>
      <c r="U2" s="12"/>
      <c r="V2" s="12"/>
    </row>
    <row r="3" spans="1:22" ht="4.5" customHeight="1" thickBot="1"/>
    <row r="4" spans="1:22" ht="33" customHeight="1">
      <c r="A4" s="4" t="s">
        <v>13</v>
      </c>
      <c r="B4" s="157" t="s">
        <v>21</v>
      </c>
      <c r="C4" s="158"/>
      <c r="D4" s="159"/>
      <c r="E4" s="18" t="s">
        <v>194</v>
      </c>
      <c r="F4" s="103" t="s">
        <v>3</v>
      </c>
      <c r="G4" s="103" t="s">
        <v>0</v>
      </c>
      <c r="H4" s="103" t="s">
        <v>6</v>
      </c>
      <c r="I4" s="5" t="s">
        <v>11</v>
      </c>
      <c r="J4" s="7" t="s">
        <v>7</v>
      </c>
      <c r="K4" s="7" t="s">
        <v>476</v>
      </c>
      <c r="L4" s="7" t="s">
        <v>475</v>
      </c>
      <c r="M4" s="13" t="s">
        <v>44</v>
      </c>
    </row>
    <row r="5" spans="1:22" ht="20.100000000000001" customHeight="1">
      <c r="A5" s="15">
        <v>1</v>
      </c>
      <c r="B5" s="151" t="s">
        <v>232</v>
      </c>
      <c r="C5" s="152"/>
      <c r="D5" s="153"/>
      <c r="E5" s="49" t="s">
        <v>423</v>
      </c>
      <c r="F5" s="109" t="s">
        <v>141</v>
      </c>
      <c r="G5" s="110" t="s">
        <v>426</v>
      </c>
      <c r="H5" s="111" t="s">
        <v>26</v>
      </c>
      <c r="I5" s="10" t="s">
        <v>12</v>
      </c>
      <c r="J5" s="57">
        <v>4</v>
      </c>
      <c r="K5" s="160">
        <v>1</v>
      </c>
      <c r="L5" s="160">
        <v>27</v>
      </c>
      <c r="M5" s="34"/>
    </row>
    <row r="6" spans="1:22" ht="20.100000000000001" customHeight="1">
      <c r="A6" s="15">
        <v>2</v>
      </c>
      <c r="B6" s="151" t="s">
        <v>232</v>
      </c>
      <c r="C6" s="152"/>
      <c r="D6" s="153"/>
      <c r="E6" s="49" t="s">
        <v>423</v>
      </c>
      <c r="F6" s="109" t="s">
        <v>141</v>
      </c>
      <c r="G6" s="110" t="s">
        <v>426</v>
      </c>
      <c r="H6" s="111" t="s">
        <v>26</v>
      </c>
      <c r="I6" s="10" t="s">
        <v>12</v>
      </c>
      <c r="J6" s="57">
        <v>4</v>
      </c>
      <c r="K6" s="161"/>
      <c r="L6" s="161"/>
      <c r="M6" s="34"/>
    </row>
    <row r="7" spans="1:22" ht="20.100000000000001" customHeight="1">
      <c r="A7" s="15">
        <v>3</v>
      </c>
      <c r="B7" s="151" t="s">
        <v>232</v>
      </c>
      <c r="C7" s="152"/>
      <c r="D7" s="153"/>
      <c r="E7" s="49" t="s">
        <v>423</v>
      </c>
      <c r="F7" s="110" t="s">
        <v>249</v>
      </c>
      <c r="G7" s="110" t="s">
        <v>259</v>
      </c>
      <c r="H7" s="111" t="s">
        <v>26</v>
      </c>
      <c r="I7" s="10" t="s">
        <v>12</v>
      </c>
      <c r="J7" s="57">
        <v>4</v>
      </c>
      <c r="K7" s="161"/>
      <c r="L7" s="161"/>
      <c r="M7" s="34"/>
    </row>
    <row r="8" spans="1:22" ht="20.100000000000001" customHeight="1">
      <c r="A8" s="15">
        <v>4</v>
      </c>
      <c r="B8" s="151" t="s">
        <v>232</v>
      </c>
      <c r="C8" s="152"/>
      <c r="D8" s="153"/>
      <c r="E8" s="49" t="s">
        <v>423</v>
      </c>
      <c r="F8" s="112" t="s">
        <v>249</v>
      </c>
      <c r="G8" s="113" t="s">
        <v>259</v>
      </c>
      <c r="H8" s="112" t="s">
        <v>26</v>
      </c>
      <c r="I8" s="10" t="s">
        <v>12</v>
      </c>
      <c r="J8" s="57">
        <v>4</v>
      </c>
      <c r="K8" s="161"/>
      <c r="L8" s="161"/>
      <c r="M8" s="34"/>
    </row>
    <row r="9" spans="1:22" ht="20.100000000000001" customHeight="1">
      <c r="A9" s="15">
        <v>5</v>
      </c>
      <c r="B9" s="151" t="s">
        <v>232</v>
      </c>
      <c r="C9" s="152"/>
      <c r="D9" s="153"/>
      <c r="E9" s="49" t="s">
        <v>423</v>
      </c>
      <c r="F9" s="113" t="s">
        <v>249</v>
      </c>
      <c r="G9" s="113" t="s">
        <v>259</v>
      </c>
      <c r="H9" s="113" t="s">
        <v>26</v>
      </c>
      <c r="I9" s="10" t="s">
        <v>12</v>
      </c>
      <c r="J9" s="57">
        <v>4</v>
      </c>
      <c r="K9" s="161"/>
      <c r="L9" s="161"/>
      <c r="M9" s="34"/>
    </row>
    <row r="10" spans="1:22" ht="20.100000000000001" customHeight="1">
      <c r="A10" s="15">
        <v>6</v>
      </c>
      <c r="B10" s="151" t="s">
        <v>232</v>
      </c>
      <c r="C10" s="152"/>
      <c r="D10" s="153"/>
      <c r="E10" s="49" t="s">
        <v>423</v>
      </c>
      <c r="F10" s="113" t="s">
        <v>249</v>
      </c>
      <c r="G10" s="113" t="s">
        <v>259</v>
      </c>
      <c r="H10" s="113" t="s">
        <v>26</v>
      </c>
      <c r="I10" s="10" t="s">
        <v>12</v>
      </c>
      <c r="J10" s="77">
        <v>4</v>
      </c>
      <c r="K10" s="161"/>
      <c r="L10" s="161"/>
      <c r="M10" s="34"/>
    </row>
    <row r="11" spans="1:22" ht="20.100000000000001" customHeight="1">
      <c r="A11" s="15">
        <v>7</v>
      </c>
      <c r="B11" s="151" t="s">
        <v>232</v>
      </c>
      <c r="C11" s="152"/>
      <c r="D11" s="153"/>
      <c r="E11" s="49" t="s">
        <v>423</v>
      </c>
      <c r="F11" s="113" t="s">
        <v>27</v>
      </c>
      <c r="G11" s="113" t="s">
        <v>273</v>
      </c>
      <c r="H11" s="113" t="s">
        <v>26</v>
      </c>
      <c r="I11" s="10" t="s">
        <v>12</v>
      </c>
      <c r="J11" s="77">
        <v>16</v>
      </c>
      <c r="K11" s="161"/>
      <c r="L11" s="161"/>
      <c r="M11" s="34"/>
    </row>
    <row r="12" spans="1:22" ht="20.100000000000001" customHeight="1">
      <c r="A12" s="15">
        <v>8</v>
      </c>
      <c r="B12" s="151" t="s">
        <v>232</v>
      </c>
      <c r="C12" s="152"/>
      <c r="D12" s="153"/>
      <c r="E12" s="49" t="s">
        <v>423</v>
      </c>
      <c r="F12" s="110" t="s">
        <v>27</v>
      </c>
      <c r="G12" s="110" t="s">
        <v>279</v>
      </c>
      <c r="H12" s="111" t="s">
        <v>26</v>
      </c>
      <c r="I12" s="10" t="s">
        <v>12</v>
      </c>
      <c r="J12" s="57">
        <v>4</v>
      </c>
      <c r="K12" s="161"/>
      <c r="L12" s="161"/>
      <c r="M12" s="34"/>
    </row>
    <row r="13" spans="1:22" ht="20.100000000000001" customHeight="1">
      <c r="A13" s="15">
        <v>9</v>
      </c>
      <c r="B13" s="151" t="s">
        <v>232</v>
      </c>
      <c r="C13" s="152"/>
      <c r="D13" s="153"/>
      <c r="E13" s="49" t="s">
        <v>423</v>
      </c>
      <c r="F13" s="114" t="s">
        <v>27</v>
      </c>
      <c r="G13" s="110" t="s">
        <v>275</v>
      </c>
      <c r="H13" s="111" t="s">
        <v>26</v>
      </c>
      <c r="I13" s="10" t="s">
        <v>12</v>
      </c>
      <c r="J13" s="57">
        <v>4</v>
      </c>
      <c r="K13" s="161"/>
      <c r="L13" s="161"/>
      <c r="M13" s="34"/>
    </row>
    <row r="14" spans="1:22" ht="20.100000000000001" customHeight="1">
      <c r="A14" s="15">
        <v>10</v>
      </c>
      <c r="B14" s="151" t="s">
        <v>232</v>
      </c>
      <c r="C14" s="152"/>
      <c r="D14" s="153"/>
      <c r="E14" s="49" t="s">
        <v>423</v>
      </c>
      <c r="F14" s="114" t="s">
        <v>27</v>
      </c>
      <c r="G14" s="110" t="s">
        <v>272</v>
      </c>
      <c r="H14" s="111" t="s">
        <v>26</v>
      </c>
      <c r="I14" s="10" t="s">
        <v>12</v>
      </c>
      <c r="J14" s="57">
        <v>4</v>
      </c>
      <c r="K14" s="161"/>
      <c r="L14" s="161"/>
      <c r="M14" s="34"/>
    </row>
    <row r="15" spans="1:22" ht="20.100000000000001" customHeight="1">
      <c r="A15" s="15">
        <v>11</v>
      </c>
      <c r="B15" s="151" t="s">
        <v>232</v>
      </c>
      <c r="C15" s="152"/>
      <c r="D15" s="153"/>
      <c r="E15" s="49" t="s">
        <v>423</v>
      </c>
      <c r="F15" s="112" t="s">
        <v>40</v>
      </c>
      <c r="G15" s="115" t="s">
        <v>258</v>
      </c>
      <c r="H15" s="112" t="s">
        <v>26</v>
      </c>
      <c r="I15" s="10" t="s">
        <v>12</v>
      </c>
      <c r="J15" s="57">
        <v>4</v>
      </c>
      <c r="K15" s="161"/>
      <c r="L15" s="161"/>
      <c r="M15" s="34"/>
    </row>
    <row r="16" spans="1:22" ht="20.100000000000001" customHeight="1">
      <c r="A16" s="15">
        <v>12</v>
      </c>
      <c r="B16" s="151" t="s">
        <v>232</v>
      </c>
      <c r="C16" s="152"/>
      <c r="D16" s="153"/>
      <c r="E16" s="49" t="s">
        <v>423</v>
      </c>
      <c r="F16" s="112" t="s">
        <v>40</v>
      </c>
      <c r="G16" s="113" t="s">
        <v>258</v>
      </c>
      <c r="H16" s="112" t="s">
        <v>26</v>
      </c>
      <c r="I16" s="10" t="s">
        <v>12</v>
      </c>
      <c r="J16" s="57">
        <v>4</v>
      </c>
      <c r="K16" s="161"/>
      <c r="L16" s="161"/>
      <c r="M16" s="34"/>
    </row>
    <row r="17" spans="1:13" ht="20.100000000000001" customHeight="1">
      <c r="A17" s="15">
        <v>13</v>
      </c>
      <c r="B17" s="151" t="s">
        <v>232</v>
      </c>
      <c r="C17" s="152"/>
      <c r="D17" s="153"/>
      <c r="E17" s="49" t="s">
        <v>423</v>
      </c>
      <c r="F17" s="113" t="s">
        <v>40</v>
      </c>
      <c r="G17" s="113" t="s">
        <v>258</v>
      </c>
      <c r="H17" s="113" t="s">
        <v>26</v>
      </c>
      <c r="I17" s="10" t="s">
        <v>12</v>
      </c>
      <c r="J17" s="57">
        <v>4</v>
      </c>
      <c r="K17" s="161"/>
      <c r="L17" s="161"/>
      <c r="M17" s="34"/>
    </row>
    <row r="18" spans="1:13" ht="20.100000000000001" customHeight="1">
      <c r="A18" s="15">
        <v>14</v>
      </c>
      <c r="B18" s="151" t="s">
        <v>232</v>
      </c>
      <c r="C18" s="152"/>
      <c r="D18" s="153"/>
      <c r="E18" s="49" t="s">
        <v>423</v>
      </c>
      <c r="F18" s="110" t="s">
        <v>244</v>
      </c>
      <c r="G18" s="110" t="s">
        <v>436</v>
      </c>
      <c r="H18" s="111" t="s">
        <v>26</v>
      </c>
      <c r="I18" s="10" t="s">
        <v>12</v>
      </c>
      <c r="J18" s="57">
        <v>4</v>
      </c>
      <c r="K18" s="161"/>
      <c r="L18" s="161"/>
      <c r="M18" s="34"/>
    </row>
    <row r="19" spans="1:13" ht="20.100000000000001" customHeight="1">
      <c r="A19" s="15">
        <v>15</v>
      </c>
      <c r="B19" s="151" t="s">
        <v>232</v>
      </c>
      <c r="C19" s="152"/>
      <c r="D19" s="153"/>
      <c r="E19" s="49" t="s">
        <v>423</v>
      </c>
      <c r="F19" s="111" t="s">
        <v>244</v>
      </c>
      <c r="G19" s="111" t="s">
        <v>264</v>
      </c>
      <c r="H19" s="111" t="s">
        <v>26</v>
      </c>
      <c r="I19" s="10" t="s">
        <v>12</v>
      </c>
      <c r="J19" s="57">
        <v>4</v>
      </c>
      <c r="K19" s="161"/>
      <c r="L19" s="161"/>
      <c r="M19" s="34"/>
    </row>
    <row r="20" spans="1:13" ht="20.100000000000001" customHeight="1">
      <c r="A20" s="15">
        <v>16</v>
      </c>
      <c r="B20" s="151" t="s">
        <v>232</v>
      </c>
      <c r="C20" s="152"/>
      <c r="D20" s="153"/>
      <c r="E20" s="49" t="s">
        <v>423</v>
      </c>
      <c r="F20" s="111" t="s">
        <v>425</v>
      </c>
      <c r="G20" s="111" t="s">
        <v>256</v>
      </c>
      <c r="H20" s="111" t="s">
        <v>26</v>
      </c>
      <c r="I20" s="10" t="s">
        <v>12</v>
      </c>
      <c r="J20" s="57">
        <v>4</v>
      </c>
      <c r="K20" s="161"/>
      <c r="L20" s="161"/>
      <c r="M20" s="34"/>
    </row>
    <row r="21" spans="1:13" ht="20.100000000000001" customHeight="1">
      <c r="A21" s="15">
        <v>17</v>
      </c>
      <c r="B21" s="151" t="s">
        <v>232</v>
      </c>
      <c r="C21" s="152"/>
      <c r="D21" s="153"/>
      <c r="E21" s="49" t="s">
        <v>423</v>
      </c>
      <c r="F21" s="110" t="s">
        <v>261</v>
      </c>
      <c r="G21" s="110" t="s">
        <v>256</v>
      </c>
      <c r="H21" s="111" t="s">
        <v>26</v>
      </c>
      <c r="I21" s="10" t="s">
        <v>12</v>
      </c>
      <c r="J21" s="57">
        <v>4</v>
      </c>
      <c r="K21" s="161"/>
      <c r="L21" s="161"/>
      <c r="M21" s="34"/>
    </row>
    <row r="22" spans="1:13" ht="20.100000000000001" customHeight="1">
      <c r="A22" s="15">
        <v>18</v>
      </c>
      <c r="B22" s="151" t="s">
        <v>232</v>
      </c>
      <c r="C22" s="152"/>
      <c r="D22" s="153"/>
      <c r="E22" s="49" t="s">
        <v>423</v>
      </c>
      <c r="F22" s="116" t="s">
        <v>27</v>
      </c>
      <c r="G22" s="116" t="s">
        <v>438</v>
      </c>
      <c r="H22" s="117" t="s">
        <v>26</v>
      </c>
      <c r="I22" s="10" t="s">
        <v>12</v>
      </c>
      <c r="J22" s="57">
        <v>8</v>
      </c>
      <c r="K22" s="161"/>
      <c r="L22" s="161"/>
      <c r="M22" s="34"/>
    </row>
    <row r="23" spans="1:13" ht="20.100000000000001" customHeight="1">
      <c r="A23" s="15">
        <v>19</v>
      </c>
      <c r="B23" s="151" t="s">
        <v>232</v>
      </c>
      <c r="C23" s="152"/>
      <c r="D23" s="153"/>
      <c r="E23" s="49" t="s">
        <v>423</v>
      </c>
      <c r="F23" s="110" t="s">
        <v>27</v>
      </c>
      <c r="G23" s="110" t="s">
        <v>439</v>
      </c>
      <c r="H23" s="111" t="s">
        <v>26</v>
      </c>
      <c r="I23" s="10" t="s">
        <v>12</v>
      </c>
      <c r="J23" s="57">
        <v>4</v>
      </c>
      <c r="K23" s="161"/>
      <c r="L23" s="161"/>
      <c r="M23" s="34"/>
    </row>
    <row r="24" spans="1:13" ht="20.100000000000001" customHeight="1" thickBot="1">
      <c r="A24" s="15">
        <v>20</v>
      </c>
      <c r="B24" s="151" t="s">
        <v>232</v>
      </c>
      <c r="C24" s="152"/>
      <c r="D24" s="153"/>
      <c r="E24" s="49" t="s">
        <v>423</v>
      </c>
      <c r="F24" s="110" t="s">
        <v>27</v>
      </c>
      <c r="G24" s="110" t="s">
        <v>203</v>
      </c>
      <c r="H24" s="111" t="s">
        <v>26</v>
      </c>
      <c r="I24" s="93" t="s">
        <v>12</v>
      </c>
      <c r="J24" s="57">
        <v>4</v>
      </c>
      <c r="K24" s="162"/>
      <c r="L24" s="162"/>
      <c r="M24" s="92"/>
    </row>
    <row r="25" spans="1:13" ht="33" customHeight="1">
      <c r="A25" s="4" t="s">
        <v>13</v>
      </c>
      <c r="B25" s="157" t="s">
        <v>21</v>
      </c>
      <c r="C25" s="158"/>
      <c r="D25" s="159"/>
      <c r="E25" s="18" t="s">
        <v>194</v>
      </c>
      <c r="F25" s="5" t="s">
        <v>3</v>
      </c>
      <c r="G25" s="5" t="s">
        <v>0</v>
      </c>
      <c r="H25" s="5" t="s">
        <v>6</v>
      </c>
      <c r="I25" s="5" t="s">
        <v>11</v>
      </c>
      <c r="J25" s="7" t="s">
        <v>7</v>
      </c>
      <c r="K25" s="7" t="s">
        <v>476</v>
      </c>
      <c r="L25" s="7" t="s">
        <v>475</v>
      </c>
      <c r="M25" s="13" t="s">
        <v>44</v>
      </c>
    </row>
    <row r="26" spans="1:13" ht="20.100000000000001" customHeight="1">
      <c r="A26" s="91">
        <v>21</v>
      </c>
      <c r="B26" s="151" t="s">
        <v>232</v>
      </c>
      <c r="C26" s="152"/>
      <c r="D26" s="153"/>
      <c r="E26" s="49" t="s">
        <v>423</v>
      </c>
      <c r="F26" s="59" t="s">
        <v>27</v>
      </c>
      <c r="G26" s="59" t="s">
        <v>203</v>
      </c>
      <c r="H26" s="50" t="s">
        <v>26</v>
      </c>
      <c r="I26" s="88" t="s">
        <v>12</v>
      </c>
      <c r="J26" s="57">
        <v>4</v>
      </c>
      <c r="K26" s="163">
        <v>1</v>
      </c>
      <c r="L26" s="86"/>
      <c r="M26" s="85"/>
    </row>
    <row r="27" spans="1:13" ht="20.100000000000001" customHeight="1">
      <c r="A27" s="91">
        <v>22</v>
      </c>
      <c r="B27" s="151" t="s">
        <v>232</v>
      </c>
      <c r="C27" s="152"/>
      <c r="D27" s="153"/>
      <c r="E27" s="49" t="s">
        <v>423</v>
      </c>
      <c r="F27" s="59" t="s">
        <v>27</v>
      </c>
      <c r="G27" s="59" t="s">
        <v>204</v>
      </c>
      <c r="H27" s="50" t="s">
        <v>26</v>
      </c>
      <c r="I27" s="88" t="s">
        <v>12</v>
      </c>
      <c r="J27" s="57">
        <v>4</v>
      </c>
      <c r="K27" s="164"/>
      <c r="L27" s="86"/>
      <c r="M27" s="85"/>
    </row>
    <row r="28" spans="1:13" ht="20.100000000000001" customHeight="1">
      <c r="A28" s="91">
        <v>23</v>
      </c>
      <c r="B28" s="151" t="s">
        <v>232</v>
      </c>
      <c r="C28" s="152"/>
      <c r="D28" s="153"/>
      <c r="E28" s="49" t="s">
        <v>423</v>
      </c>
      <c r="F28" s="59" t="s">
        <v>27</v>
      </c>
      <c r="G28" s="59" t="s">
        <v>274</v>
      </c>
      <c r="H28" s="50" t="s">
        <v>26</v>
      </c>
      <c r="I28" s="88" t="s">
        <v>12</v>
      </c>
      <c r="J28" s="57">
        <v>4</v>
      </c>
      <c r="K28" s="164"/>
      <c r="L28" s="86"/>
      <c r="M28" s="85"/>
    </row>
    <row r="29" spans="1:13" ht="20.100000000000001" customHeight="1">
      <c r="A29" s="91">
        <v>24</v>
      </c>
      <c r="B29" s="151" t="s">
        <v>232</v>
      </c>
      <c r="C29" s="152"/>
      <c r="D29" s="153"/>
      <c r="E29" s="49" t="s">
        <v>423</v>
      </c>
      <c r="F29" s="59" t="s">
        <v>27</v>
      </c>
      <c r="G29" s="59" t="s">
        <v>277</v>
      </c>
      <c r="H29" s="50" t="s">
        <v>26</v>
      </c>
      <c r="I29" s="88" t="s">
        <v>12</v>
      </c>
      <c r="J29" s="57">
        <v>4</v>
      </c>
      <c r="K29" s="164"/>
      <c r="L29" s="86"/>
      <c r="M29" s="85"/>
    </row>
    <row r="30" spans="1:13" ht="20.100000000000001" customHeight="1">
      <c r="A30" s="91">
        <v>25</v>
      </c>
      <c r="B30" s="151" t="s">
        <v>232</v>
      </c>
      <c r="C30" s="152"/>
      <c r="D30" s="153"/>
      <c r="E30" s="49" t="s">
        <v>423</v>
      </c>
      <c r="F30" s="59" t="s">
        <v>27</v>
      </c>
      <c r="G30" s="59" t="s">
        <v>263</v>
      </c>
      <c r="H30" s="50" t="s">
        <v>26</v>
      </c>
      <c r="I30" s="88" t="s">
        <v>12</v>
      </c>
      <c r="J30" s="57">
        <v>4</v>
      </c>
      <c r="K30" s="164"/>
      <c r="L30" s="86"/>
      <c r="M30" s="85"/>
    </row>
    <row r="31" spans="1:13" ht="20.100000000000001" customHeight="1">
      <c r="A31" s="91">
        <v>26</v>
      </c>
      <c r="B31" s="151" t="s">
        <v>232</v>
      </c>
      <c r="C31" s="152"/>
      <c r="D31" s="153"/>
      <c r="E31" s="49" t="s">
        <v>423</v>
      </c>
      <c r="F31" s="59" t="s">
        <v>27</v>
      </c>
      <c r="G31" s="59" t="s">
        <v>263</v>
      </c>
      <c r="H31" s="50" t="s">
        <v>26</v>
      </c>
      <c r="I31" s="88" t="s">
        <v>12</v>
      </c>
      <c r="J31" s="57">
        <v>4</v>
      </c>
      <c r="K31" s="164"/>
      <c r="L31" s="86"/>
      <c r="M31" s="85"/>
    </row>
    <row r="32" spans="1:13" ht="20.100000000000001" customHeight="1">
      <c r="A32" s="91">
        <v>27</v>
      </c>
      <c r="B32" s="151" t="s">
        <v>232</v>
      </c>
      <c r="C32" s="152"/>
      <c r="D32" s="153"/>
      <c r="E32" s="49" t="s">
        <v>423</v>
      </c>
      <c r="F32" s="76" t="s">
        <v>27</v>
      </c>
      <c r="G32" s="76" t="s">
        <v>271</v>
      </c>
      <c r="H32" s="76" t="s">
        <v>26</v>
      </c>
      <c r="I32" s="88" t="s">
        <v>12</v>
      </c>
      <c r="J32" s="57">
        <v>4</v>
      </c>
      <c r="K32" s="164"/>
      <c r="L32" s="86"/>
      <c r="M32" s="85"/>
    </row>
    <row r="33" spans="1:13" ht="20.100000000000001" customHeight="1">
      <c r="A33" s="91">
        <v>28</v>
      </c>
      <c r="B33" s="151" t="s">
        <v>232</v>
      </c>
      <c r="C33" s="152"/>
      <c r="D33" s="153"/>
      <c r="E33" s="49" t="s">
        <v>423</v>
      </c>
      <c r="F33" s="59" t="s">
        <v>41</v>
      </c>
      <c r="G33" s="59" t="s">
        <v>250</v>
      </c>
      <c r="H33" s="50" t="s">
        <v>26</v>
      </c>
      <c r="I33" s="88" t="s">
        <v>12</v>
      </c>
      <c r="J33" s="57">
        <v>4</v>
      </c>
      <c r="K33" s="164"/>
      <c r="L33" s="86"/>
      <c r="M33" s="85"/>
    </row>
    <row r="34" spans="1:13" ht="20.100000000000001" customHeight="1">
      <c r="A34" s="91">
        <v>29</v>
      </c>
      <c r="B34" s="151" t="s">
        <v>232</v>
      </c>
      <c r="C34" s="152"/>
      <c r="D34" s="153"/>
      <c r="E34" s="49" t="s">
        <v>423</v>
      </c>
      <c r="F34" s="59" t="s">
        <v>41</v>
      </c>
      <c r="G34" s="59" t="s">
        <v>250</v>
      </c>
      <c r="H34" s="50" t="s">
        <v>26</v>
      </c>
      <c r="I34" s="88" t="s">
        <v>12</v>
      </c>
      <c r="J34" s="57">
        <v>4</v>
      </c>
      <c r="K34" s="164"/>
      <c r="L34" s="86"/>
      <c r="M34" s="85"/>
    </row>
    <row r="35" spans="1:13" ht="20.100000000000001" customHeight="1">
      <c r="A35" s="91">
        <v>30</v>
      </c>
      <c r="B35" s="151" t="s">
        <v>232</v>
      </c>
      <c r="C35" s="152"/>
      <c r="D35" s="153"/>
      <c r="E35" s="49" t="s">
        <v>423</v>
      </c>
      <c r="F35" s="59" t="s">
        <v>41</v>
      </c>
      <c r="G35" s="59" t="s">
        <v>250</v>
      </c>
      <c r="H35" s="50" t="s">
        <v>26</v>
      </c>
      <c r="I35" s="88" t="s">
        <v>12</v>
      </c>
      <c r="J35" s="57">
        <v>4</v>
      </c>
      <c r="K35" s="164"/>
      <c r="L35" s="86"/>
      <c r="M35" s="85"/>
    </row>
    <row r="36" spans="1:13" ht="20.100000000000001" customHeight="1">
      <c r="A36" s="91">
        <v>31</v>
      </c>
      <c r="B36" s="151" t="s">
        <v>232</v>
      </c>
      <c r="C36" s="152"/>
      <c r="D36" s="153"/>
      <c r="E36" s="49" t="s">
        <v>423</v>
      </c>
      <c r="F36" s="59" t="s">
        <v>252</v>
      </c>
      <c r="G36" s="59" t="s">
        <v>440</v>
      </c>
      <c r="H36" s="50" t="s">
        <v>26</v>
      </c>
      <c r="I36" s="88" t="s">
        <v>12</v>
      </c>
      <c r="J36" s="57">
        <v>8</v>
      </c>
      <c r="K36" s="164"/>
      <c r="L36" s="86"/>
      <c r="M36" s="85"/>
    </row>
    <row r="37" spans="1:13" ht="20.100000000000001" customHeight="1">
      <c r="A37" s="91">
        <v>32</v>
      </c>
      <c r="B37" s="151" t="s">
        <v>232</v>
      </c>
      <c r="C37" s="152"/>
      <c r="D37" s="153"/>
      <c r="E37" s="49" t="s">
        <v>423</v>
      </c>
      <c r="F37" s="62" t="s">
        <v>142</v>
      </c>
      <c r="G37" s="64" t="s">
        <v>32</v>
      </c>
      <c r="H37" s="63" t="s">
        <v>26</v>
      </c>
      <c r="I37" s="88" t="s">
        <v>12</v>
      </c>
      <c r="J37" s="57">
        <v>16</v>
      </c>
      <c r="K37" s="164"/>
      <c r="L37" s="86"/>
      <c r="M37" s="85"/>
    </row>
    <row r="38" spans="1:13" ht="20.100000000000001" customHeight="1">
      <c r="A38" s="91">
        <v>33</v>
      </c>
      <c r="B38" s="151" t="s">
        <v>232</v>
      </c>
      <c r="C38" s="152"/>
      <c r="D38" s="153"/>
      <c r="E38" s="49" t="s">
        <v>423</v>
      </c>
      <c r="F38" s="62" t="s">
        <v>142</v>
      </c>
      <c r="G38" s="64" t="s">
        <v>32</v>
      </c>
      <c r="H38" s="63" t="s">
        <v>26</v>
      </c>
      <c r="I38" s="88" t="s">
        <v>12</v>
      </c>
      <c r="J38" s="57">
        <v>16</v>
      </c>
      <c r="K38" s="164"/>
      <c r="L38" s="86"/>
      <c r="M38" s="85"/>
    </row>
    <row r="39" spans="1:13" ht="20.100000000000001" customHeight="1">
      <c r="A39" s="91">
        <v>34</v>
      </c>
      <c r="B39" s="151" t="s">
        <v>232</v>
      </c>
      <c r="C39" s="152"/>
      <c r="D39" s="153"/>
      <c r="E39" s="49" t="s">
        <v>423</v>
      </c>
      <c r="F39" s="62" t="s">
        <v>142</v>
      </c>
      <c r="G39" s="64" t="s">
        <v>32</v>
      </c>
      <c r="H39" s="63" t="s">
        <v>26</v>
      </c>
      <c r="I39" s="88" t="s">
        <v>12</v>
      </c>
      <c r="J39" s="57">
        <v>12</v>
      </c>
      <c r="K39" s="164"/>
      <c r="L39" s="86"/>
      <c r="M39" s="85"/>
    </row>
    <row r="40" spans="1:13" ht="20.100000000000001" customHeight="1">
      <c r="A40" s="91">
        <v>35</v>
      </c>
      <c r="B40" s="151" t="s">
        <v>232</v>
      </c>
      <c r="C40" s="152"/>
      <c r="D40" s="153"/>
      <c r="E40" s="49" t="s">
        <v>423</v>
      </c>
      <c r="F40" s="62" t="s">
        <v>142</v>
      </c>
      <c r="G40" s="64" t="s">
        <v>251</v>
      </c>
      <c r="H40" s="63" t="s">
        <v>26</v>
      </c>
      <c r="I40" s="88" t="s">
        <v>12</v>
      </c>
      <c r="J40" s="57">
        <v>8</v>
      </c>
      <c r="K40" s="164"/>
      <c r="L40" s="86"/>
      <c r="M40" s="85"/>
    </row>
    <row r="41" spans="1:13" ht="20.100000000000001" customHeight="1">
      <c r="A41" s="91">
        <v>36</v>
      </c>
      <c r="B41" s="151" t="s">
        <v>232</v>
      </c>
      <c r="C41" s="152"/>
      <c r="D41" s="153"/>
      <c r="E41" s="49" t="s">
        <v>423</v>
      </c>
      <c r="F41" s="62" t="s">
        <v>142</v>
      </c>
      <c r="G41" s="64" t="s">
        <v>251</v>
      </c>
      <c r="H41" s="63" t="s">
        <v>26</v>
      </c>
      <c r="I41" s="88" t="s">
        <v>12</v>
      </c>
      <c r="J41" s="57">
        <v>8</v>
      </c>
      <c r="K41" s="164"/>
      <c r="L41" s="86"/>
      <c r="M41" s="85"/>
    </row>
    <row r="42" spans="1:13" ht="20.100000000000001" customHeight="1">
      <c r="A42" s="91">
        <v>37</v>
      </c>
      <c r="B42" s="151" t="s">
        <v>232</v>
      </c>
      <c r="C42" s="152"/>
      <c r="D42" s="153"/>
      <c r="E42" s="49" t="s">
        <v>423</v>
      </c>
      <c r="F42" s="62" t="s">
        <v>142</v>
      </c>
      <c r="G42" s="64" t="s">
        <v>251</v>
      </c>
      <c r="H42" s="63" t="s">
        <v>26</v>
      </c>
      <c r="I42" s="88" t="s">
        <v>12</v>
      </c>
      <c r="J42" s="57">
        <v>4</v>
      </c>
      <c r="K42" s="164"/>
      <c r="L42" s="86"/>
      <c r="M42" s="85"/>
    </row>
    <row r="43" spans="1:13" ht="20.100000000000001" customHeight="1">
      <c r="A43" s="91">
        <v>38</v>
      </c>
      <c r="B43" s="151" t="s">
        <v>232</v>
      </c>
      <c r="C43" s="152"/>
      <c r="D43" s="153"/>
      <c r="E43" s="49" t="s">
        <v>423</v>
      </c>
      <c r="F43" s="62" t="s">
        <v>142</v>
      </c>
      <c r="G43" s="64" t="s">
        <v>251</v>
      </c>
      <c r="H43" s="63" t="s">
        <v>26</v>
      </c>
      <c r="I43" s="88" t="s">
        <v>12</v>
      </c>
      <c r="J43" s="57">
        <v>4</v>
      </c>
      <c r="K43" s="164"/>
      <c r="L43" s="86"/>
      <c r="M43" s="85"/>
    </row>
    <row r="44" spans="1:13" ht="20.100000000000001" customHeight="1">
      <c r="A44" s="91">
        <v>39</v>
      </c>
      <c r="B44" s="151" t="s">
        <v>232</v>
      </c>
      <c r="C44" s="152"/>
      <c r="D44" s="153"/>
      <c r="E44" s="49" t="s">
        <v>423</v>
      </c>
      <c r="F44" s="62" t="s">
        <v>199</v>
      </c>
      <c r="G44" s="64" t="s">
        <v>441</v>
      </c>
      <c r="H44" s="63" t="s">
        <v>26</v>
      </c>
      <c r="I44" s="88" t="s">
        <v>12</v>
      </c>
      <c r="J44" s="57">
        <v>8</v>
      </c>
      <c r="K44" s="164"/>
      <c r="L44" s="86"/>
      <c r="M44" s="85"/>
    </row>
    <row r="45" spans="1:13" ht="20.100000000000001" customHeight="1">
      <c r="A45" s="91">
        <v>40</v>
      </c>
      <c r="B45" s="151" t="s">
        <v>232</v>
      </c>
      <c r="C45" s="152"/>
      <c r="D45" s="153"/>
      <c r="E45" s="49" t="s">
        <v>423</v>
      </c>
      <c r="F45" s="62" t="s">
        <v>199</v>
      </c>
      <c r="G45" s="64" t="s">
        <v>441</v>
      </c>
      <c r="H45" s="63" t="s">
        <v>26</v>
      </c>
      <c r="I45" s="88" t="s">
        <v>12</v>
      </c>
      <c r="J45" s="57">
        <v>4</v>
      </c>
      <c r="K45" s="164"/>
      <c r="L45" s="86"/>
      <c r="M45" s="85"/>
    </row>
    <row r="46" spans="1:13" ht="20.100000000000001" customHeight="1">
      <c r="A46" s="91">
        <v>41</v>
      </c>
      <c r="B46" s="151" t="s">
        <v>232</v>
      </c>
      <c r="C46" s="152"/>
      <c r="D46" s="153"/>
      <c r="E46" s="49" t="s">
        <v>423</v>
      </c>
      <c r="F46" s="62" t="s">
        <v>199</v>
      </c>
      <c r="G46" s="64" t="s">
        <v>441</v>
      </c>
      <c r="H46" s="63" t="s">
        <v>26</v>
      </c>
      <c r="I46" s="88" t="s">
        <v>12</v>
      </c>
      <c r="J46" s="57">
        <v>4</v>
      </c>
      <c r="K46" s="164"/>
      <c r="L46" s="86"/>
      <c r="M46" s="85"/>
    </row>
    <row r="47" spans="1:13" ht="20.100000000000001" customHeight="1">
      <c r="A47" s="91">
        <v>42</v>
      </c>
      <c r="B47" s="151" t="s">
        <v>232</v>
      </c>
      <c r="C47" s="152"/>
      <c r="D47" s="153"/>
      <c r="E47" s="49" t="s">
        <v>423</v>
      </c>
      <c r="F47" s="62" t="s">
        <v>199</v>
      </c>
      <c r="G47" s="64" t="s">
        <v>441</v>
      </c>
      <c r="H47" s="63" t="s">
        <v>26</v>
      </c>
      <c r="I47" s="88" t="s">
        <v>12</v>
      </c>
      <c r="J47" s="57">
        <v>4</v>
      </c>
      <c r="K47" s="164"/>
      <c r="L47" s="86"/>
      <c r="M47" s="85"/>
    </row>
    <row r="48" spans="1:13" ht="20.100000000000001" customHeight="1">
      <c r="A48" s="91">
        <v>43</v>
      </c>
      <c r="B48" s="151" t="s">
        <v>232</v>
      </c>
      <c r="C48" s="152"/>
      <c r="D48" s="153"/>
      <c r="E48" s="49" t="s">
        <v>423</v>
      </c>
      <c r="F48" s="62" t="s">
        <v>245</v>
      </c>
      <c r="G48" s="64" t="s">
        <v>246</v>
      </c>
      <c r="H48" s="63" t="s">
        <v>26</v>
      </c>
      <c r="I48" s="88" t="s">
        <v>12</v>
      </c>
      <c r="J48" s="57">
        <v>4</v>
      </c>
      <c r="K48" s="164"/>
      <c r="L48" s="86"/>
      <c r="M48" s="85"/>
    </row>
    <row r="49" spans="1:13" ht="20.100000000000001" customHeight="1" thickBot="1">
      <c r="A49" s="91">
        <v>44</v>
      </c>
      <c r="B49" s="151" t="s">
        <v>232</v>
      </c>
      <c r="C49" s="152"/>
      <c r="D49" s="153"/>
      <c r="E49" s="49" t="s">
        <v>423</v>
      </c>
      <c r="F49" s="62" t="s">
        <v>245</v>
      </c>
      <c r="G49" s="64" t="s">
        <v>246</v>
      </c>
      <c r="H49" s="63" t="s">
        <v>26</v>
      </c>
      <c r="I49" s="88" t="s">
        <v>12</v>
      </c>
      <c r="J49" s="57">
        <v>4</v>
      </c>
      <c r="K49" s="168"/>
      <c r="L49" s="86"/>
      <c r="M49" s="85"/>
    </row>
    <row r="50" spans="1:13" ht="33" customHeight="1">
      <c r="A50" s="4" t="s">
        <v>13</v>
      </c>
      <c r="B50" s="157" t="s">
        <v>21</v>
      </c>
      <c r="C50" s="158"/>
      <c r="D50" s="159"/>
      <c r="E50" s="18" t="s">
        <v>194</v>
      </c>
      <c r="F50" s="5" t="s">
        <v>3</v>
      </c>
      <c r="G50" s="5" t="s">
        <v>0</v>
      </c>
      <c r="H50" s="5" t="s">
        <v>6</v>
      </c>
      <c r="I50" s="5" t="s">
        <v>11</v>
      </c>
      <c r="J50" s="7" t="s">
        <v>7</v>
      </c>
      <c r="K50" s="7" t="s">
        <v>476</v>
      </c>
      <c r="L50" s="163">
        <v>27</v>
      </c>
      <c r="M50" s="13" t="s">
        <v>44</v>
      </c>
    </row>
    <row r="51" spans="1:13" ht="20.100000000000001" customHeight="1">
      <c r="A51" s="91">
        <v>45</v>
      </c>
      <c r="B51" s="151" t="s">
        <v>232</v>
      </c>
      <c r="C51" s="152"/>
      <c r="D51" s="153"/>
      <c r="E51" s="49" t="s">
        <v>423</v>
      </c>
      <c r="F51" s="62" t="s">
        <v>245</v>
      </c>
      <c r="G51" s="64" t="s">
        <v>246</v>
      </c>
      <c r="H51" s="63" t="s">
        <v>26</v>
      </c>
      <c r="I51" s="88" t="s">
        <v>12</v>
      </c>
      <c r="J51" s="87">
        <v>4</v>
      </c>
      <c r="K51" s="86"/>
      <c r="L51" s="164"/>
      <c r="M51" s="85"/>
    </row>
    <row r="52" spans="1:13" ht="20.100000000000001" customHeight="1">
      <c r="A52" s="91">
        <v>46</v>
      </c>
      <c r="B52" s="151" t="s">
        <v>232</v>
      </c>
      <c r="C52" s="152"/>
      <c r="D52" s="153"/>
      <c r="E52" s="49" t="s">
        <v>423</v>
      </c>
      <c r="F52" s="62" t="s">
        <v>245</v>
      </c>
      <c r="G52" s="64" t="s">
        <v>246</v>
      </c>
      <c r="H52" s="63" t="s">
        <v>26</v>
      </c>
      <c r="I52" s="88" t="s">
        <v>12</v>
      </c>
      <c r="J52" s="87">
        <v>4</v>
      </c>
      <c r="K52" s="86"/>
      <c r="L52" s="164"/>
      <c r="M52" s="85"/>
    </row>
    <row r="53" spans="1:13" ht="20.100000000000001" customHeight="1">
      <c r="A53" s="91">
        <v>47</v>
      </c>
      <c r="B53" s="151" t="s">
        <v>232</v>
      </c>
      <c r="C53" s="152"/>
      <c r="D53" s="153"/>
      <c r="E53" s="49" t="s">
        <v>423</v>
      </c>
      <c r="F53" s="62" t="s">
        <v>142</v>
      </c>
      <c r="G53" s="64" t="s">
        <v>268</v>
      </c>
      <c r="H53" s="63" t="s">
        <v>26</v>
      </c>
      <c r="I53" s="88" t="s">
        <v>12</v>
      </c>
      <c r="J53" s="87">
        <v>12</v>
      </c>
      <c r="K53" s="86"/>
      <c r="L53" s="164"/>
      <c r="M53" s="85"/>
    </row>
    <row r="54" spans="1:13" ht="20.100000000000001" customHeight="1">
      <c r="A54" s="91">
        <v>48</v>
      </c>
      <c r="B54" s="151" t="s">
        <v>232</v>
      </c>
      <c r="C54" s="152"/>
      <c r="D54" s="153"/>
      <c r="E54" s="49" t="s">
        <v>423</v>
      </c>
      <c r="F54" s="62" t="s">
        <v>142</v>
      </c>
      <c r="G54" s="64" t="s">
        <v>280</v>
      </c>
      <c r="H54" s="63" t="s">
        <v>26</v>
      </c>
      <c r="I54" s="88" t="s">
        <v>12</v>
      </c>
      <c r="J54" s="87">
        <v>4</v>
      </c>
      <c r="K54" s="86"/>
      <c r="L54" s="164"/>
      <c r="M54" s="85"/>
    </row>
    <row r="55" spans="1:13" ht="20.100000000000001" customHeight="1">
      <c r="A55" s="91">
        <v>49</v>
      </c>
      <c r="B55" s="151" t="s">
        <v>232</v>
      </c>
      <c r="C55" s="152"/>
      <c r="D55" s="153"/>
      <c r="E55" s="49" t="s">
        <v>423</v>
      </c>
      <c r="F55" s="62" t="s">
        <v>247</v>
      </c>
      <c r="G55" s="64" t="s">
        <v>248</v>
      </c>
      <c r="H55" s="63" t="s">
        <v>26</v>
      </c>
      <c r="I55" s="88" t="s">
        <v>12</v>
      </c>
      <c r="J55" s="87">
        <v>4</v>
      </c>
      <c r="K55" s="86"/>
      <c r="L55" s="164"/>
      <c r="M55" s="85"/>
    </row>
    <row r="56" spans="1:13" ht="20.100000000000001" customHeight="1">
      <c r="A56" s="91">
        <v>50</v>
      </c>
      <c r="B56" s="151" t="s">
        <v>232</v>
      </c>
      <c r="C56" s="152"/>
      <c r="D56" s="153"/>
      <c r="E56" s="49" t="s">
        <v>423</v>
      </c>
      <c r="F56" s="62" t="s">
        <v>247</v>
      </c>
      <c r="G56" s="64" t="s">
        <v>248</v>
      </c>
      <c r="H56" s="63" t="s">
        <v>26</v>
      </c>
      <c r="I56" s="88" t="s">
        <v>12</v>
      </c>
      <c r="J56" s="87">
        <v>4</v>
      </c>
      <c r="K56" s="86"/>
      <c r="L56" s="164"/>
      <c r="M56" s="85"/>
    </row>
    <row r="57" spans="1:13" ht="20.100000000000001" customHeight="1">
      <c r="A57" s="91">
        <v>51</v>
      </c>
      <c r="B57" s="151" t="s">
        <v>232</v>
      </c>
      <c r="C57" s="152"/>
      <c r="D57" s="153"/>
      <c r="E57" s="49" t="s">
        <v>423</v>
      </c>
      <c r="F57" s="62" t="s">
        <v>247</v>
      </c>
      <c r="G57" s="64" t="s">
        <v>248</v>
      </c>
      <c r="H57" s="63" t="s">
        <v>26</v>
      </c>
      <c r="I57" s="88" t="s">
        <v>12</v>
      </c>
      <c r="J57" s="87">
        <v>4</v>
      </c>
      <c r="K57" s="86"/>
      <c r="L57" s="164"/>
      <c r="M57" s="85"/>
    </row>
    <row r="58" spans="1:13" ht="20.100000000000001" customHeight="1">
      <c r="A58" s="91">
        <v>52</v>
      </c>
      <c r="B58" s="151" t="s">
        <v>232</v>
      </c>
      <c r="C58" s="152"/>
      <c r="D58" s="153"/>
      <c r="E58" s="49" t="s">
        <v>423</v>
      </c>
      <c r="F58" s="62" t="s">
        <v>247</v>
      </c>
      <c r="G58" s="64" t="s">
        <v>248</v>
      </c>
      <c r="H58" s="63" t="s">
        <v>26</v>
      </c>
      <c r="I58" s="88" t="s">
        <v>12</v>
      </c>
      <c r="J58" s="87">
        <v>4</v>
      </c>
      <c r="K58" s="107"/>
      <c r="L58" s="164"/>
      <c r="M58" s="85"/>
    </row>
    <row r="59" spans="1:13" ht="20.100000000000001" customHeight="1">
      <c r="A59" s="91">
        <v>53</v>
      </c>
      <c r="B59" s="151" t="s">
        <v>232</v>
      </c>
      <c r="C59" s="152"/>
      <c r="D59" s="153"/>
      <c r="E59" s="49" t="s">
        <v>423</v>
      </c>
      <c r="F59" s="50" t="s">
        <v>254</v>
      </c>
      <c r="G59" s="50" t="s">
        <v>255</v>
      </c>
      <c r="H59" s="50" t="s">
        <v>26</v>
      </c>
      <c r="I59" s="88" t="s">
        <v>12</v>
      </c>
      <c r="J59" s="87">
        <v>8</v>
      </c>
      <c r="K59" s="107"/>
      <c r="L59" s="164"/>
      <c r="M59" s="85"/>
    </row>
    <row r="60" spans="1:13" ht="20.100000000000001" customHeight="1">
      <c r="A60" s="91">
        <v>54</v>
      </c>
      <c r="B60" s="151" t="s">
        <v>232</v>
      </c>
      <c r="C60" s="152"/>
      <c r="D60" s="153"/>
      <c r="E60" s="49" t="s">
        <v>423</v>
      </c>
      <c r="F60" s="76" t="s">
        <v>254</v>
      </c>
      <c r="G60" s="76" t="s">
        <v>255</v>
      </c>
      <c r="H60" s="76" t="s">
        <v>26</v>
      </c>
      <c r="I60" s="88" t="s">
        <v>12</v>
      </c>
      <c r="J60" s="87">
        <v>8</v>
      </c>
      <c r="K60" s="107"/>
      <c r="L60" s="164"/>
      <c r="M60" s="85"/>
    </row>
    <row r="61" spans="1:13" ht="20.100000000000001" customHeight="1">
      <c r="A61" s="91">
        <v>55</v>
      </c>
      <c r="B61" s="151" t="s">
        <v>232</v>
      </c>
      <c r="C61" s="152"/>
      <c r="D61" s="153"/>
      <c r="E61" s="49" t="s">
        <v>423</v>
      </c>
      <c r="F61" s="76" t="s">
        <v>262</v>
      </c>
      <c r="G61" s="76" t="s">
        <v>278</v>
      </c>
      <c r="H61" s="76" t="s">
        <v>26</v>
      </c>
      <c r="I61" s="88" t="s">
        <v>12</v>
      </c>
      <c r="J61" s="87">
        <v>8</v>
      </c>
      <c r="K61" s="107"/>
      <c r="L61" s="164"/>
      <c r="M61" s="85"/>
    </row>
    <row r="62" spans="1:13" ht="35.25" customHeight="1" thickBot="1">
      <c r="A62" s="154" t="s">
        <v>1</v>
      </c>
      <c r="B62" s="155"/>
      <c r="C62" s="155"/>
      <c r="D62" s="155"/>
      <c r="E62" s="155"/>
      <c r="F62" s="155"/>
      <c r="G62" s="155"/>
      <c r="H62" s="155"/>
      <c r="I62" s="156"/>
      <c r="J62" s="84">
        <f>SUM(J5:J61)</f>
        <v>304</v>
      </c>
      <c r="K62" s="6">
        <v>1</v>
      </c>
      <c r="L62" s="6">
        <v>27</v>
      </c>
      <c r="M62" s="14"/>
    </row>
    <row r="63" spans="1:13">
      <c r="K63" s="3"/>
      <c r="L63" s="3"/>
      <c r="M63" s="3"/>
    </row>
    <row r="64" spans="1:13">
      <c r="K64" s="3"/>
      <c r="L64" s="3"/>
      <c r="M64" s="3"/>
    </row>
  </sheetData>
  <autoFilter ref="A4:M4" xr:uid="{54D5C1B7-8511-4422-B6F3-4D6E8EEEAC87}"/>
  <mergeCells count="64">
    <mergeCell ref="L50:L61"/>
    <mergeCell ref="B12:D12"/>
    <mergeCell ref="B13:D13"/>
    <mergeCell ref="B14:D14"/>
    <mergeCell ref="A2:M2"/>
    <mergeCell ref="B4:D4"/>
    <mergeCell ref="K5:K24"/>
    <mergeCell ref="L5:L24"/>
    <mergeCell ref="B25:D25"/>
    <mergeCell ref="B20:D20"/>
    <mergeCell ref="B21:D21"/>
    <mergeCell ref="B22:D22"/>
    <mergeCell ref="B23:D23"/>
    <mergeCell ref="B24:D24"/>
    <mergeCell ref="B26:D26"/>
    <mergeCell ref="B39:D39"/>
    <mergeCell ref="A62:I62"/>
    <mergeCell ref="B50:D50"/>
    <mergeCell ref="K26:K49"/>
    <mergeCell ref="B5:D5"/>
    <mergeCell ref="B6:D6"/>
    <mergeCell ref="B7:D7"/>
    <mergeCell ref="B8:D8"/>
    <mergeCell ref="B9:D9"/>
    <mergeCell ref="B10:D10"/>
    <mergeCell ref="B11:D11"/>
    <mergeCell ref="B27:D27"/>
    <mergeCell ref="B15:D15"/>
    <mergeCell ref="B16:D16"/>
    <mergeCell ref="B17:D17"/>
    <mergeCell ref="B18:D18"/>
    <mergeCell ref="B19:D19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52:D52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1:D51"/>
    <mergeCell ref="B59:D59"/>
    <mergeCell ref="B60:D60"/>
    <mergeCell ref="B61:D61"/>
    <mergeCell ref="B53:D53"/>
    <mergeCell ref="B54:D54"/>
    <mergeCell ref="B55:D55"/>
    <mergeCell ref="B56:D56"/>
    <mergeCell ref="B57:D57"/>
    <mergeCell ref="B58:D58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92" orientation="landscape" r:id="rId1"/>
  <rowBreaks count="1" manualBreakCount="1">
    <brk id="24" max="10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E6608-0F28-4787-A38E-4463897B46D8}">
  <dimension ref="A1:V16"/>
  <sheetViews>
    <sheetView view="pageBreakPreview" zoomScaleNormal="100" zoomScaleSheetLayoutView="100" workbookViewId="0">
      <pane ySplit="4" topLeftCell="A5" activePane="bottomLeft" state="frozen"/>
      <selection activeCell="B67" sqref="B67:D67"/>
      <selection pane="bottomLeft" activeCell="B67" sqref="B67:D67"/>
    </sheetView>
  </sheetViews>
  <sheetFormatPr defaultRowHeight="15"/>
  <cols>
    <col min="1" max="1" width="5.33203125" style="2" customWidth="1"/>
    <col min="2" max="4" width="4.33203125" style="2" customWidth="1"/>
    <col min="5" max="5" width="6.33203125" style="2" customWidth="1"/>
    <col min="6" max="6" width="19.33203125" style="2" customWidth="1"/>
    <col min="7" max="7" width="25.88671875" style="2" customWidth="1"/>
    <col min="8" max="8" width="13.109375" style="2" customWidth="1"/>
    <col min="9" max="9" width="5.33203125" style="2" customWidth="1"/>
    <col min="10" max="10" width="10.88671875" style="2" customWidth="1"/>
    <col min="11" max="11" width="9.77734375" style="1" customWidth="1"/>
    <col min="12" max="12" width="7.88671875" style="1" hidden="1" customWidth="1"/>
    <col min="13" max="13" width="10.44140625" style="1" customWidth="1"/>
  </cols>
  <sheetData>
    <row r="1" spans="1:22" ht="4.5" customHeight="1"/>
    <row r="2" spans="1:22" ht="38.25" customHeight="1">
      <c r="A2" s="144" t="s">
        <v>488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2"/>
      <c r="O2" s="12"/>
      <c r="P2" s="12"/>
      <c r="Q2" s="12"/>
      <c r="R2" s="12"/>
      <c r="S2" s="12"/>
      <c r="T2" s="12"/>
      <c r="U2" s="12"/>
      <c r="V2" s="12"/>
    </row>
    <row r="3" spans="1:22" ht="4.5" customHeight="1" thickBot="1"/>
    <row r="4" spans="1:22" ht="33" customHeight="1">
      <c r="A4" s="4" t="s">
        <v>13</v>
      </c>
      <c r="B4" s="157" t="s">
        <v>21</v>
      </c>
      <c r="C4" s="158"/>
      <c r="D4" s="159"/>
      <c r="E4" s="18" t="s">
        <v>194</v>
      </c>
      <c r="F4" s="103" t="s">
        <v>3</v>
      </c>
      <c r="G4" s="103" t="s">
        <v>0</v>
      </c>
      <c r="H4" s="103" t="s">
        <v>6</v>
      </c>
      <c r="I4" s="5" t="s">
        <v>11</v>
      </c>
      <c r="J4" s="7" t="s">
        <v>7</v>
      </c>
      <c r="K4" s="7" t="s">
        <v>476</v>
      </c>
      <c r="L4" s="7" t="s">
        <v>475</v>
      </c>
      <c r="M4" s="13" t="s">
        <v>44</v>
      </c>
    </row>
    <row r="5" spans="1:22" ht="20.100000000000001" customHeight="1">
      <c r="A5" s="15">
        <v>1</v>
      </c>
      <c r="B5" s="151" t="s">
        <v>232</v>
      </c>
      <c r="C5" s="152"/>
      <c r="D5" s="153"/>
      <c r="E5" s="49" t="s">
        <v>423</v>
      </c>
      <c r="F5" s="62" t="s">
        <v>113</v>
      </c>
      <c r="G5" s="64" t="s">
        <v>290</v>
      </c>
      <c r="H5" s="63" t="s">
        <v>181</v>
      </c>
      <c r="I5" s="10" t="s">
        <v>12</v>
      </c>
      <c r="J5" s="57">
        <v>8</v>
      </c>
      <c r="K5" s="160">
        <v>1</v>
      </c>
      <c r="L5" s="160">
        <v>27</v>
      </c>
      <c r="M5" s="34"/>
    </row>
    <row r="6" spans="1:22" ht="20.100000000000001" customHeight="1">
      <c r="A6" s="15">
        <v>2</v>
      </c>
      <c r="B6" s="151" t="s">
        <v>232</v>
      </c>
      <c r="C6" s="152"/>
      <c r="D6" s="153"/>
      <c r="E6" s="49" t="s">
        <v>423</v>
      </c>
      <c r="F6" s="62" t="s">
        <v>113</v>
      </c>
      <c r="G6" s="64" t="s">
        <v>290</v>
      </c>
      <c r="H6" s="63" t="s">
        <v>181</v>
      </c>
      <c r="I6" s="10" t="s">
        <v>12</v>
      </c>
      <c r="J6" s="57">
        <v>8</v>
      </c>
      <c r="K6" s="161"/>
      <c r="L6" s="161"/>
      <c r="M6" s="34"/>
    </row>
    <row r="7" spans="1:22" ht="20.100000000000001" customHeight="1">
      <c r="A7" s="15">
        <v>3</v>
      </c>
      <c r="B7" s="151" t="s">
        <v>232</v>
      </c>
      <c r="C7" s="152"/>
      <c r="D7" s="153"/>
      <c r="E7" s="49" t="s">
        <v>423</v>
      </c>
      <c r="F7" s="62" t="s">
        <v>286</v>
      </c>
      <c r="G7" s="64" t="s">
        <v>117</v>
      </c>
      <c r="H7" s="63" t="s">
        <v>181</v>
      </c>
      <c r="I7" s="10" t="s">
        <v>12</v>
      </c>
      <c r="J7" s="57">
        <v>4</v>
      </c>
      <c r="K7" s="161"/>
      <c r="L7" s="161"/>
      <c r="M7" s="34"/>
    </row>
    <row r="8" spans="1:22" ht="20.100000000000001" customHeight="1">
      <c r="A8" s="15">
        <v>4</v>
      </c>
      <c r="B8" s="151" t="s">
        <v>232</v>
      </c>
      <c r="C8" s="152"/>
      <c r="D8" s="153"/>
      <c r="E8" s="49" t="s">
        <v>423</v>
      </c>
      <c r="F8" s="62" t="s">
        <v>286</v>
      </c>
      <c r="G8" s="64" t="s">
        <v>115</v>
      </c>
      <c r="H8" s="63" t="s">
        <v>181</v>
      </c>
      <c r="I8" s="10" t="s">
        <v>12</v>
      </c>
      <c r="J8" s="57">
        <v>4</v>
      </c>
      <c r="K8" s="161"/>
      <c r="L8" s="161"/>
      <c r="M8" s="34"/>
    </row>
    <row r="9" spans="1:22" ht="20.100000000000001" customHeight="1">
      <c r="A9" s="15">
        <v>5</v>
      </c>
      <c r="B9" s="151" t="s">
        <v>232</v>
      </c>
      <c r="C9" s="152"/>
      <c r="D9" s="153"/>
      <c r="E9" s="49" t="s">
        <v>423</v>
      </c>
      <c r="F9" s="62" t="s">
        <v>286</v>
      </c>
      <c r="G9" s="64" t="s">
        <v>115</v>
      </c>
      <c r="H9" s="63" t="s">
        <v>181</v>
      </c>
      <c r="I9" s="10" t="s">
        <v>12</v>
      </c>
      <c r="J9" s="57">
        <v>4</v>
      </c>
      <c r="K9" s="161"/>
      <c r="L9" s="161"/>
      <c r="M9" s="34"/>
    </row>
    <row r="10" spans="1:22" ht="20.100000000000001" customHeight="1">
      <c r="A10" s="15">
        <v>6</v>
      </c>
      <c r="B10" s="151" t="s">
        <v>232</v>
      </c>
      <c r="C10" s="152"/>
      <c r="D10" s="153"/>
      <c r="E10" s="49" t="s">
        <v>423</v>
      </c>
      <c r="F10" s="62" t="s">
        <v>286</v>
      </c>
      <c r="G10" s="64" t="s">
        <v>115</v>
      </c>
      <c r="H10" s="63" t="s">
        <v>181</v>
      </c>
      <c r="I10" s="10" t="s">
        <v>12</v>
      </c>
      <c r="J10" s="57">
        <v>4</v>
      </c>
      <c r="K10" s="161"/>
      <c r="L10" s="161"/>
      <c r="M10" s="34"/>
    </row>
    <row r="11" spans="1:22" ht="20.100000000000001" customHeight="1">
      <c r="A11" s="15">
        <v>7</v>
      </c>
      <c r="B11" s="151" t="s">
        <v>232</v>
      </c>
      <c r="C11" s="152"/>
      <c r="D11" s="153"/>
      <c r="E11" s="49" t="s">
        <v>423</v>
      </c>
      <c r="F11" s="62" t="s">
        <v>286</v>
      </c>
      <c r="G11" s="64" t="s">
        <v>115</v>
      </c>
      <c r="H11" s="63" t="s">
        <v>181</v>
      </c>
      <c r="I11" s="10" t="s">
        <v>12</v>
      </c>
      <c r="J11" s="57">
        <v>4</v>
      </c>
      <c r="K11" s="161"/>
      <c r="L11" s="161"/>
      <c r="M11" s="34"/>
    </row>
    <row r="12" spans="1:22" ht="20.100000000000001" customHeight="1">
      <c r="A12" s="15">
        <v>8</v>
      </c>
      <c r="B12" s="151" t="s">
        <v>232</v>
      </c>
      <c r="C12" s="152"/>
      <c r="D12" s="153"/>
      <c r="E12" s="49" t="s">
        <v>423</v>
      </c>
      <c r="F12" s="62" t="s">
        <v>286</v>
      </c>
      <c r="G12" s="64" t="s">
        <v>292</v>
      </c>
      <c r="H12" s="63" t="s">
        <v>181</v>
      </c>
      <c r="I12" s="10" t="s">
        <v>12</v>
      </c>
      <c r="J12" s="57">
        <v>4</v>
      </c>
      <c r="K12" s="161"/>
      <c r="L12" s="161"/>
      <c r="M12" s="34"/>
    </row>
    <row r="13" spans="1:22" ht="20.100000000000001" customHeight="1">
      <c r="A13" s="15">
        <v>9</v>
      </c>
      <c r="B13" s="151" t="s">
        <v>232</v>
      </c>
      <c r="C13" s="152"/>
      <c r="D13" s="153"/>
      <c r="E13" s="49" t="s">
        <v>423</v>
      </c>
      <c r="F13" s="62" t="s">
        <v>286</v>
      </c>
      <c r="G13" s="64" t="s">
        <v>294</v>
      </c>
      <c r="H13" s="63" t="s">
        <v>181</v>
      </c>
      <c r="I13" s="10" t="s">
        <v>12</v>
      </c>
      <c r="J13" s="57">
        <v>4</v>
      </c>
      <c r="K13" s="161"/>
      <c r="L13" s="161"/>
      <c r="M13" s="34"/>
    </row>
    <row r="14" spans="1:22" ht="35.25" customHeight="1" thickBot="1">
      <c r="A14" s="154" t="s">
        <v>1</v>
      </c>
      <c r="B14" s="155"/>
      <c r="C14" s="155"/>
      <c r="D14" s="155"/>
      <c r="E14" s="155"/>
      <c r="F14" s="155"/>
      <c r="G14" s="155"/>
      <c r="H14" s="155"/>
      <c r="I14" s="156"/>
      <c r="J14" s="84">
        <f>SUM(J5:J13)</f>
        <v>44</v>
      </c>
      <c r="K14" s="6">
        <v>1</v>
      </c>
      <c r="L14" s="6">
        <v>27</v>
      </c>
      <c r="M14" s="14"/>
    </row>
    <row r="15" spans="1:22">
      <c r="K15" s="3"/>
      <c r="L15" s="3"/>
      <c r="M15" s="3"/>
    </row>
    <row r="16" spans="1:22">
      <c r="K16" s="3"/>
      <c r="L16" s="3"/>
      <c r="M16" s="3"/>
    </row>
  </sheetData>
  <autoFilter ref="A4:M4" xr:uid="{D5BE6608-0F28-4787-A38E-4463897B46D8}">
    <filterColumn colId="1" showButton="0"/>
    <filterColumn colId="2" showButton="0"/>
  </autoFilter>
  <mergeCells count="14">
    <mergeCell ref="A2:M2"/>
    <mergeCell ref="B4:D4"/>
    <mergeCell ref="K5:K13"/>
    <mergeCell ref="L5:L13"/>
    <mergeCell ref="A14:I14"/>
    <mergeCell ref="B5:D5"/>
    <mergeCell ref="B6:D6"/>
    <mergeCell ref="B7:D7"/>
    <mergeCell ref="B8:D8"/>
    <mergeCell ref="B9:D9"/>
    <mergeCell ref="B10:D10"/>
    <mergeCell ref="B11:D11"/>
    <mergeCell ref="B12:D12"/>
    <mergeCell ref="B13:D13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92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6E4D2-9B84-41EA-B3E7-D901E942A121}">
  <dimension ref="A1:V19"/>
  <sheetViews>
    <sheetView view="pageBreakPreview" zoomScaleNormal="100" zoomScaleSheetLayoutView="100" workbookViewId="0">
      <pane ySplit="4" topLeftCell="A5" activePane="bottomLeft" state="frozen"/>
      <selection activeCell="B67" sqref="B67:D67"/>
      <selection pane="bottomLeft" activeCell="B67" sqref="B67:D67"/>
    </sheetView>
  </sheetViews>
  <sheetFormatPr defaultRowHeight="15"/>
  <cols>
    <col min="1" max="1" width="5.33203125" style="2" customWidth="1"/>
    <col min="2" max="4" width="4.33203125" style="2" customWidth="1"/>
    <col min="5" max="5" width="6.33203125" style="2" customWidth="1"/>
    <col min="6" max="6" width="19.33203125" style="2" customWidth="1"/>
    <col min="7" max="7" width="25.88671875" style="2" customWidth="1"/>
    <col min="8" max="8" width="13.109375" style="2" customWidth="1"/>
    <col min="9" max="9" width="5.33203125" style="2" customWidth="1"/>
    <col min="10" max="10" width="10.88671875" style="2" customWidth="1"/>
    <col min="11" max="11" width="9.77734375" style="1" customWidth="1"/>
    <col min="12" max="12" width="7.88671875" style="1" hidden="1" customWidth="1"/>
    <col min="13" max="13" width="10.44140625" style="1" customWidth="1"/>
  </cols>
  <sheetData>
    <row r="1" spans="1:22" ht="4.5" customHeight="1"/>
    <row r="2" spans="1:22" ht="38.25" customHeight="1">
      <c r="A2" s="144" t="s">
        <v>489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2"/>
      <c r="O2" s="12"/>
      <c r="P2" s="12"/>
      <c r="Q2" s="12"/>
      <c r="R2" s="12"/>
      <c r="S2" s="12"/>
      <c r="T2" s="12"/>
      <c r="U2" s="12"/>
      <c r="V2" s="12"/>
    </row>
    <row r="3" spans="1:22" ht="4.5" customHeight="1" thickBot="1"/>
    <row r="4" spans="1:22" ht="33" customHeight="1">
      <c r="A4" s="4" t="s">
        <v>13</v>
      </c>
      <c r="B4" s="157" t="s">
        <v>21</v>
      </c>
      <c r="C4" s="158"/>
      <c r="D4" s="159"/>
      <c r="E4" s="18" t="s">
        <v>194</v>
      </c>
      <c r="F4" s="103" t="s">
        <v>3</v>
      </c>
      <c r="G4" s="103" t="s">
        <v>0</v>
      </c>
      <c r="H4" s="103" t="s">
        <v>6</v>
      </c>
      <c r="I4" s="5" t="s">
        <v>11</v>
      </c>
      <c r="J4" s="7" t="s">
        <v>7</v>
      </c>
      <c r="K4" s="7" t="s">
        <v>476</v>
      </c>
      <c r="L4" s="7" t="s">
        <v>475</v>
      </c>
      <c r="M4" s="13" t="s">
        <v>44</v>
      </c>
    </row>
    <row r="5" spans="1:22" ht="20.100000000000001" customHeight="1">
      <c r="A5" s="15">
        <v>1</v>
      </c>
      <c r="B5" s="151" t="s">
        <v>232</v>
      </c>
      <c r="C5" s="152"/>
      <c r="D5" s="153"/>
      <c r="E5" s="49" t="s">
        <v>423</v>
      </c>
      <c r="F5" s="50" t="s">
        <v>285</v>
      </c>
      <c r="G5" s="50" t="s">
        <v>289</v>
      </c>
      <c r="H5" s="50" t="s">
        <v>181</v>
      </c>
      <c r="I5" s="10" t="s">
        <v>12</v>
      </c>
      <c r="J5" s="57">
        <v>8</v>
      </c>
      <c r="K5" s="160">
        <v>1</v>
      </c>
      <c r="L5" s="160">
        <v>27</v>
      </c>
      <c r="M5" s="34"/>
    </row>
    <row r="6" spans="1:22" ht="20.100000000000001" customHeight="1">
      <c r="A6" s="15">
        <v>2</v>
      </c>
      <c r="B6" s="151" t="s">
        <v>232</v>
      </c>
      <c r="C6" s="152"/>
      <c r="D6" s="153"/>
      <c r="E6" s="49" t="s">
        <v>423</v>
      </c>
      <c r="F6" s="62" t="s">
        <v>112</v>
      </c>
      <c r="G6" s="64" t="s">
        <v>289</v>
      </c>
      <c r="H6" s="63" t="s">
        <v>181</v>
      </c>
      <c r="I6" s="10" t="s">
        <v>12</v>
      </c>
      <c r="J6" s="57">
        <v>8</v>
      </c>
      <c r="K6" s="161"/>
      <c r="L6" s="161"/>
      <c r="M6" s="34"/>
    </row>
    <row r="7" spans="1:22" ht="20.100000000000001" customHeight="1">
      <c r="A7" s="15">
        <v>3</v>
      </c>
      <c r="B7" s="151" t="s">
        <v>232</v>
      </c>
      <c r="C7" s="152"/>
      <c r="D7" s="153"/>
      <c r="E7" s="49" t="s">
        <v>423</v>
      </c>
      <c r="F7" s="62" t="s">
        <v>285</v>
      </c>
      <c r="G7" s="64" t="s">
        <v>116</v>
      </c>
      <c r="H7" s="63" t="s">
        <v>181</v>
      </c>
      <c r="I7" s="10" t="s">
        <v>12</v>
      </c>
      <c r="J7" s="57">
        <v>4</v>
      </c>
      <c r="K7" s="161"/>
      <c r="L7" s="161"/>
      <c r="M7" s="34"/>
    </row>
    <row r="8" spans="1:22" ht="20.100000000000001" customHeight="1">
      <c r="A8" s="15">
        <v>4</v>
      </c>
      <c r="B8" s="151" t="s">
        <v>232</v>
      </c>
      <c r="C8" s="152"/>
      <c r="D8" s="153"/>
      <c r="E8" s="49" t="s">
        <v>423</v>
      </c>
      <c r="F8" s="76" t="s">
        <v>285</v>
      </c>
      <c r="G8" s="76" t="s">
        <v>114</v>
      </c>
      <c r="H8" s="76" t="s">
        <v>181</v>
      </c>
      <c r="I8" s="10" t="s">
        <v>12</v>
      </c>
      <c r="J8" s="57">
        <v>4</v>
      </c>
      <c r="K8" s="161"/>
      <c r="L8" s="161"/>
      <c r="M8" s="34"/>
    </row>
    <row r="9" spans="1:22" ht="20.100000000000001" customHeight="1">
      <c r="A9" s="15">
        <v>5</v>
      </c>
      <c r="B9" s="151" t="s">
        <v>232</v>
      </c>
      <c r="C9" s="152"/>
      <c r="D9" s="153"/>
      <c r="E9" s="49" t="s">
        <v>423</v>
      </c>
      <c r="F9" s="50" t="s">
        <v>285</v>
      </c>
      <c r="G9" s="50" t="s">
        <v>114</v>
      </c>
      <c r="H9" s="50" t="s">
        <v>181</v>
      </c>
      <c r="I9" s="10" t="s">
        <v>12</v>
      </c>
      <c r="J9" s="57">
        <v>4</v>
      </c>
      <c r="K9" s="161"/>
      <c r="L9" s="161"/>
      <c r="M9" s="34"/>
    </row>
    <row r="10" spans="1:22" ht="20.100000000000001" customHeight="1">
      <c r="A10" s="15">
        <v>6</v>
      </c>
      <c r="B10" s="151" t="s">
        <v>232</v>
      </c>
      <c r="C10" s="152"/>
      <c r="D10" s="153"/>
      <c r="E10" s="49" t="s">
        <v>423</v>
      </c>
      <c r="F10" s="50" t="s">
        <v>285</v>
      </c>
      <c r="G10" s="50" t="s">
        <v>114</v>
      </c>
      <c r="H10" s="50" t="s">
        <v>181</v>
      </c>
      <c r="I10" s="10" t="s">
        <v>12</v>
      </c>
      <c r="J10" s="57">
        <v>4</v>
      </c>
      <c r="K10" s="161"/>
      <c r="L10" s="161"/>
      <c r="M10" s="34"/>
    </row>
    <row r="11" spans="1:22" ht="20.100000000000001" customHeight="1">
      <c r="A11" s="15">
        <v>7</v>
      </c>
      <c r="B11" s="151" t="s">
        <v>232</v>
      </c>
      <c r="C11" s="152"/>
      <c r="D11" s="153"/>
      <c r="E11" s="49" t="s">
        <v>423</v>
      </c>
      <c r="F11" s="76" t="s">
        <v>285</v>
      </c>
      <c r="G11" s="76" t="s">
        <v>114</v>
      </c>
      <c r="H11" s="76" t="s">
        <v>181</v>
      </c>
      <c r="I11" s="10" t="s">
        <v>12</v>
      </c>
      <c r="J11" s="57">
        <v>4</v>
      </c>
      <c r="K11" s="161"/>
      <c r="L11" s="161"/>
      <c r="M11" s="34"/>
    </row>
    <row r="12" spans="1:22" ht="20.100000000000001" customHeight="1">
      <c r="A12" s="15">
        <v>8</v>
      </c>
      <c r="B12" s="151" t="s">
        <v>232</v>
      </c>
      <c r="C12" s="152"/>
      <c r="D12" s="153"/>
      <c r="E12" s="49" t="s">
        <v>423</v>
      </c>
      <c r="F12" s="78" t="s">
        <v>285</v>
      </c>
      <c r="G12" s="76" t="s">
        <v>291</v>
      </c>
      <c r="H12" s="78" t="s">
        <v>181</v>
      </c>
      <c r="I12" s="10" t="s">
        <v>12</v>
      </c>
      <c r="J12" s="57">
        <v>4</v>
      </c>
      <c r="K12" s="161"/>
      <c r="L12" s="161"/>
      <c r="M12" s="34"/>
    </row>
    <row r="13" spans="1:22" ht="20.100000000000001" customHeight="1">
      <c r="A13" s="15">
        <v>9</v>
      </c>
      <c r="B13" s="151" t="s">
        <v>232</v>
      </c>
      <c r="C13" s="152"/>
      <c r="D13" s="153"/>
      <c r="E13" s="49" t="s">
        <v>423</v>
      </c>
      <c r="F13" s="76" t="s">
        <v>285</v>
      </c>
      <c r="G13" s="76" t="s">
        <v>293</v>
      </c>
      <c r="H13" s="78" t="s">
        <v>181</v>
      </c>
      <c r="I13" s="10" t="s">
        <v>12</v>
      </c>
      <c r="J13" s="57">
        <v>4</v>
      </c>
      <c r="K13" s="161"/>
      <c r="L13" s="161"/>
      <c r="M13" s="34"/>
    </row>
    <row r="14" spans="1:22" ht="20.100000000000001" customHeight="1">
      <c r="A14" s="15">
        <v>10</v>
      </c>
      <c r="B14" s="151" t="s">
        <v>232</v>
      </c>
      <c r="C14" s="152"/>
      <c r="D14" s="153"/>
      <c r="E14" s="49" t="s">
        <v>423</v>
      </c>
      <c r="F14" s="59" t="s">
        <v>296</v>
      </c>
      <c r="G14" s="59" t="s">
        <v>297</v>
      </c>
      <c r="H14" s="50" t="s">
        <v>181</v>
      </c>
      <c r="I14" s="10" t="s">
        <v>12</v>
      </c>
      <c r="J14" s="57">
        <v>8</v>
      </c>
      <c r="K14" s="161"/>
      <c r="L14" s="161"/>
      <c r="M14" s="34"/>
    </row>
    <row r="15" spans="1:22" ht="20.100000000000001" customHeight="1">
      <c r="A15" s="15">
        <v>11</v>
      </c>
      <c r="B15" s="151" t="s">
        <v>232</v>
      </c>
      <c r="C15" s="152"/>
      <c r="D15" s="153"/>
      <c r="E15" s="49" t="s">
        <v>423</v>
      </c>
      <c r="F15" s="59" t="s">
        <v>287</v>
      </c>
      <c r="G15" s="59" t="s">
        <v>288</v>
      </c>
      <c r="H15" s="50" t="s">
        <v>181</v>
      </c>
      <c r="I15" s="10" t="s">
        <v>12</v>
      </c>
      <c r="J15" s="57">
        <v>4</v>
      </c>
      <c r="K15" s="161"/>
      <c r="L15" s="161"/>
      <c r="M15" s="34"/>
    </row>
    <row r="16" spans="1:22" ht="20.100000000000001" customHeight="1">
      <c r="A16" s="15">
        <v>12</v>
      </c>
      <c r="B16" s="151" t="s">
        <v>232</v>
      </c>
      <c r="C16" s="152"/>
      <c r="D16" s="153"/>
      <c r="E16" s="49" t="s">
        <v>423</v>
      </c>
      <c r="F16" s="59" t="s">
        <v>287</v>
      </c>
      <c r="G16" s="59" t="s">
        <v>295</v>
      </c>
      <c r="H16" s="50" t="s">
        <v>181</v>
      </c>
      <c r="I16" s="10" t="s">
        <v>12</v>
      </c>
      <c r="J16" s="57">
        <v>4</v>
      </c>
      <c r="K16" s="161"/>
      <c r="L16" s="161"/>
      <c r="M16" s="34"/>
    </row>
    <row r="17" spans="1:13" ht="35.25" customHeight="1" thickBot="1">
      <c r="A17" s="154" t="s">
        <v>1</v>
      </c>
      <c r="B17" s="155"/>
      <c r="C17" s="155"/>
      <c r="D17" s="155"/>
      <c r="E17" s="155"/>
      <c r="F17" s="155"/>
      <c r="G17" s="155"/>
      <c r="H17" s="155"/>
      <c r="I17" s="156"/>
      <c r="J17" s="84">
        <f>SUM(J5:J16)</f>
        <v>60</v>
      </c>
      <c r="K17" s="6">
        <v>1</v>
      </c>
      <c r="L17" s="6">
        <v>27</v>
      </c>
      <c r="M17" s="14"/>
    </row>
    <row r="18" spans="1:13">
      <c r="K18" s="3"/>
      <c r="L18" s="3"/>
      <c r="M18" s="3"/>
    </row>
    <row r="19" spans="1:13">
      <c r="K19" s="3"/>
      <c r="L19" s="3"/>
      <c r="M19" s="3"/>
    </row>
  </sheetData>
  <autoFilter ref="A4:M4" xr:uid="{6B36E4D2-9B84-41EA-B3E7-D901E942A121}">
    <filterColumn colId="1" showButton="0"/>
    <filterColumn colId="2" showButton="0"/>
  </autoFilter>
  <mergeCells count="17">
    <mergeCell ref="A2:M2"/>
    <mergeCell ref="B4:D4"/>
    <mergeCell ref="K5:K16"/>
    <mergeCell ref="L5:L16"/>
    <mergeCell ref="B14:D14"/>
    <mergeCell ref="B15:D15"/>
    <mergeCell ref="B16:D16"/>
    <mergeCell ref="A17:I17"/>
    <mergeCell ref="B5:D5"/>
    <mergeCell ref="B6:D6"/>
    <mergeCell ref="B7:D7"/>
    <mergeCell ref="B8:D8"/>
    <mergeCell ref="B9:D9"/>
    <mergeCell ref="B10:D10"/>
    <mergeCell ref="B11:D11"/>
    <mergeCell ref="B12:D12"/>
    <mergeCell ref="B13:D13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92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10092-63BC-4CD3-8735-2C1053888F13}">
  <dimension ref="A1:V10"/>
  <sheetViews>
    <sheetView view="pageBreakPreview" zoomScaleNormal="100" zoomScaleSheetLayoutView="100" workbookViewId="0">
      <pane ySplit="4" topLeftCell="A5" activePane="bottomLeft" state="frozen"/>
      <selection activeCell="B67" sqref="B67:D67"/>
      <selection pane="bottomLeft" activeCell="B67" sqref="B67:D67"/>
    </sheetView>
  </sheetViews>
  <sheetFormatPr defaultRowHeight="15"/>
  <cols>
    <col min="1" max="1" width="5.33203125" style="2" customWidth="1"/>
    <col min="2" max="4" width="4.33203125" style="2" customWidth="1"/>
    <col min="5" max="5" width="6.33203125" style="2" customWidth="1"/>
    <col min="6" max="6" width="19.33203125" style="2" customWidth="1"/>
    <col min="7" max="7" width="25.88671875" style="2" customWidth="1"/>
    <col min="8" max="8" width="13.109375" style="2" customWidth="1"/>
    <col min="9" max="9" width="5.33203125" style="2" customWidth="1"/>
    <col min="10" max="10" width="10.88671875" style="2" customWidth="1"/>
    <col min="11" max="11" width="9.77734375" style="1" customWidth="1"/>
    <col min="12" max="12" width="7.88671875" style="1" hidden="1" customWidth="1"/>
    <col min="13" max="13" width="10.44140625" style="1" customWidth="1"/>
  </cols>
  <sheetData>
    <row r="1" spans="1:22" ht="4.5" customHeight="1"/>
    <row r="2" spans="1:22" ht="38.25" customHeight="1">
      <c r="A2" s="144" t="s">
        <v>490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2"/>
      <c r="O2" s="12"/>
      <c r="P2" s="12"/>
      <c r="Q2" s="12"/>
      <c r="R2" s="12"/>
      <c r="S2" s="12"/>
      <c r="T2" s="12"/>
      <c r="U2" s="12"/>
      <c r="V2" s="12"/>
    </row>
    <row r="3" spans="1:22" ht="4.5" customHeight="1" thickBot="1"/>
    <row r="4" spans="1:22" ht="33" customHeight="1">
      <c r="A4" s="4" t="s">
        <v>13</v>
      </c>
      <c r="B4" s="157" t="s">
        <v>21</v>
      </c>
      <c r="C4" s="158"/>
      <c r="D4" s="159"/>
      <c r="E4" s="18" t="s">
        <v>194</v>
      </c>
      <c r="F4" s="103" t="s">
        <v>3</v>
      </c>
      <c r="G4" s="103" t="s">
        <v>0</v>
      </c>
      <c r="H4" s="103" t="s">
        <v>6</v>
      </c>
      <c r="I4" s="5" t="s">
        <v>11</v>
      </c>
      <c r="J4" s="7" t="s">
        <v>7</v>
      </c>
      <c r="K4" s="7" t="s">
        <v>476</v>
      </c>
      <c r="L4" s="7" t="s">
        <v>475</v>
      </c>
      <c r="M4" s="13" t="s">
        <v>44</v>
      </c>
    </row>
    <row r="5" spans="1:22" ht="20.100000000000001" customHeight="1">
      <c r="A5" s="15">
        <v>1</v>
      </c>
      <c r="B5" s="151" t="s">
        <v>232</v>
      </c>
      <c r="C5" s="152"/>
      <c r="D5" s="153"/>
      <c r="E5" s="49" t="s">
        <v>423</v>
      </c>
      <c r="F5" s="73" t="s">
        <v>299</v>
      </c>
      <c r="G5" s="81" t="s">
        <v>313</v>
      </c>
      <c r="H5" s="73" t="s">
        <v>49</v>
      </c>
      <c r="I5" s="10" t="s">
        <v>12</v>
      </c>
      <c r="J5" s="57">
        <v>8</v>
      </c>
      <c r="K5" s="160">
        <v>1</v>
      </c>
      <c r="L5" s="160">
        <v>27</v>
      </c>
      <c r="M5" s="34"/>
    </row>
    <row r="6" spans="1:22" ht="20.100000000000001" customHeight="1">
      <c r="A6" s="15">
        <v>2</v>
      </c>
      <c r="B6" s="151"/>
      <c r="C6" s="152"/>
      <c r="D6" s="153"/>
      <c r="E6" s="49"/>
      <c r="F6" s="73"/>
      <c r="G6" s="81"/>
      <c r="H6" s="73"/>
      <c r="I6" s="10" t="s">
        <v>12</v>
      </c>
      <c r="J6" s="57"/>
      <c r="K6" s="161"/>
      <c r="L6" s="161"/>
      <c r="M6" s="34"/>
    </row>
    <row r="7" spans="1:22" ht="20.100000000000001" customHeight="1">
      <c r="A7" s="15">
        <v>3</v>
      </c>
      <c r="B7" s="151"/>
      <c r="C7" s="152"/>
      <c r="D7" s="153"/>
      <c r="E7" s="49"/>
      <c r="F7" s="73"/>
      <c r="G7" s="81"/>
      <c r="H7" s="73"/>
      <c r="I7" s="10" t="s">
        <v>12</v>
      </c>
      <c r="J7" s="57"/>
      <c r="K7" s="161"/>
      <c r="L7" s="161"/>
      <c r="M7" s="34"/>
    </row>
    <row r="8" spans="1:22" ht="35.25" customHeight="1" thickBot="1">
      <c r="A8" s="154" t="s">
        <v>1</v>
      </c>
      <c r="B8" s="155"/>
      <c r="C8" s="155"/>
      <c r="D8" s="155"/>
      <c r="E8" s="155"/>
      <c r="F8" s="155"/>
      <c r="G8" s="155"/>
      <c r="H8" s="155"/>
      <c r="I8" s="156"/>
      <c r="J8" s="84">
        <f>SUM(J5:J7)</f>
        <v>8</v>
      </c>
      <c r="K8" s="6">
        <v>1</v>
      </c>
      <c r="L8" s="6">
        <v>27</v>
      </c>
      <c r="M8" s="14"/>
    </row>
    <row r="9" spans="1:22">
      <c r="K9" s="3"/>
      <c r="L9" s="3"/>
      <c r="M9" s="3"/>
    </row>
    <row r="10" spans="1:22">
      <c r="K10" s="3"/>
      <c r="L10" s="3"/>
      <c r="M10" s="3"/>
    </row>
  </sheetData>
  <autoFilter ref="A4:M4" xr:uid="{EEA10092-63BC-4CD3-8735-2C1053888F13}">
    <filterColumn colId="1" showButton="0"/>
    <filterColumn colId="2" showButton="0"/>
  </autoFilter>
  <mergeCells count="8">
    <mergeCell ref="A8:I8"/>
    <mergeCell ref="B5:D5"/>
    <mergeCell ref="B6:D6"/>
    <mergeCell ref="B7:D7"/>
    <mergeCell ref="A2:M2"/>
    <mergeCell ref="B4:D4"/>
    <mergeCell ref="K5:K7"/>
    <mergeCell ref="L5:L7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92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D8833-F3B0-4FD9-9A70-04193E32ECBC}">
  <dimension ref="A1:V13"/>
  <sheetViews>
    <sheetView view="pageBreakPreview" zoomScaleNormal="100" zoomScaleSheetLayoutView="100" workbookViewId="0">
      <pane ySplit="4" topLeftCell="A5" activePane="bottomLeft" state="frozen"/>
      <selection activeCell="B67" sqref="B67:D67"/>
      <selection pane="bottomLeft" activeCell="B67" sqref="B67:D67"/>
    </sheetView>
  </sheetViews>
  <sheetFormatPr defaultRowHeight="15"/>
  <cols>
    <col min="1" max="1" width="5.33203125" style="2" customWidth="1"/>
    <col min="2" max="4" width="4.33203125" style="2" customWidth="1"/>
    <col min="5" max="5" width="6.33203125" style="2" customWidth="1"/>
    <col min="6" max="6" width="19.33203125" style="2" customWidth="1"/>
    <col min="7" max="7" width="25.88671875" style="2" customWidth="1"/>
    <col min="8" max="8" width="13.109375" style="2" customWidth="1"/>
    <col min="9" max="9" width="5.33203125" style="2" customWidth="1"/>
    <col min="10" max="10" width="10.88671875" style="2" customWidth="1"/>
    <col min="11" max="11" width="9.77734375" style="1" customWidth="1"/>
    <col min="12" max="12" width="7.88671875" style="1" hidden="1" customWidth="1"/>
    <col min="13" max="13" width="10.44140625" style="1" customWidth="1"/>
  </cols>
  <sheetData>
    <row r="1" spans="1:22" ht="4.5" customHeight="1"/>
    <row r="2" spans="1:22" ht="38.25" customHeight="1">
      <c r="A2" s="144" t="s">
        <v>491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2"/>
      <c r="O2" s="12"/>
      <c r="P2" s="12"/>
      <c r="Q2" s="12"/>
      <c r="R2" s="12"/>
      <c r="S2" s="12"/>
      <c r="T2" s="12"/>
      <c r="U2" s="12"/>
      <c r="V2" s="12"/>
    </row>
    <row r="3" spans="1:22" ht="4.5" customHeight="1" thickBot="1"/>
    <row r="4" spans="1:22" ht="33" customHeight="1">
      <c r="A4" s="4" t="s">
        <v>13</v>
      </c>
      <c r="B4" s="157" t="s">
        <v>21</v>
      </c>
      <c r="C4" s="158"/>
      <c r="D4" s="159"/>
      <c r="E4" s="18" t="s">
        <v>194</v>
      </c>
      <c r="F4" s="103" t="s">
        <v>3</v>
      </c>
      <c r="G4" s="103" t="s">
        <v>0</v>
      </c>
      <c r="H4" s="103" t="s">
        <v>6</v>
      </c>
      <c r="I4" s="5" t="s">
        <v>11</v>
      </c>
      <c r="J4" s="7" t="s">
        <v>7</v>
      </c>
      <c r="K4" s="7" t="s">
        <v>476</v>
      </c>
      <c r="L4" s="7" t="s">
        <v>475</v>
      </c>
      <c r="M4" s="13" t="s">
        <v>44</v>
      </c>
    </row>
    <row r="5" spans="1:22" ht="20.100000000000001" customHeight="1">
      <c r="A5" s="15">
        <v>1</v>
      </c>
      <c r="B5" s="151" t="s">
        <v>232</v>
      </c>
      <c r="C5" s="152"/>
      <c r="D5" s="153"/>
      <c r="E5" s="49" t="s">
        <v>423</v>
      </c>
      <c r="F5" s="59" t="s">
        <v>282</v>
      </c>
      <c r="G5" s="59" t="s">
        <v>283</v>
      </c>
      <c r="H5" s="50" t="s">
        <v>284</v>
      </c>
      <c r="I5" s="10" t="s">
        <v>12</v>
      </c>
      <c r="J5" s="57">
        <v>4</v>
      </c>
      <c r="K5" s="160">
        <v>1</v>
      </c>
      <c r="L5" s="160">
        <v>27</v>
      </c>
      <c r="M5" s="34"/>
    </row>
    <row r="6" spans="1:22" ht="20.100000000000001" customHeight="1">
      <c r="A6" s="15">
        <v>2</v>
      </c>
      <c r="B6" s="151" t="s">
        <v>232</v>
      </c>
      <c r="C6" s="152"/>
      <c r="D6" s="153"/>
      <c r="E6" s="49" t="s">
        <v>423</v>
      </c>
      <c r="F6" s="62" t="s">
        <v>282</v>
      </c>
      <c r="G6" s="62" t="s">
        <v>283</v>
      </c>
      <c r="H6" s="63" t="s">
        <v>284</v>
      </c>
      <c r="I6" s="10" t="s">
        <v>12</v>
      </c>
      <c r="J6" s="57">
        <v>4</v>
      </c>
      <c r="K6" s="161"/>
      <c r="L6" s="161"/>
      <c r="M6" s="34"/>
    </row>
    <row r="7" spans="1:22" ht="20.100000000000001" customHeight="1">
      <c r="A7" s="15">
        <v>3</v>
      </c>
      <c r="B7" s="151" t="s">
        <v>232</v>
      </c>
      <c r="C7" s="152"/>
      <c r="D7" s="153"/>
      <c r="E7" s="49" t="s">
        <v>423</v>
      </c>
      <c r="F7" s="62" t="s">
        <v>282</v>
      </c>
      <c r="G7" s="62" t="s">
        <v>283</v>
      </c>
      <c r="H7" s="63" t="s">
        <v>284</v>
      </c>
      <c r="I7" s="10" t="s">
        <v>12</v>
      </c>
      <c r="J7" s="57">
        <v>6</v>
      </c>
      <c r="K7" s="161"/>
      <c r="L7" s="161"/>
      <c r="M7" s="34"/>
    </row>
    <row r="8" spans="1:22" ht="20.100000000000001" customHeight="1">
      <c r="A8" s="15">
        <v>4</v>
      </c>
      <c r="B8" s="151" t="s">
        <v>232</v>
      </c>
      <c r="C8" s="152"/>
      <c r="D8" s="153"/>
      <c r="E8" s="49" t="s">
        <v>423</v>
      </c>
      <c r="F8" s="73" t="s">
        <v>42</v>
      </c>
      <c r="G8" s="73" t="s">
        <v>462</v>
      </c>
      <c r="H8" s="73" t="s">
        <v>417</v>
      </c>
      <c r="I8" s="10" t="s">
        <v>12</v>
      </c>
      <c r="J8" s="57">
        <v>8</v>
      </c>
      <c r="K8" s="161"/>
      <c r="L8" s="161"/>
      <c r="M8" s="34"/>
    </row>
    <row r="9" spans="1:22" ht="20.100000000000001" customHeight="1">
      <c r="A9" s="15">
        <v>5</v>
      </c>
      <c r="B9" s="151" t="s">
        <v>232</v>
      </c>
      <c r="C9" s="152"/>
      <c r="D9" s="153"/>
      <c r="E9" s="49" t="s">
        <v>423</v>
      </c>
      <c r="F9" s="73" t="s">
        <v>42</v>
      </c>
      <c r="G9" s="81" t="s">
        <v>463</v>
      </c>
      <c r="H9" s="73" t="s">
        <v>417</v>
      </c>
      <c r="I9" s="10" t="s">
        <v>12</v>
      </c>
      <c r="J9" s="57">
        <v>32</v>
      </c>
      <c r="K9" s="161"/>
      <c r="L9" s="161"/>
      <c r="M9" s="34"/>
    </row>
    <row r="10" spans="1:22" ht="20.100000000000001" customHeight="1">
      <c r="A10" s="15">
        <v>6</v>
      </c>
      <c r="B10" s="151" t="s">
        <v>232</v>
      </c>
      <c r="C10" s="152"/>
      <c r="D10" s="153"/>
      <c r="E10" s="49" t="s">
        <v>423</v>
      </c>
      <c r="F10" s="73" t="s">
        <v>42</v>
      </c>
      <c r="G10" s="81" t="s">
        <v>463</v>
      </c>
      <c r="H10" s="73" t="s">
        <v>417</v>
      </c>
      <c r="I10" s="10" t="s">
        <v>12</v>
      </c>
      <c r="J10" s="57">
        <v>16</v>
      </c>
      <c r="K10" s="161"/>
      <c r="L10" s="161"/>
      <c r="M10" s="34"/>
    </row>
    <row r="11" spans="1:22" ht="35.25" customHeight="1" thickBot="1">
      <c r="A11" s="154" t="s">
        <v>1</v>
      </c>
      <c r="B11" s="155"/>
      <c r="C11" s="155"/>
      <c r="D11" s="155"/>
      <c r="E11" s="155"/>
      <c r="F11" s="155"/>
      <c r="G11" s="155"/>
      <c r="H11" s="155"/>
      <c r="I11" s="156"/>
      <c r="J11" s="84">
        <f>SUM(J5:J10)</f>
        <v>70</v>
      </c>
      <c r="K11" s="6">
        <v>1</v>
      </c>
      <c r="L11" s="6">
        <v>27</v>
      </c>
      <c r="M11" s="14"/>
    </row>
    <row r="12" spans="1:22">
      <c r="K12" s="3"/>
      <c r="L12" s="3"/>
      <c r="M12" s="3"/>
    </row>
    <row r="13" spans="1:22">
      <c r="K13" s="3"/>
      <c r="L13" s="3"/>
      <c r="M13" s="3"/>
    </row>
  </sheetData>
  <autoFilter ref="A4:M4" xr:uid="{54D5C1B7-8511-4422-B6F3-4D6E8EEEAC87}"/>
  <mergeCells count="11">
    <mergeCell ref="A2:M2"/>
    <mergeCell ref="B4:D4"/>
    <mergeCell ref="K5:K10"/>
    <mergeCell ref="L5:L10"/>
    <mergeCell ref="A11:I11"/>
    <mergeCell ref="B5:D5"/>
    <mergeCell ref="B6:D6"/>
    <mergeCell ref="B7:D7"/>
    <mergeCell ref="B8:D8"/>
    <mergeCell ref="B9:D9"/>
    <mergeCell ref="B10:D10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92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4EEEE-3E47-4B44-9227-D87F869488B5}">
  <dimension ref="A1:V8"/>
  <sheetViews>
    <sheetView view="pageBreakPreview" zoomScaleNormal="100" zoomScaleSheetLayoutView="100" workbookViewId="0">
      <pane ySplit="4" topLeftCell="A5" activePane="bottomLeft" state="frozen"/>
      <selection activeCell="B67" sqref="B67:D67"/>
      <selection pane="bottomLeft" activeCell="B67" sqref="B67:D67"/>
    </sheetView>
  </sheetViews>
  <sheetFormatPr defaultRowHeight="15"/>
  <cols>
    <col min="1" max="1" width="5.33203125" style="2" customWidth="1"/>
    <col min="2" max="4" width="4.33203125" style="2" customWidth="1"/>
    <col min="5" max="5" width="6.33203125" style="2" customWidth="1"/>
    <col min="6" max="6" width="19.33203125" style="2" customWidth="1"/>
    <col min="7" max="7" width="25.88671875" style="2" customWidth="1"/>
    <col min="8" max="8" width="13.109375" style="2" customWidth="1"/>
    <col min="9" max="9" width="5.33203125" style="2" customWidth="1"/>
    <col min="10" max="10" width="10.88671875" style="2" customWidth="1"/>
    <col min="11" max="11" width="9.77734375" style="1" customWidth="1"/>
    <col min="12" max="12" width="7.88671875" style="1" hidden="1" customWidth="1"/>
    <col min="13" max="13" width="10.44140625" style="1" customWidth="1"/>
  </cols>
  <sheetData>
    <row r="1" spans="1:22" ht="4.5" customHeight="1"/>
    <row r="2" spans="1:22" ht="38.25" customHeight="1">
      <c r="A2" s="144" t="s">
        <v>492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2"/>
      <c r="O2" s="12"/>
      <c r="P2" s="12"/>
      <c r="Q2" s="12"/>
      <c r="R2" s="12"/>
      <c r="S2" s="12"/>
      <c r="T2" s="12"/>
      <c r="U2" s="12"/>
      <c r="V2" s="12"/>
    </row>
    <row r="3" spans="1:22" ht="4.5" customHeight="1" thickBot="1"/>
    <row r="4" spans="1:22" ht="33" customHeight="1">
      <c r="A4" s="4" t="s">
        <v>13</v>
      </c>
      <c r="B4" s="157" t="s">
        <v>21</v>
      </c>
      <c r="C4" s="158"/>
      <c r="D4" s="159"/>
      <c r="E4" s="18" t="s">
        <v>194</v>
      </c>
      <c r="F4" s="103" t="s">
        <v>3</v>
      </c>
      <c r="G4" s="103" t="s">
        <v>0</v>
      </c>
      <c r="H4" s="103" t="s">
        <v>6</v>
      </c>
      <c r="I4" s="5" t="s">
        <v>11</v>
      </c>
      <c r="J4" s="7" t="s">
        <v>7</v>
      </c>
      <c r="K4" s="7" t="s">
        <v>476</v>
      </c>
      <c r="L4" s="7" t="s">
        <v>475</v>
      </c>
      <c r="M4" s="13" t="s">
        <v>44</v>
      </c>
    </row>
    <row r="5" spans="1:22" ht="20.100000000000001" customHeight="1">
      <c r="A5" s="15">
        <v>1</v>
      </c>
      <c r="B5" s="151" t="s">
        <v>232</v>
      </c>
      <c r="C5" s="152"/>
      <c r="D5" s="153"/>
      <c r="E5" s="49" t="s">
        <v>423</v>
      </c>
      <c r="F5" s="73" t="s">
        <v>456</v>
      </c>
      <c r="G5" s="81" t="s">
        <v>62</v>
      </c>
      <c r="H5" s="73" t="s">
        <v>61</v>
      </c>
      <c r="I5" s="10" t="s">
        <v>12</v>
      </c>
      <c r="J5" s="57">
        <v>4</v>
      </c>
      <c r="K5" s="96">
        <v>1</v>
      </c>
      <c r="L5" s="96">
        <v>27</v>
      </c>
      <c r="M5" s="34"/>
    </row>
    <row r="6" spans="1:22" ht="35.25" customHeight="1" thickBot="1">
      <c r="A6" s="154" t="s">
        <v>1</v>
      </c>
      <c r="B6" s="155"/>
      <c r="C6" s="155"/>
      <c r="D6" s="155"/>
      <c r="E6" s="155"/>
      <c r="F6" s="155"/>
      <c r="G6" s="155"/>
      <c r="H6" s="155"/>
      <c r="I6" s="156"/>
      <c r="J6" s="84">
        <f>SUM(J5:J5)</f>
        <v>4</v>
      </c>
      <c r="K6" s="6">
        <v>1</v>
      </c>
      <c r="L6" s="6">
        <v>27</v>
      </c>
      <c r="M6" s="14"/>
    </row>
    <row r="7" spans="1:22">
      <c r="K7" s="3"/>
      <c r="L7" s="3"/>
      <c r="M7" s="3"/>
    </row>
    <row r="8" spans="1:22">
      <c r="K8" s="3"/>
      <c r="L8" s="3"/>
      <c r="M8" s="3"/>
    </row>
  </sheetData>
  <autoFilter ref="A4:M4" xr:uid="{3A94EEEE-3E47-4B44-9227-D87F869488B5}">
    <filterColumn colId="1" showButton="0"/>
    <filterColumn colId="2" showButton="0"/>
  </autoFilter>
  <mergeCells count="4">
    <mergeCell ref="A6:I6"/>
    <mergeCell ref="B5:D5"/>
    <mergeCell ref="A2:M2"/>
    <mergeCell ref="B4:D4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92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31924-1695-4C72-BC74-2ECA65767EAE}">
  <dimension ref="A1:V15"/>
  <sheetViews>
    <sheetView view="pageBreakPreview" zoomScaleNormal="100" zoomScaleSheetLayoutView="100" workbookViewId="0">
      <pane ySplit="4" topLeftCell="A5" activePane="bottomLeft" state="frozen"/>
      <selection activeCell="B67" sqref="B67:D67"/>
      <selection pane="bottomLeft" activeCell="B67" sqref="B67:D67"/>
    </sheetView>
  </sheetViews>
  <sheetFormatPr defaultRowHeight="15"/>
  <cols>
    <col min="1" max="1" width="5.33203125" style="2" customWidth="1"/>
    <col min="2" max="4" width="4.33203125" style="2" customWidth="1"/>
    <col min="5" max="5" width="6.33203125" style="2" customWidth="1"/>
    <col min="6" max="6" width="19.33203125" style="2" customWidth="1"/>
    <col min="7" max="7" width="25.88671875" style="2" customWidth="1"/>
    <col min="8" max="8" width="13.109375" style="2" customWidth="1"/>
    <col min="9" max="9" width="5.33203125" style="2" customWidth="1"/>
    <col min="10" max="10" width="10.88671875" style="2" customWidth="1"/>
    <col min="11" max="11" width="9.77734375" style="1" customWidth="1"/>
    <col min="12" max="12" width="7.88671875" style="1" hidden="1" customWidth="1"/>
    <col min="13" max="13" width="10.44140625" style="1" customWidth="1"/>
  </cols>
  <sheetData>
    <row r="1" spans="1:22" ht="4.5" customHeight="1"/>
    <row r="2" spans="1:22" ht="38.25" customHeight="1">
      <c r="A2" s="144" t="s">
        <v>493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2"/>
      <c r="O2" s="12"/>
      <c r="P2" s="12"/>
      <c r="Q2" s="12"/>
      <c r="R2" s="12"/>
      <c r="S2" s="12"/>
      <c r="T2" s="12"/>
      <c r="U2" s="12"/>
      <c r="V2" s="12"/>
    </row>
    <row r="3" spans="1:22" ht="4.5" customHeight="1" thickBot="1"/>
    <row r="4" spans="1:22" ht="33" customHeight="1">
      <c r="A4" s="4" t="s">
        <v>13</v>
      </c>
      <c r="B4" s="157" t="s">
        <v>21</v>
      </c>
      <c r="C4" s="158"/>
      <c r="D4" s="159"/>
      <c r="E4" s="18" t="s">
        <v>194</v>
      </c>
      <c r="F4" s="103" t="s">
        <v>3</v>
      </c>
      <c r="G4" s="103" t="s">
        <v>0</v>
      </c>
      <c r="H4" s="103" t="s">
        <v>6</v>
      </c>
      <c r="I4" s="5" t="s">
        <v>11</v>
      </c>
      <c r="J4" s="7" t="s">
        <v>7</v>
      </c>
      <c r="K4" s="7" t="s">
        <v>476</v>
      </c>
      <c r="L4" s="7" t="s">
        <v>475</v>
      </c>
      <c r="M4" s="13" t="s">
        <v>44</v>
      </c>
    </row>
    <row r="5" spans="1:22" ht="20.100000000000001" customHeight="1">
      <c r="A5" s="15">
        <v>1</v>
      </c>
      <c r="B5" s="151" t="s">
        <v>232</v>
      </c>
      <c r="C5" s="152"/>
      <c r="D5" s="153"/>
      <c r="E5" s="49" t="s">
        <v>423</v>
      </c>
      <c r="F5" s="73" t="s">
        <v>306</v>
      </c>
      <c r="G5" s="81" t="s">
        <v>307</v>
      </c>
      <c r="H5" s="73" t="s">
        <v>301</v>
      </c>
      <c r="I5" s="10" t="s">
        <v>12</v>
      </c>
      <c r="J5" s="57">
        <v>16</v>
      </c>
      <c r="K5" s="160">
        <v>1</v>
      </c>
      <c r="L5" s="160">
        <v>27</v>
      </c>
      <c r="M5" s="34"/>
    </row>
    <row r="6" spans="1:22" ht="20.100000000000001" customHeight="1">
      <c r="A6" s="15">
        <v>2</v>
      </c>
      <c r="B6" s="151" t="s">
        <v>232</v>
      </c>
      <c r="C6" s="152"/>
      <c r="D6" s="153"/>
      <c r="E6" s="49" t="s">
        <v>423</v>
      </c>
      <c r="F6" s="73" t="s">
        <v>25</v>
      </c>
      <c r="G6" s="81" t="s">
        <v>464</v>
      </c>
      <c r="H6" s="73" t="s">
        <v>471</v>
      </c>
      <c r="I6" s="10" t="s">
        <v>12</v>
      </c>
      <c r="J6" s="57">
        <v>4</v>
      </c>
      <c r="K6" s="161"/>
      <c r="L6" s="161"/>
      <c r="M6" s="34"/>
    </row>
    <row r="7" spans="1:22" ht="20.100000000000001" customHeight="1">
      <c r="A7" s="15">
        <v>3</v>
      </c>
      <c r="B7" s="151" t="s">
        <v>232</v>
      </c>
      <c r="C7" s="152"/>
      <c r="D7" s="153"/>
      <c r="E7" s="49" t="s">
        <v>423</v>
      </c>
      <c r="F7" s="73" t="s">
        <v>25</v>
      </c>
      <c r="G7" s="81" t="s">
        <v>465</v>
      </c>
      <c r="H7" s="73" t="s">
        <v>471</v>
      </c>
      <c r="I7" s="10" t="s">
        <v>12</v>
      </c>
      <c r="J7" s="57">
        <v>8</v>
      </c>
      <c r="K7" s="161"/>
      <c r="L7" s="161"/>
      <c r="M7" s="34"/>
    </row>
    <row r="8" spans="1:22" ht="20.100000000000001" customHeight="1">
      <c r="A8" s="15">
        <v>4</v>
      </c>
      <c r="B8" s="151" t="s">
        <v>232</v>
      </c>
      <c r="C8" s="152"/>
      <c r="D8" s="153"/>
      <c r="E8" s="49" t="s">
        <v>423</v>
      </c>
      <c r="F8" s="73" t="s">
        <v>25</v>
      </c>
      <c r="G8" s="81" t="s">
        <v>466</v>
      </c>
      <c r="H8" s="73" t="s">
        <v>471</v>
      </c>
      <c r="I8" s="10" t="s">
        <v>12</v>
      </c>
      <c r="J8" s="57">
        <v>8</v>
      </c>
      <c r="K8" s="161"/>
      <c r="L8" s="161"/>
      <c r="M8" s="34"/>
    </row>
    <row r="9" spans="1:22" ht="20.100000000000001" customHeight="1">
      <c r="A9" s="15">
        <v>5</v>
      </c>
      <c r="B9" s="151" t="s">
        <v>232</v>
      </c>
      <c r="C9" s="152"/>
      <c r="D9" s="153"/>
      <c r="E9" s="49" t="s">
        <v>423</v>
      </c>
      <c r="F9" s="73" t="s">
        <v>25</v>
      </c>
      <c r="G9" s="81" t="s">
        <v>467</v>
      </c>
      <c r="H9" s="73" t="s">
        <v>471</v>
      </c>
      <c r="I9" s="10" t="s">
        <v>12</v>
      </c>
      <c r="J9" s="57">
        <v>4</v>
      </c>
      <c r="K9" s="161"/>
      <c r="L9" s="161"/>
      <c r="M9" s="34"/>
    </row>
    <row r="10" spans="1:22" ht="20.100000000000001" customHeight="1">
      <c r="A10" s="15">
        <v>6</v>
      </c>
      <c r="B10" s="151" t="s">
        <v>232</v>
      </c>
      <c r="C10" s="152"/>
      <c r="D10" s="153"/>
      <c r="E10" s="49" t="s">
        <v>423</v>
      </c>
      <c r="F10" s="73" t="s">
        <v>25</v>
      </c>
      <c r="G10" s="81" t="s">
        <v>468</v>
      </c>
      <c r="H10" s="73" t="s">
        <v>471</v>
      </c>
      <c r="I10" s="10" t="s">
        <v>12</v>
      </c>
      <c r="J10" s="57">
        <v>4</v>
      </c>
      <c r="K10" s="161"/>
      <c r="L10" s="161"/>
      <c r="M10" s="34"/>
    </row>
    <row r="11" spans="1:22" ht="20.100000000000001" customHeight="1">
      <c r="A11" s="15">
        <v>7</v>
      </c>
      <c r="B11" s="151" t="s">
        <v>232</v>
      </c>
      <c r="C11" s="152"/>
      <c r="D11" s="153"/>
      <c r="E11" s="49" t="s">
        <v>423</v>
      </c>
      <c r="F11" s="73" t="s">
        <v>25</v>
      </c>
      <c r="G11" s="81" t="s">
        <v>469</v>
      </c>
      <c r="H11" s="73" t="s">
        <v>471</v>
      </c>
      <c r="I11" s="10" t="s">
        <v>12</v>
      </c>
      <c r="J11" s="57">
        <v>8</v>
      </c>
      <c r="K11" s="161"/>
      <c r="L11" s="161"/>
      <c r="M11" s="34"/>
    </row>
    <row r="12" spans="1:22" ht="20.100000000000001" customHeight="1">
      <c r="A12" s="15">
        <v>8</v>
      </c>
      <c r="B12" s="151" t="s">
        <v>232</v>
      </c>
      <c r="C12" s="152"/>
      <c r="D12" s="153"/>
      <c r="E12" s="49" t="s">
        <v>423</v>
      </c>
      <c r="F12" s="73" t="s">
        <v>25</v>
      </c>
      <c r="G12" s="81" t="s">
        <v>470</v>
      </c>
      <c r="H12" s="73" t="s">
        <v>471</v>
      </c>
      <c r="I12" s="10" t="s">
        <v>12</v>
      </c>
      <c r="J12" s="57">
        <v>4</v>
      </c>
      <c r="K12" s="161"/>
      <c r="L12" s="161"/>
      <c r="M12" s="34"/>
    </row>
    <row r="13" spans="1:22" ht="35.25" customHeight="1" thickBot="1">
      <c r="A13" s="154" t="s">
        <v>1</v>
      </c>
      <c r="B13" s="155"/>
      <c r="C13" s="155"/>
      <c r="D13" s="155"/>
      <c r="E13" s="155"/>
      <c r="F13" s="155"/>
      <c r="G13" s="155"/>
      <c r="H13" s="155"/>
      <c r="I13" s="156"/>
      <c r="J13" s="84">
        <f>SUM(J5:J12)</f>
        <v>56</v>
      </c>
      <c r="K13" s="6">
        <v>1</v>
      </c>
      <c r="L13" s="6">
        <v>27</v>
      </c>
      <c r="M13" s="14"/>
    </row>
    <row r="14" spans="1:22">
      <c r="K14" s="3"/>
      <c r="L14" s="3"/>
      <c r="M14" s="3"/>
    </row>
    <row r="15" spans="1:22">
      <c r="K15" s="3"/>
      <c r="L15" s="3"/>
      <c r="M15" s="3"/>
    </row>
  </sheetData>
  <mergeCells count="13">
    <mergeCell ref="A2:M2"/>
    <mergeCell ref="B4:D4"/>
    <mergeCell ref="K5:K12"/>
    <mergeCell ref="L5:L12"/>
    <mergeCell ref="A13:I13"/>
    <mergeCell ref="B5:D5"/>
    <mergeCell ref="B6:D6"/>
    <mergeCell ref="B7:D7"/>
    <mergeCell ref="B8:D8"/>
    <mergeCell ref="B9:D9"/>
    <mergeCell ref="B10:D10"/>
    <mergeCell ref="B11:D11"/>
    <mergeCell ref="B12:D12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92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5E592-E501-4498-8DA9-08A422CD691D}">
  <sheetPr filterMode="1">
    <pageSetUpPr fitToPage="1"/>
  </sheetPr>
  <dimension ref="B1:AF195"/>
  <sheetViews>
    <sheetView topLeftCell="B1" zoomScaleNormal="100" zoomScaleSheetLayoutView="100" workbookViewId="0">
      <pane ySplit="4" topLeftCell="A174" activePane="bottomLeft" state="frozen"/>
      <selection activeCell="X4" sqref="X4"/>
      <selection pane="bottomLeft" activeCell="N43" sqref="N43"/>
    </sheetView>
  </sheetViews>
  <sheetFormatPr defaultRowHeight="15"/>
  <cols>
    <col min="1" max="1" width="1" customWidth="1"/>
    <col min="2" max="2" width="5.33203125" style="1" customWidth="1"/>
    <col min="3" max="3" width="4" style="118" customWidth="1"/>
    <col min="4" max="4" width="2.77734375" style="1" customWidth="1"/>
    <col min="5" max="5" width="4.77734375" style="1" customWidth="1"/>
    <col min="6" max="6" width="5.88671875" style="1" customWidth="1"/>
    <col min="7" max="8" width="5.6640625" style="1" customWidth="1"/>
    <col min="9" max="9" width="17.21875" style="2" customWidth="1"/>
    <col min="10" max="10" width="32.88671875" style="125" customWidth="1"/>
    <col min="11" max="11" width="14.21875" style="2" customWidth="1"/>
    <col min="12" max="12" width="13.44140625" style="2" customWidth="1"/>
    <col min="13" max="13" width="4.21875" style="2" customWidth="1"/>
    <col min="14" max="14" width="10.77734375" style="2" customWidth="1"/>
    <col min="15" max="15" width="7.77734375" style="8" bestFit="1" customWidth="1"/>
    <col min="16" max="17" width="11.88671875" style="1" customWidth="1"/>
    <col min="18" max="18" width="10.21875" style="22" customWidth="1"/>
    <col min="19" max="19" width="10.5546875" style="1" hidden="1" customWidth="1"/>
    <col min="20" max="20" width="6.6640625" style="1" hidden="1" customWidth="1"/>
    <col min="21" max="21" width="6.109375" style="1" hidden="1" customWidth="1"/>
    <col min="22" max="27" width="11.77734375" style="1" hidden="1" customWidth="1"/>
    <col min="28" max="28" width="1.33203125" style="1" hidden="1" customWidth="1"/>
    <col min="29" max="29" width="17.21875" style="16" bestFit="1" customWidth="1"/>
    <col min="30" max="30" width="16.44140625" style="1" hidden="1" customWidth="1"/>
    <col min="31" max="31" width="10.44140625" style="8" hidden="1" customWidth="1"/>
    <col min="32" max="32" width="12.6640625" bestFit="1" customWidth="1"/>
  </cols>
  <sheetData>
    <row r="1" spans="2:31" ht="4.5" customHeight="1"/>
    <row r="2" spans="2:31" ht="38.25" customHeight="1">
      <c r="B2" s="144" t="s">
        <v>4</v>
      </c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5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  <c r="AA2" s="144"/>
      <c r="AB2" s="144"/>
      <c r="AC2" s="144"/>
      <c r="AD2" s="144"/>
      <c r="AE2" s="144"/>
    </row>
    <row r="3" spans="2:31" ht="4.5" customHeight="1" thickBot="1">
      <c r="V3" s="31">
        <v>0.16</v>
      </c>
      <c r="X3" s="46">
        <v>1486.64</v>
      </c>
    </row>
    <row r="4" spans="2:31" ht="45" customHeight="1" thickTop="1" thickBot="1">
      <c r="B4" s="24" t="s">
        <v>13</v>
      </c>
      <c r="C4" s="148" t="s">
        <v>14</v>
      </c>
      <c r="D4" s="149"/>
      <c r="E4" s="150"/>
      <c r="F4" s="25" t="s">
        <v>194</v>
      </c>
      <c r="G4" s="25" t="s">
        <v>197</v>
      </c>
      <c r="H4" s="25" t="s">
        <v>195</v>
      </c>
      <c r="I4" s="26" t="s">
        <v>3</v>
      </c>
      <c r="J4" s="126" t="s">
        <v>0</v>
      </c>
      <c r="K4" s="26" t="s">
        <v>6</v>
      </c>
      <c r="L4" s="26" t="s">
        <v>5</v>
      </c>
      <c r="M4" s="25" t="s">
        <v>10</v>
      </c>
      <c r="N4" s="25" t="s">
        <v>20</v>
      </c>
      <c r="O4" s="25" t="s">
        <v>7</v>
      </c>
      <c r="P4" s="25" t="s">
        <v>8</v>
      </c>
      <c r="Q4" s="25" t="s">
        <v>9</v>
      </c>
      <c r="R4" s="68" t="s">
        <v>29</v>
      </c>
      <c r="S4" s="66" t="s">
        <v>50</v>
      </c>
      <c r="T4" s="25" t="s">
        <v>52</v>
      </c>
      <c r="U4" s="25" t="s">
        <v>53</v>
      </c>
      <c r="V4" s="25" t="s">
        <v>16</v>
      </c>
      <c r="W4" s="25" t="s">
        <v>17</v>
      </c>
      <c r="X4" s="27" t="s">
        <v>18</v>
      </c>
      <c r="Y4" s="28" t="s">
        <v>19</v>
      </c>
      <c r="Z4" s="146" t="s">
        <v>55</v>
      </c>
      <c r="AA4" s="147"/>
      <c r="AB4" s="35" t="s">
        <v>51</v>
      </c>
      <c r="AC4" s="23" t="s">
        <v>15</v>
      </c>
      <c r="AD4" s="20" t="s">
        <v>37</v>
      </c>
      <c r="AE4" s="21" t="s">
        <v>2</v>
      </c>
    </row>
    <row r="5" spans="2:31" ht="20.100000000000001" customHeight="1" thickTop="1">
      <c r="B5" s="48">
        <v>1</v>
      </c>
      <c r="C5" s="121" t="s">
        <v>701</v>
      </c>
      <c r="D5" s="120" t="s">
        <v>349</v>
      </c>
      <c r="E5" s="120">
        <v>2603</v>
      </c>
      <c r="F5" s="120" t="s">
        <v>700</v>
      </c>
      <c r="G5" s="120" t="s">
        <v>689</v>
      </c>
      <c r="H5" s="49">
        <v>3</v>
      </c>
      <c r="I5" s="50" t="s">
        <v>24</v>
      </c>
      <c r="J5" s="124" t="s">
        <v>637</v>
      </c>
      <c r="K5" s="50" t="s">
        <v>22</v>
      </c>
      <c r="L5" s="50" t="s">
        <v>518</v>
      </c>
      <c r="M5" s="56" t="s">
        <v>12</v>
      </c>
      <c r="N5" s="122" t="s">
        <v>665</v>
      </c>
      <c r="O5" s="57">
        <v>2</v>
      </c>
      <c r="P5" s="45">
        <v>4000</v>
      </c>
      <c r="Q5" s="58">
        <f t="shared" ref="Q5:Q36" si="0">O5*P5</f>
        <v>8000</v>
      </c>
      <c r="R5" s="69" t="s">
        <v>663</v>
      </c>
      <c r="S5" s="19"/>
      <c r="T5" s="32"/>
      <c r="U5" s="32"/>
      <c r="V5" s="51">
        <f>++P5*(1+$V$3)</f>
        <v>4640</v>
      </c>
      <c r="W5" s="51">
        <f>++O5*V5</f>
        <v>9280</v>
      </c>
      <c r="X5" s="52">
        <f>++ROUND(V5/$X$3,2)</f>
        <v>3.12</v>
      </c>
      <c r="Y5" s="53">
        <f>++O5*X5</f>
        <v>6.24</v>
      </c>
      <c r="Z5" s="54"/>
      <c r="AA5" s="71"/>
      <c r="AB5" s="71"/>
      <c r="AC5" s="128"/>
      <c r="AD5" s="33"/>
      <c r="AE5" s="55"/>
    </row>
    <row r="6" spans="2:31" ht="20.100000000000001" customHeight="1">
      <c r="B6" s="48">
        <v>2</v>
      </c>
      <c r="C6" s="121" t="s">
        <v>701</v>
      </c>
      <c r="D6" s="120" t="s">
        <v>349</v>
      </c>
      <c r="E6" s="120">
        <v>2603</v>
      </c>
      <c r="F6" s="120" t="s">
        <v>700</v>
      </c>
      <c r="G6" s="120" t="s">
        <v>689</v>
      </c>
      <c r="H6" s="49">
        <v>3</v>
      </c>
      <c r="I6" s="50" t="s">
        <v>528</v>
      </c>
      <c r="J6" s="124" t="s">
        <v>638</v>
      </c>
      <c r="K6" s="50" t="s">
        <v>22</v>
      </c>
      <c r="L6" s="50" t="s">
        <v>518</v>
      </c>
      <c r="M6" s="56" t="s">
        <v>12</v>
      </c>
      <c r="N6" s="122" t="s">
        <v>665</v>
      </c>
      <c r="O6" s="57">
        <v>2</v>
      </c>
      <c r="P6" s="45">
        <v>5900</v>
      </c>
      <c r="Q6" s="58">
        <f t="shared" si="0"/>
        <v>11800</v>
      </c>
      <c r="R6" s="69" t="s">
        <v>663</v>
      </c>
      <c r="S6" s="19"/>
      <c r="T6" s="32"/>
      <c r="U6" s="32"/>
      <c r="V6" s="51">
        <f t="shared" ref="V6:V69" si="1">++P6*(1+$V$3)</f>
        <v>6843.9999999999991</v>
      </c>
      <c r="W6" s="51">
        <f t="shared" ref="W6:W69" si="2">++O6*V6</f>
        <v>13687.999999999998</v>
      </c>
      <c r="X6" s="52">
        <f t="shared" ref="X6:X69" si="3">++ROUND(V6/$X$3,2)</f>
        <v>4.5999999999999996</v>
      </c>
      <c r="Y6" s="53">
        <f t="shared" ref="Y6:Y69" si="4">++O6*X6</f>
        <v>9.1999999999999993</v>
      </c>
      <c r="Z6" s="54"/>
      <c r="AA6" s="71"/>
      <c r="AB6" s="71"/>
      <c r="AC6" s="128"/>
      <c r="AD6" s="33"/>
      <c r="AE6" s="55"/>
    </row>
    <row r="7" spans="2:31" ht="20.100000000000001" customHeight="1">
      <c r="B7" s="48">
        <v>3</v>
      </c>
      <c r="C7" s="121" t="s">
        <v>701</v>
      </c>
      <c r="D7" s="120" t="s">
        <v>349</v>
      </c>
      <c r="E7" s="120">
        <v>2603</v>
      </c>
      <c r="F7" s="120" t="s">
        <v>700</v>
      </c>
      <c r="G7" s="120" t="s">
        <v>689</v>
      </c>
      <c r="H7" s="49">
        <v>3</v>
      </c>
      <c r="I7" s="50" t="s">
        <v>24</v>
      </c>
      <c r="J7" s="124" t="s">
        <v>57</v>
      </c>
      <c r="K7" s="50" t="s">
        <v>23</v>
      </c>
      <c r="L7" s="50" t="s">
        <v>518</v>
      </c>
      <c r="M7" s="56" t="s">
        <v>12</v>
      </c>
      <c r="N7" s="122" t="s">
        <v>666</v>
      </c>
      <c r="O7" s="57">
        <v>4</v>
      </c>
      <c r="P7" s="45">
        <v>33000</v>
      </c>
      <c r="Q7" s="58">
        <f t="shared" si="0"/>
        <v>132000</v>
      </c>
      <c r="R7" s="69" t="s">
        <v>663</v>
      </c>
      <c r="S7" s="19"/>
      <c r="T7" s="32"/>
      <c r="U7" s="32"/>
      <c r="V7" s="51">
        <f t="shared" si="1"/>
        <v>38280</v>
      </c>
      <c r="W7" s="51">
        <f t="shared" si="2"/>
        <v>153120</v>
      </c>
      <c r="X7" s="52">
        <f t="shared" si="3"/>
        <v>25.75</v>
      </c>
      <c r="Y7" s="53">
        <f t="shared" si="4"/>
        <v>103</v>
      </c>
      <c r="Z7" s="54"/>
      <c r="AA7" s="71"/>
      <c r="AB7" s="71"/>
      <c r="AC7" s="128"/>
      <c r="AD7" s="33"/>
      <c r="AE7" s="55"/>
    </row>
    <row r="8" spans="2:31" ht="20.100000000000001" customHeight="1">
      <c r="B8" s="48">
        <v>4</v>
      </c>
      <c r="C8" s="121" t="s">
        <v>701</v>
      </c>
      <c r="D8" s="120" t="s">
        <v>349</v>
      </c>
      <c r="E8" s="120">
        <v>2603</v>
      </c>
      <c r="F8" s="120" t="s">
        <v>700</v>
      </c>
      <c r="G8" s="120" t="s">
        <v>689</v>
      </c>
      <c r="H8" s="49">
        <v>3</v>
      </c>
      <c r="I8" s="50" t="s">
        <v>144</v>
      </c>
      <c r="J8" s="124" t="s">
        <v>145</v>
      </c>
      <c r="K8" s="50" t="s">
        <v>22</v>
      </c>
      <c r="L8" s="50" t="s">
        <v>518</v>
      </c>
      <c r="M8" s="56" t="s">
        <v>12</v>
      </c>
      <c r="N8" s="122" t="s">
        <v>665</v>
      </c>
      <c r="O8" s="57">
        <v>7</v>
      </c>
      <c r="P8" s="45">
        <v>12600</v>
      </c>
      <c r="Q8" s="58">
        <f t="shared" si="0"/>
        <v>88200</v>
      </c>
      <c r="R8" s="69" t="s">
        <v>663</v>
      </c>
      <c r="S8" s="19"/>
      <c r="T8" s="32"/>
      <c r="U8" s="32"/>
      <c r="V8" s="51">
        <f t="shared" si="1"/>
        <v>14615.999999999998</v>
      </c>
      <c r="W8" s="51">
        <f t="shared" si="2"/>
        <v>102311.99999999999</v>
      </c>
      <c r="X8" s="52">
        <f t="shared" si="3"/>
        <v>9.83</v>
      </c>
      <c r="Y8" s="53">
        <f t="shared" si="4"/>
        <v>68.81</v>
      </c>
      <c r="Z8" s="54"/>
      <c r="AA8" s="71"/>
      <c r="AB8" s="71"/>
      <c r="AC8" s="128"/>
      <c r="AD8" s="33"/>
      <c r="AE8" s="55"/>
    </row>
    <row r="9" spans="2:31" ht="20.100000000000001" customHeight="1">
      <c r="B9" s="48">
        <v>5</v>
      </c>
      <c r="C9" s="121" t="s">
        <v>701</v>
      </c>
      <c r="D9" s="120" t="s">
        <v>349</v>
      </c>
      <c r="E9" s="120">
        <v>2603</v>
      </c>
      <c r="F9" s="120" t="s">
        <v>700</v>
      </c>
      <c r="G9" s="120" t="s">
        <v>689</v>
      </c>
      <c r="H9" s="49">
        <v>3</v>
      </c>
      <c r="I9" s="50" t="s">
        <v>146</v>
      </c>
      <c r="J9" s="124" t="s">
        <v>147</v>
      </c>
      <c r="K9" s="50" t="s">
        <v>148</v>
      </c>
      <c r="L9" s="50" t="s">
        <v>518</v>
      </c>
      <c r="M9" s="56" t="s">
        <v>12</v>
      </c>
      <c r="N9" s="122" t="s">
        <v>609</v>
      </c>
      <c r="O9" s="57">
        <v>2</v>
      </c>
      <c r="P9" s="45">
        <v>300</v>
      </c>
      <c r="Q9" s="58">
        <f t="shared" si="0"/>
        <v>600</v>
      </c>
      <c r="R9" s="69" t="s">
        <v>663</v>
      </c>
      <c r="S9" s="19"/>
      <c r="T9" s="32"/>
      <c r="U9" s="32"/>
      <c r="V9" s="51">
        <f t="shared" si="1"/>
        <v>348</v>
      </c>
      <c r="W9" s="51">
        <f t="shared" si="2"/>
        <v>696</v>
      </c>
      <c r="X9" s="52">
        <f t="shared" si="3"/>
        <v>0.23</v>
      </c>
      <c r="Y9" s="53">
        <f t="shared" si="4"/>
        <v>0.46</v>
      </c>
      <c r="Z9" s="54"/>
      <c r="AA9" s="71"/>
      <c r="AB9" s="71"/>
      <c r="AC9" s="128"/>
      <c r="AD9" s="33"/>
      <c r="AE9" s="55"/>
    </row>
    <row r="10" spans="2:31" ht="20.100000000000001" customHeight="1">
      <c r="B10" s="48">
        <v>6</v>
      </c>
      <c r="C10" s="121" t="s">
        <v>701</v>
      </c>
      <c r="D10" s="120" t="s">
        <v>349</v>
      </c>
      <c r="E10" s="120">
        <v>2603</v>
      </c>
      <c r="F10" s="120" t="s">
        <v>700</v>
      </c>
      <c r="G10" s="120" t="s">
        <v>689</v>
      </c>
      <c r="H10" s="49">
        <v>3</v>
      </c>
      <c r="I10" s="50" t="s">
        <v>149</v>
      </c>
      <c r="J10" s="124" t="s">
        <v>151</v>
      </c>
      <c r="K10" s="50" t="s">
        <v>150</v>
      </c>
      <c r="L10" s="50" t="s">
        <v>518</v>
      </c>
      <c r="M10" s="56" t="s">
        <v>12</v>
      </c>
      <c r="N10" s="122" t="s">
        <v>665</v>
      </c>
      <c r="O10" s="57">
        <v>7</v>
      </c>
      <c r="P10" s="45">
        <v>17700</v>
      </c>
      <c r="Q10" s="58">
        <f t="shared" si="0"/>
        <v>123900</v>
      </c>
      <c r="R10" s="129" t="s">
        <v>663</v>
      </c>
      <c r="S10" s="19"/>
      <c r="T10" s="32"/>
      <c r="U10" s="32"/>
      <c r="V10" s="51">
        <f t="shared" si="1"/>
        <v>20532</v>
      </c>
      <c r="W10" s="51">
        <f t="shared" si="2"/>
        <v>143724</v>
      </c>
      <c r="X10" s="52">
        <f t="shared" si="3"/>
        <v>13.81</v>
      </c>
      <c r="Y10" s="53">
        <f t="shared" si="4"/>
        <v>96.67</v>
      </c>
      <c r="Z10" s="54"/>
      <c r="AA10" s="71"/>
      <c r="AB10" s="71"/>
      <c r="AC10" s="128"/>
      <c r="AD10" s="33"/>
      <c r="AE10" s="55"/>
    </row>
    <row r="11" spans="2:31" ht="20.100000000000001" customHeight="1">
      <c r="B11" s="48">
        <v>7</v>
      </c>
      <c r="C11" s="121" t="s">
        <v>701</v>
      </c>
      <c r="D11" s="120" t="s">
        <v>349</v>
      </c>
      <c r="E11" s="120">
        <v>2603</v>
      </c>
      <c r="F11" s="120" t="s">
        <v>700</v>
      </c>
      <c r="G11" s="120" t="s">
        <v>689</v>
      </c>
      <c r="H11" s="49">
        <v>3</v>
      </c>
      <c r="I11" s="50" t="s">
        <v>149</v>
      </c>
      <c r="J11" s="124" t="s">
        <v>152</v>
      </c>
      <c r="K11" s="50" t="s">
        <v>150</v>
      </c>
      <c r="L11" s="50" t="s">
        <v>518</v>
      </c>
      <c r="M11" s="56" t="s">
        <v>12</v>
      </c>
      <c r="N11" s="122" t="s">
        <v>665</v>
      </c>
      <c r="O11" s="57">
        <v>1</v>
      </c>
      <c r="P11" s="45">
        <v>17700</v>
      </c>
      <c r="Q11" s="58">
        <f t="shared" si="0"/>
        <v>17700</v>
      </c>
      <c r="R11" s="69" t="s">
        <v>684</v>
      </c>
      <c r="S11" s="19"/>
      <c r="T11" s="32"/>
      <c r="U11" s="32"/>
      <c r="V11" s="51">
        <f t="shared" si="1"/>
        <v>20532</v>
      </c>
      <c r="W11" s="51">
        <f t="shared" si="2"/>
        <v>20532</v>
      </c>
      <c r="X11" s="52">
        <f t="shared" si="3"/>
        <v>13.81</v>
      </c>
      <c r="Y11" s="53">
        <f t="shared" si="4"/>
        <v>13.81</v>
      </c>
      <c r="Z11" s="54"/>
      <c r="AA11" s="71"/>
      <c r="AB11" s="71"/>
      <c r="AC11" s="128"/>
      <c r="AD11" s="33"/>
      <c r="AE11" s="55"/>
    </row>
    <row r="12" spans="2:31" ht="20.100000000000001" customHeight="1">
      <c r="B12" s="48">
        <v>8</v>
      </c>
      <c r="C12" s="121" t="s">
        <v>701</v>
      </c>
      <c r="D12" s="120" t="s">
        <v>349</v>
      </c>
      <c r="E12" s="120">
        <v>2603</v>
      </c>
      <c r="F12" s="120" t="s">
        <v>700</v>
      </c>
      <c r="G12" s="120" t="s">
        <v>689</v>
      </c>
      <c r="H12" s="49">
        <v>3</v>
      </c>
      <c r="I12" s="50" t="s">
        <v>153</v>
      </c>
      <c r="J12" s="124" t="s">
        <v>225</v>
      </c>
      <c r="K12" s="50" t="s">
        <v>121</v>
      </c>
      <c r="L12" s="50" t="s">
        <v>518</v>
      </c>
      <c r="M12" s="56" t="s">
        <v>12</v>
      </c>
      <c r="N12" s="122" t="s">
        <v>722</v>
      </c>
      <c r="O12" s="57">
        <v>1</v>
      </c>
      <c r="P12" s="45">
        <v>16200</v>
      </c>
      <c r="Q12" s="58">
        <f t="shared" si="0"/>
        <v>16200</v>
      </c>
      <c r="R12" s="69" t="s">
        <v>684</v>
      </c>
      <c r="S12" s="19"/>
      <c r="T12" s="32"/>
      <c r="U12" s="32"/>
      <c r="V12" s="51">
        <f t="shared" si="1"/>
        <v>18792</v>
      </c>
      <c r="W12" s="51">
        <f t="shared" si="2"/>
        <v>18792</v>
      </c>
      <c r="X12" s="52">
        <f t="shared" si="3"/>
        <v>12.64</v>
      </c>
      <c r="Y12" s="53">
        <f t="shared" si="4"/>
        <v>12.64</v>
      </c>
      <c r="Z12" s="54"/>
      <c r="AA12" s="71"/>
      <c r="AB12" s="71"/>
      <c r="AC12" s="128"/>
      <c r="AD12" s="33"/>
      <c r="AE12" s="55"/>
    </row>
    <row r="13" spans="2:31" ht="20.100000000000001" customHeight="1">
      <c r="B13" s="48">
        <v>9</v>
      </c>
      <c r="C13" s="121" t="s">
        <v>701</v>
      </c>
      <c r="D13" s="120" t="s">
        <v>349</v>
      </c>
      <c r="E13" s="120">
        <v>2603</v>
      </c>
      <c r="F13" s="120" t="s">
        <v>700</v>
      </c>
      <c r="G13" s="120" t="s">
        <v>689</v>
      </c>
      <c r="H13" s="49">
        <v>3</v>
      </c>
      <c r="I13" s="50" t="s">
        <v>501</v>
      </c>
      <c r="J13" s="124" t="s">
        <v>501</v>
      </c>
      <c r="K13" s="50" t="s">
        <v>30</v>
      </c>
      <c r="L13" s="50" t="s">
        <v>518</v>
      </c>
      <c r="M13" s="56" t="s">
        <v>12</v>
      </c>
      <c r="N13" s="122" t="s">
        <v>665</v>
      </c>
      <c r="O13" s="57">
        <v>2</v>
      </c>
      <c r="P13" s="45">
        <v>350</v>
      </c>
      <c r="Q13" s="58">
        <f t="shared" si="0"/>
        <v>700</v>
      </c>
      <c r="R13" s="69" t="s">
        <v>684</v>
      </c>
      <c r="S13" s="19"/>
      <c r="T13" s="32"/>
      <c r="U13" s="32"/>
      <c r="V13" s="51">
        <f t="shared" si="1"/>
        <v>406</v>
      </c>
      <c r="W13" s="51">
        <f t="shared" si="2"/>
        <v>812</v>
      </c>
      <c r="X13" s="52">
        <f t="shared" si="3"/>
        <v>0.27</v>
      </c>
      <c r="Y13" s="53">
        <f t="shared" si="4"/>
        <v>0.54</v>
      </c>
      <c r="Z13" s="54"/>
      <c r="AA13" s="71"/>
      <c r="AB13" s="71"/>
      <c r="AC13" s="128"/>
      <c r="AD13" s="33"/>
      <c r="AE13" s="55"/>
    </row>
    <row r="14" spans="2:31" ht="20.100000000000001" customHeight="1">
      <c r="B14" s="48">
        <v>10</v>
      </c>
      <c r="C14" s="121" t="s">
        <v>701</v>
      </c>
      <c r="D14" s="120" t="s">
        <v>349</v>
      </c>
      <c r="E14" s="120">
        <v>2603</v>
      </c>
      <c r="F14" s="120" t="s">
        <v>700</v>
      </c>
      <c r="G14" s="120" t="s">
        <v>689</v>
      </c>
      <c r="H14" s="49">
        <v>3</v>
      </c>
      <c r="I14" s="50" t="s">
        <v>154</v>
      </c>
      <c r="J14" s="124" t="s">
        <v>502</v>
      </c>
      <c r="K14" s="50" t="s">
        <v>30</v>
      </c>
      <c r="L14" s="50" t="s">
        <v>518</v>
      </c>
      <c r="M14" s="56" t="s">
        <v>12</v>
      </c>
      <c r="N14" s="122" t="s">
        <v>665</v>
      </c>
      <c r="O14" s="57">
        <v>2</v>
      </c>
      <c r="P14" s="45">
        <v>680</v>
      </c>
      <c r="Q14" s="58">
        <f t="shared" si="0"/>
        <v>1360</v>
      </c>
      <c r="R14" s="69" t="s">
        <v>684</v>
      </c>
      <c r="S14" s="19"/>
      <c r="T14" s="32"/>
      <c r="U14" s="32"/>
      <c r="V14" s="51">
        <f t="shared" si="1"/>
        <v>788.8</v>
      </c>
      <c r="W14" s="51">
        <f t="shared" si="2"/>
        <v>1577.6</v>
      </c>
      <c r="X14" s="52">
        <f t="shared" si="3"/>
        <v>0.53</v>
      </c>
      <c r="Y14" s="53">
        <f t="shared" si="4"/>
        <v>1.06</v>
      </c>
      <c r="Z14" s="54"/>
      <c r="AA14" s="71"/>
      <c r="AB14" s="71"/>
      <c r="AC14" s="128"/>
      <c r="AD14" s="33"/>
      <c r="AE14" s="55"/>
    </row>
    <row r="15" spans="2:31" ht="20.100000000000001" customHeight="1">
      <c r="B15" s="48">
        <v>11</v>
      </c>
      <c r="C15" s="121" t="s">
        <v>701</v>
      </c>
      <c r="D15" s="120" t="s">
        <v>349</v>
      </c>
      <c r="E15" s="120">
        <v>2603</v>
      </c>
      <c r="F15" s="120" t="s">
        <v>700</v>
      </c>
      <c r="G15" s="120" t="s">
        <v>689</v>
      </c>
      <c r="H15" s="49">
        <v>3</v>
      </c>
      <c r="I15" s="50" t="s">
        <v>56</v>
      </c>
      <c r="J15" s="124" t="s">
        <v>58</v>
      </c>
      <c r="K15" s="50" t="s">
        <v>30</v>
      </c>
      <c r="L15" s="50" t="s">
        <v>518</v>
      </c>
      <c r="M15" s="56" t="s">
        <v>12</v>
      </c>
      <c r="N15" s="122" t="s">
        <v>665</v>
      </c>
      <c r="O15" s="57">
        <v>2</v>
      </c>
      <c r="P15" s="45">
        <v>400</v>
      </c>
      <c r="Q15" s="58">
        <f t="shared" si="0"/>
        <v>800</v>
      </c>
      <c r="R15" s="69" t="s">
        <v>684</v>
      </c>
      <c r="S15" s="19"/>
      <c r="T15" s="32"/>
      <c r="U15" s="32"/>
      <c r="V15" s="51">
        <f t="shared" si="1"/>
        <v>463.99999999999994</v>
      </c>
      <c r="W15" s="51">
        <f t="shared" si="2"/>
        <v>927.99999999999989</v>
      </c>
      <c r="X15" s="52">
        <f t="shared" si="3"/>
        <v>0.31</v>
      </c>
      <c r="Y15" s="53">
        <f t="shared" si="4"/>
        <v>0.62</v>
      </c>
      <c r="Z15" s="54"/>
      <c r="AA15" s="71"/>
      <c r="AB15" s="71"/>
      <c r="AC15" s="128"/>
      <c r="AD15" s="33"/>
      <c r="AE15" s="55"/>
    </row>
    <row r="16" spans="2:31" ht="20.100000000000001" customHeight="1">
      <c r="B16" s="48">
        <v>12</v>
      </c>
      <c r="C16" s="121" t="s">
        <v>701</v>
      </c>
      <c r="D16" s="120" t="s">
        <v>349</v>
      </c>
      <c r="E16" s="120">
        <v>2603</v>
      </c>
      <c r="F16" s="120" t="s">
        <v>700</v>
      </c>
      <c r="G16" s="120" t="s">
        <v>689</v>
      </c>
      <c r="H16" s="49">
        <v>3</v>
      </c>
      <c r="I16" s="50" t="s">
        <v>503</v>
      </c>
      <c r="J16" s="124" t="s">
        <v>59</v>
      </c>
      <c r="K16" s="50" t="s">
        <v>60</v>
      </c>
      <c r="L16" s="50" t="s">
        <v>518</v>
      </c>
      <c r="M16" s="56" t="s">
        <v>12</v>
      </c>
      <c r="N16" s="122" t="s">
        <v>665</v>
      </c>
      <c r="O16" s="57">
        <v>1</v>
      </c>
      <c r="P16" s="45">
        <v>39800</v>
      </c>
      <c r="Q16" s="58">
        <f t="shared" si="0"/>
        <v>39800</v>
      </c>
      <c r="R16" s="69" t="s">
        <v>684</v>
      </c>
      <c r="S16" s="19"/>
      <c r="T16" s="32"/>
      <c r="U16" s="32"/>
      <c r="V16" s="51">
        <f t="shared" si="1"/>
        <v>46168</v>
      </c>
      <c r="W16" s="51">
        <f t="shared" si="2"/>
        <v>46168</v>
      </c>
      <c r="X16" s="52">
        <f t="shared" si="3"/>
        <v>31.06</v>
      </c>
      <c r="Y16" s="53">
        <f t="shared" si="4"/>
        <v>31.06</v>
      </c>
      <c r="Z16" s="54"/>
      <c r="AA16" s="71"/>
      <c r="AB16" s="71"/>
      <c r="AC16" s="128"/>
      <c r="AD16" s="33"/>
      <c r="AE16" s="55"/>
    </row>
    <row r="17" spans="2:31" ht="20.100000000000001" customHeight="1">
      <c r="B17" s="48">
        <v>13</v>
      </c>
      <c r="C17" s="121" t="s">
        <v>701</v>
      </c>
      <c r="D17" s="120" t="s">
        <v>349</v>
      </c>
      <c r="E17" s="120">
        <v>2603</v>
      </c>
      <c r="F17" s="120" t="s">
        <v>700</v>
      </c>
      <c r="G17" s="120" t="s">
        <v>689</v>
      </c>
      <c r="H17" s="49">
        <v>3</v>
      </c>
      <c r="I17" s="50" t="s">
        <v>504</v>
      </c>
      <c r="J17" s="124" t="s">
        <v>224</v>
      </c>
      <c r="K17" s="50" t="s">
        <v>60</v>
      </c>
      <c r="L17" s="50" t="s">
        <v>518</v>
      </c>
      <c r="M17" s="56" t="s">
        <v>12</v>
      </c>
      <c r="N17" s="122" t="s">
        <v>665</v>
      </c>
      <c r="O17" s="57">
        <v>1</v>
      </c>
      <c r="P17" s="45">
        <v>54800</v>
      </c>
      <c r="Q17" s="58">
        <f t="shared" si="0"/>
        <v>54800</v>
      </c>
      <c r="R17" s="69" t="s">
        <v>684</v>
      </c>
      <c r="S17" s="19"/>
      <c r="T17" s="32"/>
      <c r="U17" s="32"/>
      <c r="V17" s="51">
        <f t="shared" si="1"/>
        <v>63567.999999999993</v>
      </c>
      <c r="W17" s="51">
        <f t="shared" si="2"/>
        <v>63567.999999999993</v>
      </c>
      <c r="X17" s="52">
        <f t="shared" si="3"/>
        <v>42.76</v>
      </c>
      <c r="Y17" s="53">
        <f t="shared" si="4"/>
        <v>42.76</v>
      </c>
      <c r="Z17" s="54"/>
      <c r="AA17" s="71"/>
      <c r="AB17" s="71"/>
      <c r="AC17" s="128"/>
      <c r="AD17" s="33"/>
      <c r="AE17" s="55"/>
    </row>
    <row r="18" spans="2:31" ht="20.100000000000001" customHeight="1">
      <c r="B18" s="48">
        <v>14</v>
      </c>
      <c r="C18" s="121" t="s">
        <v>701</v>
      </c>
      <c r="D18" s="120" t="s">
        <v>349</v>
      </c>
      <c r="E18" s="120">
        <v>2603</v>
      </c>
      <c r="F18" s="120" t="s">
        <v>700</v>
      </c>
      <c r="G18" s="120" t="s">
        <v>689</v>
      </c>
      <c r="H18" s="49">
        <v>3</v>
      </c>
      <c r="I18" s="50" t="s">
        <v>155</v>
      </c>
      <c r="J18" s="124" t="s">
        <v>159</v>
      </c>
      <c r="K18" s="50" t="s">
        <v>23</v>
      </c>
      <c r="L18" s="50" t="s">
        <v>518</v>
      </c>
      <c r="M18" s="56" t="s">
        <v>12</v>
      </c>
      <c r="N18" s="122" t="s">
        <v>666</v>
      </c>
      <c r="O18" s="57">
        <v>4</v>
      </c>
      <c r="P18" s="45">
        <v>10500</v>
      </c>
      <c r="Q18" s="58">
        <f t="shared" si="0"/>
        <v>42000</v>
      </c>
      <c r="R18" s="69" t="s">
        <v>684</v>
      </c>
      <c r="S18" s="19"/>
      <c r="T18" s="32"/>
      <c r="U18" s="32"/>
      <c r="V18" s="51">
        <f t="shared" si="1"/>
        <v>12180</v>
      </c>
      <c r="W18" s="51">
        <f t="shared" si="2"/>
        <v>48720</v>
      </c>
      <c r="X18" s="52">
        <f t="shared" si="3"/>
        <v>8.19</v>
      </c>
      <c r="Y18" s="53">
        <f t="shared" si="4"/>
        <v>32.76</v>
      </c>
      <c r="Z18" s="54"/>
      <c r="AA18" s="71"/>
      <c r="AB18" s="71"/>
      <c r="AC18" s="128"/>
      <c r="AD18" s="33"/>
      <c r="AE18" s="55"/>
    </row>
    <row r="19" spans="2:31" ht="20.100000000000001" customHeight="1">
      <c r="B19" s="48">
        <v>15</v>
      </c>
      <c r="C19" s="121" t="s">
        <v>701</v>
      </c>
      <c r="D19" s="120" t="s">
        <v>349</v>
      </c>
      <c r="E19" s="120">
        <v>2603</v>
      </c>
      <c r="F19" s="120" t="s">
        <v>700</v>
      </c>
      <c r="G19" s="120" t="s">
        <v>689</v>
      </c>
      <c r="H19" s="49">
        <v>3</v>
      </c>
      <c r="I19" s="50" t="s">
        <v>156</v>
      </c>
      <c r="J19" s="124" t="s">
        <v>160</v>
      </c>
      <c r="K19" s="50" t="s">
        <v>23</v>
      </c>
      <c r="L19" s="50" t="s">
        <v>518</v>
      </c>
      <c r="M19" s="56" t="s">
        <v>12</v>
      </c>
      <c r="N19" s="122" t="s">
        <v>666</v>
      </c>
      <c r="O19" s="57">
        <v>4</v>
      </c>
      <c r="P19" s="45">
        <v>10600</v>
      </c>
      <c r="Q19" s="58">
        <f t="shared" si="0"/>
        <v>42400</v>
      </c>
      <c r="R19" s="69" t="s">
        <v>684</v>
      </c>
      <c r="S19" s="19"/>
      <c r="T19" s="32"/>
      <c r="U19" s="32"/>
      <c r="V19" s="51">
        <f t="shared" si="1"/>
        <v>12296</v>
      </c>
      <c r="W19" s="51">
        <f t="shared" si="2"/>
        <v>49184</v>
      </c>
      <c r="X19" s="52">
        <f t="shared" si="3"/>
        <v>8.27</v>
      </c>
      <c r="Y19" s="53">
        <f t="shared" si="4"/>
        <v>33.08</v>
      </c>
      <c r="Z19" s="54"/>
      <c r="AA19" s="71"/>
      <c r="AB19" s="71"/>
      <c r="AC19" s="128"/>
      <c r="AD19" s="33"/>
      <c r="AE19" s="55"/>
    </row>
    <row r="20" spans="2:31" ht="20.100000000000001" customHeight="1">
      <c r="B20" s="48">
        <v>16</v>
      </c>
      <c r="C20" s="121" t="s">
        <v>701</v>
      </c>
      <c r="D20" s="120" t="s">
        <v>349</v>
      </c>
      <c r="E20" s="120">
        <v>2603</v>
      </c>
      <c r="F20" s="120" t="s">
        <v>700</v>
      </c>
      <c r="G20" s="120" t="s">
        <v>689</v>
      </c>
      <c r="H20" s="49">
        <v>3</v>
      </c>
      <c r="I20" s="50" t="s">
        <v>157</v>
      </c>
      <c r="J20" s="124" t="s">
        <v>161</v>
      </c>
      <c r="K20" s="50" t="s">
        <v>23</v>
      </c>
      <c r="L20" s="50" t="s">
        <v>518</v>
      </c>
      <c r="M20" s="56" t="s">
        <v>12</v>
      </c>
      <c r="N20" s="122" t="s">
        <v>666</v>
      </c>
      <c r="O20" s="57">
        <v>1</v>
      </c>
      <c r="P20" s="45">
        <v>368000</v>
      </c>
      <c r="Q20" s="58">
        <f t="shared" si="0"/>
        <v>368000</v>
      </c>
      <c r="R20" s="69" t="s">
        <v>684</v>
      </c>
      <c r="S20" s="19"/>
      <c r="T20" s="32"/>
      <c r="U20" s="32"/>
      <c r="V20" s="51">
        <f t="shared" si="1"/>
        <v>426879.99999999994</v>
      </c>
      <c r="W20" s="51">
        <f t="shared" si="2"/>
        <v>426879.99999999994</v>
      </c>
      <c r="X20" s="52">
        <f t="shared" si="3"/>
        <v>287.14</v>
      </c>
      <c r="Y20" s="53">
        <f t="shared" si="4"/>
        <v>287.14</v>
      </c>
      <c r="Z20" s="54"/>
      <c r="AA20" s="71"/>
      <c r="AB20" s="71"/>
      <c r="AC20" s="128"/>
      <c r="AD20" s="33"/>
      <c r="AE20" s="55"/>
    </row>
    <row r="21" spans="2:31" ht="20.100000000000001" customHeight="1">
      <c r="B21" s="48">
        <v>17</v>
      </c>
      <c r="C21" s="121" t="s">
        <v>701</v>
      </c>
      <c r="D21" s="120" t="s">
        <v>349</v>
      </c>
      <c r="E21" s="120">
        <v>2603</v>
      </c>
      <c r="F21" s="120" t="s">
        <v>700</v>
      </c>
      <c r="G21" s="120" t="s">
        <v>689</v>
      </c>
      <c r="H21" s="49">
        <v>3</v>
      </c>
      <c r="I21" s="50" t="s">
        <v>158</v>
      </c>
      <c r="J21" s="124" t="s">
        <v>162</v>
      </c>
      <c r="K21" s="50" t="s">
        <v>23</v>
      </c>
      <c r="L21" s="50" t="s">
        <v>518</v>
      </c>
      <c r="M21" s="56" t="s">
        <v>12</v>
      </c>
      <c r="N21" s="122" t="s">
        <v>666</v>
      </c>
      <c r="O21" s="57">
        <v>7</v>
      </c>
      <c r="P21" s="45">
        <v>2200</v>
      </c>
      <c r="Q21" s="58">
        <f t="shared" si="0"/>
        <v>15400</v>
      </c>
      <c r="R21" s="69" t="s">
        <v>684</v>
      </c>
      <c r="S21" s="19"/>
      <c r="T21" s="32"/>
      <c r="U21" s="32"/>
      <c r="V21" s="51">
        <f t="shared" si="1"/>
        <v>2552</v>
      </c>
      <c r="W21" s="51">
        <f t="shared" si="2"/>
        <v>17864</v>
      </c>
      <c r="X21" s="52">
        <f t="shared" si="3"/>
        <v>1.72</v>
      </c>
      <c r="Y21" s="53">
        <f t="shared" si="4"/>
        <v>12.04</v>
      </c>
      <c r="Z21" s="54"/>
      <c r="AA21" s="71"/>
      <c r="AB21" s="71"/>
      <c r="AC21" s="128"/>
      <c r="AD21" s="33"/>
      <c r="AE21" s="55"/>
    </row>
    <row r="22" spans="2:31" ht="20.100000000000001" customHeight="1">
      <c r="B22" s="48">
        <v>18</v>
      </c>
      <c r="C22" s="121" t="s">
        <v>701</v>
      </c>
      <c r="D22" s="120" t="s">
        <v>349</v>
      </c>
      <c r="E22" s="120">
        <v>2603</v>
      </c>
      <c r="F22" s="120" t="s">
        <v>700</v>
      </c>
      <c r="G22" s="120" t="s">
        <v>689</v>
      </c>
      <c r="H22" s="49">
        <v>3</v>
      </c>
      <c r="I22" s="50" t="s">
        <v>163</v>
      </c>
      <c r="J22" s="124" t="s">
        <v>167</v>
      </c>
      <c r="K22" s="50" t="s">
        <v>164</v>
      </c>
      <c r="L22" s="50" t="s">
        <v>518</v>
      </c>
      <c r="M22" s="56" t="s">
        <v>12</v>
      </c>
      <c r="N22" s="122" t="s">
        <v>820</v>
      </c>
      <c r="O22" s="57">
        <v>1</v>
      </c>
      <c r="P22" s="45">
        <v>13000</v>
      </c>
      <c r="Q22" s="58">
        <f t="shared" si="0"/>
        <v>13000</v>
      </c>
      <c r="R22" s="69" t="s">
        <v>684</v>
      </c>
      <c r="S22" s="19"/>
      <c r="T22" s="32"/>
      <c r="U22" s="32"/>
      <c r="V22" s="51">
        <f t="shared" si="1"/>
        <v>15079.999999999998</v>
      </c>
      <c r="W22" s="51">
        <f t="shared" si="2"/>
        <v>15079.999999999998</v>
      </c>
      <c r="X22" s="52">
        <f t="shared" si="3"/>
        <v>10.14</v>
      </c>
      <c r="Y22" s="53">
        <f t="shared" si="4"/>
        <v>10.14</v>
      </c>
      <c r="Z22" s="54"/>
      <c r="AA22" s="71"/>
      <c r="AB22" s="71"/>
      <c r="AC22" s="128"/>
      <c r="AD22" s="33"/>
      <c r="AE22" s="55"/>
    </row>
    <row r="23" spans="2:31" ht="20.100000000000001" customHeight="1">
      <c r="B23" s="48">
        <v>19</v>
      </c>
      <c r="C23" s="121" t="s">
        <v>701</v>
      </c>
      <c r="D23" s="120" t="s">
        <v>349</v>
      </c>
      <c r="E23" s="120">
        <v>2603</v>
      </c>
      <c r="F23" s="120" t="s">
        <v>700</v>
      </c>
      <c r="G23" s="120" t="s">
        <v>689</v>
      </c>
      <c r="H23" s="49">
        <v>3</v>
      </c>
      <c r="I23" s="50" t="s">
        <v>163</v>
      </c>
      <c r="J23" s="124" t="s">
        <v>168</v>
      </c>
      <c r="K23" s="50" t="s">
        <v>164</v>
      </c>
      <c r="L23" s="50" t="s">
        <v>518</v>
      </c>
      <c r="M23" s="56" t="s">
        <v>12</v>
      </c>
      <c r="N23" s="122" t="s">
        <v>611</v>
      </c>
      <c r="O23" s="57">
        <v>1</v>
      </c>
      <c r="P23" s="45">
        <v>26000</v>
      </c>
      <c r="Q23" s="58">
        <f t="shared" si="0"/>
        <v>26000</v>
      </c>
      <c r="R23" s="69" t="s">
        <v>684</v>
      </c>
      <c r="S23" s="19"/>
      <c r="T23" s="32"/>
      <c r="U23" s="32"/>
      <c r="V23" s="51">
        <f t="shared" si="1"/>
        <v>30159.999999999996</v>
      </c>
      <c r="W23" s="51">
        <f t="shared" si="2"/>
        <v>30159.999999999996</v>
      </c>
      <c r="X23" s="52">
        <f t="shared" si="3"/>
        <v>20.29</v>
      </c>
      <c r="Y23" s="53">
        <f t="shared" si="4"/>
        <v>20.29</v>
      </c>
      <c r="Z23" s="54"/>
      <c r="AA23" s="71"/>
      <c r="AB23" s="71"/>
      <c r="AC23" s="128"/>
      <c r="AD23" s="33"/>
      <c r="AE23" s="55"/>
    </row>
    <row r="24" spans="2:31" ht="20.100000000000001" customHeight="1">
      <c r="B24" s="48">
        <v>20</v>
      </c>
      <c r="C24" s="121" t="s">
        <v>701</v>
      </c>
      <c r="D24" s="120" t="s">
        <v>349</v>
      </c>
      <c r="E24" s="120">
        <v>2603</v>
      </c>
      <c r="F24" s="120" t="s">
        <v>700</v>
      </c>
      <c r="G24" s="120" t="s">
        <v>689</v>
      </c>
      <c r="H24" s="49">
        <v>3</v>
      </c>
      <c r="I24" s="50" t="s">
        <v>165</v>
      </c>
      <c r="J24" s="124" t="s">
        <v>169</v>
      </c>
      <c r="K24" s="50" t="s">
        <v>164</v>
      </c>
      <c r="L24" s="50" t="s">
        <v>518</v>
      </c>
      <c r="M24" s="56" t="s">
        <v>12</v>
      </c>
      <c r="N24" s="122" t="s">
        <v>611</v>
      </c>
      <c r="O24" s="57">
        <v>1</v>
      </c>
      <c r="P24" s="45">
        <v>24000</v>
      </c>
      <c r="Q24" s="58">
        <f t="shared" si="0"/>
        <v>24000</v>
      </c>
      <c r="R24" s="69" t="s">
        <v>684</v>
      </c>
      <c r="S24" s="19"/>
      <c r="T24" s="32"/>
      <c r="U24" s="32"/>
      <c r="V24" s="51">
        <f t="shared" si="1"/>
        <v>27839.999999999996</v>
      </c>
      <c r="W24" s="51">
        <f t="shared" si="2"/>
        <v>27839.999999999996</v>
      </c>
      <c r="X24" s="52">
        <f t="shared" si="3"/>
        <v>18.73</v>
      </c>
      <c r="Y24" s="53">
        <f t="shared" si="4"/>
        <v>18.73</v>
      </c>
      <c r="Z24" s="54"/>
      <c r="AA24" s="71"/>
      <c r="AB24" s="71"/>
      <c r="AC24" s="128"/>
      <c r="AD24" s="33"/>
      <c r="AE24" s="55"/>
    </row>
    <row r="25" spans="2:31" ht="20.100000000000001" customHeight="1">
      <c r="B25" s="48">
        <v>21</v>
      </c>
      <c r="C25" s="121" t="s">
        <v>701</v>
      </c>
      <c r="D25" s="120" t="s">
        <v>349</v>
      </c>
      <c r="E25" s="120">
        <v>2603</v>
      </c>
      <c r="F25" s="120" t="s">
        <v>700</v>
      </c>
      <c r="G25" s="120" t="s">
        <v>689</v>
      </c>
      <c r="H25" s="49">
        <v>3</v>
      </c>
      <c r="I25" s="50" t="s">
        <v>165</v>
      </c>
      <c r="J25" s="124" t="s">
        <v>505</v>
      </c>
      <c r="K25" s="50" t="s">
        <v>164</v>
      </c>
      <c r="L25" s="50" t="s">
        <v>518</v>
      </c>
      <c r="M25" s="56" t="s">
        <v>12</v>
      </c>
      <c r="N25" s="122" t="s">
        <v>611</v>
      </c>
      <c r="O25" s="57">
        <v>1</v>
      </c>
      <c r="P25" s="45">
        <v>24000</v>
      </c>
      <c r="Q25" s="58">
        <f t="shared" si="0"/>
        <v>24000</v>
      </c>
      <c r="R25" s="69" t="s">
        <v>684</v>
      </c>
      <c r="S25" s="19"/>
      <c r="T25" s="32"/>
      <c r="U25" s="32"/>
      <c r="V25" s="51">
        <f t="shared" si="1"/>
        <v>27839.999999999996</v>
      </c>
      <c r="W25" s="51">
        <f t="shared" si="2"/>
        <v>27839.999999999996</v>
      </c>
      <c r="X25" s="52">
        <f t="shared" si="3"/>
        <v>18.73</v>
      </c>
      <c r="Y25" s="53">
        <f t="shared" si="4"/>
        <v>18.73</v>
      </c>
      <c r="Z25" s="54"/>
      <c r="AA25" s="71"/>
      <c r="AB25" s="71"/>
      <c r="AC25" s="128"/>
      <c r="AD25" s="33"/>
      <c r="AE25" s="55"/>
    </row>
    <row r="26" spans="2:31" ht="20.100000000000001" customHeight="1">
      <c r="B26" s="48">
        <v>22</v>
      </c>
      <c r="C26" s="121" t="s">
        <v>701</v>
      </c>
      <c r="D26" s="120" t="s">
        <v>349</v>
      </c>
      <c r="E26" s="120">
        <v>2603</v>
      </c>
      <c r="F26" s="120" t="s">
        <v>700</v>
      </c>
      <c r="G26" s="120" t="s">
        <v>689</v>
      </c>
      <c r="H26" s="49">
        <v>3</v>
      </c>
      <c r="I26" s="50" t="s">
        <v>166</v>
      </c>
      <c r="J26" s="124" t="s">
        <v>170</v>
      </c>
      <c r="K26" s="50" t="s">
        <v>164</v>
      </c>
      <c r="L26" s="50" t="s">
        <v>518</v>
      </c>
      <c r="M26" s="56" t="s">
        <v>12</v>
      </c>
      <c r="N26" s="122" t="s">
        <v>611</v>
      </c>
      <c r="O26" s="57">
        <v>4</v>
      </c>
      <c r="P26" s="45">
        <v>9000</v>
      </c>
      <c r="Q26" s="58">
        <f t="shared" si="0"/>
        <v>36000</v>
      </c>
      <c r="R26" s="69" t="s">
        <v>684</v>
      </c>
      <c r="S26" s="19"/>
      <c r="T26" s="32"/>
      <c r="U26" s="32"/>
      <c r="V26" s="51">
        <f t="shared" si="1"/>
        <v>10440</v>
      </c>
      <c r="W26" s="51">
        <f t="shared" si="2"/>
        <v>41760</v>
      </c>
      <c r="X26" s="52">
        <f t="shared" si="3"/>
        <v>7.02</v>
      </c>
      <c r="Y26" s="53">
        <f t="shared" si="4"/>
        <v>28.08</v>
      </c>
      <c r="Z26" s="54"/>
      <c r="AA26" s="71"/>
      <c r="AB26" s="71"/>
      <c r="AC26" s="128"/>
      <c r="AD26" s="33"/>
      <c r="AE26" s="55"/>
    </row>
    <row r="27" spans="2:31" ht="20.100000000000001" customHeight="1">
      <c r="B27" s="48">
        <v>23</v>
      </c>
      <c r="C27" s="121" t="s">
        <v>701</v>
      </c>
      <c r="D27" s="120" t="s">
        <v>349</v>
      </c>
      <c r="E27" s="120">
        <v>2603</v>
      </c>
      <c r="F27" s="120" t="s">
        <v>700</v>
      </c>
      <c r="G27" s="120" t="s">
        <v>689</v>
      </c>
      <c r="H27" s="49">
        <v>3</v>
      </c>
      <c r="I27" s="50" t="s">
        <v>165</v>
      </c>
      <c r="J27" s="124" t="s">
        <v>171</v>
      </c>
      <c r="K27" s="50" t="s">
        <v>164</v>
      </c>
      <c r="L27" s="50" t="s">
        <v>518</v>
      </c>
      <c r="M27" s="56" t="s">
        <v>12</v>
      </c>
      <c r="N27" s="122" t="s">
        <v>611</v>
      </c>
      <c r="O27" s="57">
        <v>2</v>
      </c>
      <c r="P27" s="45">
        <v>24000</v>
      </c>
      <c r="Q27" s="58">
        <f t="shared" si="0"/>
        <v>48000</v>
      </c>
      <c r="R27" s="69" t="s">
        <v>684</v>
      </c>
      <c r="S27" s="19"/>
      <c r="T27" s="32"/>
      <c r="U27" s="32"/>
      <c r="V27" s="51">
        <f t="shared" si="1"/>
        <v>27839.999999999996</v>
      </c>
      <c r="W27" s="51">
        <f t="shared" si="2"/>
        <v>55679.999999999993</v>
      </c>
      <c r="X27" s="52">
        <f t="shared" si="3"/>
        <v>18.73</v>
      </c>
      <c r="Y27" s="53">
        <f t="shared" si="4"/>
        <v>37.46</v>
      </c>
      <c r="Z27" s="54"/>
      <c r="AA27" s="71"/>
      <c r="AB27" s="71"/>
      <c r="AC27" s="128"/>
      <c r="AD27" s="33"/>
      <c r="AE27" s="55"/>
    </row>
    <row r="28" spans="2:31" ht="20.100000000000001" customHeight="1">
      <c r="B28" s="48">
        <v>24</v>
      </c>
      <c r="C28" s="121" t="s">
        <v>701</v>
      </c>
      <c r="D28" s="120" t="s">
        <v>349</v>
      </c>
      <c r="E28" s="120">
        <v>2603</v>
      </c>
      <c r="F28" s="120" t="s">
        <v>700</v>
      </c>
      <c r="G28" s="120" t="s">
        <v>689</v>
      </c>
      <c r="H28" s="49">
        <v>3</v>
      </c>
      <c r="I28" s="50" t="s">
        <v>172</v>
      </c>
      <c r="J28" s="124" t="s">
        <v>173</v>
      </c>
      <c r="K28" s="50" t="s">
        <v>174</v>
      </c>
      <c r="L28" s="50" t="s">
        <v>518</v>
      </c>
      <c r="M28" s="56" t="s">
        <v>12</v>
      </c>
      <c r="N28" s="122" t="s">
        <v>665</v>
      </c>
      <c r="O28" s="57">
        <v>1</v>
      </c>
      <c r="P28" s="45">
        <v>30400</v>
      </c>
      <c r="Q28" s="58">
        <f t="shared" si="0"/>
        <v>30400</v>
      </c>
      <c r="R28" s="69" t="s">
        <v>684</v>
      </c>
      <c r="S28" s="19"/>
      <c r="T28" s="32"/>
      <c r="U28" s="32"/>
      <c r="V28" s="51">
        <f t="shared" si="1"/>
        <v>35264</v>
      </c>
      <c r="W28" s="51">
        <f t="shared" si="2"/>
        <v>35264</v>
      </c>
      <c r="X28" s="52">
        <f t="shared" si="3"/>
        <v>23.72</v>
      </c>
      <c r="Y28" s="53">
        <f t="shared" si="4"/>
        <v>23.72</v>
      </c>
      <c r="Z28" s="54"/>
      <c r="AA28" s="71"/>
      <c r="AB28" s="71"/>
      <c r="AC28" s="128"/>
      <c r="AD28" s="33"/>
      <c r="AE28" s="55"/>
    </row>
    <row r="29" spans="2:31" ht="20.100000000000001" customHeight="1">
      <c r="B29" s="48">
        <v>25</v>
      </c>
      <c r="C29" s="121" t="s">
        <v>701</v>
      </c>
      <c r="D29" s="120" t="s">
        <v>349</v>
      </c>
      <c r="E29" s="120">
        <v>2603</v>
      </c>
      <c r="F29" s="120" t="s">
        <v>700</v>
      </c>
      <c r="G29" s="120" t="s">
        <v>689</v>
      </c>
      <c r="H29" s="49">
        <v>3</v>
      </c>
      <c r="I29" s="50" t="s">
        <v>172</v>
      </c>
      <c r="J29" s="124" t="s">
        <v>175</v>
      </c>
      <c r="K29" s="50" t="s">
        <v>174</v>
      </c>
      <c r="L29" s="50" t="s">
        <v>518</v>
      </c>
      <c r="M29" s="56" t="s">
        <v>12</v>
      </c>
      <c r="N29" s="122" t="s">
        <v>665</v>
      </c>
      <c r="O29" s="57">
        <v>1</v>
      </c>
      <c r="P29" s="45">
        <v>6050</v>
      </c>
      <c r="Q29" s="58">
        <f t="shared" si="0"/>
        <v>6050</v>
      </c>
      <c r="R29" s="69" t="s">
        <v>684</v>
      </c>
      <c r="S29" s="19"/>
      <c r="T29" s="32"/>
      <c r="U29" s="32"/>
      <c r="V29" s="51">
        <f t="shared" si="1"/>
        <v>7017.9999999999991</v>
      </c>
      <c r="W29" s="51">
        <f t="shared" si="2"/>
        <v>7017.9999999999991</v>
      </c>
      <c r="X29" s="52">
        <f t="shared" si="3"/>
        <v>4.72</v>
      </c>
      <c r="Y29" s="53">
        <f t="shared" si="4"/>
        <v>4.72</v>
      </c>
      <c r="Z29" s="54"/>
      <c r="AA29" s="71"/>
      <c r="AB29" s="71"/>
      <c r="AC29" s="128"/>
      <c r="AD29" s="33"/>
      <c r="AE29" s="55"/>
    </row>
    <row r="30" spans="2:31" ht="20.100000000000001" customHeight="1">
      <c r="B30" s="48">
        <v>26</v>
      </c>
      <c r="C30" s="121" t="s">
        <v>701</v>
      </c>
      <c r="D30" s="120" t="s">
        <v>349</v>
      </c>
      <c r="E30" s="120">
        <v>2603</v>
      </c>
      <c r="F30" s="120" t="s">
        <v>700</v>
      </c>
      <c r="G30" s="120" t="s">
        <v>689</v>
      </c>
      <c r="H30" s="49">
        <v>3</v>
      </c>
      <c r="I30" s="50" t="s">
        <v>172</v>
      </c>
      <c r="J30" s="124" t="s">
        <v>176</v>
      </c>
      <c r="K30" s="50" t="s">
        <v>174</v>
      </c>
      <c r="L30" s="50" t="s">
        <v>518</v>
      </c>
      <c r="M30" s="56" t="s">
        <v>12</v>
      </c>
      <c r="N30" s="122" t="s">
        <v>665</v>
      </c>
      <c r="O30" s="57">
        <v>1</v>
      </c>
      <c r="P30" s="45">
        <v>19800</v>
      </c>
      <c r="Q30" s="58">
        <f t="shared" si="0"/>
        <v>19800</v>
      </c>
      <c r="R30" s="69" t="s">
        <v>684</v>
      </c>
      <c r="S30" s="19"/>
      <c r="T30" s="32"/>
      <c r="U30" s="32"/>
      <c r="V30" s="51">
        <f t="shared" si="1"/>
        <v>22968</v>
      </c>
      <c r="W30" s="51">
        <f t="shared" si="2"/>
        <v>22968</v>
      </c>
      <c r="X30" s="52">
        <f t="shared" si="3"/>
        <v>15.45</v>
      </c>
      <c r="Y30" s="53">
        <f t="shared" si="4"/>
        <v>15.45</v>
      </c>
      <c r="Z30" s="54"/>
      <c r="AA30" s="71"/>
      <c r="AB30" s="71"/>
      <c r="AC30" s="128"/>
      <c r="AD30" s="33"/>
      <c r="AE30" s="55"/>
    </row>
    <row r="31" spans="2:31" ht="20.100000000000001" customHeight="1">
      <c r="B31" s="48">
        <v>27</v>
      </c>
      <c r="C31" s="121" t="s">
        <v>701</v>
      </c>
      <c r="D31" s="120" t="s">
        <v>349</v>
      </c>
      <c r="E31" s="120">
        <v>2603</v>
      </c>
      <c r="F31" s="120" t="s">
        <v>700</v>
      </c>
      <c r="G31" s="120" t="s">
        <v>689</v>
      </c>
      <c r="H31" s="49">
        <v>3</v>
      </c>
      <c r="I31" s="50" t="s">
        <v>153</v>
      </c>
      <c r="J31" s="124" t="s">
        <v>500</v>
      </c>
      <c r="K31" s="50" t="s">
        <v>121</v>
      </c>
      <c r="L31" s="50" t="s">
        <v>518</v>
      </c>
      <c r="M31" s="56" t="s">
        <v>12</v>
      </c>
      <c r="N31" s="122" t="s">
        <v>610</v>
      </c>
      <c r="O31" s="57">
        <v>1</v>
      </c>
      <c r="P31" s="45">
        <v>12000</v>
      </c>
      <c r="Q31" s="58">
        <f t="shared" si="0"/>
        <v>12000</v>
      </c>
      <c r="R31" s="129" t="s">
        <v>663</v>
      </c>
      <c r="S31" s="19"/>
      <c r="T31" s="32"/>
      <c r="U31" s="32"/>
      <c r="V31" s="51">
        <f t="shared" si="1"/>
        <v>13919.999999999998</v>
      </c>
      <c r="W31" s="51">
        <f t="shared" si="2"/>
        <v>13919.999999999998</v>
      </c>
      <c r="X31" s="52">
        <f t="shared" si="3"/>
        <v>9.36</v>
      </c>
      <c r="Y31" s="53">
        <f t="shared" si="4"/>
        <v>9.36</v>
      </c>
      <c r="Z31" s="54"/>
      <c r="AA31" s="71"/>
      <c r="AB31" s="71"/>
      <c r="AC31" s="128" t="s">
        <v>838</v>
      </c>
      <c r="AD31" s="33"/>
      <c r="AE31" s="55"/>
    </row>
    <row r="32" spans="2:31" ht="20.100000000000001" customHeight="1">
      <c r="B32" s="48">
        <v>28</v>
      </c>
      <c r="C32" s="121" t="s">
        <v>701</v>
      </c>
      <c r="D32" s="120" t="s">
        <v>349</v>
      </c>
      <c r="E32" s="120">
        <v>2603</v>
      </c>
      <c r="F32" s="120" t="s">
        <v>700</v>
      </c>
      <c r="G32" s="120" t="s">
        <v>689</v>
      </c>
      <c r="H32" s="49">
        <v>1</v>
      </c>
      <c r="I32" s="50" t="s">
        <v>529</v>
      </c>
      <c r="J32" s="124" t="s">
        <v>71</v>
      </c>
      <c r="K32" s="50" t="s">
        <v>240</v>
      </c>
      <c r="L32" s="50" t="s">
        <v>599</v>
      </c>
      <c r="M32" s="56" t="s">
        <v>12</v>
      </c>
      <c r="N32" s="122" t="s">
        <v>672</v>
      </c>
      <c r="O32" s="57">
        <v>1</v>
      </c>
      <c r="P32" s="45">
        <v>60000</v>
      </c>
      <c r="Q32" s="58">
        <f t="shared" si="0"/>
        <v>60000</v>
      </c>
      <c r="R32" s="69" t="s">
        <v>663</v>
      </c>
      <c r="S32" s="19"/>
      <c r="T32" s="32"/>
      <c r="U32" s="32"/>
      <c r="V32" s="51">
        <f t="shared" si="1"/>
        <v>69600</v>
      </c>
      <c r="W32" s="51">
        <f t="shared" si="2"/>
        <v>69600</v>
      </c>
      <c r="X32" s="52">
        <f t="shared" si="3"/>
        <v>46.82</v>
      </c>
      <c r="Y32" s="53">
        <f t="shared" si="4"/>
        <v>46.82</v>
      </c>
      <c r="Z32" s="54"/>
      <c r="AA32" s="71"/>
      <c r="AB32" s="71"/>
      <c r="AC32" s="128"/>
      <c r="AD32" s="33"/>
      <c r="AE32" s="55"/>
    </row>
    <row r="33" spans="2:31" ht="20.100000000000001" customHeight="1">
      <c r="B33" s="48">
        <v>29</v>
      </c>
      <c r="C33" s="121" t="s">
        <v>701</v>
      </c>
      <c r="D33" s="120" t="s">
        <v>349</v>
      </c>
      <c r="E33" s="120">
        <v>2603</v>
      </c>
      <c r="F33" s="120" t="s">
        <v>700</v>
      </c>
      <c r="G33" s="120" t="s">
        <v>689</v>
      </c>
      <c r="H33" s="49">
        <v>2</v>
      </c>
      <c r="I33" s="50" t="s">
        <v>230</v>
      </c>
      <c r="J33" s="124" t="s">
        <v>231</v>
      </c>
      <c r="K33" s="50" t="s">
        <v>227</v>
      </c>
      <c r="L33" s="50" t="s">
        <v>600</v>
      </c>
      <c r="M33" s="56" t="s">
        <v>12</v>
      </c>
      <c r="N33" s="122" t="s">
        <v>667</v>
      </c>
      <c r="O33" s="57">
        <v>1</v>
      </c>
      <c r="P33" s="45">
        <v>290000</v>
      </c>
      <c r="Q33" s="58">
        <f t="shared" si="0"/>
        <v>290000</v>
      </c>
      <c r="R33" s="69" t="s">
        <v>663</v>
      </c>
      <c r="S33" s="19"/>
      <c r="T33" s="32"/>
      <c r="U33" s="32"/>
      <c r="V33" s="51">
        <f t="shared" si="1"/>
        <v>336400</v>
      </c>
      <c r="W33" s="51">
        <f t="shared" si="2"/>
        <v>336400</v>
      </c>
      <c r="X33" s="52">
        <f t="shared" si="3"/>
        <v>226.28</v>
      </c>
      <c r="Y33" s="53">
        <f t="shared" si="4"/>
        <v>226.28</v>
      </c>
      <c r="Z33" s="54"/>
      <c r="AA33" s="71"/>
      <c r="AB33" s="71"/>
      <c r="AC33" s="128"/>
      <c r="AD33" s="33"/>
      <c r="AE33" s="55"/>
    </row>
    <row r="34" spans="2:31" ht="20.100000000000001" customHeight="1">
      <c r="B34" s="48">
        <v>30</v>
      </c>
      <c r="C34" s="121" t="s">
        <v>701</v>
      </c>
      <c r="D34" s="120" t="s">
        <v>349</v>
      </c>
      <c r="E34" s="120">
        <v>2603</v>
      </c>
      <c r="F34" s="120" t="s">
        <v>700</v>
      </c>
      <c r="G34" s="120" t="s">
        <v>689</v>
      </c>
      <c r="H34" s="49">
        <v>3</v>
      </c>
      <c r="I34" s="50" t="s">
        <v>530</v>
      </c>
      <c r="J34" s="124" t="s">
        <v>531</v>
      </c>
      <c r="K34" s="50" t="s">
        <v>30</v>
      </c>
      <c r="L34" s="50" t="s">
        <v>519</v>
      </c>
      <c r="M34" s="56" t="s">
        <v>12</v>
      </c>
      <c r="N34" s="122" t="s">
        <v>665</v>
      </c>
      <c r="O34" s="57">
        <v>1</v>
      </c>
      <c r="P34" s="45">
        <v>200</v>
      </c>
      <c r="Q34" s="58">
        <f t="shared" si="0"/>
        <v>200</v>
      </c>
      <c r="R34" s="69" t="s">
        <v>663</v>
      </c>
      <c r="S34" s="19"/>
      <c r="T34" s="32"/>
      <c r="U34" s="32"/>
      <c r="V34" s="51">
        <f t="shared" si="1"/>
        <v>231.99999999999997</v>
      </c>
      <c r="W34" s="51">
        <f t="shared" si="2"/>
        <v>231.99999999999997</v>
      </c>
      <c r="X34" s="52">
        <f t="shared" si="3"/>
        <v>0.16</v>
      </c>
      <c r="Y34" s="53">
        <f t="shared" si="4"/>
        <v>0.16</v>
      </c>
      <c r="Z34" s="54"/>
      <c r="AA34" s="71"/>
      <c r="AB34" s="71"/>
      <c r="AC34" s="128"/>
      <c r="AD34" s="33"/>
      <c r="AE34" s="55"/>
    </row>
    <row r="35" spans="2:31" ht="20.100000000000001" customHeight="1">
      <c r="B35" s="48">
        <v>31</v>
      </c>
      <c r="C35" s="121" t="s">
        <v>701</v>
      </c>
      <c r="D35" s="120" t="s">
        <v>349</v>
      </c>
      <c r="E35" s="120">
        <v>2603</v>
      </c>
      <c r="F35" s="120" t="s">
        <v>700</v>
      </c>
      <c r="G35" s="120" t="s">
        <v>689</v>
      </c>
      <c r="H35" s="49">
        <v>3</v>
      </c>
      <c r="I35" s="50" t="s">
        <v>73</v>
      </c>
      <c r="J35" s="124" t="s">
        <v>74</v>
      </c>
      <c r="K35" s="50" t="s">
        <v>30</v>
      </c>
      <c r="L35" s="50" t="s">
        <v>519</v>
      </c>
      <c r="M35" s="56" t="s">
        <v>12</v>
      </c>
      <c r="N35" s="122" t="s">
        <v>665</v>
      </c>
      <c r="O35" s="57">
        <v>1</v>
      </c>
      <c r="P35" s="45">
        <v>12000</v>
      </c>
      <c r="Q35" s="58">
        <f t="shared" si="0"/>
        <v>12000</v>
      </c>
      <c r="R35" s="69" t="s">
        <v>663</v>
      </c>
      <c r="S35" s="19"/>
      <c r="T35" s="32"/>
      <c r="U35" s="32"/>
      <c r="V35" s="51">
        <f t="shared" si="1"/>
        <v>13919.999999999998</v>
      </c>
      <c r="W35" s="51">
        <f t="shared" si="2"/>
        <v>13919.999999999998</v>
      </c>
      <c r="X35" s="52">
        <f t="shared" si="3"/>
        <v>9.36</v>
      </c>
      <c r="Y35" s="53">
        <f t="shared" si="4"/>
        <v>9.36</v>
      </c>
      <c r="Z35" s="54"/>
      <c r="AA35" s="71"/>
      <c r="AB35" s="71"/>
      <c r="AC35" s="128"/>
      <c r="AD35" s="33"/>
      <c r="AE35" s="55"/>
    </row>
    <row r="36" spans="2:31" ht="20.100000000000001" customHeight="1">
      <c r="B36" s="48">
        <v>32</v>
      </c>
      <c r="C36" s="121" t="s">
        <v>701</v>
      </c>
      <c r="D36" s="120" t="s">
        <v>349</v>
      </c>
      <c r="E36" s="120">
        <v>2603</v>
      </c>
      <c r="F36" s="120" t="s">
        <v>700</v>
      </c>
      <c r="G36" s="120" t="s">
        <v>689</v>
      </c>
      <c r="H36" s="49">
        <v>3</v>
      </c>
      <c r="I36" s="50" t="s">
        <v>506</v>
      </c>
      <c r="J36" s="124" t="s">
        <v>507</v>
      </c>
      <c r="K36" s="50" t="s">
        <v>30</v>
      </c>
      <c r="L36" s="50" t="s">
        <v>519</v>
      </c>
      <c r="M36" s="56" t="s">
        <v>12</v>
      </c>
      <c r="N36" s="122" t="s">
        <v>665</v>
      </c>
      <c r="O36" s="57">
        <v>1</v>
      </c>
      <c r="P36" s="45">
        <v>200</v>
      </c>
      <c r="Q36" s="58">
        <f t="shared" si="0"/>
        <v>200</v>
      </c>
      <c r="R36" s="69" t="s">
        <v>663</v>
      </c>
      <c r="S36" s="19"/>
      <c r="T36" s="32"/>
      <c r="U36" s="32"/>
      <c r="V36" s="51">
        <f t="shared" si="1"/>
        <v>231.99999999999997</v>
      </c>
      <c r="W36" s="51">
        <f t="shared" si="2"/>
        <v>231.99999999999997</v>
      </c>
      <c r="X36" s="52">
        <f t="shared" si="3"/>
        <v>0.16</v>
      </c>
      <c r="Y36" s="53">
        <f t="shared" si="4"/>
        <v>0.16</v>
      </c>
      <c r="Z36" s="54"/>
      <c r="AA36" s="71"/>
      <c r="AB36" s="71"/>
      <c r="AC36" s="128"/>
      <c r="AD36" s="33"/>
      <c r="AE36" s="55"/>
    </row>
    <row r="37" spans="2:31" ht="20.100000000000001" customHeight="1">
      <c r="B37" s="48">
        <v>33</v>
      </c>
      <c r="C37" s="121" t="s">
        <v>701</v>
      </c>
      <c r="D37" s="120" t="s">
        <v>349</v>
      </c>
      <c r="E37" s="120">
        <v>2603</v>
      </c>
      <c r="F37" s="120" t="s">
        <v>700</v>
      </c>
      <c r="G37" s="120" t="s">
        <v>689</v>
      </c>
      <c r="H37" s="49">
        <v>3</v>
      </c>
      <c r="I37" s="50" t="s">
        <v>508</v>
      </c>
      <c r="J37" s="124" t="s">
        <v>509</v>
      </c>
      <c r="K37" s="50" t="s">
        <v>30</v>
      </c>
      <c r="L37" s="50" t="s">
        <v>519</v>
      </c>
      <c r="M37" s="56" t="s">
        <v>12</v>
      </c>
      <c r="N37" s="122" t="s">
        <v>665</v>
      </c>
      <c r="O37" s="57">
        <v>1</v>
      </c>
      <c r="P37" s="45">
        <v>6500</v>
      </c>
      <c r="Q37" s="58">
        <f t="shared" ref="Q37:Q68" si="5">O37*P37</f>
        <v>6500</v>
      </c>
      <c r="R37" s="129" t="s">
        <v>663</v>
      </c>
      <c r="S37" s="19"/>
      <c r="T37" s="32"/>
      <c r="U37" s="32"/>
      <c r="V37" s="51">
        <f t="shared" si="1"/>
        <v>7539.9999999999991</v>
      </c>
      <c r="W37" s="51">
        <f t="shared" si="2"/>
        <v>7539.9999999999991</v>
      </c>
      <c r="X37" s="52">
        <f t="shared" si="3"/>
        <v>5.07</v>
      </c>
      <c r="Y37" s="53">
        <f t="shared" si="4"/>
        <v>5.07</v>
      </c>
      <c r="Z37" s="54"/>
      <c r="AA37" s="71"/>
      <c r="AB37" s="71"/>
      <c r="AC37" s="128"/>
      <c r="AD37" s="33"/>
      <c r="AE37" s="55"/>
    </row>
    <row r="38" spans="2:31" ht="20.100000000000001" customHeight="1">
      <c r="B38" s="48">
        <v>34</v>
      </c>
      <c r="C38" s="121" t="s">
        <v>701</v>
      </c>
      <c r="D38" s="120" t="s">
        <v>349</v>
      </c>
      <c r="E38" s="120">
        <v>2603</v>
      </c>
      <c r="F38" s="120" t="s">
        <v>700</v>
      </c>
      <c r="G38" s="120" t="s">
        <v>689</v>
      </c>
      <c r="H38" s="49">
        <v>3</v>
      </c>
      <c r="I38" s="50" t="s">
        <v>683</v>
      </c>
      <c r="J38" s="124" t="s">
        <v>682</v>
      </c>
      <c r="K38" s="50" t="s">
        <v>532</v>
      </c>
      <c r="L38" s="50" t="s">
        <v>519</v>
      </c>
      <c r="M38" s="56" t="s">
        <v>12</v>
      </c>
      <c r="N38" s="122" t="s">
        <v>665</v>
      </c>
      <c r="O38" s="57">
        <v>1</v>
      </c>
      <c r="P38" s="45">
        <v>5600</v>
      </c>
      <c r="Q38" s="58">
        <f t="shared" si="5"/>
        <v>5600</v>
      </c>
      <c r="R38" s="69" t="s">
        <v>663</v>
      </c>
      <c r="S38" s="19"/>
      <c r="T38" s="32"/>
      <c r="U38" s="32"/>
      <c r="V38" s="51">
        <f t="shared" si="1"/>
        <v>6496</v>
      </c>
      <c r="W38" s="51">
        <f t="shared" si="2"/>
        <v>6496</v>
      </c>
      <c r="X38" s="52">
        <f t="shared" si="3"/>
        <v>4.37</v>
      </c>
      <c r="Y38" s="53">
        <f t="shared" si="4"/>
        <v>4.37</v>
      </c>
      <c r="Z38" s="54"/>
      <c r="AA38" s="71"/>
      <c r="AB38" s="71"/>
      <c r="AC38" s="128"/>
      <c r="AD38" s="33"/>
      <c r="AE38" s="55"/>
    </row>
    <row r="39" spans="2:31" ht="20.100000000000001" customHeight="1">
      <c r="B39" s="48">
        <v>35</v>
      </c>
      <c r="C39" s="121" t="s">
        <v>701</v>
      </c>
      <c r="D39" s="120" t="s">
        <v>349</v>
      </c>
      <c r="E39" s="120">
        <v>2603</v>
      </c>
      <c r="F39" s="120" t="s">
        <v>700</v>
      </c>
      <c r="G39" s="120" t="s">
        <v>689</v>
      </c>
      <c r="H39" s="49">
        <v>3</v>
      </c>
      <c r="I39" s="50" t="s">
        <v>82</v>
      </c>
      <c r="J39" s="124" t="s">
        <v>84</v>
      </c>
      <c r="K39" s="50" t="s">
        <v>83</v>
      </c>
      <c r="L39" s="50" t="s">
        <v>519</v>
      </c>
      <c r="M39" s="56" t="s">
        <v>12</v>
      </c>
      <c r="N39" s="122" t="s">
        <v>665</v>
      </c>
      <c r="O39" s="57">
        <v>1</v>
      </c>
      <c r="P39" s="45">
        <v>21500</v>
      </c>
      <c r="Q39" s="58">
        <f t="shared" si="5"/>
        <v>21500</v>
      </c>
      <c r="R39" s="69" t="s">
        <v>684</v>
      </c>
      <c r="S39" s="19"/>
      <c r="T39" s="32"/>
      <c r="U39" s="32"/>
      <c r="V39" s="51">
        <f t="shared" si="1"/>
        <v>24940</v>
      </c>
      <c r="W39" s="51">
        <f t="shared" si="2"/>
        <v>24940</v>
      </c>
      <c r="X39" s="52">
        <f t="shared" si="3"/>
        <v>16.78</v>
      </c>
      <c r="Y39" s="53">
        <f t="shared" si="4"/>
        <v>16.78</v>
      </c>
      <c r="Z39" s="54"/>
      <c r="AA39" s="71"/>
      <c r="AB39" s="71"/>
      <c r="AC39" s="128"/>
      <c r="AD39" s="33"/>
      <c r="AE39" s="55"/>
    </row>
    <row r="40" spans="2:31" ht="20.100000000000001" customHeight="1">
      <c r="B40" s="48">
        <v>36</v>
      </c>
      <c r="C40" s="121" t="s">
        <v>701</v>
      </c>
      <c r="D40" s="120" t="s">
        <v>349</v>
      </c>
      <c r="E40" s="120">
        <v>2603</v>
      </c>
      <c r="F40" s="120" t="s">
        <v>700</v>
      </c>
      <c r="G40" s="120" t="s">
        <v>689</v>
      </c>
      <c r="H40" s="49">
        <v>3</v>
      </c>
      <c r="I40" s="50" t="s">
        <v>533</v>
      </c>
      <c r="J40" s="124" t="s">
        <v>80</v>
      </c>
      <c r="K40" s="50" t="s">
        <v>31</v>
      </c>
      <c r="L40" s="50" t="s">
        <v>519</v>
      </c>
      <c r="M40" s="56" t="s">
        <v>12</v>
      </c>
      <c r="N40" s="122" t="s">
        <v>665</v>
      </c>
      <c r="O40" s="57">
        <v>1</v>
      </c>
      <c r="P40" s="45">
        <v>6700</v>
      </c>
      <c r="Q40" s="58">
        <f t="shared" si="5"/>
        <v>6700</v>
      </c>
      <c r="R40" s="69" t="s">
        <v>684</v>
      </c>
      <c r="S40" s="19"/>
      <c r="T40" s="32"/>
      <c r="U40" s="32"/>
      <c r="V40" s="51">
        <f t="shared" si="1"/>
        <v>7771.9999999999991</v>
      </c>
      <c r="W40" s="51">
        <f t="shared" si="2"/>
        <v>7771.9999999999991</v>
      </c>
      <c r="X40" s="52">
        <f t="shared" si="3"/>
        <v>5.23</v>
      </c>
      <c r="Y40" s="53">
        <f t="shared" si="4"/>
        <v>5.23</v>
      </c>
      <c r="Z40" s="54"/>
      <c r="AA40" s="71"/>
      <c r="AB40" s="71"/>
      <c r="AC40" s="128"/>
      <c r="AD40" s="33"/>
      <c r="AE40" s="55"/>
    </row>
    <row r="41" spans="2:31" ht="20.100000000000001" customHeight="1">
      <c r="B41" s="48">
        <v>37</v>
      </c>
      <c r="C41" s="121" t="s">
        <v>701</v>
      </c>
      <c r="D41" s="120" t="s">
        <v>349</v>
      </c>
      <c r="E41" s="120">
        <v>2603</v>
      </c>
      <c r="F41" s="120" t="s">
        <v>700</v>
      </c>
      <c r="G41" s="120" t="s">
        <v>689</v>
      </c>
      <c r="H41" s="49">
        <v>3</v>
      </c>
      <c r="I41" s="50" t="s">
        <v>79</v>
      </c>
      <c r="J41" s="124" t="s">
        <v>81</v>
      </c>
      <c r="K41" s="50" t="s">
        <v>31</v>
      </c>
      <c r="L41" s="50" t="s">
        <v>519</v>
      </c>
      <c r="M41" s="56" t="s">
        <v>12</v>
      </c>
      <c r="N41" s="122" t="s">
        <v>665</v>
      </c>
      <c r="O41" s="57">
        <v>1</v>
      </c>
      <c r="P41" s="45">
        <v>6700</v>
      </c>
      <c r="Q41" s="58">
        <f t="shared" si="5"/>
        <v>6700</v>
      </c>
      <c r="R41" s="69" t="s">
        <v>684</v>
      </c>
      <c r="S41" s="19"/>
      <c r="T41" s="32"/>
      <c r="U41" s="32"/>
      <c r="V41" s="51">
        <f t="shared" si="1"/>
        <v>7771.9999999999991</v>
      </c>
      <c r="W41" s="51">
        <f t="shared" si="2"/>
        <v>7771.9999999999991</v>
      </c>
      <c r="X41" s="52">
        <f t="shared" si="3"/>
        <v>5.23</v>
      </c>
      <c r="Y41" s="53">
        <f t="shared" si="4"/>
        <v>5.23</v>
      </c>
      <c r="Z41" s="54"/>
      <c r="AA41" s="71"/>
      <c r="AB41" s="71"/>
      <c r="AC41" s="128"/>
      <c r="AD41" s="33"/>
      <c r="AE41" s="55"/>
    </row>
    <row r="42" spans="2:31" ht="20.100000000000001" customHeight="1">
      <c r="B42" s="48">
        <v>38</v>
      </c>
      <c r="C42" s="121" t="s">
        <v>701</v>
      </c>
      <c r="D42" s="120" t="s">
        <v>349</v>
      </c>
      <c r="E42" s="120">
        <v>2603</v>
      </c>
      <c r="F42" s="120" t="s">
        <v>700</v>
      </c>
      <c r="G42" s="120" t="s">
        <v>689</v>
      </c>
      <c r="H42" s="49">
        <v>3</v>
      </c>
      <c r="I42" s="50" t="s">
        <v>534</v>
      </c>
      <c r="J42" s="124" t="s">
        <v>848</v>
      </c>
      <c r="K42" s="50" t="s">
        <v>31</v>
      </c>
      <c r="L42" s="50" t="s">
        <v>519</v>
      </c>
      <c r="M42" s="56" t="s">
        <v>12</v>
      </c>
      <c r="N42" s="122" t="s">
        <v>665</v>
      </c>
      <c r="O42" s="57">
        <v>3</v>
      </c>
      <c r="P42" s="45">
        <v>6700</v>
      </c>
      <c r="Q42" s="58">
        <f t="shared" si="5"/>
        <v>20100</v>
      </c>
      <c r="R42" s="69" t="s">
        <v>684</v>
      </c>
      <c r="S42" s="19"/>
      <c r="T42" s="32"/>
      <c r="U42" s="32"/>
      <c r="V42" s="51">
        <f t="shared" si="1"/>
        <v>7771.9999999999991</v>
      </c>
      <c r="W42" s="51">
        <f t="shared" si="2"/>
        <v>23315.999999999996</v>
      </c>
      <c r="X42" s="52">
        <f t="shared" si="3"/>
        <v>5.23</v>
      </c>
      <c r="Y42" s="53">
        <f t="shared" si="4"/>
        <v>15.690000000000001</v>
      </c>
      <c r="Z42" s="54"/>
      <c r="AA42" s="71"/>
      <c r="AB42" s="71"/>
      <c r="AC42" s="128"/>
      <c r="AD42" s="33"/>
      <c r="AE42" s="55"/>
    </row>
    <row r="43" spans="2:31" ht="20.100000000000001" customHeight="1">
      <c r="B43" s="48">
        <v>39</v>
      </c>
      <c r="C43" s="121" t="s">
        <v>701</v>
      </c>
      <c r="D43" s="120" t="s">
        <v>349</v>
      </c>
      <c r="E43" s="120">
        <v>2603</v>
      </c>
      <c r="F43" s="120" t="s">
        <v>700</v>
      </c>
      <c r="G43" s="120" t="s">
        <v>689</v>
      </c>
      <c r="H43" s="49">
        <v>3</v>
      </c>
      <c r="I43" s="50" t="s">
        <v>536</v>
      </c>
      <c r="J43" s="124" t="s">
        <v>537</v>
      </c>
      <c r="K43" s="50" t="s">
        <v>31</v>
      </c>
      <c r="L43" s="50" t="s">
        <v>519</v>
      </c>
      <c r="M43" s="56" t="s">
        <v>12</v>
      </c>
      <c r="N43" s="122" t="s">
        <v>665</v>
      </c>
      <c r="O43" s="57">
        <v>1</v>
      </c>
      <c r="P43" s="45">
        <v>6700</v>
      </c>
      <c r="Q43" s="58">
        <f t="shared" si="5"/>
        <v>6700</v>
      </c>
      <c r="R43" s="69" t="s">
        <v>684</v>
      </c>
      <c r="S43" s="19"/>
      <c r="T43" s="32"/>
      <c r="U43" s="32"/>
      <c r="V43" s="51">
        <f t="shared" si="1"/>
        <v>7771.9999999999991</v>
      </c>
      <c r="W43" s="51">
        <f t="shared" si="2"/>
        <v>7771.9999999999991</v>
      </c>
      <c r="X43" s="52">
        <f t="shared" si="3"/>
        <v>5.23</v>
      </c>
      <c r="Y43" s="53">
        <f t="shared" si="4"/>
        <v>5.23</v>
      </c>
      <c r="Z43" s="54"/>
      <c r="AA43" s="71"/>
      <c r="AB43" s="71"/>
      <c r="AC43" s="128"/>
      <c r="AD43" s="33"/>
      <c r="AE43" s="55"/>
    </row>
    <row r="44" spans="2:31" ht="20.100000000000001" customHeight="1">
      <c r="B44" s="48">
        <v>40</v>
      </c>
      <c r="C44" s="121" t="s">
        <v>701</v>
      </c>
      <c r="D44" s="120" t="s">
        <v>349</v>
      </c>
      <c r="E44" s="120">
        <v>2603</v>
      </c>
      <c r="F44" s="120" t="s">
        <v>700</v>
      </c>
      <c r="G44" s="120" t="s">
        <v>689</v>
      </c>
      <c r="H44" s="49">
        <v>3</v>
      </c>
      <c r="I44" s="50" t="s">
        <v>72</v>
      </c>
      <c r="J44" s="124" t="s">
        <v>623</v>
      </c>
      <c r="K44" s="50" t="s">
        <v>649</v>
      </c>
      <c r="L44" s="50" t="s">
        <v>519</v>
      </c>
      <c r="M44" s="56" t="s">
        <v>12</v>
      </c>
      <c r="N44" s="122" t="s">
        <v>665</v>
      </c>
      <c r="O44" s="57">
        <v>7</v>
      </c>
      <c r="P44" s="45">
        <v>300</v>
      </c>
      <c r="Q44" s="58">
        <f t="shared" si="5"/>
        <v>2100</v>
      </c>
      <c r="R44" s="69" t="s">
        <v>684</v>
      </c>
      <c r="S44" s="19"/>
      <c r="T44" s="32"/>
      <c r="U44" s="32"/>
      <c r="V44" s="51">
        <f t="shared" si="1"/>
        <v>348</v>
      </c>
      <c r="W44" s="51">
        <f t="shared" si="2"/>
        <v>2436</v>
      </c>
      <c r="X44" s="52">
        <f t="shared" si="3"/>
        <v>0.23</v>
      </c>
      <c r="Y44" s="53">
        <f t="shared" si="4"/>
        <v>1.61</v>
      </c>
      <c r="Z44" s="54"/>
      <c r="AA44" s="71"/>
      <c r="AB44" s="71"/>
      <c r="AC44" s="128"/>
      <c r="AD44" s="33"/>
      <c r="AE44" s="55"/>
    </row>
    <row r="45" spans="2:31" ht="20.100000000000001" customHeight="1">
      <c r="B45" s="48">
        <v>41</v>
      </c>
      <c r="C45" s="121" t="s">
        <v>701</v>
      </c>
      <c r="D45" s="120" t="s">
        <v>349</v>
      </c>
      <c r="E45" s="120">
        <v>2603</v>
      </c>
      <c r="F45" s="120" t="s">
        <v>700</v>
      </c>
      <c r="G45" s="120" t="s">
        <v>689</v>
      </c>
      <c r="H45" s="49">
        <v>3</v>
      </c>
      <c r="I45" s="50" t="s">
        <v>72</v>
      </c>
      <c r="J45" s="124" t="s">
        <v>639</v>
      </c>
      <c r="K45" s="50" t="s">
        <v>649</v>
      </c>
      <c r="L45" s="50" t="s">
        <v>519</v>
      </c>
      <c r="M45" s="56" t="s">
        <v>12</v>
      </c>
      <c r="N45" s="122" t="s">
        <v>665</v>
      </c>
      <c r="O45" s="57">
        <v>4</v>
      </c>
      <c r="P45" s="45">
        <v>300</v>
      </c>
      <c r="Q45" s="58">
        <f t="shared" si="5"/>
        <v>1200</v>
      </c>
      <c r="R45" s="69" t="s">
        <v>684</v>
      </c>
      <c r="S45" s="19"/>
      <c r="T45" s="32"/>
      <c r="U45" s="32"/>
      <c r="V45" s="51">
        <f t="shared" si="1"/>
        <v>348</v>
      </c>
      <c r="W45" s="51">
        <f t="shared" si="2"/>
        <v>1392</v>
      </c>
      <c r="X45" s="52">
        <f t="shared" si="3"/>
        <v>0.23</v>
      </c>
      <c r="Y45" s="53">
        <f t="shared" si="4"/>
        <v>0.92</v>
      </c>
      <c r="Z45" s="54"/>
      <c r="AA45" s="71"/>
      <c r="AB45" s="71"/>
      <c r="AC45" s="128"/>
      <c r="AD45" s="33"/>
      <c r="AE45" s="55"/>
    </row>
    <row r="46" spans="2:31" ht="20.100000000000001" customHeight="1">
      <c r="B46" s="48">
        <v>42</v>
      </c>
      <c r="C46" s="121" t="s">
        <v>701</v>
      </c>
      <c r="D46" s="120" t="s">
        <v>349</v>
      </c>
      <c r="E46" s="120">
        <v>2603</v>
      </c>
      <c r="F46" s="120" t="s">
        <v>700</v>
      </c>
      <c r="G46" s="120" t="s">
        <v>689</v>
      </c>
      <c r="H46" s="49">
        <v>3</v>
      </c>
      <c r="I46" s="50" t="s">
        <v>72</v>
      </c>
      <c r="J46" s="124" t="s">
        <v>640</v>
      </c>
      <c r="K46" s="50" t="s">
        <v>649</v>
      </c>
      <c r="L46" s="50" t="s">
        <v>519</v>
      </c>
      <c r="M46" s="56" t="s">
        <v>12</v>
      </c>
      <c r="N46" s="122" t="s">
        <v>665</v>
      </c>
      <c r="O46" s="57">
        <v>6</v>
      </c>
      <c r="P46" s="45">
        <v>300</v>
      </c>
      <c r="Q46" s="58">
        <f t="shared" si="5"/>
        <v>1800</v>
      </c>
      <c r="R46" s="69" t="s">
        <v>684</v>
      </c>
      <c r="S46" s="19"/>
      <c r="T46" s="32"/>
      <c r="U46" s="32"/>
      <c r="V46" s="51">
        <f t="shared" si="1"/>
        <v>348</v>
      </c>
      <c r="W46" s="51">
        <f t="shared" si="2"/>
        <v>2088</v>
      </c>
      <c r="X46" s="52">
        <f t="shared" si="3"/>
        <v>0.23</v>
      </c>
      <c r="Y46" s="53">
        <f t="shared" si="4"/>
        <v>1.3800000000000001</v>
      </c>
      <c r="Z46" s="54"/>
      <c r="AA46" s="71"/>
      <c r="AB46" s="71"/>
      <c r="AC46" s="128"/>
      <c r="AD46" s="33"/>
      <c r="AE46" s="55"/>
    </row>
    <row r="47" spans="2:31" ht="20.100000000000001" customHeight="1">
      <c r="B47" s="48">
        <v>43</v>
      </c>
      <c r="C47" s="121" t="s">
        <v>701</v>
      </c>
      <c r="D47" s="120" t="s">
        <v>349</v>
      </c>
      <c r="E47" s="120">
        <v>2603</v>
      </c>
      <c r="F47" s="120" t="s">
        <v>700</v>
      </c>
      <c r="G47" s="120" t="s">
        <v>689</v>
      </c>
      <c r="H47" s="49">
        <v>3</v>
      </c>
      <c r="I47" s="50" t="s">
        <v>72</v>
      </c>
      <c r="J47" s="124" t="s">
        <v>625</v>
      </c>
      <c r="K47" s="50" t="s">
        <v>649</v>
      </c>
      <c r="L47" s="50" t="s">
        <v>519</v>
      </c>
      <c r="M47" s="56" t="s">
        <v>12</v>
      </c>
      <c r="N47" s="122" t="s">
        <v>665</v>
      </c>
      <c r="O47" s="57">
        <v>6</v>
      </c>
      <c r="P47" s="45">
        <v>400</v>
      </c>
      <c r="Q47" s="58">
        <f t="shared" si="5"/>
        <v>2400</v>
      </c>
      <c r="R47" s="69" t="s">
        <v>684</v>
      </c>
      <c r="S47" s="19"/>
      <c r="T47" s="32"/>
      <c r="U47" s="32"/>
      <c r="V47" s="51">
        <f t="shared" si="1"/>
        <v>463.99999999999994</v>
      </c>
      <c r="W47" s="51">
        <f t="shared" si="2"/>
        <v>2783.9999999999995</v>
      </c>
      <c r="X47" s="52">
        <f t="shared" si="3"/>
        <v>0.31</v>
      </c>
      <c r="Y47" s="53">
        <f t="shared" si="4"/>
        <v>1.8599999999999999</v>
      </c>
      <c r="Z47" s="54"/>
      <c r="AA47" s="71"/>
      <c r="AB47" s="71"/>
      <c r="AC47" s="128"/>
      <c r="AD47" s="33"/>
      <c r="AE47" s="55"/>
    </row>
    <row r="48" spans="2:31" ht="20.100000000000001" customHeight="1">
      <c r="B48" s="48">
        <v>44</v>
      </c>
      <c r="C48" s="121" t="s">
        <v>701</v>
      </c>
      <c r="D48" s="120" t="s">
        <v>349</v>
      </c>
      <c r="E48" s="120">
        <v>2603</v>
      </c>
      <c r="F48" s="120" t="s">
        <v>700</v>
      </c>
      <c r="G48" s="120" t="s">
        <v>689</v>
      </c>
      <c r="H48" s="49">
        <v>3</v>
      </c>
      <c r="I48" s="50" t="s">
        <v>94</v>
      </c>
      <c r="J48" s="124" t="s">
        <v>103</v>
      </c>
      <c r="K48" s="50" t="s">
        <v>95</v>
      </c>
      <c r="L48" s="50" t="s">
        <v>519</v>
      </c>
      <c r="M48" s="56" t="s">
        <v>12</v>
      </c>
      <c r="N48" s="122" t="s">
        <v>665</v>
      </c>
      <c r="O48" s="57">
        <v>1</v>
      </c>
      <c r="P48" s="45">
        <v>2000</v>
      </c>
      <c r="Q48" s="58">
        <f t="shared" si="5"/>
        <v>2000</v>
      </c>
      <c r="R48" s="69" t="s">
        <v>684</v>
      </c>
      <c r="S48" s="19"/>
      <c r="T48" s="32"/>
      <c r="U48" s="32"/>
      <c r="V48" s="51">
        <f t="shared" si="1"/>
        <v>2320</v>
      </c>
      <c r="W48" s="51">
        <f t="shared" si="2"/>
        <v>2320</v>
      </c>
      <c r="X48" s="52">
        <f t="shared" si="3"/>
        <v>1.56</v>
      </c>
      <c r="Y48" s="53">
        <f t="shared" si="4"/>
        <v>1.56</v>
      </c>
      <c r="Z48" s="54"/>
      <c r="AA48" s="71"/>
      <c r="AB48" s="71"/>
      <c r="AC48" s="128"/>
      <c r="AD48" s="33"/>
      <c r="AE48" s="55"/>
    </row>
    <row r="49" spans="2:31" ht="20.100000000000001" customHeight="1">
      <c r="B49" s="48">
        <v>45</v>
      </c>
      <c r="C49" s="121" t="s">
        <v>701</v>
      </c>
      <c r="D49" s="120" t="s">
        <v>349</v>
      </c>
      <c r="E49" s="120">
        <v>2603</v>
      </c>
      <c r="F49" s="120" t="s">
        <v>700</v>
      </c>
      <c r="G49" s="120" t="s">
        <v>689</v>
      </c>
      <c r="H49" s="49">
        <v>2</v>
      </c>
      <c r="I49" s="50" t="s">
        <v>90</v>
      </c>
      <c r="J49" s="124" t="s">
        <v>99</v>
      </c>
      <c r="K49" s="50" t="s">
        <v>538</v>
      </c>
      <c r="L49" s="50" t="s">
        <v>519</v>
      </c>
      <c r="M49" s="56" t="s">
        <v>12</v>
      </c>
      <c r="N49" s="122" t="s">
        <v>665</v>
      </c>
      <c r="O49" s="57">
        <v>4</v>
      </c>
      <c r="P49" s="45">
        <v>13500</v>
      </c>
      <c r="Q49" s="58">
        <f t="shared" si="5"/>
        <v>54000</v>
      </c>
      <c r="R49" s="69" t="s">
        <v>684</v>
      </c>
      <c r="S49" s="19"/>
      <c r="T49" s="32"/>
      <c r="U49" s="32"/>
      <c r="V49" s="51">
        <f t="shared" si="1"/>
        <v>15659.999999999998</v>
      </c>
      <c r="W49" s="51">
        <f t="shared" si="2"/>
        <v>62639.999999999993</v>
      </c>
      <c r="X49" s="52">
        <f t="shared" si="3"/>
        <v>10.53</v>
      </c>
      <c r="Y49" s="53">
        <f t="shared" si="4"/>
        <v>42.12</v>
      </c>
      <c r="Z49" s="54"/>
      <c r="AA49" s="71"/>
      <c r="AB49" s="71"/>
      <c r="AC49" s="128"/>
      <c r="AD49" s="33"/>
      <c r="AE49" s="55"/>
    </row>
    <row r="50" spans="2:31" ht="20.100000000000001" customHeight="1">
      <c r="B50" s="48">
        <v>46</v>
      </c>
      <c r="C50" s="121" t="s">
        <v>701</v>
      </c>
      <c r="D50" s="120" t="s">
        <v>349</v>
      </c>
      <c r="E50" s="120">
        <v>2603</v>
      </c>
      <c r="F50" s="120" t="s">
        <v>700</v>
      </c>
      <c r="G50" s="120" t="s">
        <v>689</v>
      </c>
      <c r="H50" s="49">
        <v>3</v>
      </c>
      <c r="I50" s="50" t="s">
        <v>92</v>
      </c>
      <c r="J50" s="124" t="s">
        <v>102</v>
      </c>
      <c r="K50" s="50" t="s">
        <v>93</v>
      </c>
      <c r="L50" s="50" t="s">
        <v>519</v>
      </c>
      <c r="M50" s="56" t="s">
        <v>12</v>
      </c>
      <c r="N50" s="122" t="s">
        <v>613</v>
      </c>
      <c r="O50" s="57">
        <v>1</v>
      </c>
      <c r="P50" s="45">
        <v>10000</v>
      </c>
      <c r="Q50" s="58">
        <f t="shared" si="5"/>
        <v>10000</v>
      </c>
      <c r="R50" s="69" t="s">
        <v>684</v>
      </c>
      <c r="S50" s="19"/>
      <c r="T50" s="32"/>
      <c r="U50" s="32"/>
      <c r="V50" s="51">
        <f t="shared" si="1"/>
        <v>11600</v>
      </c>
      <c r="W50" s="51">
        <f t="shared" si="2"/>
        <v>11600</v>
      </c>
      <c r="X50" s="52">
        <f t="shared" si="3"/>
        <v>7.8</v>
      </c>
      <c r="Y50" s="53">
        <f t="shared" si="4"/>
        <v>7.8</v>
      </c>
      <c r="Z50" s="54"/>
      <c r="AA50" s="71"/>
      <c r="AB50" s="71"/>
      <c r="AC50" s="128"/>
      <c r="AD50" s="33"/>
      <c r="AE50" s="55"/>
    </row>
    <row r="51" spans="2:31" ht="20.100000000000001" customHeight="1">
      <c r="B51" s="48">
        <v>47</v>
      </c>
      <c r="C51" s="121" t="s">
        <v>701</v>
      </c>
      <c r="D51" s="120" t="s">
        <v>349</v>
      </c>
      <c r="E51" s="120">
        <v>2603</v>
      </c>
      <c r="F51" s="120" t="s">
        <v>700</v>
      </c>
      <c r="G51" s="120" t="s">
        <v>689</v>
      </c>
      <c r="H51" s="49">
        <v>3</v>
      </c>
      <c r="I51" s="50" t="s">
        <v>96</v>
      </c>
      <c r="J51" s="124" t="s">
        <v>104</v>
      </c>
      <c r="K51" s="50" t="s">
        <v>105</v>
      </c>
      <c r="L51" s="50" t="s">
        <v>519</v>
      </c>
      <c r="M51" s="56" t="s">
        <v>12</v>
      </c>
      <c r="N51" s="122" t="s">
        <v>665</v>
      </c>
      <c r="O51" s="57">
        <v>1</v>
      </c>
      <c r="P51" s="45">
        <v>38000</v>
      </c>
      <c r="Q51" s="58">
        <f t="shared" si="5"/>
        <v>38000</v>
      </c>
      <c r="R51" s="69" t="s">
        <v>684</v>
      </c>
      <c r="S51" s="19"/>
      <c r="T51" s="32"/>
      <c r="U51" s="32"/>
      <c r="V51" s="51">
        <f t="shared" si="1"/>
        <v>44080</v>
      </c>
      <c r="W51" s="51">
        <f t="shared" si="2"/>
        <v>44080</v>
      </c>
      <c r="X51" s="52">
        <f t="shared" si="3"/>
        <v>29.65</v>
      </c>
      <c r="Y51" s="53">
        <f t="shared" si="4"/>
        <v>29.65</v>
      </c>
      <c r="Z51" s="54"/>
      <c r="AA51" s="71"/>
      <c r="AB51" s="71"/>
      <c r="AC51" s="128"/>
      <c r="AD51" s="33"/>
      <c r="AE51" s="55"/>
    </row>
    <row r="52" spans="2:31" ht="20.100000000000001" customHeight="1">
      <c r="B52" s="48">
        <v>48</v>
      </c>
      <c r="C52" s="121" t="s">
        <v>701</v>
      </c>
      <c r="D52" s="120" t="s">
        <v>349</v>
      </c>
      <c r="E52" s="120">
        <v>2603</v>
      </c>
      <c r="F52" s="120" t="s">
        <v>700</v>
      </c>
      <c r="G52" s="120" t="s">
        <v>689</v>
      </c>
      <c r="H52" s="49">
        <v>3</v>
      </c>
      <c r="I52" s="50" t="s">
        <v>76</v>
      </c>
      <c r="J52" s="124" t="s">
        <v>539</v>
      </c>
      <c r="K52" s="50" t="s">
        <v>34</v>
      </c>
      <c r="L52" s="50" t="s">
        <v>519</v>
      </c>
      <c r="M52" s="56" t="s">
        <v>12</v>
      </c>
      <c r="N52" s="122" t="s">
        <v>665</v>
      </c>
      <c r="O52" s="57">
        <v>6</v>
      </c>
      <c r="P52" s="45">
        <v>2800</v>
      </c>
      <c r="Q52" s="58">
        <f t="shared" si="5"/>
        <v>16800</v>
      </c>
      <c r="R52" s="69" t="s">
        <v>684</v>
      </c>
      <c r="S52" s="19"/>
      <c r="T52" s="32"/>
      <c r="U52" s="32"/>
      <c r="V52" s="51">
        <f t="shared" si="1"/>
        <v>3248</v>
      </c>
      <c r="W52" s="51">
        <f t="shared" si="2"/>
        <v>19488</v>
      </c>
      <c r="X52" s="52">
        <f t="shared" si="3"/>
        <v>2.1800000000000002</v>
      </c>
      <c r="Y52" s="53">
        <f t="shared" si="4"/>
        <v>13.080000000000002</v>
      </c>
      <c r="Z52" s="54"/>
      <c r="AA52" s="71"/>
      <c r="AB52" s="71"/>
      <c r="AC52" s="128"/>
      <c r="AD52" s="33"/>
      <c r="AE52" s="55"/>
    </row>
    <row r="53" spans="2:31" ht="20.100000000000001" customHeight="1">
      <c r="B53" s="48">
        <v>49</v>
      </c>
      <c r="C53" s="121" t="s">
        <v>701</v>
      </c>
      <c r="D53" s="120" t="s">
        <v>349</v>
      </c>
      <c r="E53" s="120">
        <v>2603</v>
      </c>
      <c r="F53" s="120" t="s">
        <v>700</v>
      </c>
      <c r="G53" s="120" t="s">
        <v>689</v>
      </c>
      <c r="H53" s="49">
        <v>3</v>
      </c>
      <c r="I53" s="50" t="s">
        <v>36</v>
      </c>
      <c r="J53" s="124" t="s">
        <v>641</v>
      </c>
      <c r="K53" s="50" t="s">
        <v>34</v>
      </c>
      <c r="L53" s="50" t="s">
        <v>519</v>
      </c>
      <c r="M53" s="56" t="s">
        <v>12</v>
      </c>
      <c r="N53" s="122" t="s">
        <v>665</v>
      </c>
      <c r="O53" s="57">
        <v>12</v>
      </c>
      <c r="P53" s="45">
        <v>2800</v>
      </c>
      <c r="Q53" s="58">
        <f t="shared" si="5"/>
        <v>33600</v>
      </c>
      <c r="R53" s="69" t="s">
        <v>684</v>
      </c>
      <c r="S53" s="19"/>
      <c r="T53" s="32"/>
      <c r="U53" s="32"/>
      <c r="V53" s="51">
        <f t="shared" si="1"/>
        <v>3248</v>
      </c>
      <c r="W53" s="51">
        <f t="shared" si="2"/>
        <v>38976</v>
      </c>
      <c r="X53" s="52">
        <f t="shared" si="3"/>
        <v>2.1800000000000002</v>
      </c>
      <c r="Y53" s="53">
        <f t="shared" si="4"/>
        <v>26.160000000000004</v>
      </c>
      <c r="Z53" s="54"/>
      <c r="AA53" s="71"/>
      <c r="AB53" s="71"/>
      <c r="AC53" s="128"/>
      <c r="AD53" s="33"/>
      <c r="AE53" s="55"/>
    </row>
    <row r="54" spans="2:31" ht="20.100000000000001" customHeight="1">
      <c r="B54" s="48">
        <v>50</v>
      </c>
      <c r="C54" s="121" t="s">
        <v>701</v>
      </c>
      <c r="D54" s="120" t="s">
        <v>349</v>
      </c>
      <c r="E54" s="120">
        <v>2603</v>
      </c>
      <c r="F54" s="120" t="s">
        <v>700</v>
      </c>
      <c r="G54" s="120" t="s">
        <v>689</v>
      </c>
      <c r="H54" s="49">
        <v>3</v>
      </c>
      <c r="I54" s="50" t="s">
        <v>35</v>
      </c>
      <c r="J54" s="124" t="s">
        <v>77</v>
      </c>
      <c r="K54" s="50" t="s">
        <v>34</v>
      </c>
      <c r="L54" s="50" t="s">
        <v>519</v>
      </c>
      <c r="M54" s="56" t="s">
        <v>12</v>
      </c>
      <c r="N54" s="122" t="s">
        <v>847</v>
      </c>
      <c r="O54" s="57">
        <v>12</v>
      </c>
      <c r="P54" s="45">
        <v>3300</v>
      </c>
      <c r="Q54" s="58">
        <f t="shared" si="5"/>
        <v>39600</v>
      </c>
      <c r="R54" s="69" t="s">
        <v>684</v>
      </c>
      <c r="S54" s="19"/>
      <c r="T54" s="32"/>
      <c r="U54" s="32"/>
      <c r="V54" s="51">
        <f t="shared" si="1"/>
        <v>3827.9999999999995</v>
      </c>
      <c r="W54" s="51">
        <f t="shared" si="2"/>
        <v>45935.999999999993</v>
      </c>
      <c r="X54" s="52">
        <f t="shared" si="3"/>
        <v>2.57</v>
      </c>
      <c r="Y54" s="53">
        <f t="shared" si="4"/>
        <v>30.839999999999996</v>
      </c>
      <c r="Z54" s="54"/>
      <c r="AA54" s="71"/>
      <c r="AB54" s="71"/>
      <c r="AC54" s="128"/>
      <c r="AD54" s="33"/>
      <c r="AE54" s="55"/>
    </row>
    <row r="55" spans="2:31" ht="20.100000000000001" customHeight="1">
      <c r="B55" s="48">
        <v>51</v>
      </c>
      <c r="C55" s="121" t="s">
        <v>701</v>
      </c>
      <c r="D55" s="120" t="s">
        <v>349</v>
      </c>
      <c r="E55" s="120">
        <v>2603</v>
      </c>
      <c r="F55" s="120" t="s">
        <v>700</v>
      </c>
      <c r="G55" s="120" t="s">
        <v>689</v>
      </c>
      <c r="H55" s="49">
        <v>3</v>
      </c>
      <c r="I55" s="50" t="s">
        <v>75</v>
      </c>
      <c r="J55" s="124" t="s">
        <v>78</v>
      </c>
      <c r="K55" s="50" t="s">
        <v>34</v>
      </c>
      <c r="L55" s="50" t="s">
        <v>519</v>
      </c>
      <c r="M55" s="56" t="s">
        <v>12</v>
      </c>
      <c r="N55" s="122" t="s">
        <v>847</v>
      </c>
      <c r="O55" s="57">
        <v>2</v>
      </c>
      <c r="P55" s="45">
        <v>7000</v>
      </c>
      <c r="Q55" s="58">
        <f t="shared" si="5"/>
        <v>14000</v>
      </c>
      <c r="R55" s="69" t="s">
        <v>684</v>
      </c>
      <c r="S55" s="19"/>
      <c r="T55" s="32"/>
      <c r="U55" s="32"/>
      <c r="V55" s="51">
        <f t="shared" si="1"/>
        <v>8119.9999999999991</v>
      </c>
      <c r="W55" s="51">
        <f t="shared" si="2"/>
        <v>16239.999999999998</v>
      </c>
      <c r="X55" s="52">
        <f t="shared" si="3"/>
        <v>5.46</v>
      </c>
      <c r="Y55" s="53">
        <f t="shared" si="4"/>
        <v>10.92</v>
      </c>
      <c r="Z55" s="54"/>
      <c r="AA55" s="71"/>
      <c r="AB55" s="71"/>
      <c r="AC55" s="128"/>
      <c r="AD55" s="33"/>
      <c r="AE55" s="55"/>
    </row>
    <row r="56" spans="2:31" ht="20.100000000000001" customHeight="1">
      <c r="B56" s="48">
        <v>52</v>
      </c>
      <c r="C56" s="121" t="s">
        <v>701</v>
      </c>
      <c r="D56" s="120" t="s">
        <v>349</v>
      </c>
      <c r="E56" s="120">
        <v>2603</v>
      </c>
      <c r="F56" s="120" t="s">
        <v>700</v>
      </c>
      <c r="G56" s="120" t="s">
        <v>689</v>
      </c>
      <c r="H56" s="49">
        <v>3</v>
      </c>
      <c r="I56" s="50" t="s">
        <v>76</v>
      </c>
      <c r="J56" s="124" t="s">
        <v>540</v>
      </c>
      <c r="K56" s="50" t="s">
        <v>34</v>
      </c>
      <c r="L56" s="50" t="s">
        <v>519</v>
      </c>
      <c r="M56" s="56" t="s">
        <v>12</v>
      </c>
      <c r="N56" s="122" t="s">
        <v>847</v>
      </c>
      <c r="O56" s="57">
        <v>4</v>
      </c>
      <c r="P56" s="45">
        <v>1650</v>
      </c>
      <c r="Q56" s="58">
        <f t="shared" si="5"/>
        <v>6600</v>
      </c>
      <c r="R56" s="69" t="s">
        <v>684</v>
      </c>
      <c r="S56" s="19"/>
      <c r="T56" s="32"/>
      <c r="U56" s="32"/>
      <c r="V56" s="51">
        <f t="shared" si="1"/>
        <v>1913.9999999999998</v>
      </c>
      <c r="W56" s="51">
        <f t="shared" si="2"/>
        <v>7655.9999999999991</v>
      </c>
      <c r="X56" s="52">
        <f t="shared" si="3"/>
        <v>1.29</v>
      </c>
      <c r="Y56" s="53">
        <f t="shared" si="4"/>
        <v>5.16</v>
      </c>
      <c r="Z56" s="54"/>
      <c r="AA56" s="71"/>
      <c r="AB56" s="71"/>
      <c r="AC56" s="128"/>
      <c r="AD56" s="33"/>
      <c r="AE56" s="55"/>
    </row>
    <row r="57" spans="2:31" ht="20.100000000000001" customHeight="1">
      <c r="B57" s="48">
        <v>53</v>
      </c>
      <c r="C57" s="121" t="s">
        <v>701</v>
      </c>
      <c r="D57" s="120" t="s">
        <v>349</v>
      </c>
      <c r="E57" s="120">
        <v>2603</v>
      </c>
      <c r="F57" s="120" t="s">
        <v>700</v>
      </c>
      <c r="G57" s="120" t="s">
        <v>689</v>
      </c>
      <c r="H57" s="49">
        <v>3</v>
      </c>
      <c r="I57" s="50" t="s">
        <v>97</v>
      </c>
      <c r="J57" s="124" t="s">
        <v>106</v>
      </c>
      <c r="K57" s="50" t="s">
        <v>98</v>
      </c>
      <c r="L57" s="50" t="s">
        <v>519</v>
      </c>
      <c r="M57" s="56" t="s">
        <v>12</v>
      </c>
      <c r="N57" s="122" t="s">
        <v>847</v>
      </c>
      <c r="O57" s="57">
        <v>16</v>
      </c>
      <c r="P57" s="45">
        <v>160</v>
      </c>
      <c r="Q57" s="58">
        <f t="shared" si="5"/>
        <v>2560</v>
      </c>
      <c r="R57" s="69" t="s">
        <v>684</v>
      </c>
      <c r="S57" s="19"/>
      <c r="T57" s="32"/>
      <c r="U57" s="32"/>
      <c r="V57" s="51">
        <f t="shared" si="1"/>
        <v>185.6</v>
      </c>
      <c r="W57" s="51">
        <f t="shared" si="2"/>
        <v>2969.6</v>
      </c>
      <c r="X57" s="52">
        <f t="shared" si="3"/>
        <v>0.12</v>
      </c>
      <c r="Y57" s="53">
        <f t="shared" si="4"/>
        <v>1.92</v>
      </c>
      <c r="Z57" s="54"/>
      <c r="AA57" s="71"/>
      <c r="AB57" s="71"/>
      <c r="AC57" s="128"/>
      <c r="AD57" s="33"/>
      <c r="AE57" s="55"/>
    </row>
    <row r="58" spans="2:31" ht="20.100000000000001" customHeight="1">
      <c r="B58" s="48">
        <v>54</v>
      </c>
      <c r="C58" s="121" t="s">
        <v>701</v>
      </c>
      <c r="D58" s="120" t="s">
        <v>349</v>
      </c>
      <c r="E58" s="120">
        <v>2603</v>
      </c>
      <c r="F58" s="120" t="s">
        <v>700</v>
      </c>
      <c r="G58" s="120" t="s">
        <v>689</v>
      </c>
      <c r="H58" s="49">
        <v>3</v>
      </c>
      <c r="I58" s="50" t="s">
        <v>91</v>
      </c>
      <c r="J58" s="124" t="s">
        <v>100</v>
      </c>
      <c r="K58" s="50" t="s">
        <v>101</v>
      </c>
      <c r="L58" s="50" t="s">
        <v>519</v>
      </c>
      <c r="M58" s="56" t="s">
        <v>12</v>
      </c>
      <c r="N58" s="122" t="s">
        <v>847</v>
      </c>
      <c r="O58" s="57">
        <v>1</v>
      </c>
      <c r="P58" s="45">
        <v>29800</v>
      </c>
      <c r="Q58" s="58">
        <f t="shared" si="5"/>
        <v>29800</v>
      </c>
      <c r="R58" s="69" t="s">
        <v>684</v>
      </c>
      <c r="S58" s="19"/>
      <c r="T58" s="32"/>
      <c r="U58" s="32"/>
      <c r="V58" s="51">
        <f t="shared" si="1"/>
        <v>34568</v>
      </c>
      <c r="W58" s="51">
        <f t="shared" si="2"/>
        <v>34568</v>
      </c>
      <c r="X58" s="52">
        <f t="shared" si="3"/>
        <v>23.25</v>
      </c>
      <c r="Y58" s="53">
        <f t="shared" si="4"/>
        <v>23.25</v>
      </c>
      <c r="Z58" s="54"/>
      <c r="AA58" s="71"/>
      <c r="AB58" s="71"/>
      <c r="AC58" s="128"/>
      <c r="AD58" s="33"/>
      <c r="AE58" s="55"/>
    </row>
    <row r="59" spans="2:31" ht="20.100000000000001" customHeight="1">
      <c r="B59" s="48">
        <v>55</v>
      </c>
      <c r="C59" s="121" t="s">
        <v>701</v>
      </c>
      <c r="D59" s="120" t="s">
        <v>349</v>
      </c>
      <c r="E59" s="120">
        <v>2603</v>
      </c>
      <c r="F59" s="120" t="s">
        <v>700</v>
      </c>
      <c r="G59" s="120" t="s">
        <v>689</v>
      </c>
      <c r="H59" s="49">
        <v>3</v>
      </c>
      <c r="I59" s="50" t="s">
        <v>33</v>
      </c>
      <c r="J59" s="124" t="s">
        <v>143</v>
      </c>
      <c r="K59" s="50" t="s">
        <v>26</v>
      </c>
      <c r="L59" s="50" t="s">
        <v>519</v>
      </c>
      <c r="M59" s="56" t="s">
        <v>12</v>
      </c>
      <c r="N59" s="122" t="s">
        <v>666</v>
      </c>
      <c r="O59" s="57">
        <v>14</v>
      </c>
      <c r="P59" s="45">
        <v>5040</v>
      </c>
      <c r="Q59" s="58">
        <f t="shared" si="5"/>
        <v>70560</v>
      </c>
      <c r="R59" s="69" t="s">
        <v>684</v>
      </c>
      <c r="S59" s="19"/>
      <c r="T59" s="32"/>
      <c r="U59" s="32"/>
      <c r="V59" s="51">
        <f t="shared" si="1"/>
        <v>5846.4</v>
      </c>
      <c r="W59" s="51">
        <f t="shared" si="2"/>
        <v>81849.599999999991</v>
      </c>
      <c r="X59" s="52">
        <f t="shared" si="3"/>
        <v>3.93</v>
      </c>
      <c r="Y59" s="53">
        <f t="shared" si="4"/>
        <v>55.02</v>
      </c>
      <c r="Z59" s="54"/>
      <c r="AA59" s="71"/>
      <c r="AB59" s="71"/>
      <c r="AC59" s="128"/>
      <c r="AD59" s="33"/>
      <c r="AE59" s="55"/>
    </row>
    <row r="60" spans="2:31" ht="20.100000000000001" customHeight="1">
      <c r="B60" s="48">
        <v>56</v>
      </c>
      <c r="C60" s="121" t="s">
        <v>701</v>
      </c>
      <c r="D60" s="120" t="s">
        <v>349</v>
      </c>
      <c r="E60" s="120">
        <v>2603</v>
      </c>
      <c r="F60" s="120" t="s">
        <v>700</v>
      </c>
      <c r="G60" s="120" t="s">
        <v>689</v>
      </c>
      <c r="H60" s="49">
        <v>3</v>
      </c>
      <c r="I60" s="50" t="s">
        <v>27</v>
      </c>
      <c r="J60" s="124" t="s">
        <v>541</v>
      </c>
      <c r="K60" s="50" t="s">
        <v>26</v>
      </c>
      <c r="L60" s="50" t="s">
        <v>519</v>
      </c>
      <c r="M60" s="56" t="s">
        <v>12</v>
      </c>
      <c r="N60" s="122" t="s">
        <v>612</v>
      </c>
      <c r="O60" s="57">
        <v>1</v>
      </c>
      <c r="P60" s="45">
        <v>166530</v>
      </c>
      <c r="Q60" s="58">
        <f t="shared" si="5"/>
        <v>166530</v>
      </c>
      <c r="R60" s="69" t="s">
        <v>684</v>
      </c>
      <c r="S60" s="19"/>
      <c r="T60" s="32"/>
      <c r="U60" s="32"/>
      <c r="V60" s="51">
        <f t="shared" si="1"/>
        <v>193174.8</v>
      </c>
      <c r="W60" s="51">
        <f t="shared" si="2"/>
        <v>193174.8</v>
      </c>
      <c r="X60" s="52">
        <f t="shared" si="3"/>
        <v>129.94</v>
      </c>
      <c r="Y60" s="53">
        <f t="shared" si="4"/>
        <v>129.94</v>
      </c>
      <c r="Z60" s="54"/>
      <c r="AA60" s="71"/>
      <c r="AB60" s="71"/>
      <c r="AC60" s="128"/>
      <c r="AD60" s="33"/>
      <c r="AE60" s="55"/>
    </row>
    <row r="61" spans="2:31" ht="20.100000000000001" customHeight="1">
      <c r="B61" s="48">
        <v>57</v>
      </c>
      <c r="C61" s="121" t="s">
        <v>701</v>
      </c>
      <c r="D61" s="120" t="s">
        <v>349</v>
      </c>
      <c r="E61" s="120">
        <v>2603</v>
      </c>
      <c r="F61" s="120" t="s">
        <v>700</v>
      </c>
      <c r="G61" s="120" t="s">
        <v>689</v>
      </c>
      <c r="H61" s="49">
        <v>3</v>
      </c>
      <c r="I61" s="50" t="s">
        <v>27</v>
      </c>
      <c r="J61" s="124" t="s">
        <v>542</v>
      </c>
      <c r="K61" s="50" t="s">
        <v>26</v>
      </c>
      <c r="L61" s="50" t="s">
        <v>519</v>
      </c>
      <c r="M61" s="56" t="s">
        <v>12</v>
      </c>
      <c r="N61" s="122" t="s">
        <v>612</v>
      </c>
      <c r="O61" s="57">
        <v>1</v>
      </c>
      <c r="P61" s="45">
        <v>150210</v>
      </c>
      <c r="Q61" s="58">
        <f t="shared" si="5"/>
        <v>150210</v>
      </c>
      <c r="R61" s="69" t="s">
        <v>684</v>
      </c>
      <c r="S61" s="19"/>
      <c r="T61" s="32"/>
      <c r="U61" s="32"/>
      <c r="V61" s="51">
        <f t="shared" si="1"/>
        <v>174243.59999999998</v>
      </c>
      <c r="W61" s="51">
        <f t="shared" si="2"/>
        <v>174243.59999999998</v>
      </c>
      <c r="X61" s="52">
        <f t="shared" si="3"/>
        <v>117.21</v>
      </c>
      <c r="Y61" s="53">
        <f t="shared" si="4"/>
        <v>117.21</v>
      </c>
      <c r="Z61" s="54"/>
      <c r="AA61" s="71"/>
      <c r="AB61" s="71"/>
      <c r="AC61" s="128"/>
      <c r="AD61" s="33"/>
      <c r="AE61" s="55"/>
    </row>
    <row r="62" spans="2:31" ht="20.100000000000001" customHeight="1">
      <c r="B62" s="48">
        <v>58</v>
      </c>
      <c r="C62" s="121" t="s">
        <v>701</v>
      </c>
      <c r="D62" s="120" t="s">
        <v>349</v>
      </c>
      <c r="E62" s="120">
        <v>2603</v>
      </c>
      <c r="F62" s="120" t="s">
        <v>700</v>
      </c>
      <c r="G62" s="120" t="s">
        <v>689</v>
      </c>
      <c r="H62" s="49">
        <v>3</v>
      </c>
      <c r="I62" s="50" t="s">
        <v>27</v>
      </c>
      <c r="J62" s="124" t="s">
        <v>543</v>
      </c>
      <c r="K62" s="50" t="s">
        <v>26</v>
      </c>
      <c r="L62" s="50" t="s">
        <v>519</v>
      </c>
      <c r="M62" s="56" t="s">
        <v>12</v>
      </c>
      <c r="N62" s="122" t="s">
        <v>612</v>
      </c>
      <c r="O62" s="57">
        <v>1</v>
      </c>
      <c r="P62" s="45">
        <v>151680</v>
      </c>
      <c r="Q62" s="58">
        <f t="shared" si="5"/>
        <v>151680</v>
      </c>
      <c r="R62" s="69" t="s">
        <v>684</v>
      </c>
      <c r="S62" s="19"/>
      <c r="T62" s="32"/>
      <c r="U62" s="32"/>
      <c r="V62" s="51">
        <f t="shared" si="1"/>
        <v>175948.79999999999</v>
      </c>
      <c r="W62" s="51">
        <f t="shared" si="2"/>
        <v>175948.79999999999</v>
      </c>
      <c r="X62" s="52">
        <f t="shared" si="3"/>
        <v>118.35</v>
      </c>
      <c r="Y62" s="53">
        <f t="shared" si="4"/>
        <v>118.35</v>
      </c>
      <c r="Z62" s="54"/>
      <c r="AA62" s="71"/>
      <c r="AB62" s="71"/>
      <c r="AC62" s="128"/>
      <c r="AD62" s="33"/>
      <c r="AE62" s="55"/>
    </row>
    <row r="63" spans="2:31" ht="20.100000000000001" customHeight="1">
      <c r="B63" s="48">
        <v>59</v>
      </c>
      <c r="C63" s="121" t="s">
        <v>701</v>
      </c>
      <c r="D63" s="120" t="s">
        <v>349</v>
      </c>
      <c r="E63" s="120">
        <v>2603</v>
      </c>
      <c r="F63" s="120" t="s">
        <v>700</v>
      </c>
      <c r="G63" s="120" t="s">
        <v>689</v>
      </c>
      <c r="H63" s="49">
        <v>3</v>
      </c>
      <c r="I63" s="50" t="s">
        <v>27</v>
      </c>
      <c r="J63" s="124" t="s">
        <v>544</v>
      </c>
      <c r="K63" s="50" t="s">
        <v>26</v>
      </c>
      <c r="L63" s="50" t="s">
        <v>519</v>
      </c>
      <c r="M63" s="56" t="s">
        <v>12</v>
      </c>
      <c r="N63" s="122" t="s">
        <v>612</v>
      </c>
      <c r="O63" s="57">
        <v>1</v>
      </c>
      <c r="P63" s="45">
        <v>181110</v>
      </c>
      <c r="Q63" s="58">
        <f t="shared" si="5"/>
        <v>181110</v>
      </c>
      <c r="R63" s="69" t="s">
        <v>684</v>
      </c>
      <c r="S63" s="19"/>
      <c r="T63" s="32"/>
      <c r="U63" s="32"/>
      <c r="V63" s="51">
        <f t="shared" si="1"/>
        <v>210087.59999999998</v>
      </c>
      <c r="W63" s="51">
        <f t="shared" si="2"/>
        <v>210087.59999999998</v>
      </c>
      <c r="X63" s="52">
        <f t="shared" si="3"/>
        <v>141.32</v>
      </c>
      <c r="Y63" s="53">
        <f t="shared" si="4"/>
        <v>141.32</v>
      </c>
      <c r="Z63" s="54"/>
      <c r="AA63" s="71"/>
      <c r="AB63" s="71"/>
      <c r="AC63" s="128"/>
      <c r="AD63" s="33"/>
      <c r="AE63" s="55"/>
    </row>
    <row r="64" spans="2:31" ht="20.100000000000001" customHeight="1">
      <c r="B64" s="48">
        <v>60</v>
      </c>
      <c r="C64" s="121" t="s">
        <v>701</v>
      </c>
      <c r="D64" s="120" t="s">
        <v>349</v>
      </c>
      <c r="E64" s="120">
        <v>2603</v>
      </c>
      <c r="F64" s="120" t="s">
        <v>700</v>
      </c>
      <c r="G64" s="120" t="s">
        <v>689</v>
      </c>
      <c r="H64" s="49">
        <v>3</v>
      </c>
      <c r="I64" s="50" t="s">
        <v>27</v>
      </c>
      <c r="J64" s="124" t="s">
        <v>545</v>
      </c>
      <c r="K64" s="50" t="s">
        <v>26</v>
      </c>
      <c r="L64" s="50" t="s">
        <v>519</v>
      </c>
      <c r="M64" s="56" t="s">
        <v>12</v>
      </c>
      <c r="N64" s="122" t="s">
        <v>612</v>
      </c>
      <c r="O64" s="57">
        <v>2</v>
      </c>
      <c r="P64" s="45">
        <v>187160</v>
      </c>
      <c r="Q64" s="58">
        <f t="shared" si="5"/>
        <v>374320</v>
      </c>
      <c r="R64" s="69" t="s">
        <v>684</v>
      </c>
      <c r="S64" s="19"/>
      <c r="T64" s="32"/>
      <c r="U64" s="32"/>
      <c r="V64" s="51">
        <f t="shared" si="1"/>
        <v>217105.59999999998</v>
      </c>
      <c r="W64" s="51">
        <f t="shared" si="2"/>
        <v>434211.19999999995</v>
      </c>
      <c r="X64" s="52">
        <f t="shared" si="3"/>
        <v>146.04</v>
      </c>
      <c r="Y64" s="53">
        <f t="shared" si="4"/>
        <v>292.08</v>
      </c>
      <c r="Z64" s="54"/>
      <c r="AA64" s="71"/>
      <c r="AB64" s="71"/>
      <c r="AC64" s="128"/>
      <c r="AD64" s="33"/>
      <c r="AE64" s="55"/>
    </row>
    <row r="65" spans="2:31" ht="20.100000000000001" customHeight="1">
      <c r="B65" s="48">
        <v>61</v>
      </c>
      <c r="C65" s="121" t="s">
        <v>701</v>
      </c>
      <c r="D65" s="120" t="s">
        <v>349</v>
      </c>
      <c r="E65" s="120">
        <v>2603</v>
      </c>
      <c r="F65" s="120" t="s">
        <v>700</v>
      </c>
      <c r="G65" s="120" t="s">
        <v>689</v>
      </c>
      <c r="H65" s="49">
        <v>3</v>
      </c>
      <c r="I65" s="50" t="s">
        <v>33</v>
      </c>
      <c r="J65" s="124" t="s">
        <v>188</v>
      </c>
      <c r="K65" s="50" t="s">
        <v>26</v>
      </c>
      <c r="L65" s="50" t="s">
        <v>519</v>
      </c>
      <c r="M65" s="56" t="s">
        <v>12</v>
      </c>
      <c r="N65" s="122" t="s">
        <v>612</v>
      </c>
      <c r="O65" s="57">
        <v>8</v>
      </c>
      <c r="P65" s="45">
        <v>7740</v>
      </c>
      <c r="Q65" s="58">
        <f t="shared" si="5"/>
        <v>61920</v>
      </c>
      <c r="R65" s="69" t="s">
        <v>684</v>
      </c>
      <c r="S65" s="19"/>
      <c r="T65" s="32"/>
      <c r="U65" s="32"/>
      <c r="V65" s="51">
        <f t="shared" si="1"/>
        <v>8978.4</v>
      </c>
      <c r="W65" s="51">
        <f t="shared" si="2"/>
        <v>71827.199999999997</v>
      </c>
      <c r="X65" s="52">
        <f t="shared" si="3"/>
        <v>6.04</v>
      </c>
      <c r="Y65" s="53">
        <f t="shared" si="4"/>
        <v>48.32</v>
      </c>
      <c r="Z65" s="54"/>
      <c r="AA65" s="71"/>
      <c r="AB65" s="71"/>
      <c r="AC65" s="128"/>
      <c r="AD65" s="33"/>
      <c r="AE65" s="55"/>
    </row>
    <row r="66" spans="2:31" ht="20.100000000000001" customHeight="1">
      <c r="B66" s="48">
        <v>62</v>
      </c>
      <c r="C66" s="121" t="s">
        <v>701</v>
      </c>
      <c r="D66" s="120" t="s">
        <v>349</v>
      </c>
      <c r="E66" s="120">
        <v>2603</v>
      </c>
      <c r="F66" s="120" t="s">
        <v>700</v>
      </c>
      <c r="G66" s="120" t="s">
        <v>689</v>
      </c>
      <c r="H66" s="49">
        <v>3</v>
      </c>
      <c r="I66" s="50" t="s">
        <v>27</v>
      </c>
      <c r="J66" s="124" t="s">
        <v>546</v>
      </c>
      <c r="K66" s="50" t="s">
        <v>26</v>
      </c>
      <c r="L66" s="50" t="s">
        <v>519</v>
      </c>
      <c r="M66" s="56" t="s">
        <v>12</v>
      </c>
      <c r="N66" s="122" t="s">
        <v>612</v>
      </c>
      <c r="O66" s="57">
        <v>2</v>
      </c>
      <c r="P66" s="45">
        <v>109750</v>
      </c>
      <c r="Q66" s="58">
        <f t="shared" si="5"/>
        <v>219500</v>
      </c>
      <c r="R66" s="69" t="s">
        <v>684</v>
      </c>
      <c r="S66" s="19"/>
      <c r="T66" s="32"/>
      <c r="U66" s="32"/>
      <c r="V66" s="51">
        <f t="shared" si="1"/>
        <v>127309.99999999999</v>
      </c>
      <c r="W66" s="51">
        <f t="shared" si="2"/>
        <v>254619.99999999997</v>
      </c>
      <c r="X66" s="52">
        <f t="shared" si="3"/>
        <v>85.64</v>
      </c>
      <c r="Y66" s="53">
        <f t="shared" si="4"/>
        <v>171.28</v>
      </c>
      <c r="Z66" s="54"/>
      <c r="AA66" s="71"/>
      <c r="AB66" s="71"/>
      <c r="AC66" s="128"/>
      <c r="AD66" s="33"/>
      <c r="AE66" s="55"/>
    </row>
    <row r="67" spans="2:31" ht="20.100000000000001" customHeight="1">
      <c r="B67" s="48">
        <v>63</v>
      </c>
      <c r="C67" s="121" t="s">
        <v>701</v>
      </c>
      <c r="D67" s="120" t="s">
        <v>349</v>
      </c>
      <c r="E67" s="120">
        <v>2603</v>
      </c>
      <c r="F67" s="120" t="s">
        <v>700</v>
      </c>
      <c r="G67" s="120" t="s">
        <v>689</v>
      </c>
      <c r="H67" s="49">
        <v>3</v>
      </c>
      <c r="I67" s="50" t="s">
        <v>28</v>
      </c>
      <c r="J67" s="124" t="s">
        <v>547</v>
      </c>
      <c r="K67" s="50" t="s">
        <v>26</v>
      </c>
      <c r="L67" s="50" t="s">
        <v>519</v>
      </c>
      <c r="M67" s="56" t="s">
        <v>12</v>
      </c>
      <c r="N67" s="122" t="s">
        <v>612</v>
      </c>
      <c r="O67" s="57">
        <v>5</v>
      </c>
      <c r="P67" s="45">
        <v>2870</v>
      </c>
      <c r="Q67" s="58">
        <f t="shared" si="5"/>
        <v>14350</v>
      </c>
      <c r="R67" s="69" t="s">
        <v>684</v>
      </c>
      <c r="S67" s="19"/>
      <c r="T67" s="32"/>
      <c r="U67" s="32"/>
      <c r="V67" s="51">
        <f t="shared" si="1"/>
        <v>3329.2</v>
      </c>
      <c r="W67" s="51">
        <f t="shared" si="2"/>
        <v>16646</v>
      </c>
      <c r="X67" s="52">
        <f t="shared" si="3"/>
        <v>2.2400000000000002</v>
      </c>
      <c r="Y67" s="53">
        <f t="shared" si="4"/>
        <v>11.200000000000001</v>
      </c>
      <c r="Z67" s="54"/>
      <c r="AA67" s="71"/>
      <c r="AB67" s="71"/>
      <c r="AC67" s="128"/>
      <c r="AD67" s="33"/>
      <c r="AE67" s="55"/>
    </row>
    <row r="68" spans="2:31" ht="20.100000000000001" customHeight="1">
      <c r="B68" s="48">
        <v>64</v>
      </c>
      <c r="C68" s="121" t="s">
        <v>701</v>
      </c>
      <c r="D68" s="120" t="s">
        <v>349</v>
      </c>
      <c r="E68" s="120">
        <v>2603</v>
      </c>
      <c r="F68" s="120" t="s">
        <v>700</v>
      </c>
      <c r="G68" s="120" t="s">
        <v>689</v>
      </c>
      <c r="H68" s="49">
        <v>3</v>
      </c>
      <c r="I68" s="50" t="s">
        <v>28</v>
      </c>
      <c r="J68" s="124" t="s">
        <v>548</v>
      </c>
      <c r="K68" s="50" t="s">
        <v>26</v>
      </c>
      <c r="L68" s="50" t="s">
        <v>519</v>
      </c>
      <c r="M68" s="56" t="s">
        <v>12</v>
      </c>
      <c r="N68" s="122" t="s">
        <v>612</v>
      </c>
      <c r="O68" s="57">
        <v>4</v>
      </c>
      <c r="P68" s="45">
        <v>1430</v>
      </c>
      <c r="Q68" s="58">
        <f t="shared" si="5"/>
        <v>5720</v>
      </c>
      <c r="R68" s="69" t="s">
        <v>684</v>
      </c>
      <c r="S68" s="19"/>
      <c r="T68" s="32"/>
      <c r="U68" s="32"/>
      <c r="V68" s="51">
        <f t="shared" si="1"/>
        <v>1658.8</v>
      </c>
      <c r="W68" s="51">
        <f t="shared" si="2"/>
        <v>6635.2</v>
      </c>
      <c r="X68" s="52">
        <f t="shared" si="3"/>
        <v>1.1200000000000001</v>
      </c>
      <c r="Y68" s="53">
        <f t="shared" si="4"/>
        <v>4.4800000000000004</v>
      </c>
      <c r="Z68" s="54"/>
      <c r="AA68" s="71"/>
      <c r="AB68" s="71"/>
      <c r="AC68" s="128"/>
      <c r="AD68" s="33"/>
      <c r="AE68" s="55"/>
    </row>
    <row r="69" spans="2:31" ht="20.100000000000001" customHeight="1">
      <c r="B69" s="48">
        <v>65</v>
      </c>
      <c r="C69" s="121" t="s">
        <v>701</v>
      </c>
      <c r="D69" s="120" t="s">
        <v>349</v>
      </c>
      <c r="E69" s="120">
        <v>2603</v>
      </c>
      <c r="F69" s="120" t="s">
        <v>700</v>
      </c>
      <c r="G69" s="120" t="s">
        <v>689</v>
      </c>
      <c r="H69" s="49">
        <v>3</v>
      </c>
      <c r="I69" s="50" t="s">
        <v>27</v>
      </c>
      <c r="J69" s="124" t="s">
        <v>657</v>
      </c>
      <c r="K69" s="50" t="s">
        <v>26</v>
      </c>
      <c r="L69" s="50" t="s">
        <v>519</v>
      </c>
      <c r="M69" s="56" t="s">
        <v>12</v>
      </c>
      <c r="N69" s="122" t="s">
        <v>612</v>
      </c>
      <c r="O69" s="57">
        <v>1</v>
      </c>
      <c r="P69" s="45">
        <v>86780</v>
      </c>
      <c r="Q69" s="58">
        <f t="shared" ref="Q69:Q100" si="6">O69*P69</f>
        <v>86780</v>
      </c>
      <c r="R69" s="69" t="s">
        <v>684</v>
      </c>
      <c r="S69" s="19"/>
      <c r="T69" s="32"/>
      <c r="U69" s="32"/>
      <c r="V69" s="51">
        <f t="shared" si="1"/>
        <v>100664.79999999999</v>
      </c>
      <c r="W69" s="51">
        <f t="shared" si="2"/>
        <v>100664.79999999999</v>
      </c>
      <c r="X69" s="52">
        <f t="shared" si="3"/>
        <v>67.709999999999994</v>
      </c>
      <c r="Y69" s="53">
        <f t="shared" si="4"/>
        <v>67.709999999999994</v>
      </c>
      <c r="Z69" s="54"/>
      <c r="AA69" s="71"/>
      <c r="AB69" s="71"/>
      <c r="AC69" s="128"/>
      <c r="AD69" s="33"/>
      <c r="AE69" s="55"/>
    </row>
    <row r="70" spans="2:31" ht="20.100000000000001" customHeight="1">
      <c r="B70" s="48">
        <v>66</v>
      </c>
      <c r="C70" s="121" t="s">
        <v>701</v>
      </c>
      <c r="D70" s="120" t="s">
        <v>349</v>
      </c>
      <c r="E70" s="120">
        <v>2603</v>
      </c>
      <c r="F70" s="120" t="s">
        <v>700</v>
      </c>
      <c r="G70" s="120" t="s">
        <v>689</v>
      </c>
      <c r="H70" s="49">
        <v>3</v>
      </c>
      <c r="I70" s="50" t="s">
        <v>140</v>
      </c>
      <c r="J70" s="124" t="s">
        <v>187</v>
      </c>
      <c r="K70" s="50" t="s">
        <v>26</v>
      </c>
      <c r="L70" s="50" t="s">
        <v>519</v>
      </c>
      <c r="M70" s="56" t="s">
        <v>12</v>
      </c>
      <c r="N70" s="122" t="s">
        <v>612</v>
      </c>
      <c r="O70" s="57">
        <v>8</v>
      </c>
      <c r="P70" s="45">
        <v>1670</v>
      </c>
      <c r="Q70" s="58">
        <f t="shared" si="6"/>
        <v>13360</v>
      </c>
      <c r="R70" s="69" t="s">
        <v>684</v>
      </c>
      <c r="S70" s="19"/>
      <c r="T70" s="32"/>
      <c r="U70" s="32"/>
      <c r="V70" s="51">
        <f t="shared" ref="V70:V133" si="7">++P70*(1+$V$3)</f>
        <v>1937.1999999999998</v>
      </c>
      <c r="W70" s="51">
        <f t="shared" ref="W70:W133" si="8">++O70*V70</f>
        <v>15497.599999999999</v>
      </c>
      <c r="X70" s="52">
        <f t="shared" ref="X70:X133" si="9">++ROUND(V70/$X$3,2)</f>
        <v>1.3</v>
      </c>
      <c r="Y70" s="53">
        <f t="shared" ref="Y70:Y133" si="10">++O70*X70</f>
        <v>10.4</v>
      </c>
      <c r="Z70" s="54"/>
      <c r="AA70" s="71"/>
      <c r="AB70" s="71"/>
      <c r="AC70" s="128"/>
      <c r="AD70" s="33"/>
      <c r="AE70" s="55"/>
    </row>
    <row r="71" spans="2:31" ht="20.100000000000001" customHeight="1">
      <c r="B71" s="48">
        <v>67</v>
      </c>
      <c r="C71" s="121" t="s">
        <v>701</v>
      </c>
      <c r="D71" s="120" t="s">
        <v>349</v>
      </c>
      <c r="E71" s="120">
        <v>2603</v>
      </c>
      <c r="F71" s="120" t="s">
        <v>700</v>
      </c>
      <c r="G71" s="120" t="s">
        <v>689</v>
      </c>
      <c r="H71" s="49">
        <v>3</v>
      </c>
      <c r="I71" s="50" t="s">
        <v>33</v>
      </c>
      <c r="J71" s="124" t="s">
        <v>549</v>
      </c>
      <c r="K71" s="50" t="s">
        <v>26</v>
      </c>
      <c r="L71" s="50" t="s">
        <v>519</v>
      </c>
      <c r="M71" s="56" t="s">
        <v>12</v>
      </c>
      <c r="N71" s="122" t="s">
        <v>612</v>
      </c>
      <c r="O71" s="57">
        <v>4</v>
      </c>
      <c r="P71" s="45">
        <v>5040</v>
      </c>
      <c r="Q71" s="58">
        <f t="shared" si="6"/>
        <v>20160</v>
      </c>
      <c r="R71" s="69" t="s">
        <v>684</v>
      </c>
      <c r="S71" s="19"/>
      <c r="T71" s="32"/>
      <c r="U71" s="32"/>
      <c r="V71" s="51">
        <f t="shared" si="7"/>
        <v>5846.4</v>
      </c>
      <c r="W71" s="51">
        <f t="shared" si="8"/>
        <v>23385.599999999999</v>
      </c>
      <c r="X71" s="52">
        <f t="shared" si="9"/>
        <v>3.93</v>
      </c>
      <c r="Y71" s="53">
        <f t="shared" si="10"/>
        <v>15.72</v>
      </c>
      <c r="Z71" s="54"/>
      <c r="AA71" s="71"/>
      <c r="AB71" s="71"/>
      <c r="AC71" s="128"/>
      <c r="AD71" s="33"/>
      <c r="AE71" s="55"/>
    </row>
    <row r="72" spans="2:31" ht="20.100000000000001" customHeight="1">
      <c r="B72" s="48">
        <v>68</v>
      </c>
      <c r="C72" s="121" t="s">
        <v>701</v>
      </c>
      <c r="D72" s="120" t="s">
        <v>349</v>
      </c>
      <c r="E72" s="120">
        <v>2603</v>
      </c>
      <c r="F72" s="120" t="s">
        <v>700</v>
      </c>
      <c r="G72" s="120" t="s">
        <v>689</v>
      </c>
      <c r="H72" s="49">
        <v>3</v>
      </c>
      <c r="I72" s="50" t="s">
        <v>28</v>
      </c>
      <c r="J72" s="124" t="s">
        <v>436</v>
      </c>
      <c r="K72" s="50" t="s">
        <v>26</v>
      </c>
      <c r="L72" s="50" t="s">
        <v>519</v>
      </c>
      <c r="M72" s="56" t="s">
        <v>12</v>
      </c>
      <c r="N72" s="122" t="s">
        <v>612</v>
      </c>
      <c r="O72" s="57">
        <v>1</v>
      </c>
      <c r="P72" s="45">
        <v>2160</v>
      </c>
      <c r="Q72" s="58">
        <f t="shared" si="6"/>
        <v>2160</v>
      </c>
      <c r="R72" s="69" t="s">
        <v>684</v>
      </c>
      <c r="S72" s="19"/>
      <c r="T72" s="32"/>
      <c r="U72" s="32"/>
      <c r="V72" s="51">
        <f t="shared" si="7"/>
        <v>2505.6</v>
      </c>
      <c r="W72" s="51">
        <f t="shared" si="8"/>
        <v>2505.6</v>
      </c>
      <c r="X72" s="52">
        <f t="shared" si="9"/>
        <v>1.69</v>
      </c>
      <c r="Y72" s="53">
        <f t="shared" si="10"/>
        <v>1.69</v>
      </c>
      <c r="Z72" s="54"/>
      <c r="AA72" s="71"/>
      <c r="AB72" s="71"/>
      <c r="AC72" s="128"/>
      <c r="AD72" s="33"/>
      <c r="AE72" s="55"/>
    </row>
    <row r="73" spans="2:31" ht="20.100000000000001" customHeight="1">
      <c r="B73" s="48">
        <v>69</v>
      </c>
      <c r="C73" s="121" t="s">
        <v>701</v>
      </c>
      <c r="D73" s="120" t="s">
        <v>349</v>
      </c>
      <c r="E73" s="120">
        <v>2603</v>
      </c>
      <c r="F73" s="120" t="s">
        <v>700</v>
      </c>
      <c r="G73" s="120" t="s">
        <v>689</v>
      </c>
      <c r="H73" s="49">
        <v>3</v>
      </c>
      <c r="I73" s="50" t="s">
        <v>27</v>
      </c>
      <c r="J73" s="124" t="s">
        <v>550</v>
      </c>
      <c r="K73" s="50" t="s">
        <v>26</v>
      </c>
      <c r="L73" s="50" t="s">
        <v>519</v>
      </c>
      <c r="M73" s="56" t="s">
        <v>12</v>
      </c>
      <c r="N73" s="122" t="s">
        <v>612</v>
      </c>
      <c r="O73" s="57">
        <v>1</v>
      </c>
      <c r="P73" s="45">
        <v>260280</v>
      </c>
      <c r="Q73" s="58">
        <f t="shared" si="6"/>
        <v>260280</v>
      </c>
      <c r="R73" s="69" t="s">
        <v>684</v>
      </c>
      <c r="S73" s="19"/>
      <c r="T73" s="32"/>
      <c r="U73" s="32"/>
      <c r="V73" s="51">
        <f t="shared" si="7"/>
        <v>301924.8</v>
      </c>
      <c r="W73" s="51">
        <f t="shared" si="8"/>
        <v>301924.8</v>
      </c>
      <c r="X73" s="52">
        <f t="shared" si="9"/>
        <v>203.09</v>
      </c>
      <c r="Y73" s="53">
        <f t="shared" si="10"/>
        <v>203.09</v>
      </c>
      <c r="Z73" s="54"/>
      <c r="AA73" s="71"/>
      <c r="AB73" s="71"/>
      <c r="AC73" s="128"/>
      <c r="AD73" s="33"/>
      <c r="AE73" s="55"/>
    </row>
    <row r="74" spans="2:31" ht="20.100000000000001" customHeight="1">
      <c r="B74" s="48">
        <v>70</v>
      </c>
      <c r="C74" s="121" t="s">
        <v>701</v>
      </c>
      <c r="D74" s="120" t="s">
        <v>349</v>
      </c>
      <c r="E74" s="120">
        <v>2603</v>
      </c>
      <c r="F74" s="120" t="s">
        <v>700</v>
      </c>
      <c r="G74" s="120" t="s">
        <v>689</v>
      </c>
      <c r="H74" s="49">
        <v>3</v>
      </c>
      <c r="I74" s="50" t="s">
        <v>27</v>
      </c>
      <c r="J74" s="124" t="s">
        <v>846</v>
      </c>
      <c r="K74" s="50" t="s">
        <v>26</v>
      </c>
      <c r="L74" s="50" t="s">
        <v>519</v>
      </c>
      <c r="M74" s="56" t="s">
        <v>12</v>
      </c>
      <c r="N74" s="122" t="s">
        <v>612</v>
      </c>
      <c r="O74" s="57">
        <v>1</v>
      </c>
      <c r="P74" s="45">
        <v>201660</v>
      </c>
      <c r="Q74" s="58">
        <f t="shared" si="6"/>
        <v>201660</v>
      </c>
      <c r="R74" s="69" t="s">
        <v>684</v>
      </c>
      <c r="S74" s="19"/>
      <c r="T74" s="32"/>
      <c r="U74" s="32"/>
      <c r="V74" s="51">
        <f t="shared" si="7"/>
        <v>233925.59999999998</v>
      </c>
      <c r="W74" s="51">
        <f t="shared" si="8"/>
        <v>233925.59999999998</v>
      </c>
      <c r="X74" s="52">
        <f t="shared" si="9"/>
        <v>157.35</v>
      </c>
      <c r="Y74" s="53">
        <f t="shared" si="10"/>
        <v>157.35</v>
      </c>
      <c r="Z74" s="54"/>
      <c r="AA74" s="71"/>
      <c r="AB74" s="71"/>
      <c r="AC74" s="128"/>
      <c r="AD74" s="33"/>
      <c r="AE74" s="55"/>
    </row>
    <row r="75" spans="2:31" ht="20.100000000000001" customHeight="1">
      <c r="B75" s="48">
        <v>71</v>
      </c>
      <c r="C75" s="121" t="s">
        <v>701</v>
      </c>
      <c r="D75" s="120" t="s">
        <v>349</v>
      </c>
      <c r="E75" s="120">
        <v>2603</v>
      </c>
      <c r="F75" s="120" t="s">
        <v>700</v>
      </c>
      <c r="G75" s="120" t="s">
        <v>689</v>
      </c>
      <c r="H75" s="49">
        <v>3</v>
      </c>
      <c r="I75" s="50" t="s">
        <v>27</v>
      </c>
      <c r="J75" s="124" t="s">
        <v>551</v>
      </c>
      <c r="K75" s="50" t="s">
        <v>26</v>
      </c>
      <c r="L75" s="50" t="s">
        <v>519</v>
      </c>
      <c r="M75" s="56" t="s">
        <v>12</v>
      </c>
      <c r="N75" s="122" t="s">
        <v>612</v>
      </c>
      <c r="O75" s="57">
        <v>1</v>
      </c>
      <c r="P75" s="45">
        <v>187390</v>
      </c>
      <c r="Q75" s="58">
        <f t="shared" si="6"/>
        <v>187390</v>
      </c>
      <c r="R75" s="69" t="s">
        <v>684</v>
      </c>
      <c r="S75" s="19"/>
      <c r="T75" s="32"/>
      <c r="U75" s="32"/>
      <c r="V75" s="51">
        <f t="shared" si="7"/>
        <v>217372.4</v>
      </c>
      <c r="W75" s="51">
        <f t="shared" si="8"/>
        <v>217372.4</v>
      </c>
      <c r="X75" s="52">
        <f t="shared" si="9"/>
        <v>146.22</v>
      </c>
      <c r="Y75" s="53">
        <f t="shared" si="10"/>
        <v>146.22</v>
      </c>
      <c r="Z75" s="54"/>
      <c r="AA75" s="71"/>
      <c r="AB75" s="71"/>
      <c r="AC75" s="128"/>
      <c r="AD75" s="33"/>
      <c r="AE75" s="55"/>
    </row>
    <row r="76" spans="2:31" ht="20.100000000000001" customHeight="1">
      <c r="B76" s="48">
        <v>72</v>
      </c>
      <c r="C76" s="121" t="s">
        <v>701</v>
      </c>
      <c r="D76" s="120" t="s">
        <v>349</v>
      </c>
      <c r="E76" s="120">
        <v>2603</v>
      </c>
      <c r="F76" s="120" t="s">
        <v>700</v>
      </c>
      <c r="G76" s="120" t="s">
        <v>689</v>
      </c>
      <c r="H76" s="49">
        <v>3</v>
      </c>
      <c r="I76" s="50" t="s">
        <v>27</v>
      </c>
      <c r="J76" s="124" t="s">
        <v>552</v>
      </c>
      <c r="K76" s="50" t="s">
        <v>26</v>
      </c>
      <c r="L76" s="50" t="s">
        <v>519</v>
      </c>
      <c r="M76" s="56" t="s">
        <v>12</v>
      </c>
      <c r="N76" s="122" t="s">
        <v>612</v>
      </c>
      <c r="O76" s="57">
        <v>1</v>
      </c>
      <c r="P76" s="45">
        <v>185550</v>
      </c>
      <c r="Q76" s="58">
        <f t="shared" si="6"/>
        <v>185550</v>
      </c>
      <c r="R76" s="69" t="s">
        <v>684</v>
      </c>
      <c r="S76" s="19"/>
      <c r="T76" s="32"/>
      <c r="U76" s="32"/>
      <c r="V76" s="51">
        <f t="shared" si="7"/>
        <v>215237.99999999997</v>
      </c>
      <c r="W76" s="51">
        <f t="shared" si="8"/>
        <v>215237.99999999997</v>
      </c>
      <c r="X76" s="52">
        <f t="shared" si="9"/>
        <v>144.78</v>
      </c>
      <c r="Y76" s="53">
        <f t="shared" si="10"/>
        <v>144.78</v>
      </c>
      <c r="Z76" s="54"/>
      <c r="AA76" s="71"/>
      <c r="AB76" s="71"/>
      <c r="AC76" s="128"/>
      <c r="AD76" s="33"/>
      <c r="AE76" s="55"/>
    </row>
    <row r="77" spans="2:31" ht="20.100000000000001" customHeight="1">
      <c r="B77" s="48">
        <v>73</v>
      </c>
      <c r="C77" s="121" t="s">
        <v>701</v>
      </c>
      <c r="D77" s="120" t="s">
        <v>349</v>
      </c>
      <c r="E77" s="120">
        <v>2603</v>
      </c>
      <c r="F77" s="120" t="s">
        <v>700</v>
      </c>
      <c r="G77" s="120" t="s">
        <v>689</v>
      </c>
      <c r="H77" s="49">
        <v>3</v>
      </c>
      <c r="I77" s="50" t="s">
        <v>27</v>
      </c>
      <c r="J77" s="124" t="s">
        <v>553</v>
      </c>
      <c r="K77" s="50" t="s">
        <v>26</v>
      </c>
      <c r="L77" s="50" t="s">
        <v>519</v>
      </c>
      <c r="M77" s="56" t="s">
        <v>12</v>
      </c>
      <c r="N77" s="122" t="s">
        <v>612</v>
      </c>
      <c r="O77" s="57">
        <v>2</v>
      </c>
      <c r="P77" s="45">
        <v>45390</v>
      </c>
      <c r="Q77" s="58">
        <f t="shared" si="6"/>
        <v>90780</v>
      </c>
      <c r="R77" s="69" t="s">
        <v>684</v>
      </c>
      <c r="S77" s="19"/>
      <c r="T77" s="32"/>
      <c r="U77" s="32"/>
      <c r="V77" s="51">
        <f t="shared" si="7"/>
        <v>52652.399999999994</v>
      </c>
      <c r="W77" s="51">
        <f t="shared" si="8"/>
        <v>105304.79999999999</v>
      </c>
      <c r="X77" s="52">
        <f t="shared" si="9"/>
        <v>35.42</v>
      </c>
      <c r="Y77" s="53">
        <f t="shared" si="10"/>
        <v>70.84</v>
      </c>
      <c r="Z77" s="54"/>
      <c r="AA77" s="71"/>
      <c r="AB77" s="71"/>
      <c r="AC77" s="128"/>
      <c r="AD77" s="33"/>
      <c r="AE77" s="55"/>
    </row>
    <row r="78" spans="2:31" ht="20.100000000000001" customHeight="1">
      <c r="B78" s="48">
        <v>74</v>
      </c>
      <c r="C78" s="121" t="s">
        <v>701</v>
      </c>
      <c r="D78" s="120" t="s">
        <v>349</v>
      </c>
      <c r="E78" s="120">
        <v>2603</v>
      </c>
      <c r="F78" s="120" t="s">
        <v>700</v>
      </c>
      <c r="G78" s="120" t="s">
        <v>689</v>
      </c>
      <c r="H78" s="49">
        <v>3</v>
      </c>
      <c r="I78" s="50" t="s">
        <v>554</v>
      </c>
      <c r="J78" s="124" t="s">
        <v>655</v>
      </c>
      <c r="K78" s="50" t="s">
        <v>26</v>
      </c>
      <c r="L78" s="50" t="s">
        <v>519</v>
      </c>
      <c r="M78" s="56" t="s">
        <v>12</v>
      </c>
      <c r="N78" s="122" t="s">
        <v>612</v>
      </c>
      <c r="O78" s="57">
        <v>1</v>
      </c>
      <c r="P78" s="45">
        <v>17020</v>
      </c>
      <c r="Q78" s="58">
        <f t="shared" si="6"/>
        <v>17020</v>
      </c>
      <c r="R78" s="69" t="s">
        <v>684</v>
      </c>
      <c r="S78" s="19"/>
      <c r="T78" s="32"/>
      <c r="U78" s="32"/>
      <c r="V78" s="51">
        <f t="shared" si="7"/>
        <v>19743.199999999997</v>
      </c>
      <c r="W78" s="51">
        <f t="shared" si="8"/>
        <v>19743.199999999997</v>
      </c>
      <c r="X78" s="52">
        <f t="shared" si="9"/>
        <v>13.28</v>
      </c>
      <c r="Y78" s="53">
        <f t="shared" si="10"/>
        <v>13.28</v>
      </c>
      <c r="Z78" s="54"/>
      <c r="AA78" s="71"/>
      <c r="AB78" s="71"/>
      <c r="AC78" s="128"/>
      <c r="AD78" s="33"/>
      <c r="AE78" s="55"/>
    </row>
    <row r="79" spans="2:31" ht="20.100000000000001" customHeight="1">
      <c r="B79" s="48">
        <v>75</v>
      </c>
      <c r="C79" s="121" t="s">
        <v>701</v>
      </c>
      <c r="D79" s="120" t="s">
        <v>349</v>
      </c>
      <c r="E79" s="120">
        <v>2603</v>
      </c>
      <c r="F79" s="120" t="s">
        <v>700</v>
      </c>
      <c r="G79" s="120" t="s">
        <v>689</v>
      </c>
      <c r="H79" s="49">
        <v>3</v>
      </c>
      <c r="I79" s="50" t="s">
        <v>141</v>
      </c>
      <c r="J79" s="124" t="s">
        <v>654</v>
      </c>
      <c r="K79" s="50" t="s">
        <v>26</v>
      </c>
      <c r="L79" s="50" t="s">
        <v>519</v>
      </c>
      <c r="M79" s="56" t="s">
        <v>12</v>
      </c>
      <c r="N79" s="122" t="s">
        <v>612</v>
      </c>
      <c r="O79" s="57">
        <v>2</v>
      </c>
      <c r="P79" s="45">
        <v>32040</v>
      </c>
      <c r="Q79" s="58">
        <f t="shared" si="6"/>
        <v>64080</v>
      </c>
      <c r="R79" s="69" t="s">
        <v>684</v>
      </c>
      <c r="S79" s="19"/>
      <c r="T79" s="32"/>
      <c r="U79" s="32"/>
      <c r="V79" s="51">
        <f t="shared" si="7"/>
        <v>37166.399999999994</v>
      </c>
      <c r="W79" s="51">
        <f t="shared" si="8"/>
        <v>74332.799999999988</v>
      </c>
      <c r="X79" s="52">
        <f t="shared" si="9"/>
        <v>25</v>
      </c>
      <c r="Y79" s="53">
        <f t="shared" si="10"/>
        <v>50</v>
      </c>
      <c r="Z79" s="54"/>
      <c r="AA79" s="71"/>
      <c r="AB79" s="71"/>
      <c r="AC79" s="128"/>
      <c r="AD79" s="33"/>
      <c r="AE79" s="55"/>
    </row>
    <row r="80" spans="2:31" ht="20.100000000000001" customHeight="1">
      <c r="B80" s="48">
        <v>76</v>
      </c>
      <c r="C80" s="121" t="s">
        <v>701</v>
      </c>
      <c r="D80" s="120" t="s">
        <v>349</v>
      </c>
      <c r="E80" s="120">
        <v>2603</v>
      </c>
      <c r="F80" s="120" t="s">
        <v>700</v>
      </c>
      <c r="G80" s="120" t="s">
        <v>689</v>
      </c>
      <c r="H80" s="49">
        <v>3</v>
      </c>
      <c r="I80" s="50" t="s">
        <v>28</v>
      </c>
      <c r="J80" s="124" t="s">
        <v>653</v>
      </c>
      <c r="K80" s="50" t="s">
        <v>26</v>
      </c>
      <c r="L80" s="50" t="s">
        <v>519</v>
      </c>
      <c r="M80" s="56" t="s">
        <v>12</v>
      </c>
      <c r="N80" s="122" t="s">
        <v>612</v>
      </c>
      <c r="O80" s="57">
        <v>1</v>
      </c>
      <c r="P80" s="45">
        <v>7660</v>
      </c>
      <c r="Q80" s="58">
        <f t="shared" si="6"/>
        <v>7660</v>
      </c>
      <c r="R80" s="69" t="s">
        <v>684</v>
      </c>
      <c r="S80" s="19"/>
      <c r="T80" s="32"/>
      <c r="U80" s="32"/>
      <c r="V80" s="51">
        <f t="shared" si="7"/>
        <v>8885.5999999999985</v>
      </c>
      <c r="W80" s="51">
        <f t="shared" si="8"/>
        <v>8885.5999999999985</v>
      </c>
      <c r="X80" s="52">
        <f t="shared" si="9"/>
        <v>5.98</v>
      </c>
      <c r="Y80" s="53">
        <f t="shared" si="10"/>
        <v>5.98</v>
      </c>
      <c r="Z80" s="54"/>
      <c r="AA80" s="71"/>
      <c r="AB80" s="71"/>
      <c r="AC80" s="128"/>
      <c r="AD80" s="33"/>
      <c r="AE80" s="55"/>
    </row>
    <row r="81" spans="2:31" ht="20.100000000000001" customHeight="1">
      <c r="B81" s="48">
        <v>77</v>
      </c>
      <c r="C81" s="121" t="s">
        <v>701</v>
      </c>
      <c r="D81" s="120" t="s">
        <v>349</v>
      </c>
      <c r="E81" s="120">
        <v>2603</v>
      </c>
      <c r="F81" s="120" t="s">
        <v>700</v>
      </c>
      <c r="G81" s="120" t="s">
        <v>689</v>
      </c>
      <c r="H81" s="49">
        <v>3</v>
      </c>
      <c r="I81" s="50" t="s">
        <v>40</v>
      </c>
      <c r="J81" s="124" t="s">
        <v>555</v>
      </c>
      <c r="K81" s="50" t="s">
        <v>26</v>
      </c>
      <c r="L81" s="50" t="s">
        <v>519</v>
      </c>
      <c r="M81" s="56" t="s">
        <v>12</v>
      </c>
      <c r="N81" s="122" t="s">
        <v>612</v>
      </c>
      <c r="O81" s="57">
        <v>4</v>
      </c>
      <c r="P81" s="45">
        <v>520</v>
      </c>
      <c r="Q81" s="58">
        <f t="shared" si="6"/>
        <v>2080</v>
      </c>
      <c r="R81" s="69" t="s">
        <v>684</v>
      </c>
      <c r="S81" s="19"/>
      <c r="T81" s="32"/>
      <c r="U81" s="32"/>
      <c r="V81" s="51">
        <f t="shared" si="7"/>
        <v>603.19999999999993</v>
      </c>
      <c r="W81" s="51">
        <f t="shared" si="8"/>
        <v>2412.7999999999997</v>
      </c>
      <c r="X81" s="52">
        <f t="shared" si="9"/>
        <v>0.41</v>
      </c>
      <c r="Y81" s="53">
        <f t="shared" si="10"/>
        <v>1.64</v>
      </c>
      <c r="Z81" s="54"/>
      <c r="AA81" s="71"/>
      <c r="AB81" s="71"/>
      <c r="AC81" s="128"/>
      <c r="AD81" s="33"/>
      <c r="AE81" s="55"/>
    </row>
    <row r="82" spans="2:31" ht="20.100000000000001" customHeight="1">
      <c r="B82" s="48">
        <v>78</v>
      </c>
      <c r="C82" s="121" t="s">
        <v>701</v>
      </c>
      <c r="D82" s="120" t="s">
        <v>349</v>
      </c>
      <c r="E82" s="120">
        <v>2603</v>
      </c>
      <c r="F82" s="120" t="s">
        <v>700</v>
      </c>
      <c r="G82" s="120" t="s">
        <v>689</v>
      </c>
      <c r="H82" s="49">
        <v>3</v>
      </c>
      <c r="I82" s="50" t="s">
        <v>140</v>
      </c>
      <c r="J82" s="124" t="s">
        <v>556</v>
      </c>
      <c r="K82" s="50" t="s">
        <v>26</v>
      </c>
      <c r="L82" s="50" t="s">
        <v>519</v>
      </c>
      <c r="M82" s="56" t="s">
        <v>12</v>
      </c>
      <c r="N82" s="122" t="s">
        <v>612</v>
      </c>
      <c r="O82" s="57">
        <v>2</v>
      </c>
      <c r="P82" s="45">
        <v>2630</v>
      </c>
      <c r="Q82" s="58">
        <f t="shared" si="6"/>
        <v>5260</v>
      </c>
      <c r="R82" s="69" t="s">
        <v>684</v>
      </c>
      <c r="S82" s="19"/>
      <c r="T82" s="32"/>
      <c r="U82" s="32"/>
      <c r="V82" s="51">
        <f t="shared" si="7"/>
        <v>3050.7999999999997</v>
      </c>
      <c r="W82" s="51">
        <f t="shared" si="8"/>
        <v>6101.5999999999995</v>
      </c>
      <c r="X82" s="52">
        <f t="shared" si="9"/>
        <v>2.0499999999999998</v>
      </c>
      <c r="Y82" s="53">
        <f t="shared" si="10"/>
        <v>4.0999999999999996</v>
      </c>
      <c r="Z82" s="54"/>
      <c r="AA82" s="71"/>
      <c r="AB82" s="71"/>
      <c r="AC82" s="128"/>
      <c r="AD82" s="33"/>
      <c r="AE82" s="55"/>
    </row>
    <row r="83" spans="2:31" ht="20.100000000000001" customHeight="1">
      <c r="B83" s="48">
        <v>79</v>
      </c>
      <c r="C83" s="121" t="s">
        <v>701</v>
      </c>
      <c r="D83" s="120" t="s">
        <v>349</v>
      </c>
      <c r="E83" s="120">
        <v>2603</v>
      </c>
      <c r="F83" s="120" t="s">
        <v>700</v>
      </c>
      <c r="G83" s="120" t="s">
        <v>689</v>
      </c>
      <c r="H83" s="49">
        <v>3</v>
      </c>
      <c r="I83" s="50" t="s">
        <v>40</v>
      </c>
      <c r="J83" s="124" t="s">
        <v>427</v>
      </c>
      <c r="K83" s="50" t="s">
        <v>26</v>
      </c>
      <c r="L83" s="50" t="s">
        <v>519</v>
      </c>
      <c r="M83" s="56" t="s">
        <v>12</v>
      </c>
      <c r="N83" s="122" t="s">
        <v>612</v>
      </c>
      <c r="O83" s="57">
        <v>8</v>
      </c>
      <c r="P83" s="45">
        <v>300</v>
      </c>
      <c r="Q83" s="58">
        <f t="shared" si="6"/>
        <v>2400</v>
      </c>
      <c r="R83" s="69" t="s">
        <v>684</v>
      </c>
      <c r="S83" s="19"/>
      <c r="T83" s="32"/>
      <c r="U83" s="32"/>
      <c r="V83" s="51">
        <f t="shared" si="7"/>
        <v>348</v>
      </c>
      <c r="W83" s="51">
        <f t="shared" si="8"/>
        <v>2784</v>
      </c>
      <c r="X83" s="52">
        <f t="shared" si="9"/>
        <v>0.23</v>
      </c>
      <c r="Y83" s="53">
        <f t="shared" si="10"/>
        <v>1.84</v>
      </c>
      <c r="Z83" s="54"/>
      <c r="AA83" s="71"/>
      <c r="AB83" s="71"/>
      <c r="AC83" s="128"/>
      <c r="AD83" s="33"/>
      <c r="AE83" s="55"/>
    </row>
    <row r="84" spans="2:31" ht="20.100000000000001" customHeight="1">
      <c r="B84" s="48">
        <v>80</v>
      </c>
      <c r="C84" s="121" t="s">
        <v>701</v>
      </c>
      <c r="D84" s="120" t="s">
        <v>349</v>
      </c>
      <c r="E84" s="120">
        <v>2603</v>
      </c>
      <c r="F84" s="120" t="s">
        <v>700</v>
      </c>
      <c r="G84" s="120" t="s">
        <v>689</v>
      </c>
      <c r="H84" s="49">
        <v>3</v>
      </c>
      <c r="I84" s="50" t="s">
        <v>41</v>
      </c>
      <c r="J84" s="124" t="s">
        <v>557</v>
      </c>
      <c r="K84" s="50" t="s">
        <v>26</v>
      </c>
      <c r="L84" s="50" t="s">
        <v>519</v>
      </c>
      <c r="M84" s="56" t="s">
        <v>12</v>
      </c>
      <c r="N84" s="122" t="s">
        <v>612</v>
      </c>
      <c r="O84" s="57">
        <v>1</v>
      </c>
      <c r="P84" s="45">
        <v>14930</v>
      </c>
      <c r="Q84" s="58">
        <f t="shared" si="6"/>
        <v>14930</v>
      </c>
      <c r="R84" s="69" t="s">
        <v>684</v>
      </c>
      <c r="S84" s="19"/>
      <c r="T84" s="32"/>
      <c r="U84" s="32"/>
      <c r="V84" s="51">
        <f t="shared" si="7"/>
        <v>17318.8</v>
      </c>
      <c r="W84" s="51">
        <f t="shared" si="8"/>
        <v>17318.8</v>
      </c>
      <c r="X84" s="52">
        <f t="shared" si="9"/>
        <v>11.65</v>
      </c>
      <c r="Y84" s="53">
        <f t="shared" si="10"/>
        <v>11.65</v>
      </c>
      <c r="Z84" s="54"/>
      <c r="AA84" s="71"/>
      <c r="AB84" s="71"/>
      <c r="AC84" s="128"/>
      <c r="AD84" s="33"/>
      <c r="AE84" s="55"/>
    </row>
    <row r="85" spans="2:31" ht="20.100000000000001" customHeight="1">
      <c r="B85" s="48">
        <v>81</v>
      </c>
      <c r="C85" s="121" t="s">
        <v>701</v>
      </c>
      <c r="D85" s="120" t="s">
        <v>349</v>
      </c>
      <c r="E85" s="120">
        <v>2603</v>
      </c>
      <c r="F85" s="120" t="s">
        <v>700</v>
      </c>
      <c r="G85" s="120" t="s">
        <v>689</v>
      </c>
      <c r="H85" s="49">
        <v>3</v>
      </c>
      <c r="I85" s="50" t="s">
        <v>41</v>
      </c>
      <c r="J85" s="124" t="s">
        <v>558</v>
      </c>
      <c r="K85" s="50" t="s">
        <v>26</v>
      </c>
      <c r="L85" s="50" t="s">
        <v>519</v>
      </c>
      <c r="M85" s="56" t="s">
        <v>12</v>
      </c>
      <c r="N85" s="122" t="s">
        <v>612</v>
      </c>
      <c r="O85" s="57">
        <v>1</v>
      </c>
      <c r="P85" s="45">
        <v>8210</v>
      </c>
      <c r="Q85" s="58">
        <f t="shared" si="6"/>
        <v>8210</v>
      </c>
      <c r="R85" s="69" t="s">
        <v>684</v>
      </c>
      <c r="S85" s="19"/>
      <c r="T85" s="32"/>
      <c r="U85" s="32"/>
      <c r="V85" s="51">
        <f t="shared" si="7"/>
        <v>9523.5999999999985</v>
      </c>
      <c r="W85" s="51">
        <f t="shared" si="8"/>
        <v>9523.5999999999985</v>
      </c>
      <c r="X85" s="52">
        <f t="shared" si="9"/>
        <v>6.41</v>
      </c>
      <c r="Y85" s="53">
        <f t="shared" si="10"/>
        <v>6.41</v>
      </c>
      <c r="Z85" s="54"/>
      <c r="AA85" s="71"/>
      <c r="AB85" s="71"/>
      <c r="AC85" s="128"/>
      <c r="AD85" s="33"/>
      <c r="AE85" s="55"/>
    </row>
    <row r="86" spans="2:31" ht="20.100000000000001" customHeight="1">
      <c r="B86" s="48">
        <v>82</v>
      </c>
      <c r="C86" s="121" t="s">
        <v>701</v>
      </c>
      <c r="D86" s="120" t="s">
        <v>349</v>
      </c>
      <c r="E86" s="120">
        <v>2603</v>
      </c>
      <c r="F86" s="120" t="s">
        <v>700</v>
      </c>
      <c r="G86" s="120" t="s">
        <v>689</v>
      </c>
      <c r="H86" s="49">
        <v>3</v>
      </c>
      <c r="I86" s="50" t="s">
        <v>140</v>
      </c>
      <c r="J86" s="124" t="s">
        <v>189</v>
      </c>
      <c r="K86" s="50" t="s">
        <v>26</v>
      </c>
      <c r="L86" s="50" t="s">
        <v>519</v>
      </c>
      <c r="M86" s="56" t="s">
        <v>12</v>
      </c>
      <c r="N86" s="122" t="s">
        <v>612</v>
      </c>
      <c r="O86" s="57">
        <v>16</v>
      </c>
      <c r="P86" s="45">
        <v>3600</v>
      </c>
      <c r="Q86" s="58">
        <f t="shared" si="6"/>
        <v>57600</v>
      </c>
      <c r="R86" s="69" t="s">
        <v>684</v>
      </c>
      <c r="S86" s="19"/>
      <c r="T86" s="32"/>
      <c r="U86" s="32"/>
      <c r="V86" s="51">
        <f t="shared" si="7"/>
        <v>4176</v>
      </c>
      <c r="W86" s="51">
        <f t="shared" si="8"/>
        <v>66816</v>
      </c>
      <c r="X86" s="52">
        <f t="shared" si="9"/>
        <v>2.81</v>
      </c>
      <c r="Y86" s="53">
        <f t="shared" si="10"/>
        <v>44.96</v>
      </c>
      <c r="Z86" s="54"/>
      <c r="AA86" s="71"/>
      <c r="AB86" s="71"/>
      <c r="AC86" s="128"/>
      <c r="AD86" s="33"/>
      <c r="AE86" s="55"/>
    </row>
    <row r="87" spans="2:31" ht="20.100000000000001" customHeight="1">
      <c r="B87" s="48">
        <v>83</v>
      </c>
      <c r="C87" s="121" t="s">
        <v>701</v>
      </c>
      <c r="D87" s="120" t="s">
        <v>349</v>
      </c>
      <c r="E87" s="120">
        <v>2603</v>
      </c>
      <c r="F87" s="120" t="s">
        <v>700</v>
      </c>
      <c r="G87" s="120" t="s">
        <v>689</v>
      </c>
      <c r="H87" s="49">
        <v>3</v>
      </c>
      <c r="I87" s="50" t="s">
        <v>40</v>
      </c>
      <c r="J87" s="124" t="s">
        <v>651</v>
      </c>
      <c r="K87" s="50" t="s">
        <v>26</v>
      </c>
      <c r="L87" s="50" t="s">
        <v>519</v>
      </c>
      <c r="M87" s="56" t="s">
        <v>12</v>
      </c>
      <c r="N87" s="122" t="s">
        <v>612</v>
      </c>
      <c r="O87" s="57">
        <v>3</v>
      </c>
      <c r="P87" s="45">
        <v>300</v>
      </c>
      <c r="Q87" s="58">
        <f t="shared" si="6"/>
        <v>900</v>
      </c>
      <c r="R87" s="69" t="s">
        <v>684</v>
      </c>
      <c r="S87" s="19"/>
      <c r="T87" s="32"/>
      <c r="U87" s="32"/>
      <c r="V87" s="51">
        <f t="shared" si="7"/>
        <v>348</v>
      </c>
      <c r="W87" s="51">
        <f t="shared" si="8"/>
        <v>1044</v>
      </c>
      <c r="X87" s="52">
        <f t="shared" si="9"/>
        <v>0.23</v>
      </c>
      <c r="Y87" s="53">
        <f t="shared" si="10"/>
        <v>0.69000000000000006</v>
      </c>
      <c r="Z87" s="54"/>
      <c r="AA87" s="71"/>
      <c r="AB87" s="71"/>
      <c r="AC87" s="128"/>
      <c r="AD87" s="33"/>
      <c r="AE87" s="55"/>
    </row>
    <row r="88" spans="2:31" ht="20.100000000000001" customHeight="1">
      <c r="B88" s="48">
        <v>84</v>
      </c>
      <c r="C88" s="121" t="s">
        <v>701</v>
      </c>
      <c r="D88" s="120" t="s">
        <v>349</v>
      </c>
      <c r="E88" s="120">
        <v>2603</v>
      </c>
      <c r="F88" s="120" t="s">
        <v>700</v>
      </c>
      <c r="G88" s="120" t="s">
        <v>689</v>
      </c>
      <c r="H88" s="49">
        <v>3</v>
      </c>
      <c r="I88" s="50" t="s">
        <v>142</v>
      </c>
      <c r="J88" s="124" t="s">
        <v>32</v>
      </c>
      <c r="K88" s="50" t="s">
        <v>26</v>
      </c>
      <c r="L88" s="50" t="s">
        <v>519</v>
      </c>
      <c r="M88" s="56" t="s">
        <v>12</v>
      </c>
      <c r="N88" s="122" t="s">
        <v>612</v>
      </c>
      <c r="O88" s="57">
        <v>14</v>
      </c>
      <c r="P88" s="45">
        <v>26460</v>
      </c>
      <c r="Q88" s="58">
        <f t="shared" si="6"/>
        <v>370440</v>
      </c>
      <c r="R88" s="69" t="s">
        <v>684</v>
      </c>
      <c r="S88" s="19"/>
      <c r="T88" s="32"/>
      <c r="U88" s="32"/>
      <c r="V88" s="51">
        <f t="shared" si="7"/>
        <v>30693.599999999999</v>
      </c>
      <c r="W88" s="51">
        <f t="shared" si="8"/>
        <v>429710.39999999997</v>
      </c>
      <c r="X88" s="52">
        <f t="shared" si="9"/>
        <v>20.65</v>
      </c>
      <c r="Y88" s="53">
        <f t="shared" si="10"/>
        <v>289.09999999999997</v>
      </c>
      <c r="Z88" s="54"/>
      <c r="AA88" s="71"/>
      <c r="AB88" s="71"/>
      <c r="AC88" s="128"/>
      <c r="AD88" s="33"/>
      <c r="AE88" s="55"/>
    </row>
    <row r="89" spans="2:31" ht="20.100000000000001" customHeight="1">
      <c r="B89" s="48">
        <v>85</v>
      </c>
      <c r="C89" s="121" t="s">
        <v>701</v>
      </c>
      <c r="D89" s="120" t="s">
        <v>349</v>
      </c>
      <c r="E89" s="120">
        <v>2603</v>
      </c>
      <c r="F89" s="120" t="s">
        <v>700</v>
      </c>
      <c r="G89" s="120" t="s">
        <v>689</v>
      </c>
      <c r="H89" s="49">
        <v>3</v>
      </c>
      <c r="I89" s="50" t="s">
        <v>142</v>
      </c>
      <c r="J89" s="124" t="s">
        <v>559</v>
      </c>
      <c r="K89" s="50" t="s">
        <v>26</v>
      </c>
      <c r="L89" s="50" t="s">
        <v>519</v>
      </c>
      <c r="M89" s="56" t="s">
        <v>12</v>
      </c>
      <c r="N89" s="122" t="s">
        <v>612</v>
      </c>
      <c r="O89" s="57">
        <v>2</v>
      </c>
      <c r="P89" s="45">
        <v>26460</v>
      </c>
      <c r="Q89" s="58">
        <f t="shared" si="6"/>
        <v>52920</v>
      </c>
      <c r="R89" s="69" t="s">
        <v>684</v>
      </c>
      <c r="S89" s="19"/>
      <c r="T89" s="32"/>
      <c r="U89" s="32"/>
      <c r="V89" s="51">
        <f t="shared" si="7"/>
        <v>30693.599999999999</v>
      </c>
      <c r="W89" s="51">
        <f t="shared" si="8"/>
        <v>61387.199999999997</v>
      </c>
      <c r="X89" s="52">
        <f t="shared" si="9"/>
        <v>20.65</v>
      </c>
      <c r="Y89" s="53">
        <f t="shared" si="10"/>
        <v>41.3</v>
      </c>
      <c r="Z89" s="54"/>
      <c r="AA89" s="71"/>
      <c r="AB89" s="71"/>
      <c r="AC89" s="128"/>
      <c r="AD89" s="33"/>
      <c r="AE89" s="55"/>
    </row>
    <row r="90" spans="2:31" ht="20.100000000000001" customHeight="1">
      <c r="B90" s="48">
        <v>86</v>
      </c>
      <c r="C90" s="121" t="s">
        <v>701</v>
      </c>
      <c r="D90" s="120" t="s">
        <v>349</v>
      </c>
      <c r="E90" s="120">
        <v>2603</v>
      </c>
      <c r="F90" s="120" t="s">
        <v>700</v>
      </c>
      <c r="G90" s="120" t="s">
        <v>689</v>
      </c>
      <c r="H90" s="49">
        <v>3</v>
      </c>
      <c r="I90" s="50" t="s">
        <v>142</v>
      </c>
      <c r="J90" s="124" t="s">
        <v>560</v>
      </c>
      <c r="K90" s="50" t="s">
        <v>26</v>
      </c>
      <c r="L90" s="50" t="s">
        <v>519</v>
      </c>
      <c r="M90" s="56" t="s">
        <v>12</v>
      </c>
      <c r="N90" s="122" t="s">
        <v>612</v>
      </c>
      <c r="O90" s="57">
        <v>2</v>
      </c>
      <c r="P90" s="45">
        <v>30580</v>
      </c>
      <c r="Q90" s="58">
        <f t="shared" si="6"/>
        <v>61160</v>
      </c>
      <c r="R90" s="69" t="s">
        <v>684</v>
      </c>
      <c r="S90" s="19"/>
      <c r="T90" s="32"/>
      <c r="U90" s="32"/>
      <c r="V90" s="51">
        <f t="shared" si="7"/>
        <v>35472.799999999996</v>
      </c>
      <c r="W90" s="51">
        <f t="shared" si="8"/>
        <v>70945.599999999991</v>
      </c>
      <c r="X90" s="52">
        <f t="shared" si="9"/>
        <v>23.86</v>
      </c>
      <c r="Y90" s="53">
        <f t="shared" si="10"/>
        <v>47.72</v>
      </c>
      <c r="Z90" s="54"/>
      <c r="AA90" s="71"/>
      <c r="AB90" s="71"/>
      <c r="AC90" s="128"/>
      <c r="AD90" s="33"/>
      <c r="AE90" s="55"/>
    </row>
    <row r="91" spans="2:31" ht="20.100000000000001" customHeight="1">
      <c r="B91" s="48">
        <v>87</v>
      </c>
      <c r="C91" s="121" t="s">
        <v>701</v>
      </c>
      <c r="D91" s="120" t="s">
        <v>349</v>
      </c>
      <c r="E91" s="120">
        <v>2603</v>
      </c>
      <c r="F91" s="120" t="s">
        <v>700</v>
      </c>
      <c r="G91" s="120" t="s">
        <v>689</v>
      </c>
      <c r="H91" s="49">
        <v>3</v>
      </c>
      <c r="I91" s="50" t="s">
        <v>41</v>
      </c>
      <c r="J91" s="124" t="s">
        <v>193</v>
      </c>
      <c r="K91" s="50" t="s">
        <v>26</v>
      </c>
      <c r="L91" s="50" t="s">
        <v>519</v>
      </c>
      <c r="M91" s="56" t="s">
        <v>12</v>
      </c>
      <c r="N91" s="122" t="s">
        <v>612</v>
      </c>
      <c r="O91" s="57">
        <v>1</v>
      </c>
      <c r="P91" s="45">
        <v>11530</v>
      </c>
      <c r="Q91" s="58">
        <f t="shared" si="6"/>
        <v>11530</v>
      </c>
      <c r="R91" s="69" t="s">
        <v>684</v>
      </c>
      <c r="S91" s="19"/>
      <c r="T91" s="32"/>
      <c r="U91" s="32"/>
      <c r="V91" s="51">
        <f t="shared" si="7"/>
        <v>13374.8</v>
      </c>
      <c r="W91" s="51">
        <f t="shared" si="8"/>
        <v>13374.8</v>
      </c>
      <c r="X91" s="52">
        <f t="shared" si="9"/>
        <v>9</v>
      </c>
      <c r="Y91" s="53">
        <f t="shared" si="10"/>
        <v>9</v>
      </c>
      <c r="Z91" s="54"/>
      <c r="AA91" s="71"/>
      <c r="AB91" s="71"/>
      <c r="AC91" s="128"/>
      <c r="AD91" s="33"/>
      <c r="AE91" s="55"/>
    </row>
    <row r="92" spans="2:31" ht="20.100000000000001" customHeight="1">
      <c r="B92" s="48">
        <v>88</v>
      </c>
      <c r="C92" s="121" t="s">
        <v>701</v>
      </c>
      <c r="D92" s="120" t="s">
        <v>349</v>
      </c>
      <c r="E92" s="120">
        <v>2603</v>
      </c>
      <c r="F92" s="120" t="s">
        <v>700</v>
      </c>
      <c r="G92" s="120" t="s">
        <v>689</v>
      </c>
      <c r="H92" s="49">
        <v>3</v>
      </c>
      <c r="I92" s="50" t="s">
        <v>41</v>
      </c>
      <c r="J92" s="124" t="s">
        <v>561</v>
      </c>
      <c r="K92" s="50" t="s">
        <v>26</v>
      </c>
      <c r="L92" s="50" t="s">
        <v>519</v>
      </c>
      <c r="M92" s="56" t="s">
        <v>12</v>
      </c>
      <c r="N92" s="122" t="s">
        <v>612</v>
      </c>
      <c r="O92" s="57">
        <v>2</v>
      </c>
      <c r="P92" s="45">
        <v>9980</v>
      </c>
      <c r="Q92" s="58">
        <f t="shared" si="6"/>
        <v>19960</v>
      </c>
      <c r="R92" s="69" t="s">
        <v>684</v>
      </c>
      <c r="S92" s="19"/>
      <c r="T92" s="32"/>
      <c r="U92" s="32"/>
      <c r="V92" s="51">
        <f t="shared" si="7"/>
        <v>11576.8</v>
      </c>
      <c r="W92" s="51">
        <f t="shared" si="8"/>
        <v>23153.599999999999</v>
      </c>
      <c r="X92" s="52">
        <f t="shared" si="9"/>
        <v>7.79</v>
      </c>
      <c r="Y92" s="53">
        <f t="shared" si="10"/>
        <v>15.58</v>
      </c>
      <c r="Z92" s="54"/>
      <c r="AA92" s="71"/>
      <c r="AB92" s="71"/>
      <c r="AC92" s="128"/>
      <c r="AD92" s="33"/>
      <c r="AE92" s="55"/>
    </row>
    <row r="93" spans="2:31" ht="20.100000000000001" customHeight="1">
      <c r="B93" s="48">
        <v>89</v>
      </c>
      <c r="C93" s="121" t="s">
        <v>701</v>
      </c>
      <c r="D93" s="120" t="s">
        <v>349</v>
      </c>
      <c r="E93" s="120">
        <v>2603</v>
      </c>
      <c r="F93" s="120" t="s">
        <v>700</v>
      </c>
      <c r="G93" s="120" t="s">
        <v>689</v>
      </c>
      <c r="H93" s="49">
        <v>3</v>
      </c>
      <c r="I93" s="50" t="s">
        <v>28</v>
      </c>
      <c r="J93" s="124" t="s">
        <v>192</v>
      </c>
      <c r="K93" s="50" t="s">
        <v>26</v>
      </c>
      <c r="L93" s="50" t="s">
        <v>519</v>
      </c>
      <c r="M93" s="56" t="s">
        <v>12</v>
      </c>
      <c r="N93" s="122" t="s">
        <v>612</v>
      </c>
      <c r="O93" s="57">
        <v>6</v>
      </c>
      <c r="P93" s="45">
        <v>2320</v>
      </c>
      <c r="Q93" s="58">
        <f t="shared" si="6"/>
        <v>13920</v>
      </c>
      <c r="R93" s="69" t="s">
        <v>684</v>
      </c>
      <c r="S93" s="19"/>
      <c r="T93" s="32"/>
      <c r="U93" s="32"/>
      <c r="V93" s="51">
        <f t="shared" si="7"/>
        <v>2691.2</v>
      </c>
      <c r="W93" s="51">
        <f t="shared" si="8"/>
        <v>16147.199999999999</v>
      </c>
      <c r="X93" s="52">
        <f t="shared" si="9"/>
        <v>1.81</v>
      </c>
      <c r="Y93" s="53">
        <f t="shared" si="10"/>
        <v>10.86</v>
      </c>
      <c r="Z93" s="54"/>
      <c r="AA93" s="71"/>
      <c r="AB93" s="71"/>
      <c r="AC93" s="128"/>
      <c r="AD93" s="33"/>
      <c r="AE93" s="55"/>
    </row>
    <row r="94" spans="2:31" ht="20.100000000000001" customHeight="1">
      <c r="B94" s="48">
        <v>90</v>
      </c>
      <c r="C94" s="121" t="s">
        <v>701</v>
      </c>
      <c r="D94" s="120" t="s">
        <v>349</v>
      </c>
      <c r="E94" s="120">
        <v>2603</v>
      </c>
      <c r="F94" s="120" t="s">
        <v>700</v>
      </c>
      <c r="G94" s="120" t="s">
        <v>689</v>
      </c>
      <c r="H94" s="49">
        <v>3</v>
      </c>
      <c r="I94" s="50" t="s">
        <v>562</v>
      </c>
      <c r="J94" s="124" t="s">
        <v>563</v>
      </c>
      <c r="K94" s="50" t="s">
        <v>26</v>
      </c>
      <c r="L94" s="50" t="s">
        <v>519</v>
      </c>
      <c r="M94" s="56" t="s">
        <v>12</v>
      </c>
      <c r="N94" s="122" t="s">
        <v>612</v>
      </c>
      <c r="O94" s="57">
        <v>2</v>
      </c>
      <c r="P94" s="45">
        <v>1280</v>
      </c>
      <c r="Q94" s="58">
        <f t="shared" si="6"/>
        <v>2560</v>
      </c>
      <c r="R94" s="69" t="s">
        <v>684</v>
      </c>
      <c r="S94" s="19"/>
      <c r="T94" s="32"/>
      <c r="U94" s="32"/>
      <c r="V94" s="51">
        <f t="shared" si="7"/>
        <v>1484.8</v>
      </c>
      <c r="W94" s="51">
        <f t="shared" si="8"/>
        <v>2969.6</v>
      </c>
      <c r="X94" s="52">
        <f t="shared" si="9"/>
        <v>1</v>
      </c>
      <c r="Y94" s="53">
        <f t="shared" si="10"/>
        <v>2</v>
      </c>
      <c r="Z94" s="54"/>
      <c r="AA94" s="71"/>
      <c r="AB94" s="71"/>
      <c r="AC94" s="128"/>
      <c r="AD94" s="33"/>
      <c r="AE94" s="55"/>
    </row>
    <row r="95" spans="2:31" ht="20.100000000000001" customHeight="1">
      <c r="B95" s="48">
        <v>91</v>
      </c>
      <c r="C95" s="121" t="s">
        <v>701</v>
      </c>
      <c r="D95" s="120" t="s">
        <v>349</v>
      </c>
      <c r="E95" s="120">
        <v>2603</v>
      </c>
      <c r="F95" s="120" t="s">
        <v>700</v>
      </c>
      <c r="G95" s="120" t="s">
        <v>689</v>
      </c>
      <c r="H95" s="49">
        <v>3</v>
      </c>
      <c r="I95" s="50" t="s">
        <v>28</v>
      </c>
      <c r="J95" s="124" t="s">
        <v>433</v>
      </c>
      <c r="K95" s="50" t="s">
        <v>26</v>
      </c>
      <c r="L95" s="50" t="s">
        <v>519</v>
      </c>
      <c r="M95" s="56" t="s">
        <v>12</v>
      </c>
      <c r="N95" s="122" t="s">
        <v>612</v>
      </c>
      <c r="O95" s="57">
        <v>4</v>
      </c>
      <c r="P95" s="45">
        <v>1880</v>
      </c>
      <c r="Q95" s="58">
        <f t="shared" si="6"/>
        <v>7520</v>
      </c>
      <c r="R95" s="69" t="s">
        <v>684</v>
      </c>
      <c r="S95" s="19"/>
      <c r="T95" s="32"/>
      <c r="U95" s="32"/>
      <c r="V95" s="51">
        <f t="shared" si="7"/>
        <v>2180.7999999999997</v>
      </c>
      <c r="W95" s="51">
        <f t="shared" si="8"/>
        <v>8723.1999999999989</v>
      </c>
      <c r="X95" s="52">
        <f t="shared" si="9"/>
        <v>1.47</v>
      </c>
      <c r="Y95" s="53">
        <f t="shared" si="10"/>
        <v>5.88</v>
      </c>
      <c r="Z95" s="54"/>
      <c r="AA95" s="71"/>
      <c r="AB95" s="71"/>
      <c r="AC95" s="128"/>
      <c r="AD95" s="33"/>
      <c r="AE95" s="55"/>
    </row>
    <row r="96" spans="2:31" ht="20.100000000000001" customHeight="1">
      <c r="B96" s="48">
        <v>92</v>
      </c>
      <c r="C96" s="121" t="s">
        <v>701</v>
      </c>
      <c r="D96" s="120" t="s">
        <v>349</v>
      </c>
      <c r="E96" s="120">
        <v>2603</v>
      </c>
      <c r="F96" s="120" t="s">
        <v>700</v>
      </c>
      <c r="G96" s="120" t="s">
        <v>689</v>
      </c>
      <c r="H96" s="49">
        <v>3</v>
      </c>
      <c r="I96" s="50" t="s">
        <v>564</v>
      </c>
      <c r="J96" s="124" t="s">
        <v>631</v>
      </c>
      <c r="K96" s="50" t="s">
        <v>26</v>
      </c>
      <c r="L96" s="50" t="s">
        <v>519</v>
      </c>
      <c r="M96" s="56" t="s">
        <v>12</v>
      </c>
      <c r="N96" s="122" t="s">
        <v>612</v>
      </c>
      <c r="O96" s="57">
        <v>1</v>
      </c>
      <c r="P96" s="45">
        <v>3140</v>
      </c>
      <c r="Q96" s="58">
        <f t="shared" si="6"/>
        <v>3140</v>
      </c>
      <c r="R96" s="69" t="s">
        <v>684</v>
      </c>
      <c r="S96" s="19"/>
      <c r="T96" s="32"/>
      <c r="U96" s="32"/>
      <c r="V96" s="51">
        <f t="shared" si="7"/>
        <v>3642.3999999999996</v>
      </c>
      <c r="W96" s="51">
        <f t="shared" si="8"/>
        <v>3642.3999999999996</v>
      </c>
      <c r="X96" s="52">
        <f t="shared" si="9"/>
        <v>2.4500000000000002</v>
      </c>
      <c r="Y96" s="53">
        <f t="shared" si="10"/>
        <v>2.4500000000000002</v>
      </c>
      <c r="Z96" s="54"/>
      <c r="AA96" s="71"/>
      <c r="AB96" s="71"/>
      <c r="AC96" s="128"/>
      <c r="AD96" s="33"/>
      <c r="AE96" s="55"/>
    </row>
    <row r="97" spans="2:31" ht="20.100000000000001" customHeight="1">
      <c r="B97" s="48">
        <v>93</v>
      </c>
      <c r="C97" s="121" t="s">
        <v>701</v>
      </c>
      <c r="D97" s="120" t="s">
        <v>349</v>
      </c>
      <c r="E97" s="120">
        <v>2603</v>
      </c>
      <c r="F97" s="120" t="s">
        <v>700</v>
      </c>
      <c r="G97" s="120" t="s">
        <v>689</v>
      </c>
      <c r="H97" s="49">
        <v>3</v>
      </c>
      <c r="I97" s="50" t="s">
        <v>28</v>
      </c>
      <c r="J97" s="124" t="s">
        <v>431</v>
      </c>
      <c r="K97" s="50" t="s">
        <v>26</v>
      </c>
      <c r="L97" s="50" t="s">
        <v>519</v>
      </c>
      <c r="M97" s="56" t="s">
        <v>12</v>
      </c>
      <c r="N97" s="122" t="s">
        <v>612</v>
      </c>
      <c r="O97" s="57">
        <v>4</v>
      </c>
      <c r="P97" s="45">
        <v>1580</v>
      </c>
      <c r="Q97" s="58">
        <f t="shared" si="6"/>
        <v>6320</v>
      </c>
      <c r="R97" s="69" t="s">
        <v>684</v>
      </c>
      <c r="S97" s="19"/>
      <c r="T97" s="32"/>
      <c r="U97" s="32"/>
      <c r="V97" s="51">
        <f t="shared" si="7"/>
        <v>1832.8</v>
      </c>
      <c r="W97" s="51">
        <f t="shared" si="8"/>
        <v>7331.2</v>
      </c>
      <c r="X97" s="52">
        <f t="shared" si="9"/>
        <v>1.23</v>
      </c>
      <c r="Y97" s="53">
        <f t="shared" si="10"/>
        <v>4.92</v>
      </c>
      <c r="Z97" s="54"/>
      <c r="AA97" s="71"/>
      <c r="AB97" s="71"/>
      <c r="AC97" s="128"/>
      <c r="AD97" s="33"/>
      <c r="AE97" s="55"/>
    </row>
    <row r="98" spans="2:31" ht="20.100000000000001" customHeight="1">
      <c r="B98" s="48">
        <v>94</v>
      </c>
      <c r="C98" s="121" t="s">
        <v>701</v>
      </c>
      <c r="D98" s="120" t="s">
        <v>349</v>
      </c>
      <c r="E98" s="120">
        <v>2603</v>
      </c>
      <c r="F98" s="120" t="s">
        <v>700</v>
      </c>
      <c r="G98" s="120" t="s">
        <v>689</v>
      </c>
      <c r="H98" s="49">
        <v>3</v>
      </c>
      <c r="I98" s="50" t="s">
        <v>40</v>
      </c>
      <c r="J98" s="124" t="s">
        <v>565</v>
      </c>
      <c r="K98" s="50" t="s">
        <v>26</v>
      </c>
      <c r="L98" s="50" t="s">
        <v>519</v>
      </c>
      <c r="M98" s="56" t="s">
        <v>12</v>
      </c>
      <c r="N98" s="122" t="s">
        <v>612</v>
      </c>
      <c r="O98" s="57">
        <v>4</v>
      </c>
      <c r="P98" s="45">
        <v>490</v>
      </c>
      <c r="Q98" s="58">
        <f t="shared" si="6"/>
        <v>1960</v>
      </c>
      <c r="R98" s="69" t="s">
        <v>684</v>
      </c>
      <c r="S98" s="19"/>
      <c r="T98" s="32"/>
      <c r="U98" s="32"/>
      <c r="V98" s="51">
        <f t="shared" si="7"/>
        <v>568.4</v>
      </c>
      <c r="W98" s="51">
        <f t="shared" si="8"/>
        <v>2273.6</v>
      </c>
      <c r="X98" s="52">
        <f t="shared" si="9"/>
        <v>0.38</v>
      </c>
      <c r="Y98" s="53">
        <f t="shared" si="10"/>
        <v>1.52</v>
      </c>
      <c r="Z98" s="54"/>
      <c r="AA98" s="71"/>
      <c r="AB98" s="71"/>
      <c r="AC98" s="128"/>
      <c r="AD98" s="33"/>
      <c r="AE98" s="55"/>
    </row>
    <row r="99" spans="2:31" ht="20.100000000000001" customHeight="1">
      <c r="B99" s="48">
        <v>95</v>
      </c>
      <c r="C99" s="121" t="s">
        <v>701</v>
      </c>
      <c r="D99" s="120" t="s">
        <v>349</v>
      </c>
      <c r="E99" s="120">
        <v>2603</v>
      </c>
      <c r="F99" s="120" t="s">
        <v>700</v>
      </c>
      <c r="G99" s="120" t="s">
        <v>689</v>
      </c>
      <c r="H99" s="49">
        <v>3</v>
      </c>
      <c r="I99" s="50" t="s">
        <v>140</v>
      </c>
      <c r="J99" s="124" t="s">
        <v>196</v>
      </c>
      <c r="K99" s="50" t="s">
        <v>26</v>
      </c>
      <c r="L99" s="50" t="s">
        <v>519</v>
      </c>
      <c r="M99" s="56" t="s">
        <v>12</v>
      </c>
      <c r="N99" s="122" t="s">
        <v>612</v>
      </c>
      <c r="O99" s="57">
        <v>1</v>
      </c>
      <c r="P99" s="45">
        <v>5160</v>
      </c>
      <c r="Q99" s="58">
        <f t="shared" si="6"/>
        <v>5160</v>
      </c>
      <c r="R99" s="69" t="s">
        <v>684</v>
      </c>
      <c r="S99" s="19"/>
      <c r="T99" s="32"/>
      <c r="U99" s="32"/>
      <c r="V99" s="51">
        <f t="shared" si="7"/>
        <v>5985.5999999999995</v>
      </c>
      <c r="W99" s="51">
        <f t="shared" si="8"/>
        <v>5985.5999999999995</v>
      </c>
      <c r="X99" s="52">
        <f t="shared" si="9"/>
        <v>4.03</v>
      </c>
      <c r="Y99" s="53">
        <f t="shared" si="10"/>
        <v>4.03</v>
      </c>
      <c r="Z99" s="54"/>
      <c r="AA99" s="71"/>
      <c r="AB99" s="71"/>
      <c r="AC99" s="128"/>
      <c r="AD99" s="33"/>
      <c r="AE99" s="55"/>
    </row>
    <row r="100" spans="2:31" ht="20.100000000000001" customHeight="1">
      <c r="B100" s="48">
        <v>96</v>
      </c>
      <c r="C100" s="121" t="s">
        <v>701</v>
      </c>
      <c r="D100" s="120" t="s">
        <v>349</v>
      </c>
      <c r="E100" s="120">
        <v>2603</v>
      </c>
      <c r="F100" s="120" t="s">
        <v>700</v>
      </c>
      <c r="G100" s="120" t="s">
        <v>689</v>
      </c>
      <c r="H100" s="49">
        <v>3</v>
      </c>
      <c r="I100" s="50" t="s">
        <v>226</v>
      </c>
      <c r="J100" s="124" t="s">
        <v>624</v>
      </c>
      <c r="K100" s="50" t="s">
        <v>31</v>
      </c>
      <c r="L100" s="50" t="s">
        <v>519</v>
      </c>
      <c r="M100" s="56" t="s">
        <v>12</v>
      </c>
      <c r="N100" s="122" t="s">
        <v>665</v>
      </c>
      <c r="O100" s="57">
        <v>2</v>
      </c>
      <c r="P100" s="45">
        <v>7300</v>
      </c>
      <c r="Q100" s="58">
        <f t="shared" si="6"/>
        <v>14600</v>
      </c>
      <c r="R100" s="129" t="s">
        <v>663</v>
      </c>
      <c r="S100" s="19"/>
      <c r="T100" s="32"/>
      <c r="U100" s="32"/>
      <c r="V100" s="51">
        <f t="shared" si="7"/>
        <v>8468</v>
      </c>
      <c r="W100" s="51">
        <f t="shared" si="8"/>
        <v>16936</v>
      </c>
      <c r="X100" s="52">
        <f t="shared" si="9"/>
        <v>5.7</v>
      </c>
      <c r="Y100" s="53">
        <f t="shared" si="10"/>
        <v>11.4</v>
      </c>
      <c r="Z100" s="54"/>
      <c r="AA100" s="71"/>
      <c r="AB100" s="71"/>
      <c r="AC100" s="128" t="s">
        <v>838</v>
      </c>
      <c r="AD100" s="33"/>
      <c r="AE100" s="55"/>
    </row>
    <row r="101" spans="2:31" ht="20.100000000000001" customHeight="1">
      <c r="B101" s="48">
        <v>97</v>
      </c>
      <c r="C101" s="121" t="s">
        <v>701</v>
      </c>
      <c r="D101" s="120" t="s">
        <v>349</v>
      </c>
      <c r="E101" s="120">
        <v>2603</v>
      </c>
      <c r="F101" s="120" t="s">
        <v>700</v>
      </c>
      <c r="G101" s="120" t="s">
        <v>689</v>
      </c>
      <c r="H101" s="49">
        <v>1</v>
      </c>
      <c r="I101" s="50" t="s">
        <v>135</v>
      </c>
      <c r="J101" s="124" t="s">
        <v>136</v>
      </c>
      <c r="K101" s="50" t="s">
        <v>139</v>
      </c>
      <c r="L101" s="50" t="s">
        <v>520</v>
      </c>
      <c r="M101" s="56" t="s">
        <v>12</v>
      </c>
      <c r="N101" s="122" t="s">
        <v>665</v>
      </c>
      <c r="O101" s="57">
        <v>7</v>
      </c>
      <c r="P101" s="45">
        <v>53000</v>
      </c>
      <c r="Q101" s="58">
        <f t="shared" ref="Q101:Q128" si="11">O101*P101</f>
        <v>371000</v>
      </c>
      <c r="R101" s="69" t="s">
        <v>663</v>
      </c>
      <c r="S101" s="19"/>
      <c r="T101" s="32"/>
      <c r="U101" s="32"/>
      <c r="V101" s="51">
        <f t="shared" si="7"/>
        <v>61479.999999999993</v>
      </c>
      <c r="W101" s="51">
        <f t="shared" si="8"/>
        <v>430359.99999999994</v>
      </c>
      <c r="X101" s="52">
        <f t="shared" si="9"/>
        <v>41.36</v>
      </c>
      <c r="Y101" s="53">
        <f t="shared" si="10"/>
        <v>289.52</v>
      </c>
      <c r="Z101" s="54"/>
      <c r="AA101" s="71"/>
      <c r="AB101" s="71"/>
      <c r="AC101" s="128"/>
      <c r="AD101" s="33"/>
      <c r="AE101" s="55"/>
    </row>
    <row r="102" spans="2:31" ht="20.100000000000001" customHeight="1">
      <c r="B102" s="48">
        <v>98</v>
      </c>
      <c r="C102" s="121" t="s">
        <v>701</v>
      </c>
      <c r="D102" s="120" t="s">
        <v>349</v>
      </c>
      <c r="E102" s="120">
        <v>2603</v>
      </c>
      <c r="F102" s="120" t="s">
        <v>700</v>
      </c>
      <c r="G102" s="120" t="s">
        <v>689</v>
      </c>
      <c r="H102" s="49">
        <v>1</v>
      </c>
      <c r="I102" s="50" t="s">
        <v>137</v>
      </c>
      <c r="J102" s="124" t="s">
        <v>138</v>
      </c>
      <c r="K102" s="50" t="s">
        <v>139</v>
      </c>
      <c r="L102" s="50" t="s">
        <v>520</v>
      </c>
      <c r="M102" s="56" t="s">
        <v>12</v>
      </c>
      <c r="N102" s="122" t="s">
        <v>665</v>
      </c>
      <c r="O102" s="57">
        <v>7</v>
      </c>
      <c r="P102" s="45">
        <v>59000</v>
      </c>
      <c r="Q102" s="58">
        <f t="shared" si="11"/>
        <v>413000</v>
      </c>
      <c r="R102" s="69" t="s">
        <v>663</v>
      </c>
      <c r="S102" s="19"/>
      <c r="T102" s="32"/>
      <c r="U102" s="32"/>
      <c r="V102" s="51">
        <f t="shared" si="7"/>
        <v>68440</v>
      </c>
      <c r="W102" s="51">
        <f t="shared" si="8"/>
        <v>479080</v>
      </c>
      <c r="X102" s="52">
        <f t="shared" si="9"/>
        <v>46.04</v>
      </c>
      <c r="Y102" s="53">
        <f t="shared" si="10"/>
        <v>322.27999999999997</v>
      </c>
      <c r="Z102" s="54"/>
      <c r="AA102" s="71"/>
      <c r="AB102" s="71"/>
      <c r="AC102" s="128" t="s">
        <v>845</v>
      </c>
      <c r="AD102" s="33"/>
      <c r="AE102" s="55"/>
    </row>
    <row r="103" spans="2:31" ht="20.100000000000001" customHeight="1">
      <c r="B103" s="48">
        <v>99</v>
      </c>
      <c r="C103" s="121" t="s">
        <v>701</v>
      </c>
      <c r="D103" s="120" t="s">
        <v>349</v>
      </c>
      <c r="E103" s="120">
        <v>2603</v>
      </c>
      <c r="F103" s="120" t="s">
        <v>700</v>
      </c>
      <c r="G103" s="120" t="s">
        <v>689</v>
      </c>
      <c r="H103" s="49">
        <v>1</v>
      </c>
      <c r="I103" s="50" t="s">
        <v>133</v>
      </c>
      <c r="J103" s="124" t="s">
        <v>134</v>
      </c>
      <c r="K103" s="50" t="s">
        <v>139</v>
      </c>
      <c r="L103" s="50" t="s">
        <v>520</v>
      </c>
      <c r="M103" s="56" t="s">
        <v>12</v>
      </c>
      <c r="N103" s="122" t="s">
        <v>665</v>
      </c>
      <c r="O103" s="57">
        <v>1</v>
      </c>
      <c r="P103" s="45">
        <v>78000</v>
      </c>
      <c r="Q103" s="58">
        <f t="shared" si="11"/>
        <v>78000</v>
      </c>
      <c r="R103" s="69" t="s">
        <v>663</v>
      </c>
      <c r="S103" s="19"/>
      <c r="T103" s="32"/>
      <c r="U103" s="32"/>
      <c r="V103" s="51">
        <f t="shared" si="7"/>
        <v>90480</v>
      </c>
      <c r="W103" s="51">
        <f t="shared" si="8"/>
        <v>90480</v>
      </c>
      <c r="X103" s="52">
        <f t="shared" si="9"/>
        <v>60.86</v>
      </c>
      <c r="Y103" s="53">
        <f t="shared" si="10"/>
        <v>60.86</v>
      </c>
      <c r="Z103" s="54"/>
      <c r="AA103" s="71"/>
      <c r="AB103" s="71"/>
      <c r="AC103" s="128"/>
      <c r="AD103" s="33"/>
      <c r="AE103" s="55"/>
    </row>
    <row r="104" spans="2:31" ht="20.100000000000001" customHeight="1">
      <c r="B104" s="48">
        <v>100</v>
      </c>
      <c r="C104" s="121" t="s">
        <v>701</v>
      </c>
      <c r="D104" s="120" t="s">
        <v>349</v>
      </c>
      <c r="E104" s="120">
        <v>2603</v>
      </c>
      <c r="F104" s="120" t="s">
        <v>700</v>
      </c>
      <c r="G104" s="120" t="s">
        <v>689</v>
      </c>
      <c r="H104" s="49">
        <v>2</v>
      </c>
      <c r="I104" s="50" t="s">
        <v>24</v>
      </c>
      <c r="J104" s="124" t="s">
        <v>66</v>
      </c>
      <c r="K104" s="50" t="s">
        <v>47</v>
      </c>
      <c r="L104" s="50" t="s">
        <v>521</v>
      </c>
      <c r="M104" s="56" t="s">
        <v>12</v>
      </c>
      <c r="N104" s="122" t="s">
        <v>612</v>
      </c>
      <c r="O104" s="57">
        <v>8</v>
      </c>
      <c r="P104" s="45">
        <v>34000</v>
      </c>
      <c r="Q104" s="58">
        <f t="shared" si="11"/>
        <v>272000</v>
      </c>
      <c r="R104" s="69" t="s">
        <v>663</v>
      </c>
      <c r="S104" s="19"/>
      <c r="T104" s="32"/>
      <c r="U104" s="32"/>
      <c r="V104" s="51">
        <f t="shared" si="7"/>
        <v>39440</v>
      </c>
      <c r="W104" s="51">
        <f t="shared" si="8"/>
        <v>315520</v>
      </c>
      <c r="X104" s="52">
        <f t="shared" si="9"/>
        <v>26.53</v>
      </c>
      <c r="Y104" s="53">
        <f t="shared" si="10"/>
        <v>212.24</v>
      </c>
      <c r="Z104" s="54"/>
      <c r="AA104" s="71"/>
      <c r="AB104" s="71"/>
      <c r="AC104" s="128" t="s">
        <v>844</v>
      </c>
      <c r="AD104" s="33"/>
      <c r="AE104" s="55"/>
    </row>
    <row r="105" spans="2:31" ht="20.100000000000001" customHeight="1">
      <c r="B105" s="48">
        <v>101</v>
      </c>
      <c r="C105" s="121" t="s">
        <v>701</v>
      </c>
      <c r="D105" s="120" t="s">
        <v>349</v>
      </c>
      <c r="E105" s="120">
        <v>2603</v>
      </c>
      <c r="F105" s="120" t="s">
        <v>700</v>
      </c>
      <c r="G105" s="120" t="s">
        <v>689</v>
      </c>
      <c r="H105" s="49">
        <v>2</v>
      </c>
      <c r="I105" s="50" t="s">
        <v>112</v>
      </c>
      <c r="J105" s="124" t="s">
        <v>116</v>
      </c>
      <c r="K105" s="50" t="s">
        <v>632</v>
      </c>
      <c r="L105" s="50" t="s">
        <v>521</v>
      </c>
      <c r="M105" s="56" t="s">
        <v>12</v>
      </c>
      <c r="N105" s="122" t="s">
        <v>665</v>
      </c>
      <c r="O105" s="57">
        <v>2</v>
      </c>
      <c r="P105" s="45">
        <v>23200</v>
      </c>
      <c r="Q105" s="58">
        <f t="shared" si="11"/>
        <v>46400</v>
      </c>
      <c r="R105" s="69" t="s">
        <v>663</v>
      </c>
      <c r="S105" s="19"/>
      <c r="T105" s="32"/>
      <c r="U105" s="32"/>
      <c r="V105" s="51">
        <f t="shared" si="7"/>
        <v>26911.999999999996</v>
      </c>
      <c r="W105" s="51">
        <f t="shared" si="8"/>
        <v>53823.999999999993</v>
      </c>
      <c r="X105" s="52">
        <f t="shared" si="9"/>
        <v>18.100000000000001</v>
      </c>
      <c r="Y105" s="53">
        <f t="shared" si="10"/>
        <v>36.200000000000003</v>
      </c>
      <c r="Z105" s="54"/>
      <c r="AA105" s="71"/>
      <c r="AB105" s="71"/>
      <c r="AC105" s="128"/>
      <c r="AD105" s="33"/>
      <c r="AE105" s="55"/>
    </row>
    <row r="106" spans="2:31" ht="20.100000000000001" customHeight="1">
      <c r="B106" s="48">
        <v>102</v>
      </c>
      <c r="C106" s="121" t="s">
        <v>701</v>
      </c>
      <c r="D106" s="120" t="s">
        <v>349</v>
      </c>
      <c r="E106" s="120">
        <v>2603</v>
      </c>
      <c r="F106" s="120" t="s">
        <v>700</v>
      </c>
      <c r="G106" s="120" t="s">
        <v>689</v>
      </c>
      <c r="H106" s="49">
        <v>2</v>
      </c>
      <c r="I106" s="50" t="s">
        <v>113</v>
      </c>
      <c r="J106" s="124" t="s">
        <v>117</v>
      </c>
      <c r="K106" s="50" t="s">
        <v>632</v>
      </c>
      <c r="L106" s="50" t="s">
        <v>521</v>
      </c>
      <c r="M106" s="56" t="s">
        <v>12</v>
      </c>
      <c r="N106" s="122" t="s">
        <v>665</v>
      </c>
      <c r="O106" s="57">
        <v>2</v>
      </c>
      <c r="P106" s="45">
        <v>21400</v>
      </c>
      <c r="Q106" s="58">
        <f t="shared" si="11"/>
        <v>42800</v>
      </c>
      <c r="R106" s="69" t="s">
        <v>663</v>
      </c>
      <c r="S106" s="19"/>
      <c r="T106" s="32"/>
      <c r="U106" s="32"/>
      <c r="V106" s="51">
        <f t="shared" si="7"/>
        <v>24824</v>
      </c>
      <c r="W106" s="51">
        <f t="shared" si="8"/>
        <v>49648</v>
      </c>
      <c r="X106" s="52">
        <f t="shared" si="9"/>
        <v>16.7</v>
      </c>
      <c r="Y106" s="53">
        <f t="shared" si="10"/>
        <v>33.4</v>
      </c>
      <c r="Z106" s="54"/>
      <c r="AA106" s="71"/>
      <c r="AB106" s="71"/>
      <c r="AC106" s="128"/>
      <c r="AD106" s="33"/>
      <c r="AE106" s="55"/>
    </row>
    <row r="107" spans="2:31" ht="20.100000000000001" customHeight="1">
      <c r="B107" s="48">
        <v>103</v>
      </c>
      <c r="C107" s="121" t="s">
        <v>701</v>
      </c>
      <c r="D107" s="120" t="s">
        <v>349</v>
      </c>
      <c r="E107" s="120">
        <v>2603</v>
      </c>
      <c r="F107" s="120" t="s">
        <v>700</v>
      </c>
      <c r="G107" s="120" t="s">
        <v>689</v>
      </c>
      <c r="H107" s="49">
        <v>2</v>
      </c>
      <c r="I107" s="50" t="s">
        <v>566</v>
      </c>
      <c r="J107" s="124" t="s">
        <v>567</v>
      </c>
      <c r="K107" s="50" t="s">
        <v>632</v>
      </c>
      <c r="L107" s="50" t="s">
        <v>521</v>
      </c>
      <c r="M107" s="56" t="s">
        <v>12</v>
      </c>
      <c r="N107" s="122" t="s">
        <v>665</v>
      </c>
      <c r="O107" s="57">
        <v>2</v>
      </c>
      <c r="P107" s="45">
        <v>14100</v>
      </c>
      <c r="Q107" s="58">
        <f t="shared" si="11"/>
        <v>28200</v>
      </c>
      <c r="R107" s="69" t="s">
        <v>663</v>
      </c>
      <c r="S107" s="19"/>
      <c r="T107" s="32"/>
      <c r="U107" s="32"/>
      <c r="V107" s="51">
        <f t="shared" si="7"/>
        <v>16355.999999999998</v>
      </c>
      <c r="W107" s="51">
        <f t="shared" si="8"/>
        <v>32711.999999999996</v>
      </c>
      <c r="X107" s="52">
        <f t="shared" si="9"/>
        <v>11</v>
      </c>
      <c r="Y107" s="53">
        <f t="shared" si="10"/>
        <v>22</v>
      </c>
      <c r="Z107" s="54"/>
      <c r="AA107" s="71"/>
      <c r="AB107" s="71"/>
      <c r="AC107" s="128"/>
      <c r="AD107" s="33"/>
      <c r="AE107" s="55"/>
    </row>
    <row r="108" spans="2:31" ht="20.100000000000001" customHeight="1">
      <c r="B108" s="48">
        <v>104</v>
      </c>
      <c r="C108" s="121" t="s">
        <v>701</v>
      </c>
      <c r="D108" s="120" t="s">
        <v>349</v>
      </c>
      <c r="E108" s="120">
        <v>2603</v>
      </c>
      <c r="F108" s="120" t="s">
        <v>700</v>
      </c>
      <c r="G108" s="120" t="s">
        <v>689</v>
      </c>
      <c r="H108" s="49">
        <v>2</v>
      </c>
      <c r="I108" s="50" t="s">
        <v>112</v>
      </c>
      <c r="J108" s="124" t="s">
        <v>114</v>
      </c>
      <c r="K108" s="50" t="s">
        <v>632</v>
      </c>
      <c r="L108" s="50" t="s">
        <v>521</v>
      </c>
      <c r="M108" s="56" t="s">
        <v>12</v>
      </c>
      <c r="N108" s="122" t="s">
        <v>665</v>
      </c>
      <c r="O108" s="57">
        <v>1</v>
      </c>
      <c r="P108" s="45">
        <v>26600</v>
      </c>
      <c r="Q108" s="58">
        <f t="shared" si="11"/>
        <v>26600</v>
      </c>
      <c r="R108" s="69" t="s">
        <v>663</v>
      </c>
      <c r="S108" s="19"/>
      <c r="T108" s="32"/>
      <c r="U108" s="32"/>
      <c r="V108" s="51">
        <f t="shared" si="7"/>
        <v>30855.999999999996</v>
      </c>
      <c r="W108" s="51">
        <f t="shared" si="8"/>
        <v>30855.999999999996</v>
      </c>
      <c r="X108" s="52">
        <f t="shared" si="9"/>
        <v>20.76</v>
      </c>
      <c r="Y108" s="53">
        <f t="shared" si="10"/>
        <v>20.76</v>
      </c>
      <c r="Z108" s="54"/>
      <c r="AA108" s="71"/>
      <c r="AB108" s="71"/>
      <c r="AC108" s="128"/>
      <c r="AD108" s="33"/>
      <c r="AE108" s="55"/>
    </row>
    <row r="109" spans="2:31" ht="20.100000000000001" customHeight="1">
      <c r="B109" s="48">
        <v>105</v>
      </c>
      <c r="C109" s="121" t="s">
        <v>701</v>
      </c>
      <c r="D109" s="120" t="s">
        <v>349</v>
      </c>
      <c r="E109" s="120">
        <v>2603</v>
      </c>
      <c r="F109" s="120" t="s">
        <v>700</v>
      </c>
      <c r="G109" s="120" t="s">
        <v>689</v>
      </c>
      <c r="H109" s="49">
        <v>2</v>
      </c>
      <c r="I109" s="50" t="s">
        <v>113</v>
      </c>
      <c r="J109" s="124" t="s">
        <v>115</v>
      </c>
      <c r="K109" s="50" t="s">
        <v>632</v>
      </c>
      <c r="L109" s="50" t="s">
        <v>521</v>
      </c>
      <c r="M109" s="56" t="s">
        <v>12</v>
      </c>
      <c r="N109" s="122" t="s">
        <v>665</v>
      </c>
      <c r="O109" s="57">
        <v>1</v>
      </c>
      <c r="P109" s="45">
        <v>22800</v>
      </c>
      <c r="Q109" s="58">
        <f t="shared" si="11"/>
        <v>22800</v>
      </c>
      <c r="R109" s="69" t="s">
        <v>663</v>
      </c>
      <c r="S109" s="19"/>
      <c r="T109" s="32"/>
      <c r="U109" s="32"/>
      <c r="V109" s="51">
        <f t="shared" si="7"/>
        <v>26447.999999999996</v>
      </c>
      <c r="W109" s="51">
        <f t="shared" si="8"/>
        <v>26447.999999999996</v>
      </c>
      <c r="X109" s="52">
        <f t="shared" si="9"/>
        <v>17.79</v>
      </c>
      <c r="Y109" s="53">
        <f t="shared" si="10"/>
        <v>17.79</v>
      </c>
      <c r="Z109" s="54"/>
      <c r="AA109" s="71"/>
      <c r="AB109" s="71"/>
      <c r="AC109" s="128"/>
      <c r="AD109" s="33"/>
      <c r="AE109" s="55"/>
    </row>
    <row r="110" spans="2:31" ht="20.100000000000001" customHeight="1">
      <c r="B110" s="48">
        <v>106</v>
      </c>
      <c r="C110" s="121" t="s">
        <v>701</v>
      </c>
      <c r="D110" s="120" t="s">
        <v>349</v>
      </c>
      <c r="E110" s="120">
        <v>2603</v>
      </c>
      <c r="F110" s="120" t="s">
        <v>700</v>
      </c>
      <c r="G110" s="120" t="s">
        <v>689</v>
      </c>
      <c r="H110" s="49">
        <v>2</v>
      </c>
      <c r="I110" s="50" t="s">
        <v>528</v>
      </c>
      <c r="J110" s="124" t="s">
        <v>568</v>
      </c>
      <c r="K110" s="50" t="s">
        <v>632</v>
      </c>
      <c r="L110" s="50" t="s">
        <v>521</v>
      </c>
      <c r="M110" s="56" t="s">
        <v>12</v>
      </c>
      <c r="N110" s="122" t="s">
        <v>665</v>
      </c>
      <c r="O110" s="57">
        <v>3</v>
      </c>
      <c r="P110" s="45">
        <v>4000</v>
      </c>
      <c r="Q110" s="58">
        <f t="shared" si="11"/>
        <v>12000</v>
      </c>
      <c r="R110" s="69" t="s">
        <v>663</v>
      </c>
      <c r="S110" s="19"/>
      <c r="T110" s="32"/>
      <c r="U110" s="32"/>
      <c r="V110" s="51">
        <f t="shared" si="7"/>
        <v>4640</v>
      </c>
      <c r="W110" s="51">
        <f t="shared" si="8"/>
        <v>13920</v>
      </c>
      <c r="X110" s="52">
        <f t="shared" si="9"/>
        <v>3.12</v>
      </c>
      <c r="Y110" s="53">
        <f t="shared" si="10"/>
        <v>9.36</v>
      </c>
      <c r="Z110" s="54"/>
      <c r="AA110" s="71"/>
      <c r="AB110" s="71"/>
      <c r="AC110" s="128"/>
      <c r="AD110" s="33"/>
      <c r="AE110" s="55"/>
    </row>
    <row r="111" spans="2:31" ht="20.100000000000001" customHeight="1">
      <c r="B111" s="48">
        <v>107</v>
      </c>
      <c r="C111" s="121" t="s">
        <v>701</v>
      </c>
      <c r="D111" s="120" t="s">
        <v>349</v>
      </c>
      <c r="E111" s="120">
        <v>2603</v>
      </c>
      <c r="F111" s="120" t="s">
        <v>700</v>
      </c>
      <c r="G111" s="120" t="s">
        <v>689</v>
      </c>
      <c r="H111" s="49">
        <v>1</v>
      </c>
      <c r="I111" s="50" t="s">
        <v>180</v>
      </c>
      <c r="J111" s="124" t="s">
        <v>184</v>
      </c>
      <c r="K111" s="50" t="s">
        <v>181</v>
      </c>
      <c r="L111" s="50" t="s">
        <v>521</v>
      </c>
      <c r="M111" s="56" t="s">
        <v>12</v>
      </c>
      <c r="N111" s="122" t="s">
        <v>665</v>
      </c>
      <c r="O111" s="57">
        <v>5</v>
      </c>
      <c r="P111" s="45">
        <v>8700</v>
      </c>
      <c r="Q111" s="58">
        <f t="shared" si="11"/>
        <v>43500</v>
      </c>
      <c r="R111" s="69" t="s">
        <v>663</v>
      </c>
      <c r="S111" s="19"/>
      <c r="T111" s="32"/>
      <c r="U111" s="32"/>
      <c r="V111" s="51">
        <f t="shared" si="7"/>
        <v>10092</v>
      </c>
      <c r="W111" s="51">
        <f t="shared" si="8"/>
        <v>50460</v>
      </c>
      <c r="X111" s="52">
        <f t="shared" si="9"/>
        <v>6.79</v>
      </c>
      <c r="Y111" s="53">
        <f t="shared" si="10"/>
        <v>33.950000000000003</v>
      </c>
      <c r="Z111" s="54"/>
      <c r="AA111" s="71"/>
      <c r="AB111" s="71"/>
      <c r="AC111" s="128"/>
      <c r="AD111" s="33"/>
      <c r="AE111" s="55"/>
    </row>
    <row r="112" spans="2:31" ht="20.100000000000001" customHeight="1">
      <c r="B112" s="48">
        <v>108</v>
      </c>
      <c r="C112" s="121" t="s">
        <v>701</v>
      </c>
      <c r="D112" s="120" t="s">
        <v>349</v>
      </c>
      <c r="E112" s="120">
        <v>2603</v>
      </c>
      <c r="F112" s="120" t="s">
        <v>700</v>
      </c>
      <c r="G112" s="120" t="s">
        <v>689</v>
      </c>
      <c r="H112" s="49">
        <v>1</v>
      </c>
      <c r="I112" s="50" t="s">
        <v>182</v>
      </c>
      <c r="J112" s="124" t="s">
        <v>185</v>
      </c>
      <c r="K112" s="50" t="s">
        <v>181</v>
      </c>
      <c r="L112" s="50" t="s">
        <v>521</v>
      </c>
      <c r="M112" s="56" t="s">
        <v>12</v>
      </c>
      <c r="N112" s="122" t="s">
        <v>665</v>
      </c>
      <c r="O112" s="57">
        <v>4</v>
      </c>
      <c r="P112" s="45">
        <v>34900</v>
      </c>
      <c r="Q112" s="58">
        <f t="shared" si="11"/>
        <v>139600</v>
      </c>
      <c r="R112" s="69" t="s">
        <v>663</v>
      </c>
      <c r="S112" s="19"/>
      <c r="T112" s="32"/>
      <c r="U112" s="32"/>
      <c r="V112" s="51">
        <f t="shared" si="7"/>
        <v>40484</v>
      </c>
      <c r="W112" s="51">
        <f t="shared" si="8"/>
        <v>161936</v>
      </c>
      <c r="X112" s="52">
        <f t="shared" si="9"/>
        <v>27.23</v>
      </c>
      <c r="Y112" s="53">
        <f t="shared" si="10"/>
        <v>108.92</v>
      </c>
      <c r="Z112" s="54"/>
      <c r="AA112" s="71"/>
      <c r="AB112" s="71"/>
      <c r="AC112" s="128"/>
      <c r="AD112" s="33"/>
      <c r="AE112" s="55"/>
    </row>
    <row r="113" spans="2:31" ht="20.100000000000001" customHeight="1">
      <c r="B113" s="48">
        <v>109</v>
      </c>
      <c r="C113" s="121" t="s">
        <v>701</v>
      </c>
      <c r="D113" s="120" t="s">
        <v>349</v>
      </c>
      <c r="E113" s="120">
        <v>2603</v>
      </c>
      <c r="F113" s="120" t="s">
        <v>700</v>
      </c>
      <c r="G113" s="120" t="s">
        <v>689</v>
      </c>
      <c r="H113" s="49">
        <v>1</v>
      </c>
      <c r="I113" s="50" t="s">
        <v>183</v>
      </c>
      <c r="J113" s="124" t="s">
        <v>186</v>
      </c>
      <c r="K113" s="50" t="s">
        <v>181</v>
      </c>
      <c r="L113" s="50" t="s">
        <v>521</v>
      </c>
      <c r="M113" s="56" t="s">
        <v>12</v>
      </c>
      <c r="N113" s="122" t="s">
        <v>665</v>
      </c>
      <c r="O113" s="57">
        <v>5</v>
      </c>
      <c r="P113" s="45">
        <v>20600</v>
      </c>
      <c r="Q113" s="58">
        <f t="shared" si="11"/>
        <v>103000</v>
      </c>
      <c r="R113" s="69" t="s">
        <v>663</v>
      </c>
      <c r="S113" s="19"/>
      <c r="T113" s="32"/>
      <c r="U113" s="32"/>
      <c r="V113" s="51">
        <f t="shared" si="7"/>
        <v>23896</v>
      </c>
      <c r="W113" s="51">
        <f t="shared" si="8"/>
        <v>119480</v>
      </c>
      <c r="X113" s="52">
        <f t="shared" si="9"/>
        <v>16.07</v>
      </c>
      <c r="Y113" s="53">
        <f t="shared" si="10"/>
        <v>80.349999999999994</v>
      </c>
      <c r="Z113" s="54"/>
      <c r="AA113" s="71"/>
      <c r="AB113" s="71"/>
      <c r="AC113" s="128"/>
      <c r="AD113" s="33"/>
      <c r="AE113" s="55"/>
    </row>
    <row r="114" spans="2:31" ht="20.100000000000001" customHeight="1">
      <c r="B114" s="48">
        <v>110</v>
      </c>
      <c r="C114" s="121" t="s">
        <v>701</v>
      </c>
      <c r="D114" s="120" t="s">
        <v>349</v>
      </c>
      <c r="E114" s="120">
        <v>2603</v>
      </c>
      <c r="F114" s="120" t="s">
        <v>700</v>
      </c>
      <c r="G114" s="120" t="s">
        <v>689</v>
      </c>
      <c r="H114" s="49">
        <v>2</v>
      </c>
      <c r="I114" s="50" t="s">
        <v>569</v>
      </c>
      <c r="J114" s="124" t="s">
        <v>674</v>
      </c>
      <c r="K114" s="50" t="s">
        <v>38</v>
      </c>
      <c r="L114" s="50" t="s">
        <v>521</v>
      </c>
      <c r="M114" s="56" t="s">
        <v>12</v>
      </c>
      <c r="N114" s="122" t="s">
        <v>665</v>
      </c>
      <c r="O114" s="57">
        <v>4</v>
      </c>
      <c r="P114" s="45">
        <v>34400</v>
      </c>
      <c r="Q114" s="58">
        <f t="shared" si="11"/>
        <v>137600</v>
      </c>
      <c r="R114" s="69" t="s">
        <v>663</v>
      </c>
      <c r="S114" s="19"/>
      <c r="T114" s="32"/>
      <c r="U114" s="32"/>
      <c r="V114" s="51">
        <f t="shared" si="7"/>
        <v>39904</v>
      </c>
      <c r="W114" s="51">
        <f t="shared" si="8"/>
        <v>159616</v>
      </c>
      <c r="X114" s="52">
        <f t="shared" si="9"/>
        <v>26.84</v>
      </c>
      <c r="Y114" s="53">
        <f t="shared" si="10"/>
        <v>107.36</v>
      </c>
      <c r="Z114" s="54"/>
      <c r="AA114" s="71"/>
      <c r="AB114" s="71"/>
      <c r="AC114" s="128"/>
      <c r="AD114" s="33"/>
      <c r="AE114" s="55"/>
    </row>
    <row r="115" spans="2:31" ht="20.100000000000001" customHeight="1">
      <c r="B115" s="48">
        <v>111</v>
      </c>
      <c r="C115" s="121" t="s">
        <v>701</v>
      </c>
      <c r="D115" s="120" t="s">
        <v>349</v>
      </c>
      <c r="E115" s="120">
        <v>2603</v>
      </c>
      <c r="F115" s="120" t="s">
        <v>700</v>
      </c>
      <c r="G115" s="120" t="s">
        <v>689</v>
      </c>
      <c r="H115" s="49">
        <v>3</v>
      </c>
      <c r="I115" s="50" t="s">
        <v>510</v>
      </c>
      <c r="J115" s="124" t="s">
        <v>511</v>
      </c>
      <c r="K115" s="50" t="s">
        <v>181</v>
      </c>
      <c r="L115" s="50" t="s">
        <v>521</v>
      </c>
      <c r="M115" s="56" t="s">
        <v>12</v>
      </c>
      <c r="N115" s="122" t="s">
        <v>665</v>
      </c>
      <c r="O115" s="57">
        <v>5</v>
      </c>
      <c r="P115" s="45">
        <v>14400</v>
      </c>
      <c r="Q115" s="58">
        <f t="shared" si="11"/>
        <v>72000</v>
      </c>
      <c r="R115" s="69" t="s">
        <v>684</v>
      </c>
      <c r="S115" s="19"/>
      <c r="T115" s="32"/>
      <c r="U115" s="32"/>
      <c r="V115" s="51">
        <f t="shared" si="7"/>
        <v>16704</v>
      </c>
      <c r="W115" s="51">
        <f t="shared" si="8"/>
        <v>83520</v>
      </c>
      <c r="X115" s="52">
        <f t="shared" si="9"/>
        <v>11.24</v>
      </c>
      <c r="Y115" s="53">
        <f t="shared" si="10"/>
        <v>56.2</v>
      </c>
      <c r="Z115" s="54"/>
      <c r="AA115" s="71"/>
      <c r="AB115" s="71"/>
      <c r="AC115" s="128"/>
      <c r="AD115" s="33"/>
      <c r="AE115" s="55"/>
    </row>
    <row r="116" spans="2:31" ht="20.100000000000001" customHeight="1">
      <c r="B116" s="48">
        <v>112</v>
      </c>
      <c r="C116" s="121" t="s">
        <v>701</v>
      </c>
      <c r="D116" s="120" t="s">
        <v>349</v>
      </c>
      <c r="E116" s="120">
        <v>2603</v>
      </c>
      <c r="F116" s="120" t="s">
        <v>700</v>
      </c>
      <c r="G116" s="120" t="s">
        <v>689</v>
      </c>
      <c r="H116" s="49">
        <v>3</v>
      </c>
      <c r="I116" s="50" t="s">
        <v>510</v>
      </c>
      <c r="J116" s="124" t="s">
        <v>512</v>
      </c>
      <c r="K116" s="50" t="s">
        <v>181</v>
      </c>
      <c r="L116" s="50" t="s">
        <v>521</v>
      </c>
      <c r="M116" s="56" t="s">
        <v>12</v>
      </c>
      <c r="N116" s="122" t="s">
        <v>665</v>
      </c>
      <c r="O116" s="57">
        <v>1</v>
      </c>
      <c r="P116" s="45">
        <v>26800</v>
      </c>
      <c r="Q116" s="58">
        <f t="shared" si="11"/>
        <v>26800</v>
      </c>
      <c r="R116" s="69" t="s">
        <v>684</v>
      </c>
      <c r="S116" s="19"/>
      <c r="T116" s="32"/>
      <c r="U116" s="32"/>
      <c r="V116" s="51">
        <f t="shared" si="7"/>
        <v>31087.999999999996</v>
      </c>
      <c r="W116" s="51">
        <f t="shared" si="8"/>
        <v>31087.999999999996</v>
      </c>
      <c r="X116" s="52">
        <f t="shared" si="9"/>
        <v>20.91</v>
      </c>
      <c r="Y116" s="53">
        <f t="shared" si="10"/>
        <v>20.91</v>
      </c>
      <c r="Z116" s="54"/>
      <c r="AA116" s="71"/>
      <c r="AB116" s="71"/>
      <c r="AC116" s="128"/>
      <c r="AD116" s="33"/>
      <c r="AE116" s="55"/>
    </row>
    <row r="117" spans="2:31" ht="20.100000000000001" customHeight="1">
      <c r="B117" s="48">
        <v>113</v>
      </c>
      <c r="C117" s="121" t="s">
        <v>701</v>
      </c>
      <c r="D117" s="120" t="s">
        <v>349</v>
      </c>
      <c r="E117" s="120">
        <v>2603</v>
      </c>
      <c r="F117" s="120" t="s">
        <v>700</v>
      </c>
      <c r="G117" s="120" t="s">
        <v>689</v>
      </c>
      <c r="H117" s="49">
        <v>3</v>
      </c>
      <c r="I117" s="50" t="s">
        <v>510</v>
      </c>
      <c r="J117" s="124" t="s">
        <v>513</v>
      </c>
      <c r="K117" s="50" t="s">
        <v>181</v>
      </c>
      <c r="L117" s="50" t="s">
        <v>521</v>
      </c>
      <c r="M117" s="56" t="s">
        <v>12</v>
      </c>
      <c r="N117" s="122" t="s">
        <v>665</v>
      </c>
      <c r="O117" s="57">
        <v>1</v>
      </c>
      <c r="P117" s="45">
        <v>22800</v>
      </c>
      <c r="Q117" s="58">
        <f t="shared" si="11"/>
        <v>22800</v>
      </c>
      <c r="R117" s="69" t="s">
        <v>684</v>
      </c>
      <c r="S117" s="19"/>
      <c r="T117" s="32"/>
      <c r="U117" s="32"/>
      <c r="V117" s="51">
        <f t="shared" si="7"/>
        <v>26447.999999999996</v>
      </c>
      <c r="W117" s="51">
        <f t="shared" si="8"/>
        <v>26447.999999999996</v>
      </c>
      <c r="X117" s="52">
        <f t="shared" si="9"/>
        <v>17.79</v>
      </c>
      <c r="Y117" s="53">
        <f t="shared" si="10"/>
        <v>17.79</v>
      </c>
      <c r="Z117" s="54"/>
      <c r="AA117" s="71"/>
      <c r="AB117" s="71"/>
      <c r="AC117" s="128"/>
      <c r="AD117" s="33"/>
      <c r="AE117" s="55"/>
    </row>
    <row r="118" spans="2:31" ht="20.100000000000001" customHeight="1">
      <c r="B118" s="48">
        <v>114</v>
      </c>
      <c r="C118" s="121" t="s">
        <v>701</v>
      </c>
      <c r="D118" s="120" t="s">
        <v>349</v>
      </c>
      <c r="E118" s="120">
        <v>2603</v>
      </c>
      <c r="F118" s="120" t="s">
        <v>700</v>
      </c>
      <c r="G118" s="120" t="s">
        <v>689</v>
      </c>
      <c r="H118" s="49">
        <v>3</v>
      </c>
      <c r="I118" s="50" t="s">
        <v>510</v>
      </c>
      <c r="J118" s="124" t="s">
        <v>514</v>
      </c>
      <c r="K118" s="50" t="s">
        <v>181</v>
      </c>
      <c r="L118" s="50" t="s">
        <v>521</v>
      </c>
      <c r="M118" s="56" t="s">
        <v>12</v>
      </c>
      <c r="N118" s="122" t="s">
        <v>665</v>
      </c>
      <c r="O118" s="57">
        <v>1</v>
      </c>
      <c r="P118" s="45">
        <v>13600</v>
      </c>
      <c r="Q118" s="58">
        <f t="shared" si="11"/>
        <v>13600</v>
      </c>
      <c r="R118" s="69" t="s">
        <v>684</v>
      </c>
      <c r="S118" s="19"/>
      <c r="T118" s="32"/>
      <c r="U118" s="32"/>
      <c r="V118" s="51">
        <f t="shared" si="7"/>
        <v>15775.999999999998</v>
      </c>
      <c r="W118" s="51">
        <f t="shared" si="8"/>
        <v>15775.999999999998</v>
      </c>
      <c r="X118" s="52">
        <f t="shared" si="9"/>
        <v>10.61</v>
      </c>
      <c r="Y118" s="53">
        <f t="shared" si="10"/>
        <v>10.61</v>
      </c>
      <c r="Z118" s="54"/>
      <c r="AA118" s="71"/>
      <c r="AB118" s="71"/>
      <c r="AC118" s="128"/>
      <c r="AD118" s="33"/>
      <c r="AE118" s="55"/>
    </row>
    <row r="119" spans="2:31" ht="20.100000000000001" customHeight="1">
      <c r="B119" s="48">
        <v>115</v>
      </c>
      <c r="C119" s="121" t="s">
        <v>701</v>
      </c>
      <c r="D119" s="120" t="s">
        <v>349</v>
      </c>
      <c r="E119" s="120">
        <v>2603</v>
      </c>
      <c r="F119" s="120" t="s">
        <v>700</v>
      </c>
      <c r="G119" s="120" t="s">
        <v>689</v>
      </c>
      <c r="H119" s="49">
        <v>2</v>
      </c>
      <c r="I119" s="50" t="s">
        <v>570</v>
      </c>
      <c r="J119" s="124" t="s">
        <v>675</v>
      </c>
      <c r="K119" s="50" t="s">
        <v>118</v>
      </c>
      <c r="L119" s="50" t="s">
        <v>601</v>
      </c>
      <c r="M119" s="56" t="s">
        <v>12</v>
      </c>
      <c r="N119" s="122" t="s">
        <v>665</v>
      </c>
      <c r="O119" s="57">
        <v>2</v>
      </c>
      <c r="P119" s="45">
        <v>14500</v>
      </c>
      <c r="Q119" s="58">
        <f t="shared" si="11"/>
        <v>29000</v>
      </c>
      <c r="R119" s="69" t="s">
        <v>663</v>
      </c>
      <c r="S119" s="19"/>
      <c r="T119" s="32"/>
      <c r="U119" s="32"/>
      <c r="V119" s="51">
        <f t="shared" si="7"/>
        <v>16820</v>
      </c>
      <c r="W119" s="51">
        <f t="shared" si="8"/>
        <v>33640</v>
      </c>
      <c r="X119" s="52">
        <f t="shared" si="9"/>
        <v>11.31</v>
      </c>
      <c r="Y119" s="53">
        <f t="shared" si="10"/>
        <v>22.62</v>
      </c>
      <c r="Z119" s="54"/>
      <c r="AA119" s="71"/>
      <c r="AB119" s="71"/>
      <c r="AC119" s="128"/>
      <c r="AD119" s="33"/>
      <c r="AE119" s="55"/>
    </row>
    <row r="120" spans="2:31" ht="20.100000000000001" customHeight="1">
      <c r="B120" s="48">
        <v>116</v>
      </c>
      <c r="C120" s="121" t="s">
        <v>701</v>
      </c>
      <c r="D120" s="120" t="s">
        <v>349</v>
      </c>
      <c r="E120" s="120">
        <v>2603</v>
      </c>
      <c r="F120" s="120" t="s">
        <v>700</v>
      </c>
      <c r="G120" s="120" t="s">
        <v>689</v>
      </c>
      <c r="H120" s="49">
        <v>2</v>
      </c>
      <c r="I120" s="50" t="s">
        <v>570</v>
      </c>
      <c r="J120" s="124" t="s">
        <v>676</v>
      </c>
      <c r="K120" s="50" t="s">
        <v>118</v>
      </c>
      <c r="L120" s="50" t="s">
        <v>601</v>
      </c>
      <c r="M120" s="56" t="s">
        <v>12</v>
      </c>
      <c r="N120" s="122" t="s">
        <v>665</v>
      </c>
      <c r="O120" s="57">
        <v>1</v>
      </c>
      <c r="P120" s="45">
        <v>10500</v>
      </c>
      <c r="Q120" s="58">
        <f t="shared" si="11"/>
        <v>10500</v>
      </c>
      <c r="R120" s="69" t="s">
        <v>663</v>
      </c>
      <c r="S120" s="19"/>
      <c r="T120" s="32"/>
      <c r="U120" s="32"/>
      <c r="V120" s="51">
        <f t="shared" si="7"/>
        <v>12180</v>
      </c>
      <c r="W120" s="51">
        <f t="shared" si="8"/>
        <v>12180</v>
      </c>
      <c r="X120" s="52">
        <f t="shared" si="9"/>
        <v>8.19</v>
      </c>
      <c r="Y120" s="53">
        <f t="shared" si="10"/>
        <v>8.19</v>
      </c>
      <c r="Z120" s="54"/>
      <c r="AA120" s="71"/>
      <c r="AB120" s="71"/>
      <c r="AC120" s="128"/>
      <c r="AD120" s="33"/>
      <c r="AE120" s="55"/>
    </row>
    <row r="121" spans="2:31" ht="20.100000000000001" customHeight="1">
      <c r="B121" s="48">
        <v>117</v>
      </c>
      <c r="C121" s="121" t="s">
        <v>701</v>
      </c>
      <c r="D121" s="120" t="s">
        <v>349</v>
      </c>
      <c r="E121" s="120">
        <v>2603</v>
      </c>
      <c r="F121" s="120" t="s">
        <v>700</v>
      </c>
      <c r="G121" s="120" t="s">
        <v>689</v>
      </c>
      <c r="H121" s="49">
        <v>2</v>
      </c>
      <c r="I121" s="50" t="s">
        <v>570</v>
      </c>
      <c r="J121" s="124" t="s">
        <v>677</v>
      </c>
      <c r="K121" s="50" t="s">
        <v>118</v>
      </c>
      <c r="L121" s="50" t="s">
        <v>601</v>
      </c>
      <c r="M121" s="56" t="s">
        <v>12</v>
      </c>
      <c r="N121" s="122" t="s">
        <v>665</v>
      </c>
      <c r="O121" s="57">
        <v>1</v>
      </c>
      <c r="P121" s="45">
        <v>41200</v>
      </c>
      <c r="Q121" s="58">
        <f t="shared" si="11"/>
        <v>41200</v>
      </c>
      <c r="R121" s="69" t="s">
        <v>663</v>
      </c>
      <c r="S121" s="19"/>
      <c r="T121" s="32"/>
      <c r="U121" s="32"/>
      <c r="V121" s="51">
        <f t="shared" si="7"/>
        <v>47792</v>
      </c>
      <c r="W121" s="51">
        <f t="shared" si="8"/>
        <v>47792</v>
      </c>
      <c r="X121" s="52">
        <f t="shared" si="9"/>
        <v>32.15</v>
      </c>
      <c r="Y121" s="53">
        <f t="shared" si="10"/>
        <v>32.15</v>
      </c>
      <c r="Z121" s="54"/>
      <c r="AA121" s="71"/>
      <c r="AB121" s="71"/>
      <c r="AC121" s="128"/>
      <c r="AD121" s="33"/>
      <c r="AE121" s="55"/>
    </row>
    <row r="122" spans="2:31" ht="20.100000000000001" customHeight="1">
      <c r="B122" s="48">
        <v>118</v>
      </c>
      <c r="C122" s="121" t="s">
        <v>701</v>
      </c>
      <c r="D122" s="120" t="s">
        <v>349</v>
      </c>
      <c r="E122" s="120">
        <v>2603</v>
      </c>
      <c r="F122" s="120" t="s">
        <v>700</v>
      </c>
      <c r="G122" s="120" t="s">
        <v>689</v>
      </c>
      <c r="H122" s="49">
        <v>2</v>
      </c>
      <c r="I122" s="50" t="s">
        <v>570</v>
      </c>
      <c r="J122" s="124" t="s">
        <v>678</v>
      </c>
      <c r="K122" s="50" t="s">
        <v>118</v>
      </c>
      <c r="L122" s="50" t="s">
        <v>601</v>
      </c>
      <c r="M122" s="56" t="s">
        <v>12</v>
      </c>
      <c r="N122" s="122" t="s">
        <v>665</v>
      </c>
      <c r="O122" s="57">
        <v>1</v>
      </c>
      <c r="P122" s="45">
        <v>26000</v>
      </c>
      <c r="Q122" s="58">
        <f t="shared" si="11"/>
        <v>26000</v>
      </c>
      <c r="R122" s="69" t="s">
        <v>663</v>
      </c>
      <c r="S122" s="19"/>
      <c r="T122" s="32"/>
      <c r="U122" s="32"/>
      <c r="V122" s="51">
        <f t="shared" si="7"/>
        <v>30159.999999999996</v>
      </c>
      <c r="W122" s="51">
        <f t="shared" si="8"/>
        <v>30159.999999999996</v>
      </c>
      <c r="X122" s="52">
        <f t="shared" si="9"/>
        <v>20.29</v>
      </c>
      <c r="Y122" s="53">
        <f t="shared" si="10"/>
        <v>20.29</v>
      </c>
      <c r="Z122" s="54"/>
      <c r="AA122" s="71"/>
      <c r="AB122" s="71"/>
      <c r="AC122" s="128"/>
      <c r="AD122" s="33"/>
      <c r="AE122" s="55"/>
    </row>
    <row r="123" spans="2:31" ht="20.100000000000001" customHeight="1">
      <c r="B123" s="48">
        <v>119</v>
      </c>
      <c r="C123" s="121" t="s">
        <v>701</v>
      </c>
      <c r="D123" s="120" t="s">
        <v>349</v>
      </c>
      <c r="E123" s="120">
        <v>2603</v>
      </c>
      <c r="F123" s="120" t="s">
        <v>700</v>
      </c>
      <c r="G123" s="120" t="s">
        <v>689</v>
      </c>
      <c r="H123" s="49">
        <v>2</v>
      </c>
      <c r="I123" s="50" t="s">
        <v>570</v>
      </c>
      <c r="J123" s="124" t="s">
        <v>670</v>
      </c>
      <c r="K123" s="50" t="s">
        <v>118</v>
      </c>
      <c r="L123" s="50" t="s">
        <v>601</v>
      </c>
      <c r="M123" s="56" t="s">
        <v>12</v>
      </c>
      <c r="N123" s="122" t="s">
        <v>665</v>
      </c>
      <c r="O123" s="57">
        <v>1</v>
      </c>
      <c r="P123" s="45">
        <v>10500</v>
      </c>
      <c r="Q123" s="58">
        <f t="shared" si="11"/>
        <v>10500</v>
      </c>
      <c r="R123" s="129" t="s">
        <v>663</v>
      </c>
      <c r="S123" s="19"/>
      <c r="T123" s="32"/>
      <c r="U123" s="32"/>
      <c r="V123" s="51">
        <f t="shared" si="7"/>
        <v>12180</v>
      </c>
      <c r="W123" s="51">
        <f t="shared" si="8"/>
        <v>12180</v>
      </c>
      <c r="X123" s="52">
        <f t="shared" si="9"/>
        <v>8.19</v>
      </c>
      <c r="Y123" s="53">
        <f t="shared" si="10"/>
        <v>8.19</v>
      </c>
      <c r="Z123" s="54"/>
      <c r="AA123" s="71"/>
      <c r="AB123" s="71"/>
      <c r="AC123" s="128" t="s">
        <v>838</v>
      </c>
      <c r="AD123" s="33"/>
      <c r="AE123" s="55"/>
    </row>
    <row r="124" spans="2:31" ht="20.100000000000001" customHeight="1">
      <c r="B124" s="48">
        <v>120</v>
      </c>
      <c r="C124" s="121" t="s">
        <v>701</v>
      </c>
      <c r="D124" s="120" t="s">
        <v>349</v>
      </c>
      <c r="E124" s="120">
        <v>2603</v>
      </c>
      <c r="F124" s="120" t="s">
        <v>700</v>
      </c>
      <c r="G124" s="120" t="s">
        <v>689</v>
      </c>
      <c r="H124" s="49" t="s">
        <v>1024</v>
      </c>
      <c r="I124" s="50" t="s">
        <v>571</v>
      </c>
      <c r="J124" s="124" t="s">
        <v>679</v>
      </c>
      <c r="K124" s="50" t="s">
        <v>49</v>
      </c>
      <c r="L124" s="50" t="s">
        <v>602</v>
      </c>
      <c r="M124" s="56" t="s">
        <v>12</v>
      </c>
      <c r="N124" s="122" t="s">
        <v>665</v>
      </c>
      <c r="O124" s="57">
        <v>2</v>
      </c>
      <c r="P124" s="45">
        <v>156000</v>
      </c>
      <c r="Q124" s="58">
        <f t="shared" si="11"/>
        <v>312000</v>
      </c>
      <c r="R124" s="69" t="s">
        <v>684</v>
      </c>
      <c r="S124" s="19"/>
      <c r="T124" s="32"/>
      <c r="U124" s="32"/>
      <c r="V124" s="51">
        <f t="shared" si="7"/>
        <v>180960</v>
      </c>
      <c r="W124" s="51">
        <f t="shared" si="8"/>
        <v>361920</v>
      </c>
      <c r="X124" s="52">
        <f t="shared" si="9"/>
        <v>121.72</v>
      </c>
      <c r="Y124" s="53">
        <f t="shared" si="10"/>
        <v>243.44</v>
      </c>
      <c r="Z124" s="54"/>
      <c r="AA124" s="71"/>
      <c r="AB124" s="71"/>
      <c r="AC124" s="128"/>
      <c r="AD124" s="33"/>
      <c r="AE124" s="55"/>
    </row>
    <row r="125" spans="2:31" ht="20.100000000000001" customHeight="1">
      <c r="B125" s="48">
        <v>121</v>
      </c>
      <c r="C125" s="121" t="s">
        <v>701</v>
      </c>
      <c r="D125" s="120" t="s">
        <v>349</v>
      </c>
      <c r="E125" s="120">
        <v>2603</v>
      </c>
      <c r="F125" s="120" t="s">
        <v>700</v>
      </c>
      <c r="G125" s="120" t="s">
        <v>689</v>
      </c>
      <c r="H125" s="49" t="s">
        <v>1024</v>
      </c>
      <c r="I125" s="50" t="s">
        <v>572</v>
      </c>
      <c r="J125" s="124" t="s">
        <v>680</v>
      </c>
      <c r="K125" s="50" t="s">
        <v>49</v>
      </c>
      <c r="L125" s="50" t="s">
        <v>602</v>
      </c>
      <c r="M125" s="56" t="s">
        <v>12</v>
      </c>
      <c r="N125" s="122" t="s">
        <v>665</v>
      </c>
      <c r="O125" s="57">
        <v>1</v>
      </c>
      <c r="P125" s="45">
        <v>138000</v>
      </c>
      <c r="Q125" s="58">
        <f t="shared" si="11"/>
        <v>138000</v>
      </c>
      <c r="R125" s="69" t="s">
        <v>684</v>
      </c>
      <c r="S125" s="19"/>
      <c r="T125" s="32"/>
      <c r="U125" s="32"/>
      <c r="V125" s="51">
        <f t="shared" si="7"/>
        <v>160080</v>
      </c>
      <c r="W125" s="51">
        <f t="shared" si="8"/>
        <v>160080</v>
      </c>
      <c r="X125" s="52">
        <f t="shared" si="9"/>
        <v>107.68</v>
      </c>
      <c r="Y125" s="53">
        <f t="shared" si="10"/>
        <v>107.68</v>
      </c>
      <c r="Z125" s="54"/>
      <c r="AA125" s="71"/>
      <c r="AB125" s="71"/>
      <c r="AC125" s="128"/>
      <c r="AD125" s="33"/>
      <c r="AE125" s="55"/>
    </row>
    <row r="126" spans="2:31" ht="20.100000000000001" customHeight="1">
      <c r="B126" s="48">
        <v>122</v>
      </c>
      <c r="C126" s="121" t="s">
        <v>701</v>
      </c>
      <c r="D126" s="120" t="s">
        <v>349</v>
      </c>
      <c r="E126" s="120">
        <v>2603</v>
      </c>
      <c r="F126" s="120" t="s">
        <v>700</v>
      </c>
      <c r="G126" s="120" t="s">
        <v>689</v>
      </c>
      <c r="H126" s="49">
        <v>1</v>
      </c>
      <c r="I126" s="50" t="s">
        <v>228</v>
      </c>
      <c r="J126" s="124" t="s">
        <v>300</v>
      </c>
      <c r="K126" s="50" t="s">
        <v>229</v>
      </c>
      <c r="L126" s="50" t="s">
        <v>843</v>
      </c>
      <c r="M126" s="56" t="s">
        <v>12</v>
      </c>
      <c r="N126" s="122" t="s">
        <v>665</v>
      </c>
      <c r="O126" s="57">
        <v>1</v>
      </c>
      <c r="P126" s="45">
        <v>2280000</v>
      </c>
      <c r="Q126" s="58">
        <f t="shared" si="11"/>
        <v>2280000</v>
      </c>
      <c r="R126" s="129" t="s">
        <v>663</v>
      </c>
      <c r="S126" s="19"/>
      <c r="T126" s="32"/>
      <c r="U126" s="32"/>
      <c r="V126" s="51">
        <f t="shared" si="7"/>
        <v>2644800</v>
      </c>
      <c r="W126" s="51">
        <f t="shared" si="8"/>
        <v>2644800</v>
      </c>
      <c r="X126" s="52">
        <f t="shared" si="9"/>
        <v>1779.05</v>
      </c>
      <c r="Y126" s="53">
        <f t="shared" si="10"/>
        <v>1779.05</v>
      </c>
      <c r="Z126" s="54"/>
      <c r="AA126" s="71"/>
      <c r="AB126" s="71"/>
      <c r="AC126" s="128" t="s">
        <v>838</v>
      </c>
      <c r="AD126" s="33"/>
      <c r="AE126" s="55"/>
    </row>
    <row r="127" spans="2:31" ht="20.100000000000001" customHeight="1">
      <c r="B127" s="48">
        <v>127</v>
      </c>
      <c r="C127" s="121" t="s">
        <v>701</v>
      </c>
      <c r="D127" s="120" t="s">
        <v>349</v>
      </c>
      <c r="E127" s="120">
        <v>2603</v>
      </c>
      <c r="F127" s="120" t="s">
        <v>700</v>
      </c>
      <c r="G127" s="120" t="s">
        <v>689</v>
      </c>
      <c r="H127" s="49">
        <v>2</v>
      </c>
      <c r="I127" s="50" t="s">
        <v>63</v>
      </c>
      <c r="J127" s="124" t="s">
        <v>179</v>
      </c>
      <c r="K127" s="50" t="s">
        <v>840</v>
      </c>
      <c r="L127" s="50" t="s">
        <v>522</v>
      </c>
      <c r="M127" s="56" t="s">
        <v>12</v>
      </c>
      <c r="N127" s="122" t="s">
        <v>609</v>
      </c>
      <c r="O127" s="57">
        <v>5</v>
      </c>
      <c r="P127" s="45">
        <v>97000</v>
      </c>
      <c r="Q127" s="58">
        <f t="shared" si="11"/>
        <v>485000</v>
      </c>
      <c r="R127" s="69" t="s">
        <v>663</v>
      </c>
      <c r="S127" s="19"/>
      <c r="T127" s="32"/>
      <c r="U127" s="32"/>
      <c r="V127" s="51">
        <f t="shared" si="7"/>
        <v>112519.99999999999</v>
      </c>
      <c r="W127" s="51">
        <f t="shared" si="8"/>
        <v>562599.99999999988</v>
      </c>
      <c r="X127" s="52">
        <f t="shared" si="9"/>
        <v>75.69</v>
      </c>
      <c r="Y127" s="53">
        <f t="shared" si="10"/>
        <v>378.45</v>
      </c>
      <c r="Z127" s="54"/>
      <c r="AA127" s="71"/>
      <c r="AB127" s="71"/>
      <c r="AC127" s="128"/>
      <c r="AD127" s="33"/>
      <c r="AE127" s="55"/>
    </row>
    <row r="128" spans="2:31" ht="20.100000000000001" customHeight="1">
      <c r="B128" s="48">
        <v>128</v>
      </c>
      <c r="C128" s="121" t="s">
        <v>701</v>
      </c>
      <c r="D128" s="120" t="s">
        <v>349</v>
      </c>
      <c r="E128" s="120">
        <v>2603</v>
      </c>
      <c r="F128" s="120" t="s">
        <v>700</v>
      </c>
      <c r="G128" s="120" t="s">
        <v>689</v>
      </c>
      <c r="H128" s="49">
        <v>2</v>
      </c>
      <c r="I128" s="50" t="s">
        <v>85</v>
      </c>
      <c r="J128" s="124" t="s">
        <v>446</v>
      </c>
      <c r="K128" s="50" t="s">
        <v>88</v>
      </c>
      <c r="L128" s="50" t="s">
        <v>523</v>
      </c>
      <c r="M128" s="56" t="s">
        <v>12</v>
      </c>
      <c r="N128" s="122" t="s">
        <v>612</v>
      </c>
      <c r="O128" s="57">
        <v>1</v>
      </c>
      <c r="P128" s="45">
        <v>46800</v>
      </c>
      <c r="Q128" s="58">
        <f t="shared" si="11"/>
        <v>46800</v>
      </c>
      <c r="R128" s="69" t="s">
        <v>663</v>
      </c>
      <c r="S128" s="19"/>
      <c r="T128" s="32"/>
      <c r="U128" s="32"/>
      <c r="V128" s="51">
        <f t="shared" si="7"/>
        <v>54287.999999999993</v>
      </c>
      <c r="W128" s="51">
        <f t="shared" si="8"/>
        <v>54287.999999999993</v>
      </c>
      <c r="X128" s="52">
        <f t="shared" si="9"/>
        <v>36.520000000000003</v>
      </c>
      <c r="Y128" s="53">
        <f t="shared" si="10"/>
        <v>36.520000000000003</v>
      </c>
      <c r="Z128" s="54"/>
      <c r="AA128" s="71"/>
      <c r="AB128" s="71"/>
      <c r="AC128" s="128"/>
      <c r="AD128" s="33"/>
      <c r="AE128" s="55"/>
    </row>
    <row r="129" spans="2:31" ht="20.100000000000001" customHeight="1">
      <c r="B129" s="48">
        <v>129</v>
      </c>
      <c r="C129" s="121" t="s">
        <v>701</v>
      </c>
      <c r="D129" s="120" t="s">
        <v>349</v>
      </c>
      <c r="E129" s="120">
        <v>2603</v>
      </c>
      <c r="F129" s="120" t="s">
        <v>700</v>
      </c>
      <c r="G129" s="120" t="s">
        <v>689</v>
      </c>
      <c r="H129" s="49">
        <v>2</v>
      </c>
      <c r="I129" s="50" t="s">
        <v>86</v>
      </c>
      <c r="J129" s="124" t="s">
        <v>87</v>
      </c>
      <c r="K129" s="50" t="s">
        <v>88</v>
      </c>
      <c r="L129" s="50" t="s">
        <v>523</v>
      </c>
      <c r="M129" s="56" t="s">
        <v>12</v>
      </c>
      <c r="N129" s="122" t="s">
        <v>612</v>
      </c>
      <c r="O129" s="57">
        <v>1</v>
      </c>
      <c r="P129" s="45">
        <v>3110</v>
      </c>
      <c r="Q129" s="58">
        <f t="shared" ref="Q129:Q160" si="12">O129*P129</f>
        <v>3110</v>
      </c>
      <c r="R129" s="69" t="s">
        <v>663</v>
      </c>
      <c r="S129" s="19"/>
      <c r="T129" s="32"/>
      <c r="U129" s="32"/>
      <c r="V129" s="51">
        <f t="shared" si="7"/>
        <v>3607.6</v>
      </c>
      <c r="W129" s="51">
        <f t="shared" si="8"/>
        <v>3607.6</v>
      </c>
      <c r="X129" s="52">
        <f t="shared" si="9"/>
        <v>2.4300000000000002</v>
      </c>
      <c r="Y129" s="53">
        <f t="shared" si="10"/>
        <v>2.4300000000000002</v>
      </c>
      <c r="Z129" s="54"/>
      <c r="AA129" s="71"/>
      <c r="AB129" s="71"/>
      <c r="AC129" s="128"/>
      <c r="AD129" s="33"/>
      <c r="AE129" s="55"/>
    </row>
    <row r="130" spans="2:31" ht="20.100000000000001" customHeight="1">
      <c r="B130" s="48">
        <v>130</v>
      </c>
      <c r="C130" s="121" t="s">
        <v>701</v>
      </c>
      <c r="D130" s="120" t="s">
        <v>349</v>
      </c>
      <c r="E130" s="120">
        <v>2603</v>
      </c>
      <c r="F130" s="120" t="s">
        <v>700</v>
      </c>
      <c r="G130" s="120" t="s">
        <v>689</v>
      </c>
      <c r="H130" s="49">
        <v>2</v>
      </c>
      <c r="I130" s="50" t="s">
        <v>579</v>
      </c>
      <c r="J130" s="124" t="s">
        <v>580</v>
      </c>
      <c r="K130" s="50" t="s">
        <v>48</v>
      </c>
      <c r="L130" s="50" t="s">
        <v>604</v>
      </c>
      <c r="M130" s="56" t="s">
        <v>12</v>
      </c>
      <c r="N130" s="122" t="s">
        <v>666</v>
      </c>
      <c r="O130" s="57">
        <v>3</v>
      </c>
      <c r="P130" s="45">
        <v>11500</v>
      </c>
      <c r="Q130" s="58">
        <f t="shared" si="12"/>
        <v>34500</v>
      </c>
      <c r="R130" s="69" t="s">
        <v>684</v>
      </c>
      <c r="S130" s="19"/>
      <c r="T130" s="32"/>
      <c r="U130" s="32"/>
      <c r="V130" s="51">
        <f t="shared" si="7"/>
        <v>13339.999999999998</v>
      </c>
      <c r="W130" s="51">
        <f t="shared" si="8"/>
        <v>40019.999999999993</v>
      </c>
      <c r="X130" s="52">
        <f t="shared" si="9"/>
        <v>8.9700000000000006</v>
      </c>
      <c r="Y130" s="53">
        <f t="shared" si="10"/>
        <v>26.910000000000004</v>
      </c>
      <c r="Z130" s="54"/>
      <c r="AA130" s="71"/>
      <c r="AB130" s="71"/>
      <c r="AC130" s="128"/>
      <c r="AD130" s="33"/>
      <c r="AE130" s="55"/>
    </row>
    <row r="131" spans="2:31" ht="20.100000000000001" customHeight="1">
      <c r="B131" s="48">
        <v>131</v>
      </c>
      <c r="C131" s="121" t="s">
        <v>701</v>
      </c>
      <c r="D131" s="120" t="s">
        <v>349</v>
      </c>
      <c r="E131" s="120">
        <v>2603</v>
      </c>
      <c r="F131" s="120" t="s">
        <v>700</v>
      </c>
      <c r="G131" s="120" t="s">
        <v>689</v>
      </c>
      <c r="H131" s="49">
        <v>2</v>
      </c>
      <c r="I131" s="50" t="s">
        <v>124</v>
      </c>
      <c r="J131" s="124" t="s">
        <v>132</v>
      </c>
      <c r="K131" s="50" t="s">
        <v>48</v>
      </c>
      <c r="L131" s="50" t="s">
        <v>604</v>
      </c>
      <c r="M131" s="56" t="s">
        <v>12</v>
      </c>
      <c r="N131" s="122" t="s">
        <v>666</v>
      </c>
      <c r="O131" s="57">
        <v>2</v>
      </c>
      <c r="P131" s="45">
        <v>3200</v>
      </c>
      <c r="Q131" s="58">
        <f t="shared" si="12"/>
        <v>6400</v>
      </c>
      <c r="R131" s="69" t="s">
        <v>684</v>
      </c>
      <c r="S131" s="19"/>
      <c r="T131" s="32"/>
      <c r="U131" s="32"/>
      <c r="V131" s="51">
        <f t="shared" si="7"/>
        <v>3711.9999999999995</v>
      </c>
      <c r="W131" s="51">
        <f t="shared" si="8"/>
        <v>7423.9999999999991</v>
      </c>
      <c r="X131" s="52">
        <f t="shared" si="9"/>
        <v>2.5</v>
      </c>
      <c r="Y131" s="53">
        <f t="shared" si="10"/>
        <v>5</v>
      </c>
      <c r="Z131" s="54"/>
      <c r="AA131" s="71"/>
      <c r="AB131" s="71"/>
      <c r="AC131" s="128"/>
      <c r="AD131" s="33"/>
      <c r="AE131" s="55"/>
    </row>
    <row r="132" spans="2:31" ht="20.100000000000001" customHeight="1">
      <c r="B132" s="48">
        <v>132</v>
      </c>
      <c r="C132" s="121" t="s">
        <v>701</v>
      </c>
      <c r="D132" s="120" t="s">
        <v>349</v>
      </c>
      <c r="E132" s="120">
        <v>2603</v>
      </c>
      <c r="F132" s="120" t="s">
        <v>700</v>
      </c>
      <c r="G132" s="120" t="s">
        <v>689</v>
      </c>
      <c r="H132" s="49">
        <v>2</v>
      </c>
      <c r="I132" s="50" t="s">
        <v>126</v>
      </c>
      <c r="J132" s="124" t="s">
        <v>458</v>
      </c>
      <c r="K132" s="50" t="s">
        <v>48</v>
      </c>
      <c r="L132" s="50" t="s">
        <v>604</v>
      </c>
      <c r="M132" s="56" t="s">
        <v>12</v>
      </c>
      <c r="N132" s="122" t="s">
        <v>666</v>
      </c>
      <c r="O132" s="57">
        <v>1</v>
      </c>
      <c r="P132" s="45">
        <v>70000</v>
      </c>
      <c r="Q132" s="58">
        <f t="shared" si="12"/>
        <v>70000</v>
      </c>
      <c r="R132" s="69" t="s">
        <v>684</v>
      </c>
      <c r="S132" s="19"/>
      <c r="T132" s="32"/>
      <c r="U132" s="32"/>
      <c r="V132" s="51">
        <f t="shared" si="7"/>
        <v>81200</v>
      </c>
      <c r="W132" s="51">
        <f t="shared" si="8"/>
        <v>81200</v>
      </c>
      <c r="X132" s="52">
        <f t="shared" si="9"/>
        <v>54.62</v>
      </c>
      <c r="Y132" s="53">
        <f t="shared" si="10"/>
        <v>54.62</v>
      </c>
      <c r="Z132" s="54"/>
      <c r="AA132" s="71"/>
      <c r="AB132" s="71"/>
      <c r="AC132" s="128"/>
      <c r="AD132" s="33"/>
      <c r="AE132" s="55"/>
    </row>
    <row r="133" spans="2:31" ht="20.100000000000001" customHeight="1">
      <c r="B133" s="48">
        <v>133</v>
      </c>
      <c r="C133" s="121" t="s">
        <v>701</v>
      </c>
      <c r="D133" s="120" t="s">
        <v>349</v>
      </c>
      <c r="E133" s="120">
        <v>2603</v>
      </c>
      <c r="F133" s="120" t="s">
        <v>700</v>
      </c>
      <c r="G133" s="120" t="s">
        <v>689</v>
      </c>
      <c r="H133" s="49">
        <v>2</v>
      </c>
      <c r="I133" s="50" t="s">
        <v>126</v>
      </c>
      <c r="J133" s="124" t="s">
        <v>457</v>
      </c>
      <c r="K133" s="50" t="s">
        <v>48</v>
      </c>
      <c r="L133" s="50" t="s">
        <v>604</v>
      </c>
      <c r="M133" s="56" t="s">
        <v>12</v>
      </c>
      <c r="N133" s="122" t="s">
        <v>666</v>
      </c>
      <c r="O133" s="57">
        <v>1</v>
      </c>
      <c r="P133" s="45">
        <v>21000</v>
      </c>
      <c r="Q133" s="58">
        <f t="shared" si="12"/>
        <v>21000</v>
      </c>
      <c r="R133" s="69" t="s">
        <v>684</v>
      </c>
      <c r="S133" s="19"/>
      <c r="T133" s="32"/>
      <c r="U133" s="32"/>
      <c r="V133" s="51">
        <f t="shared" si="7"/>
        <v>24360</v>
      </c>
      <c r="W133" s="51">
        <f t="shared" si="8"/>
        <v>24360</v>
      </c>
      <c r="X133" s="52">
        <f t="shared" si="9"/>
        <v>16.39</v>
      </c>
      <c r="Y133" s="53">
        <f t="shared" si="10"/>
        <v>16.39</v>
      </c>
      <c r="Z133" s="54"/>
      <c r="AA133" s="71"/>
      <c r="AB133" s="71"/>
      <c r="AC133" s="128"/>
      <c r="AD133" s="33"/>
      <c r="AE133" s="55"/>
    </row>
    <row r="134" spans="2:31" ht="20.100000000000001" customHeight="1">
      <c r="B134" s="48">
        <v>134</v>
      </c>
      <c r="C134" s="121" t="s">
        <v>701</v>
      </c>
      <c r="D134" s="120" t="s">
        <v>349</v>
      </c>
      <c r="E134" s="120">
        <v>2603</v>
      </c>
      <c r="F134" s="120" t="s">
        <v>700</v>
      </c>
      <c r="G134" s="120" t="s">
        <v>689</v>
      </c>
      <c r="H134" s="49">
        <v>2</v>
      </c>
      <c r="I134" s="50" t="s">
        <v>125</v>
      </c>
      <c r="J134" s="124" t="s">
        <v>636</v>
      </c>
      <c r="K134" s="50" t="s">
        <v>48</v>
      </c>
      <c r="L134" s="50" t="s">
        <v>604</v>
      </c>
      <c r="M134" s="56" t="s">
        <v>12</v>
      </c>
      <c r="N134" s="122" t="s">
        <v>666</v>
      </c>
      <c r="O134" s="57">
        <v>1</v>
      </c>
      <c r="P134" s="45">
        <v>22000</v>
      </c>
      <c r="Q134" s="58">
        <f t="shared" si="12"/>
        <v>22000</v>
      </c>
      <c r="R134" s="69" t="s">
        <v>684</v>
      </c>
      <c r="S134" s="19"/>
      <c r="T134" s="32"/>
      <c r="U134" s="32"/>
      <c r="V134" s="51">
        <f t="shared" ref="V134:V180" si="13">++P134*(1+$V$3)</f>
        <v>25520</v>
      </c>
      <c r="W134" s="51">
        <f t="shared" ref="W134:W180" si="14">++O134*V134</f>
        <v>25520</v>
      </c>
      <c r="X134" s="52">
        <f t="shared" ref="X134:X180" si="15">++ROUND(V134/$X$3,2)</f>
        <v>17.170000000000002</v>
      </c>
      <c r="Y134" s="53">
        <f t="shared" ref="Y134:Y180" si="16">++O134*X134</f>
        <v>17.170000000000002</v>
      </c>
      <c r="Z134" s="54"/>
      <c r="AA134" s="71"/>
      <c r="AB134" s="71"/>
      <c r="AC134" s="128"/>
      <c r="AD134" s="33"/>
      <c r="AE134" s="55"/>
    </row>
    <row r="135" spans="2:31" ht="20.100000000000001" customHeight="1">
      <c r="B135" s="48">
        <v>135</v>
      </c>
      <c r="C135" s="121" t="s">
        <v>701</v>
      </c>
      <c r="D135" s="120" t="s">
        <v>349</v>
      </c>
      <c r="E135" s="120">
        <v>2603</v>
      </c>
      <c r="F135" s="120" t="s">
        <v>700</v>
      </c>
      <c r="G135" s="120" t="s">
        <v>689</v>
      </c>
      <c r="H135" s="49">
        <v>2</v>
      </c>
      <c r="I135" s="50" t="s">
        <v>579</v>
      </c>
      <c r="J135" s="124" t="s">
        <v>633</v>
      </c>
      <c r="K135" s="50" t="s">
        <v>48</v>
      </c>
      <c r="L135" s="50" t="s">
        <v>604</v>
      </c>
      <c r="M135" s="56" t="s">
        <v>12</v>
      </c>
      <c r="N135" s="122" t="s">
        <v>666</v>
      </c>
      <c r="O135" s="57">
        <v>4</v>
      </c>
      <c r="P135" s="45">
        <v>11500</v>
      </c>
      <c r="Q135" s="58">
        <f t="shared" si="12"/>
        <v>46000</v>
      </c>
      <c r="R135" s="129" t="s">
        <v>663</v>
      </c>
      <c r="S135" s="19"/>
      <c r="T135" s="32"/>
      <c r="U135" s="32"/>
      <c r="V135" s="51">
        <f t="shared" si="13"/>
        <v>13339.999999999998</v>
      </c>
      <c r="W135" s="51">
        <f t="shared" si="14"/>
        <v>53359.999999999993</v>
      </c>
      <c r="X135" s="52">
        <f t="shared" si="15"/>
        <v>8.9700000000000006</v>
      </c>
      <c r="Y135" s="53">
        <f t="shared" si="16"/>
        <v>35.880000000000003</v>
      </c>
      <c r="Z135" s="54"/>
      <c r="AA135" s="71"/>
      <c r="AB135" s="71"/>
      <c r="AC135" s="128" t="s">
        <v>838</v>
      </c>
      <c r="AD135" s="33"/>
      <c r="AE135" s="55"/>
    </row>
    <row r="136" spans="2:31" ht="20.100000000000001" customHeight="1">
      <c r="B136" s="48">
        <v>136</v>
      </c>
      <c r="C136" s="121" t="s">
        <v>701</v>
      </c>
      <c r="D136" s="120" t="s">
        <v>349</v>
      </c>
      <c r="E136" s="120">
        <v>2603</v>
      </c>
      <c r="F136" s="120" t="s">
        <v>700</v>
      </c>
      <c r="G136" s="120" t="s">
        <v>689</v>
      </c>
      <c r="H136" s="49">
        <v>1</v>
      </c>
      <c r="I136" s="50" t="s">
        <v>515</v>
      </c>
      <c r="J136" s="124" t="s">
        <v>516</v>
      </c>
      <c r="K136" s="50" t="s">
        <v>64</v>
      </c>
      <c r="L136" s="50" t="s">
        <v>524</v>
      </c>
      <c r="M136" s="56" t="s">
        <v>12</v>
      </c>
      <c r="N136" s="122" t="s">
        <v>612</v>
      </c>
      <c r="O136" s="57">
        <v>5</v>
      </c>
      <c r="P136" s="45">
        <v>24000</v>
      </c>
      <c r="Q136" s="58">
        <f t="shared" si="12"/>
        <v>120000</v>
      </c>
      <c r="R136" s="69" t="s">
        <v>663</v>
      </c>
      <c r="S136" s="19"/>
      <c r="T136" s="32"/>
      <c r="U136" s="32"/>
      <c r="V136" s="51">
        <f t="shared" si="13"/>
        <v>27839.999999999996</v>
      </c>
      <c r="W136" s="51">
        <f t="shared" si="14"/>
        <v>139199.99999999997</v>
      </c>
      <c r="X136" s="52">
        <f t="shared" si="15"/>
        <v>18.73</v>
      </c>
      <c r="Y136" s="53">
        <f t="shared" si="16"/>
        <v>93.65</v>
      </c>
      <c r="Z136" s="54"/>
      <c r="AA136" s="71"/>
      <c r="AB136" s="71"/>
      <c r="AC136" s="128"/>
      <c r="AD136" s="33"/>
      <c r="AE136" s="55"/>
    </row>
    <row r="137" spans="2:31" ht="20.100000000000001" customHeight="1">
      <c r="B137" s="48">
        <v>137</v>
      </c>
      <c r="C137" s="121" t="s">
        <v>701</v>
      </c>
      <c r="D137" s="120" t="s">
        <v>349</v>
      </c>
      <c r="E137" s="120">
        <v>2603</v>
      </c>
      <c r="F137" s="120" t="s">
        <v>700</v>
      </c>
      <c r="G137" s="120" t="s">
        <v>689</v>
      </c>
      <c r="H137" s="49">
        <v>1</v>
      </c>
      <c r="I137" s="50" t="s">
        <v>63</v>
      </c>
      <c r="J137" s="124" t="s">
        <v>517</v>
      </c>
      <c r="K137" s="50" t="s">
        <v>64</v>
      </c>
      <c r="L137" s="50" t="s">
        <v>524</v>
      </c>
      <c r="M137" s="56" t="s">
        <v>12</v>
      </c>
      <c r="N137" s="122" t="s">
        <v>612</v>
      </c>
      <c r="O137" s="57">
        <v>1</v>
      </c>
      <c r="P137" s="45">
        <v>49000</v>
      </c>
      <c r="Q137" s="58">
        <f t="shared" si="12"/>
        <v>49000</v>
      </c>
      <c r="R137" s="69" t="s">
        <v>663</v>
      </c>
      <c r="S137" s="19"/>
      <c r="T137" s="32"/>
      <c r="U137" s="32"/>
      <c r="V137" s="51">
        <f t="shared" si="13"/>
        <v>56839.999999999993</v>
      </c>
      <c r="W137" s="51">
        <f t="shared" si="14"/>
        <v>56839.999999999993</v>
      </c>
      <c r="X137" s="52">
        <f t="shared" si="15"/>
        <v>38.229999999999997</v>
      </c>
      <c r="Y137" s="53">
        <f t="shared" si="16"/>
        <v>38.229999999999997</v>
      </c>
      <c r="Z137" s="54"/>
      <c r="AA137" s="71"/>
      <c r="AB137" s="71"/>
      <c r="AC137" s="128"/>
      <c r="AD137" s="33"/>
      <c r="AE137" s="55"/>
    </row>
    <row r="138" spans="2:31" ht="20.100000000000001" customHeight="1">
      <c r="B138" s="48">
        <v>138</v>
      </c>
      <c r="C138" s="121" t="s">
        <v>701</v>
      </c>
      <c r="D138" s="120" t="s">
        <v>349</v>
      </c>
      <c r="E138" s="120">
        <v>2603</v>
      </c>
      <c r="F138" s="120" t="s">
        <v>700</v>
      </c>
      <c r="G138" s="120" t="s">
        <v>689</v>
      </c>
      <c r="H138" s="49">
        <v>1</v>
      </c>
      <c r="I138" s="50" t="s">
        <v>63</v>
      </c>
      <c r="J138" s="124" t="s">
        <v>65</v>
      </c>
      <c r="K138" s="50" t="s">
        <v>64</v>
      </c>
      <c r="L138" s="50" t="s">
        <v>524</v>
      </c>
      <c r="M138" s="56" t="s">
        <v>12</v>
      </c>
      <c r="N138" s="122" t="s">
        <v>612</v>
      </c>
      <c r="O138" s="57">
        <v>1</v>
      </c>
      <c r="P138" s="45">
        <v>85000</v>
      </c>
      <c r="Q138" s="58">
        <f t="shared" si="12"/>
        <v>85000</v>
      </c>
      <c r="R138" s="69" t="s">
        <v>663</v>
      </c>
      <c r="S138" s="19"/>
      <c r="T138" s="32"/>
      <c r="U138" s="32"/>
      <c r="V138" s="51">
        <f t="shared" si="13"/>
        <v>98600</v>
      </c>
      <c r="W138" s="51">
        <f t="shared" si="14"/>
        <v>98600</v>
      </c>
      <c r="X138" s="52">
        <f t="shared" si="15"/>
        <v>66.319999999999993</v>
      </c>
      <c r="Y138" s="53">
        <f t="shared" si="16"/>
        <v>66.319999999999993</v>
      </c>
      <c r="Z138" s="54"/>
      <c r="AA138" s="71"/>
      <c r="AB138" s="71"/>
      <c r="AC138" s="128"/>
      <c r="AD138" s="33"/>
      <c r="AE138" s="55"/>
    </row>
    <row r="139" spans="2:31" ht="20.100000000000001" customHeight="1">
      <c r="B139" s="48">
        <v>139</v>
      </c>
      <c r="C139" s="121" t="s">
        <v>701</v>
      </c>
      <c r="D139" s="120" t="s">
        <v>349</v>
      </c>
      <c r="E139" s="120">
        <v>2603</v>
      </c>
      <c r="F139" s="120" t="s">
        <v>700</v>
      </c>
      <c r="G139" s="120" t="s">
        <v>689</v>
      </c>
      <c r="H139" s="49">
        <v>1</v>
      </c>
      <c r="I139" s="50" t="s">
        <v>119</v>
      </c>
      <c r="J139" s="124" t="s">
        <v>120</v>
      </c>
      <c r="K139" s="50" t="s">
        <v>121</v>
      </c>
      <c r="L139" s="50" t="s">
        <v>524</v>
      </c>
      <c r="M139" s="56" t="s">
        <v>12</v>
      </c>
      <c r="N139" s="122" t="s">
        <v>610</v>
      </c>
      <c r="O139" s="57">
        <v>1</v>
      </c>
      <c r="P139" s="45">
        <v>48000</v>
      </c>
      <c r="Q139" s="58">
        <f t="shared" si="12"/>
        <v>48000</v>
      </c>
      <c r="R139" s="69" t="s">
        <v>663</v>
      </c>
      <c r="S139" s="19"/>
      <c r="T139" s="32"/>
      <c r="U139" s="32"/>
      <c r="V139" s="51">
        <f t="shared" si="13"/>
        <v>55679.999999999993</v>
      </c>
      <c r="W139" s="51">
        <f t="shared" si="14"/>
        <v>55679.999999999993</v>
      </c>
      <c r="X139" s="52">
        <f t="shared" si="15"/>
        <v>37.450000000000003</v>
      </c>
      <c r="Y139" s="53">
        <f t="shared" si="16"/>
        <v>37.450000000000003</v>
      </c>
      <c r="Z139" s="54"/>
      <c r="AA139" s="71"/>
      <c r="AB139" s="71"/>
      <c r="AC139" s="128"/>
      <c r="AD139" s="33"/>
      <c r="AE139" s="55"/>
    </row>
    <row r="140" spans="2:31" ht="20.100000000000001" customHeight="1">
      <c r="B140" s="48">
        <v>140</v>
      </c>
      <c r="C140" s="121" t="s">
        <v>701</v>
      </c>
      <c r="D140" s="120" t="s">
        <v>349</v>
      </c>
      <c r="E140" s="120">
        <v>2603</v>
      </c>
      <c r="F140" s="120" t="s">
        <v>700</v>
      </c>
      <c r="G140" s="120" t="s">
        <v>689</v>
      </c>
      <c r="H140" s="49">
        <v>1</v>
      </c>
      <c r="I140" s="50" t="s">
        <v>119</v>
      </c>
      <c r="J140" s="124" t="s">
        <v>122</v>
      </c>
      <c r="K140" s="50" t="s">
        <v>121</v>
      </c>
      <c r="L140" s="50" t="s">
        <v>524</v>
      </c>
      <c r="M140" s="56" t="s">
        <v>12</v>
      </c>
      <c r="N140" s="122" t="s">
        <v>610</v>
      </c>
      <c r="O140" s="57">
        <v>2</v>
      </c>
      <c r="P140" s="45">
        <v>21000</v>
      </c>
      <c r="Q140" s="58">
        <f t="shared" si="12"/>
        <v>42000</v>
      </c>
      <c r="R140" s="69" t="s">
        <v>663</v>
      </c>
      <c r="S140" s="19"/>
      <c r="T140" s="32"/>
      <c r="U140" s="32"/>
      <c r="V140" s="51">
        <f t="shared" si="13"/>
        <v>24360</v>
      </c>
      <c r="W140" s="51">
        <f t="shared" si="14"/>
        <v>48720</v>
      </c>
      <c r="X140" s="52">
        <f t="shared" si="15"/>
        <v>16.39</v>
      </c>
      <c r="Y140" s="53">
        <f t="shared" si="16"/>
        <v>32.78</v>
      </c>
      <c r="Z140" s="54"/>
      <c r="AA140" s="71"/>
      <c r="AB140" s="71"/>
      <c r="AC140" s="128"/>
      <c r="AD140" s="33"/>
      <c r="AE140" s="55"/>
    </row>
    <row r="141" spans="2:31" ht="20.100000000000001" customHeight="1">
      <c r="B141" s="48">
        <v>141</v>
      </c>
      <c r="C141" s="121" t="s">
        <v>701</v>
      </c>
      <c r="D141" s="120" t="s">
        <v>349</v>
      </c>
      <c r="E141" s="120">
        <v>2603</v>
      </c>
      <c r="F141" s="120" t="s">
        <v>700</v>
      </c>
      <c r="G141" s="120" t="s">
        <v>689</v>
      </c>
      <c r="H141" s="49">
        <v>2</v>
      </c>
      <c r="I141" s="50" t="s">
        <v>581</v>
      </c>
      <c r="J141" s="124" t="s">
        <v>642</v>
      </c>
      <c r="K141" s="50" t="s">
        <v>668</v>
      </c>
      <c r="L141" s="50" t="s">
        <v>605</v>
      </c>
      <c r="M141" s="56" t="s">
        <v>12</v>
      </c>
      <c r="N141" s="122" t="s">
        <v>666</v>
      </c>
      <c r="O141" s="57">
        <v>2</v>
      </c>
      <c r="P141" s="45">
        <v>15700</v>
      </c>
      <c r="Q141" s="58">
        <f t="shared" si="12"/>
        <v>31400</v>
      </c>
      <c r="R141" s="69" t="s">
        <v>663</v>
      </c>
      <c r="S141" s="19"/>
      <c r="T141" s="32"/>
      <c r="U141" s="32"/>
      <c r="V141" s="51">
        <f t="shared" si="13"/>
        <v>18212</v>
      </c>
      <c r="W141" s="51">
        <f t="shared" si="14"/>
        <v>36424</v>
      </c>
      <c r="X141" s="52">
        <f t="shared" si="15"/>
        <v>12.25</v>
      </c>
      <c r="Y141" s="53">
        <f t="shared" si="16"/>
        <v>24.5</v>
      </c>
      <c r="Z141" s="54"/>
      <c r="AA141" s="71"/>
      <c r="AB141" s="71"/>
      <c r="AC141" s="128"/>
      <c r="AD141" s="33"/>
      <c r="AE141" s="55"/>
    </row>
    <row r="142" spans="2:31" ht="20.100000000000001" customHeight="1">
      <c r="B142" s="48">
        <v>142</v>
      </c>
      <c r="C142" s="121" t="s">
        <v>701</v>
      </c>
      <c r="D142" s="120" t="s">
        <v>349</v>
      </c>
      <c r="E142" s="120">
        <v>2603</v>
      </c>
      <c r="F142" s="120" t="s">
        <v>700</v>
      </c>
      <c r="G142" s="120" t="s">
        <v>689</v>
      </c>
      <c r="H142" s="49">
        <v>4</v>
      </c>
      <c r="I142" s="50" t="s">
        <v>25</v>
      </c>
      <c r="J142" s="124" t="s">
        <v>582</v>
      </c>
      <c r="K142" s="50" t="s">
        <v>583</v>
      </c>
      <c r="L142" s="50" t="s">
        <v>606</v>
      </c>
      <c r="M142" s="56" t="s">
        <v>12</v>
      </c>
      <c r="N142" s="122" t="s">
        <v>665</v>
      </c>
      <c r="O142" s="57">
        <v>4</v>
      </c>
      <c r="P142" s="45">
        <v>48000</v>
      </c>
      <c r="Q142" s="58">
        <f t="shared" si="12"/>
        <v>192000</v>
      </c>
      <c r="R142" s="69" t="s">
        <v>663</v>
      </c>
      <c r="S142" s="19"/>
      <c r="T142" s="32"/>
      <c r="U142" s="32"/>
      <c r="V142" s="51">
        <f t="shared" si="13"/>
        <v>55679.999999999993</v>
      </c>
      <c r="W142" s="51">
        <f t="shared" si="14"/>
        <v>222719.99999999997</v>
      </c>
      <c r="X142" s="52">
        <f t="shared" si="15"/>
        <v>37.450000000000003</v>
      </c>
      <c r="Y142" s="53">
        <f t="shared" si="16"/>
        <v>149.80000000000001</v>
      </c>
      <c r="Z142" s="54"/>
      <c r="AA142" s="71"/>
      <c r="AB142" s="71"/>
      <c r="AC142" s="128"/>
      <c r="AD142" s="33"/>
      <c r="AE142" s="55"/>
    </row>
    <row r="143" spans="2:31" ht="20.100000000000001" customHeight="1">
      <c r="B143" s="48">
        <v>143</v>
      </c>
      <c r="C143" s="121" t="s">
        <v>701</v>
      </c>
      <c r="D143" s="120" t="s">
        <v>349</v>
      </c>
      <c r="E143" s="120">
        <v>2603</v>
      </c>
      <c r="F143" s="120" t="s">
        <v>700</v>
      </c>
      <c r="G143" s="120" t="s">
        <v>689</v>
      </c>
      <c r="H143" s="49">
        <v>2</v>
      </c>
      <c r="I143" s="50" t="s">
        <v>42</v>
      </c>
      <c r="J143" s="124" t="s">
        <v>645</v>
      </c>
      <c r="K143" s="50" t="s">
        <v>417</v>
      </c>
      <c r="L143" s="50" t="s">
        <v>606</v>
      </c>
      <c r="M143" s="56" t="s">
        <v>12</v>
      </c>
      <c r="N143" s="122" t="s">
        <v>665</v>
      </c>
      <c r="O143" s="57">
        <v>8</v>
      </c>
      <c r="P143" s="45">
        <v>500</v>
      </c>
      <c r="Q143" s="58">
        <f t="shared" si="12"/>
        <v>4000</v>
      </c>
      <c r="R143" s="69" t="s">
        <v>663</v>
      </c>
      <c r="S143" s="19"/>
      <c r="T143" s="32"/>
      <c r="U143" s="32"/>
      <c r="V143" s="51">
        <f t="shared" si="13"/>
        <v>580</v>
      </c>
      <c r="W143" s="51">
        <f t="shared" si="14"/>
        <v>4640</v>
      </c>
      <c r="X143" s="52">
        <f t="shared" si="15"/>
        <v>0.39</v>
      </c>
      <c r="Y143" s="53">
        <f t="shared" si="16"/>
        <v>3.12</v>
      </c>
      <c r="Z143" s="54"/>
      <c r="AA143" s="71"/>
      <c r="AB143" s="71"/>
      <c r="AC143" s="128"/>
      <c r="AD143" s="33"/>
      <c r="AE143" s="55"/>
    </row>
    <row r="144" spans="2:31" ht="20.100000000000001" customHeight="1">
      <c r="B144" s="48">
        <v>144</v>
      </c>
      <c r="C144" s="121" t="s">
        <v>701</v>
      </c>
      <c r="D144" s="120" t="s">
        <v>349</v>
      </c>
      <c r="E144" s="120">
        <v>2603</v>
      </c>
      <c r="F144" s="120" t="s">
        <v>700</v>
      </c>
      <c r="G144" s="120" t="s">
        <v>689</v>
      </c>
      <c r="H144" s="49">
        <v>4</v>
      </c>
      <c r="I144" s="50" t="s">
        <v>25</v>
      </c>
      <c r="J144" s="124" t="s">
        <v>584</v>
      </c>
      <c r="K144" s="50" t="s">
        <v>583</v>
      </c>
      <c r="L144" s="50" t="s">
        <v>606</v>
      </c>
      <c r="M144" s="56" t="s">
        <v>12</v>
      </c>
      <c r="N144" s="122" t="s">
        <v>665</v>
      </c>
      <c r="O144" s="57">
        <v>1</v>
      </c>
      <c r="P144" s="45">
        <v>29000</v>
      </c>
      <c r="Q144" s="58">
        <f t="shared" si="12"/>
        <v>29000</v>
      </c>
      <c r="R144" s="69" t="s">
        <v>663</v>
      </c>
      <c r="S144" s="19"/>
      <c r="T144" s="32"/>
      <c r="U144" s="32"/>
      <c r="V144" s="51">
        <f t="shared" si="13"/>
        <v>33640</v>
      </c>
      <c r="W144" s="51">
        <f t="shared" si="14"/>
        <v>33640</v>
      </c>
      <c r="X144" s="52">
        <f t="shared" si="15"/>
        <v>22.63</v>
      </c>
      <c r="Y144" s="53">
        <f t="shared" si="16"/>
        <v>22.63</v>
      </c>
      <c r="Z144" s="54"/>
      <c r="AA144" s="71"/>
      <c r="AB144" s="71"/>
      <c r="AC144" s="128"/>
      <c r="AD144" s="33"/>
      <c r="AE144" s="55"/>
    </row>
    <row r="145" spans="2:31" ht="20.100000000000001" customHeight="1">
      <c r="B145" s="48">
        <v>145</v>
      </c>
      <c r="C145" s="121" t="s">
        <v>701</v>
      </c>
      <c r="D145" s="120" t="s">
        <v>349</v>
      </c>
      <c r="E145" s="120">
        <v>2603</v>
      </c>
      <c r="F145" s="120" t="s">
        <v>700</v>
      </c>
      <c r="G145" s="120" t="s">
        <v>689</v>
      </c>
      <c r="H145" s="49">
        <v>4</v>
      </c>
      <c r="I145" s="50" t="s">
        <v>25</v>
      </c>
      <c r="J145" s="124" t="s">
        <v>585</v>
      </c>
      <c r="K145" s="50" t="s">
        <v>583</v>
      </c>
      <c r="L145" s="50" t="s">
        <v>606</v>
      </c>
      <c r="M145" s="56" t="s">
        <v>12</v>
      </c>
      <c r="N145" s="122" t="s">
        <v>665</v>
      </c>
      <c r="O145" s="57">
        <v>1</v>
      </c>
      <c r="P145" s="45">
        <v>62000</v>
      </c>
      <c r="Q145" s="58">
        <f t="shared" si="12"/>
        <v>62000</v>
      </c>
      <c r="R145" s="69" t="s">
        <v>663</v>
      </c>
      <c r="S145" s="19"/>
      <c r="T145" s="32"/>
      <c r="U145" s="32"/>
      <c r="V145" s="51">
        <f t="shared" si="13"/>
        <v>71920</v>
      </c>
      <c r="W145" s="51">
        <f t="shared" si="14"/>
        <v>71920</v>
      </c>
      <c r="X145" s="52">
        <f t="shared" si="15"/>
        <v>48.38</v>
      </c>
      <c r="Y145" s="53">
        <f t="shared" si="16"/>
        <v>48.38</v>
      </c>
      <c r="Z145" s="54"/>
      <c r="AA145" s="71"/>
      <c r="AB145" s="71"/>
      <c r="AC145" s="128"/>
      <c r="AD145" s="33"/>
      <c r="AE145" s="55"/>
    </row>
    <row r="146" spans="2:31" ht="20.100000000000001" customHeight="1">
      <c r="B146" s="48">
        <v>146</v>
      </c>
      <c r="C146" s="121" t="s">
        <v>701</v>
      </c>
      <c r="D146" s="120" t="s">
        <v>349</v>
      </c>
      <c r="E146" s="120">
        <v>2603</v>
      </c>
      <c r="F146" s="120" t="s">
        <v>700</v>
      </c>
      <c r="G146" s="120" t="s">
        <v>689</v>
      </c>
      <c r="H146" s="49">
        <v>4</v>
      </c>
      <c r="I146" s="50" t="s">
        <v>25</v>
      </c>
      <c r="J146" s="124" t="s">
        <v>586</v>
      </c>
      <c r="K146" s="50" t="s">
        <v>583</v>
      </c>
      <c r="L146" s="50" t="s">
        <v>606</v>
      </c>
      <c r="M146" s="56" t="s">
        <v>12</v>
      </c>
      <c r="N146" s="122" t="s">
        <v>665</v>
      </c>
      <c r="O146" s="57">
        <v>1</v>
      </c>
      <c r="P146" s="45">
        <v>35800</v>
      </c>
      <c r="Q146" s="58">
        <f t="shared" si="12"/>
        <v>35800</v>
      </c>
      <c r="R146" s="69" t="s">
        <v>663</v>
      </c>
      <c r="S146" s="19"/>
      <c r="T146" s="32"/>
      <c r="U146" s="32"/>
      <c r="V146" s="51">
        <f t="shared" si="13"/>
        <v>41528</v>
      </c>
      <c r="W146" s="51">
        <f t="shared" si="14"/>
        <v>41528</v>
      </c>
      <c r="X146" s="52">
        <f t="shared" si="15"/>
        <v>27.93</v>
      </c>
      <c r="Y146" s="53">
        <f t="shared" si="16"/>
        <v>27.93</v>
      </c>
      <c r="Z146" s="54"/>
      <c r="AA146" s="71"/>
      <c r="AB146" s="71"/>
      <c r="AC146" s="128"/>
      <c r="AD146" s="33"/>
      <c r="AE146" s="55"/>
    </row>
    <row r="147" spans="2:31" ht="20.100000000000001" customHeight="1">
      <c r="B147" s="48">
        <v>147</v>
      </c>
      <c r="C147" s="121" t="s">
        <v>701</v>
      </c>
      <c r="D147" s="120" t="s">
        <v>349</v>
      </c>
      <c r="E147" s="120">
        <v>2603</v>
      </c>
      <c r="F147" s="120" t="s">
        <v>700</v>
      </c>
      <c r="G147" s="120" t="s">
        <v>689</v>
      </c>
      <c r="H147" s="49">
        <v>2</v>
      </c>
      <c r="I147" s="50" t="s">
        <v>42</v>
      </c>
      <c r="J147" s="124" t="s">
        <v>646</v>
      </c>
      <c r="K147" s="50" t="s">
        <v>417</v>
      </c>
      <c r="L147" s="50" t="s">
        <v>606</v>
      </c>
      <c r="M147" s="56" t="s">
        <v>12</v>
      </c>
      <c r="N147" s="122" t="s">
        <v>665</v>
      </c>
      <c r="O147" s="57">
        <v>4</v>
      </c>
      <c r="P147" s="45">
        <v>800</v>
      </c>
      <c r="Q147" s="58">
        <f t="shared" si="12"/>
        <v>3200</v>
      </c>
      <c r="R147" s="69" t="s">
        <v>663</v>
      </c>
      <c r="S147" s="19"/>
      <c r="T147" s="32"/>
      <c r="U147" s="32"/>
      <c r="V147" s="51">
        <f t="shared" si="13"/>
        <v>927.99999999999989</v>
      </c>
      <c r="W147" s="51">
        <f t="shared" si="14"/>
        <v>3711.9999999999995</v>
      </c>
      <c r="X147" s="52">
        <f t="shared" si="15"/>
        <v>0.62</v>
      </c>
      <c r="Y147" s="53">
        <f t="shared" si="16"/>
        <v>2.48</v>
      </c>
      <c r="Z147" s="54"/>
      <c r="AA147" s="71"/>
      <c r="AB147" s="71"/>
      <c r="AC147" s="128"/>
      <c r="AD147" s="33"/>
      <c r="AE147" s="55"/>
    </row>
    <row r="148" spans="2:31" ht="20.100000000000001" customHeight="1">
      <c r="B148" s="48">
        <v>148</v>
      </c>
      <c r="C148" s="121" t="s">
        <v>701</v>
      </c>
      <c r="D148" s="120" t="s">
        <v>349</v>
      </c>
      <c r="E148" s="120">
        <v>2603</v>
      </c>
      <c r="F148" s="120" t="s">
        <v>700</v>
      </c>
      <c r="G148" s="120" t="s">
        <v>689</v>
      </c>
      <c r="H148" s="49">
        <v>2</v>
      </c>
      <c r="I148" s="50" t="s">
        <v>42</v>
      </c>
      <c r="J148" s="124" t="s">
        <v>644</v>
      </c>
      <c r="K148" s="50" t="s">
        <v>417</v>
      </c>
      <c r="L148" s="50" t="s">
        <v>606</v>
      </c>
      <c r="M148" s="56" t="s">
        <v>12</v>
      </c>
      <c r="N148" s="122" t="s">
        <v>665</v>
      </c>
      <c r="O148" s="57">
        <v>24</v>
      </c>
      <c r="P148" s="45">
        <v>850</v>
      </c>
      <c r="Q148" s="58">
        <f t="shared" si="12"/>
        <v>20400</v>
      </c>
      <c r="R148" s="129" t="s">
        <v>663</v>
      </c>
      <c r="S148" s="19"/>
      <c r="T148" s="32"/>
      <c r="U148" s="32"/>
      <c r="V148" s="51">
        <f t="shared" si="13"/>
        <v>985.99999999999989</v>
      </c>
      <c r="W148" s="51">
        <f t="shared" si="14"/>
        <v>23663.999999999996</v>
      </c>
      <c r="X148" s="52">
        <f t="shared" si="15"/>
        <v>0.66</v>
      </c>
      <c r="Y148" s="53">
        <f t="shared" si="16"/>
        <v>15.84</v>
      </c>
      <c r="Z148" s="54"/>
      <c r="AA148" s="71"/>
      <c r="AB148" s="71"/>
      <c r="AC148" s="128" t="s">
        <v>838</v>
      </c>
      <c r="AD148" s="33"/>
      <c r="AE148" s="55"/>
    </row>
    <row r="149" spans="2:31" ht="20.100000000000001" customHeight="1">
      <c r="B149" s="48">
        <v>149</v>
      </c>
      <c r="C149" s="121" t="s">
        <v>701</v>
      </c>
      <c r="D149" s="120" t="s">
        <v>349</v>
      </c>
      <c r="E149" s="120">
        <v>2603</v>
      </c>
      <c r="F149" s="120" t="s">
        <v>700</v>
      </c>
      <c r="G149" s="120" t="s">
        <v>689</v>
      </c>
      <c r="H149" s="49">
        <v>2</v>
      </c>
      <c r="I149" s="50" t="s">
        <v>42</v>
      </c>
      <c r="J149" s="124" t="s">
        <v>463</v>
      </c>
      <c r="K149" s="50" t="s">
        <v>417</v>
      </c>
      <c r="L149" s="50" t="s">
        <v>606</v>
      </c>
      <c r="M149" s="56" t="s">
        <v>12</v>
      </c>
      <c r="N149" s="122" t="s">
        <v>665</v>
      </c>
      <c r="O149" s="57">
        <v>8</v>
      </c>
      <c r="P149" s="45">
        <v>750</v>
      </c>
      <c r="Q149" s="58">
        <f t="shared" si="12"/>
        <v>6000</v>
      </c>
      <c r="R149" s="129" t="s">
        <v>663</v>
      </c>
      <c r="S149" s="19"/>
      <c r="T149" s="32"/>
      <c r="U149" s="32"/>
      <c r="V149" s="51">
        <f t="shared" si="13"/>
        <v>869.99999999999989</v>
      </c>
      <c r="W149" s="51">
        <f t="shared" si="14"/>
        <v>6959.9999999999991</v>
      </c>
      <c r="X149" s="52">
        <f t="shared" si="15"/>
        <v>0.59</v>
      </c>
      <c r="Y149" s="53">
        <f t="shared" si="16"/>
        <v>4.72</v>
      </c>
      <c r="Z149" s="54"/>
      <c r="AA149" s="71"/>
      <c r="AB149" s="71"/>
      <c r="AC149" s="128" t="s">
        <v>838</v>
      </c>
      <c r="AD149" s="33"/>
      <c r="AE149" s="55"/>
    </row>
    <row r="150" spans="2:31" ht="20.100000000000001" customHeight="1">
      <c r="B150" s="48">
        <v>150</v>
      </c>
      <c r="C150" s="121" t="s">
        <v>701</v>
      </c>
      <c r="D150" s="120" t="s">
        <v>349</v>
      </c>
      <c r="E150" s="120">
        <v>2603</v>
      </c>
      <c r="F150" s="120" t="s">
        <v>700</v>
      </c>
      <c r="G150" s="120" t="s">
        <v>689</v>
      </c>
      <c r="H150" s="49">
        <v>2</v>
      </c>
      <c r="I150" s="50" t="s">
        <v>25</v>
      </c>
      <c r="J150" s="124" t="s">
        <v>587</v>
      </c>
      <c r="K150" s="50" t="s">
        <v>583</v>
      </c>
      <c r="L150" s="50" t="s">
        <v>606</v>
      </c>
      <c r="M150" s="56" t="s">
        <v>12</v>
      </c>
      <c r="N150" s="122" t="s">
        <v>665</v>
      </c>
      <c r="O150" s="57">
        <v>2</v>
      </c>
      <c r="P150" s="45">
        <v>13000</v>
      </c>
      <c r="Q150" s="58">
        <f t="shared" si="12"/>
        <v>26000</v>
      </c>
      <c r="R150" s="129" t="s">
        <v>663</v>
      </c>
      <c r="S150" s="19"/>
      <c r="T150" s="32"/>
      <c r="U150" s="32"/>
      <c r="V150" s="51">
        <f t="shared" si="13"/>
        <v>15079.999999999998</v>
      </c>
      <c r="W150" s="51">
        <f t="shared" si="14"/>
        <v>30159.999999999996</v>
      </c>
      <c r="X150" s="52">
        <f t="shared" si="15"/>
        <v>10.14</v>
      </c>
      <c r="Y150" s="53">
        <f t="shared" si="16"/>
        <v>20.28</v>
      </c>
      <c r="Z150" s="54"/>
      <c r="AA150" s="71"/>
      <c r="AB150" s="71"/>
      <c r="AC150" s="128" t="s">
        <v>838</v>
      </c>
      <c r="AD150" s="33"/>
      <c r="AE150" s="55"/>
    </row>
    <row r="151" spans="2:31" ht="20.100000000000001" customHeight="1">
      <c r="B151" s="48">
        <v>151</v>
      </c>
      <c r="C151" s="121" t="s">
        <v>701</v>
      </c>
      <c r="D151" s="120" t="s">
        <v>349</v>
      </c>
      <c r="E151" s="120">
        <v>2603</v>
      </c>
      <c r="F151" s="120" t="s">
        <v>700</v>
      </c>
      <c r="G151" s="120" t="s">
        <v>689</v>
      </c>
      <c r="H151" s="49">
        <v>2</v>
      </c>
      <c r="I151" s="50" t="s">
        <v>42</v>
      </c>
      <c r="J151" s="124" t="s">
        <v>627</v>
      </c>
      <c r="K151" s="50" t="s">
        <v>417</v>
      </c>
      <c r="L151" s="50" t="s">
        <v>606</v>
      </c>
      <c r="M151" s="56" t="s">
        <v>12</v>
      </c>
      <c r="N151" s="122" t="s">
        <v>665</v>
      </c>
      <c r="O151" s="57">
        <v>4</v>
      </c>
      <c r="P151" s="45">
        <v>1650</v>
      </c>
      <c r="Q151" s="58">
        <f t="shared" si="12"/>
        <v>6600</v>
      </c>
      <c r="R151" s="129" t="s">
        <v>663</v>
      </c>
      <c r="S151" s="19"/>
      <c r="T151" s="32"/>
      <c r="U151" s="32"/>
      <c r="V151" s="51">
        <f t="shared" si="13"/>
        <v>1913.9999999999998</v>
      </c>
      <c r="W151" s="51">
        <f t="shared" si="14"/>
        <v>7655.9999999999991</v>
      </c>
      <c r="X151" s="52">
        <f t="shared" si="15"/>
        <v>1.29</v>
      </c>
      <c r="Y151" s="53">
        <f t="shared" si="16"/>
        <v>5.16</v>
      </c>
      <c r="Z151" s="54"/>
      <c r="AA151" s="71"/>
      <c r="AB151" s="71"/>
      <c r="AC151" s="128" t="s">
        <v>838</v>
      </c>
      <c r="AD151" s="33"/>
      <c r="AE151" s="55"/>
    </row>
    <row r="152" spans="2:31" ht="20.100000000000001" customHeight="1">
      <c r="B152" s="48">
        <v>152</v>
      </c>
      <c r="C152" s="121" t="s">
        <v>701</v>
      </c>
      <c r="D152" s="120" t="s">
        <v>349</v>
      </c>
      <c r="E152" s="120">
        <v>2603</v>
      </c>
      <c r="F152" s="120" t="s">
        <v>700</v>
      </c>
      <c r="G152" s="120" t="s">
        <v>689</v>
      </c>
      <c r="H152" s="49">
        <v>1</v>
      </c>
      <c r="I152" s="50" t="s">
        <v>590</v>
      </c>
      <c r="J152" s="124" t="s">
        <v>110</v>
      </c>
      <c r="K152" s="50" t="s">
        <v>47</v>
      </c>
      <c r="L152" s="50" t="s">
        <v>607</v>
      </c>
      <c r="M152" s="56" t="s">
        <v>12</v>
      </c>
      <c r="N152" s="122" t="s">
        <v>666</v>
      </c>
      <c r="O152" s="57">
        <v>2</v>
      </c>
      <c r="P152" s="45">
        <v>258000</v>
      </c>
      <c r="Q152" s="58">
        <f t="shared" si="12"/>
        <v>516000</v>
      </c>
      <c r="R152" s="69" t="s">
        <v>663</v>
      </c>
      <c r="S152" s="19"/>
      <c r="T152" s="32"/>
      <c r="U152" s="32"/>
      <c r="V152" s="51">
        <f t="shared" si="13"/>
        <v>299280</v>
      </c>
      <c r="W152" s="51">
        <f t="shared" si="14"/>
        <v>598560</v>
      </c>
      <c r="X152" s="52">
        <f t="shared" si="15"/>
        <v>201.31</v>
      </c>
      <c r="Y152" s="53">
        <f t="shared" si="16"/>
        <v>402.62</v>
      </c>
      <c r="Z152" s="54"/>
      <c r="AA152" s="71"/>
      <c r="AB152" s="71"/>
      <c r="AC152" s="128"/>
      <c r="AD152" s="33"/>
      <c r="AE152" s="55"/>
    </row>
    <row r="153" spans="2:31" ht="20.100000000000001" customHeight="1">
      <c r="B153" s="48">
        <v>153</v>
      </c>
      <c r="C153" s="121" t="s">
        <v>701</v>
      </c>
      <c r="D153" s="120" t="s">
        <v>349</v>
      </c>
      <c r="E153" s="120">
        <v>2603</v>
      </c>
      <c r="F153" s="120" t="s">
        <v>700</v>
      </c>
      <c r="G153" s="120" t="s">
        <v>689</v>
      </c>
      <c r="H153" s="49">
        <v>1</v>
      </c>
      <c r="I153" s="50" t="s">
        <v>107</v>
      </c>
      <c r="J153" s="124" t="s">
        <v>111</v>
      </c>
      <c r="K153" s="50" t="s">
        <v>47</v>
      </c>
      <c r="L153" s="50" t="s">
        <v>607</v>
      </c>
      <c r="M153" s="56" t="s">
        <v>12</v>
      </c>
      <c r="N153" s="122" t="s">
        <v>612</v>
      </c>
      <c r="O153" s="57">
        <v>2</v>
      </c>
      <c r="P153" s="45">
        <v>260000</v>
      </c>
      <c r="Q153" s="58">
        <f t="shared" si="12"/>
        <v>520000</v>
      </c>
      <c r="R153" s="69" t="s">
        <v>663</v>
      </c>
      <c r="S153" s="19"/>
      <c r="T153" s="32"/>
      <c r="U153" s="32"/>
      <c r="V153" s="51">
        <f t="shared" si="13"/>
        <v>301600</v>
      </c>
      <c r="W153" s="51">
        <f t="shared" si="14"/>
        <v>603200</v>
      </c>
      <c r="X153" s="52">
        <f t="shared" si="15"/>
        <v>202.87</v>
      </c>
      <c r="Y153" s="53">
        <f t="shared" si="16"/>
        <v>405.74</v>
      </c>
      <c r="Z153" s="54"/>
      <c r="AA153" s="71"/>
      <c r="AB153" s="71"/>
      <c r="AC153" s="128"/>
      <c r="AD153" s="33"/>
      <c r="AE153" s="55"/>
    </row>
    <row r="154" spans="2:31" ht="20.100000000000001" customHeight="1">
      <c r="B154" s="48">
        <v>154</v>
      </c>
      <c r="C154" s="121" t="s">
        <v>701</v>
      </c>
      <c r="D154" s="120" t="s">
        <v>349</v>
      </c>
      <c r="E154" s="120">
        <v>2603</v>
      </c>
      <c r="F154" s="120" t="s">
        <v>700</v>
      </c>
      <c r="G154" s="120" t="s">
        <v>689</v>
      </c>
      <c r="H154" s="49">
        <v>1</v>
      </c>
      <c r="I154" s="50" t="s">
        <v>590</v>
      </c>
      <c r="J154" s="124" t="s">
        <v>108</v>
      </c>
      <c r="K154" s="50" t="s">
        <v>47</v>
      </c>
      <c r="L154" s="50" t="s">
        <v>607</v>
      </c>
      <c r="M154" s="56" t="s">
        <v>12</v>
      </c>
      <c r="N154" s="122" t="s">
        <v>612</v>
      </c>
      <c r="O154" s="57">
        <v>1</v>
      </c>
      <c r="P154" s="45">
        <v>146000</v>
      </c>
      <c r="Q154" s="58">
        <f t="shared" si="12"/>
        <v>146000</v>
      </c>
      <c r="R154" s="69" t="s">
        <v>663</v>
      </c>
      <c r="S154" s="19"/>
      <c r="T154" s="32"/>
      <c r="U154" s="32"/>
      <c r="V154" s="51">
        <f t="shared" si="13"/>
        <v>169360</v>
      </c>
      <c r="W154" s="51">
        <f t="shared" si="14"/>
        <v>169360</v>
      </c>
      <c r="X154" s="52">
        <f t="shared" si="15"/>
        <v>113.92</v>
      </c>
      <c r="Y154" s="53">
        <f t="shared" si="16"/>
        <v>113.92</v>
      </c>
      <c r="Z154" s="54"/>
      <c r="AA154" s="71"/>
      <c r="AB154" s="71"/>
      <c r="AC154" s="128"/>
      <c r="AD154" s="33"/>
      <c r="AE154" s="55"/>
    </row>
    <row r="155" spans="2:31" ht="20.100000000000001" customHeight="1">
      <c r="B155" s="48">
        <v>155</v>
      </c>
      <c r="C155" s="121" t="s">
        <v>701</v>
      </c>
      <c r="D155" s="120" t="s">
        <v>349</v>
      </c>
      <c r="E155" s="120">
        <v>2603</v>
      </c>
      <c r="F155" s="120" t="s">
        <v>700</v>
      </c>
      <c r="G155" s="120" t="s">
        <v>689</v>
      </c>
      <c r="H155" s="49">
        <v>1</v>
      </c>
      <c r="I155" s="50" t="s">
        <v>107</v>
      </c>
      <c r="J155" s="124" t="s">
        <v>109</v>
      </c>
      <c r="K155" s="50" t="s">
        <v>47</v>
      </c>
      <c r="L155" s="50" t="s">
        <v>607</v>
      </c>
      <c r="M155" s="56" t="s">
        <v>12</v>
      </c>
      <c r="N155" s="122" t="s">
        <v>612</v>
      </c>
      <c r="O155" s="57">
        <v>1</v>
      </c>
      <c r="P155" s="45">
        <v>253000</v>
      </c>
      <c r="Q155" s="58">
        <f t="shared" si="12"/>
        <v>253000</v>
      </c>
      <c r="R155" s="69" t="s">
        <v>663</v>
      </c>
      <c r="S155" s="19"/>
      <c r="T155" s="32"/>
      <c r="U155" s="32"/>
      <c r="V155" s="51">
        <f t="shared" si="13"/>
        <v>293480</v>
      </c>
      <c r="W155" s="51">
        <f t="shared" si="14"/>
        <v>293480</v>
      </c>
      <c r="X155" s="52">
        <f t="shared" si="15"/>
        <v>197.41</v>
      </c>
      <c r="Y155" s="53">
        <f t="shared" si="16"/>
        <v>197.41</v>
      </c>
      <c r="Z155" s="54"/>
      <c r="AA155" s="71"/>
      <c r="AB155" s="71"/>
      <c r="AC155" s="128"/>
      <c r="AD155" s="33"/>
      <c r="AE155" s="55"/>
    </row>
    <row r="156" spans="2:31" ht="20.100000000000001" customHeight="1">
      <c r="B156" s="48">
        <v>156</v>
      </c>
      <c r="C156" s="121" t="s">
        <v>701</v>
      </c>
      <c r="D156" s="120" t="s">
        <v>349</v>
      </c>
      <c r="E156" s="120">
        <v>2603</v>
      </c>
      <c r="F156" s="120" t="s">
        <v>700</v>
      </c>
      <c r="G156" s="120" t="s">
        <v>689</v>
      </c>
      <c r="H156" s="49">
        <v>2</v>
      </c>
      <c r="I156" s="50" t="s">
        <v>24</v>
      </c>
      <c r="J156" s="124" t="s">
        <v>591</v>
      </c>
      <c r="K156" s="50" t="s">
        <v>47</v>
      </c>
      <c r="L156" s="50" t="s">
        <v>607</v>
      </c>
      <c r="M156" s="56" t="s">
        <v>12</v>
      </c>
      <c r="N156" s="122" t="s">
        <v>612</v>
      </c>
      <c r="O156" s="57">
        <v>3</v>
      </c>
      <c r="P156" s="45">
        <v>3500</v>
      </c>
      <c r="Q156" s="58">
        <f t="shared" si="12"/>
        <v>10500</v>
      </c>
      <c r="R156" s="69" t="s">
        <v>663</v>
      </c>
      <c r="S156" s="19"/>
      <c r="T156" s="32"/>
      <c r="U156" s="32"/>
      <c r="V156" s="51">
        <f t="shared" si="13"/>
        <v>4059.9999999999995</v>
      </c>
      <c r="W156" s="51">
        <f t="shared" si="14"/>
        <v>12179.999999999998</v>
      </c>
      <c r="X156" s="52">
        <f t="shared" si="15"/>
        <v>2.73</v>
      </c>
      <c r="Y156" s="53">
        <f t="shared" si="16"/>
        <v>8.19</v>
      </c>
      <c r="Z156" s="54"/>
      <c r="AA156" s="71"/>
      <c r="AB156" s="71"/>
      <c r="AC156" s="128"/>
      <c r="AD156" s="33"/>
      <c r="AE156" s="55"/>
    </row>
    <row r="157" spans="2:31" ht="20.100000000000001" customHeight="1">
      <c r="B157" s="48">
        <v>157</v>
      </c>
      <c r="C157" s="121" t="s">
        <v>701</v>
      </c>
      <c r="D157" s="120" t="s">
        <v>349</v>
      </c>
      <c r="E157" s="120">
        <v>2603</v>
      </c>
      <c r="F157" s="120" t="s">
        <v>700</v>
      </c>
      <c r="G157" s="120" t="s">
        <v>689</v>
      </c>
      <c r="H157" s="49">
        <v>2</v>
      </c>
      <c r="I157" s="50" t="s">
        <v>569</v>
      </c>
      <c r="J157" s="124" t="s">
        <v>588</v>
      </c>
      <c r="K157" s="50" t="s">
        <v>38</v>
      </c>
      <c r="L157" s="50" t="s">
        <v>607</v>
      </c>
      <c r="M157" s="56" t="s">
        <v>12</v>
      </c>
      <c r="N157" s="122" t="s">
        <v>665</v>
      </c>
      <c r="O157" s="57">
        <v>4</v>
      </c>
      <c r="P157" s="45">
        <v>32200</v>
      </c>
      <c r="Q157" s="58">
        <f t="shared" si="12"/>
        <v>128800</v>
      </c>
      <c r="R157" s="129" t="s">
        <v>663</v>
      </c>
      <c r="S157" s="19"/>
      <c r="T157" s="32"/>
      <c r="U157" s="32"/>
      <c r="V157" s="51">
        <f t="shared" si="13"/>
        <v>37352</v>
      </c>
      <c r="W157" s="51">
        <f t="shared" si="14"/>
        <v>149408</v>
      </c>
      <c r="X157" s="52">
        <f t="shared" si="15"/>
        <v>25.13</v>
      </c>
      <c r="Y157" s="53">
        <f t="shared" si="16"/>
        <v>100.52</v>
      </c>
      <c r="Z157" s="54"/>
      <c r="AA157" s="71"/>
      <c r="AB157" s="71"/>
      <c r="AC157" s="128" t="s">
        <v>838</v>
      </c>
      <c r="AD157" s="33"/>
      <c r="AE157" s="55"/>
    </row>
    <row r="158" spans="2:31" ht="20.100000000000001" customHeight="1">
      <c r="B158" s="48">
        <v>158</v>
      </c>
      <c r="C158" s="121" t="s">
        <v>701</v>
      </c>
      <c r="D158" s="120" t="s">
        <v>349</v>
      </c>
      <c r="E158" s="120">
        <v>2603</v>
      </c>
      <c r="F158" s="120" t="s">
        <v>700</v>
      </c>
      <c r="G158" s="120" t="s">
        <v>689</v>
      </c>
      <c r="H158" s="49">
        <v>2</v>
      </c>
      <c r="I158" s="50" t="s">
        <v>39</v>
      </c>
      <c r="J158" s="124" t="s">
        <v>589</v>
      </c>
      <c r="K158" s="50" t="s">
        <v>38</v>
      </c>
      <c r="L158" s="50" t="s">
        <v>607</v>
      </c>
      <c r="M158" s="56" t="s">
        <v>12</v>
      </c>
      <c r="N158" s="122" t="s">
        <v>665</v>
      </c>
      <c r="O158" s="57">
        <v>4</v>
      </c>
      <c r="P158" s="45">
        <v>25900</v>
      </c>
      <c r="Q158" s="58">
        <f t="shared" si="12"/>
        <v>103600</v>
      </c>
      <c r="R158" s="129" t="s">
        <v>663</v>
      </c>
      <c r="S158" s="19"/>
      <c r="T158" s="32"/>
      <c r="U158" s="32"/>
      <c r="V158" s="51">
        <f t="shared" si="13"/>
        <v>30043.999999999996</v>
      </c>
      <c r="W158" s="51">
        <f t="shared" si="14"/>
        <v>120175.99999999999</v>
      </c>
      <c r="X158" s="52">
        <f t="shared" si="15"/>
        <v>20.21</v>
      </c>
      <c r="Y158" s="53">
        <f t="shared" si="16"/>
        <v>80.84</v>
      </c>
      <c r="Z158" s="54"/>
      <c r="AA158" s="71"/>
      <c r="AB158" s="71"/>
      <c r="AC158" s="128" t="s">
        <v>838</v>
      </c>
      <c r="AD158" s="33"/>
      <c r="AE158" s="55"/>
    </row>
    <row r="159" spans="2:31" ht="20.100000000000001" customHeight="1">
      <c r="B159" s="48">
        <v>159</v>
      </c>
      <c r="C159" s="121" t="s">
        <v>701</v>
      </c>
      <c r="D159" s="120" t="s">
        <v>349</v>
      </c>
      <c r="E159" s="120">
        <v>2603</v>
      </c>
      <c r="F159" s="120" t="s">
        <v>700</v>
      </c>
      <c r="G159" s="120" t="s">
        <v>689</v>
      </c>
      <c r="H159" s="49">
        <v>2</v>
      </c>
      <c r="I159" s="50" t="s">
        <v>39</v>
      </c>
      <c r="J159" s="124" t="s">
        <v>89</v>
      </c>
      <c r="K159" s="50" t="s">
        <v>38</v>
      </c>
      <c r="L159" s="50" t="s">
        <v>607</v>
      </c>
      <c r="M159" s="56" t="s">
        <v>12</v>
      </c>
      <c r="N159" s="122" t="s">
        <v>665</v>
      </c>
      <c r="O159" s="57">
        <v>4</v>
      </c>
      <c r="P159" s="45">
        <v>27800</v>
      </c>
      <c r="Q159" s="58">
        <f t="shared" si="12"/>
        <v>111200</v>
      </c>
      <c r="R159" s="129" t="s">
        <v>663</v>
      </c>
      <c r="S159" s="19"/>
      <c r="T159" s="32"/>
      <c r="U159" s="32"/>
      <c r="V159" s="51">
        <f t="shared" si="13"/>
        <v>32247.999999999996</v>
      </c>
      <c r="W159" s="51">
        <f t="shared" si="14"/>
        <v>128991.99999999999</v>
      </c>
      <c r="X159" s="52">
        <f t="shared" si="15"/>
        <v>21.69</v>
      </c>
      <c r="Y159" s="53">
        <f t="shared" si="16"/>
        <v>86.76</v>
      </c>
      <c r="Z159" s="54"/>
      <c r="AA159" s="71"/>
      <c r="AB159" s="71"/>
      <c r="AC159" s="128" t="s">
        <v>838</v>
      </c>
      <c r="AD159" s="33"/>
      <c r="AE159" s="55"/>
    </row>
    <row r="160" spans="2:31" ht="20.100000000000001" customHeight="1">
      <c r="B160" s="48">
        <v>160</v>
      </c>
      <c r="C160" s="121" t="s">
        <v>701</v>
      </c>
      <c r="D160" s="120" t="s">
        <v>349</v>
      </c>
      <c r="E160" s="120">
        <v>2603</v>
      </c>
      <c r="F160" s="120" t="s">
        <v>700</v>
      </c>
      <c r="G160" s="120" t="s">
        <v>689</v>
      </c>
      <c r="H160" s="49">
        <v>1</v>
      </c>
      <c r="I160" s="50" t="s">
        <v>67</v>
      </c>
      <c r="J160" s="124" t="s">
        <v>69</v>
      </c>
      <c r="K160" s="50" t="s">
        <v>68</v>
      </c>
      <c r="L160" s="50" t="s">
        <v>525</v>
      </c>
      <c r="M160" s="56" t="s">
        <v>12</v>
      </c>
      <c r="N160" s="122" t="s">
        <v>665</v>
      </c>
      <c r="O160" s="57">
        <v>1</v>
      </c>
      <c r="P160" s="45">
        <v>900000</v>
      </c>
      <c r="Q160" s="58">
        <f t="shared" si="12"/>
        <v>900000</v>
      </c>
      <c r="R160" s="69" t="s">
        <v>663</v>
      </c>
      <c r="S160" s="19"/>
      <c r="T160" s="32"/>
      <c r="U160" s="32"/>
      <c r="V160" s="51">
        <f t="shared" si="13"/>
        <v>1043999.9999999999</v>
      </c>
      <c r="W160" s="51">
        <f t="shared" si="14"/>
        <v>1043999.9999999999</v>
      </c>
      <c r="X160" s="52">
        <f t="shared" si="15"/>
        <v>702.25</v>
      </c>
      <c r="Y160" s="53">
        <f t="shared" si="16"/>
        <v>702.25</v>
      </c>
      <c r="Z160" s="54"/>
      <c r="AA160" s="71"/>
      <c r="AB160" s="71"/>
      <c r="AC160" s="128"/>
      <c r="AD160" s="33"/>
      <c r="AE160" s="55"/>
    </row>
    <row r="161" spans="2:31" ht="20.100000000000001" customHeight="1">
      <c r="B161" s="48">
        <v>161</v>
      </c>
      <c r="C161" s="121" t="s">
        <v>833</v>
      </c>
      <c r="D161" s="120" t="s">
        <v>839</v>
      </c>
      <c r="E161" s="120">
        <v>2603</v>
      </c>
      <c r="F161" s="120" t="s">
        <v>832</v>
      </c>
      <c r="G161" s="120" t="s">
        <v>689</v>
      </c>
      <c r="H161" s="49">
        <v>2</v>
      </c>
      <c r="I161" s="50" t="s">
        <v>124</v>
      </c>
      <c r="J161" s="124" t="s">
        <v>592</v>
      </c>
      <c r="K161" s="50" t="s">
        <v>48</v>
      </c>
      <c r="L161" s="50" t="s">
        <v>608</v>
      </c>
      <c r="M161" s="56" t="s">
        <v>12</v>
      </c>
      <c r="N161" s="122" t="s">
        <v>666</v>
      </c>
      <c r="O161" s="57">
        <v>4</v>
      </c>
      <c r="P161" s="45">
        <v>2290</v>
      </c>
      <c r="Q161" s="58">
        <f t="shared" ref="Q161:Q180" si="17">O161*P161</f>
        <v>9160</v>
      </c>
      <c r="R161" s="69" t="s">
        <v>684</v>
      </c>
      <c r="S161" s="19"/>
      <c r="T161" s="32"/>
      <c r="U161" s="32"/>
      <c r="V161" s="51">
        <f t="shared" si="13"/>
        <v>2656.3999999999996</v>
      </c>
      <c r="W161" s="51">
        <f t="shared" si="14"/>
        <v>10625.599999999999</v>
      </c>
      <c r="X161" s="52">
        <f t="shared" si="15"/>
        <v>1.79</v>
      </c>
      <c r="Y161" s="53">
        <f t="shared" si="16"/>
        <v>7.16</v>
      </c>
      <c r="Z161" s="54"/>
      <c r="AA161" s="71"/>
      <c r="AB161" s="71"/>
      <c r="AC161" s="128" t="s">
        <v>838</v>
      </c>
      <c r="AD161" s="33"/>
      <c r="AE161" s="55"/>
    </row>
    <row r="162" spans="2:31" ht="20.100000000000001" customHeight="1">
      <c r="B162" s="48">
        <v>162</v>
      </c>
      <c r="C162" s="121" t="s">
        <v>701</v>
      </c>
      <c r="D162" s="120" t="s">
        <v>349</v>
      </c>
      <c r="E162" s="120">
        <v>2603</v>
      </c>
      <c r="F162" s="120" t="s">
        <v>700</v>
      </c>
      <c r="G162" s="120" t="s">
        <v>689</v>
      </c>
      <c r="H162" s="49">
        <v>2</v>
      </c>
      <c r="I162" s="50" t="s">
        <v>43</v>
      </c>
      <c r="J162" s="124" t="s">
        <v>593</v>
      </c>
      <c r="K162" s="50" t="s">
        <v>48</v>
      </c>
      <c r="L162" s="50" t="s">
        <v>608</v>
      </c>
      <c r="M162" s="56" t="s">
        <v>12</v>
      </c>
      <c r="N162" s="122" t="s">
        <v>612</v>
      </c>
      <c r="O162" s="57">
        <v>2</v>
      </c>
      <c r="P162" s="45">
        <v>1986</v>
      </c>
      <c r="Q162" s="58">
        <f t="shared" si="17"/>
        <v>3972</v>
      </c>
      <c r="R162" s="69" t="s">
        <v>684</v>
      </c>
      <c r="S162" s="19"/>
      <c r="T162" s="32"/>
      <c r="U162" s="32"/>
      <c r="V162" s="51">
        <f t="shared" si="13"/>
        <v>2303.7599999999998</v>
      </c>
      <c r="W162" s="51">
        <f t="shared" si="14"/>
        <v>4607.5199999999995</v>
      </c>
      <c r="X162" s="52">
        <f t="shared" si="15"/>
        <v>1.55</v>
      </c>
      <c r="Y162" s="53">
        <f t="shared" si="16"/>
        <v>3.1</v>
      </c>
      <c r="Z162" s="54"/>
      <c r="AA162" s="71"/>
      <c r="AB162" s="71"/>
      <c r="AC162" s="128"/>
      <c r="AD162" s="33"/>
      <c r="AE162" s="55"/>
    </row>
    <row r="163" spans="2:31" ht="20.100000000000001" customHeight="1">
      <c r="B163" s="48">
        <v>163</v>
      </c>
      <c r="C163" s="121" t="s">
        <v>701</v>
      </c>
      <c r="D163" s="120" t="s">
        <v>349</v>
      </c>
      <c r="E163" s="120">
        <v>2603</v>
      </c>
      <c r="F163" s="120" t="s">
        <v>700</v>
      </c>
      <c r="G163" s="120" t="s">
        <v>689</v>
      </c>
      <c r="H163" s="49">
        <v>2</v>
      </c>
      <c r="I163" s="50" t="s">
        <v>70</v>
      </c>
      <c r="J163" s="124" t="s">
        <v>658</v>
      </c>
      <c r="K163" s="50" t="s">
        <v>422</v>
      </c>
      <c r="L163" s="50" t="s">
        <v>608</v>
      </c>
      <c r="M163" s="56" t="s">
        <v>12</v>
      </c>
      <c r="N163" s="122" t="s">
        <v>612</v>
      </c>
      <c r="O163" s="57">
        <v>1</v>
      </c>
      <c r="P163" s="45">
        <v>68000</v>
      </c>
      <c r="Q163" s="58">
        <f t="shared" si="17"/>
        <v>68000</v>
      </c>
      <c r="R163" s="69" t="s">
        <v>684</v>
      </c>
      <c r="S163" s="19"/>
      <c r="T163" s="32"/>
      <c r="U163" s="32"/>
      <c r="V163" s="51">
        <f t="shared" si="13"/>
        <v>78880</v>
      </c>
      <c r="W163" s="51">
        <f t="shared" si="14"/>
        <v>78880</v>
      </c>
      <c r="X163" s="52">
        <f t="shared" si="15"/>
        <v>53.06</v>
      </c>
      <c r="Y163" s="53">
        <f t="shared" si="16"/>
        <v>53.06</v>
      </c>
      <c r="Z163" s="54"/>
      <c r="AA163" s="71"/>
      <c r="AB163" s="71"/>
      <c r="AC163" s="128"/>
      <c r="AD163" s="33"/>
      <c r="AE163" s="55"/>
    </row>
    <row r="164" spans="2:31" ht="20.100000000000001" customHeight="1">
      <c r="B164" s="48">
        <v>164</v>
      </c>
      <c r="C164" s="121" t="s">
        <v>701</v>
      </c>
      <c r="D164" s="120" t="s">
        <v>349</v>
      </c>
      <c r="E164" s="120">
        <v>2603</v>
      </c>
      <c r="F164" s="120" t="s">
        <v>700</v>
      </c>
      <c r="G164" s="120" t="s">
        <v>689</v>
      </c>
      <c r="H164" s="49">
        <v>2</v>
      </c>
      <c r="I164" s="50" t="s">
        <v>837</v>
      </c>
      <c r="J164" s="124" t="s">
        <v>836</v>
      </c>
      <c r="K164" s="50" t="s">
        <v>48</v>
      </c>
      <c r="L164" s="50" t="s">
        <v>608</v>
      </c>
      <c r="M164" s="56" t="s">
        <v>12</v>
      </c>
      <c r="N164" s="122" t="s">
        <v>612</v>
      </c>
      <c r="O164" s="57">
        <v>3</v>
      </c>
      <c r="P164" s="45">
        <v>83700</v>
      </c>
      <c r="Q164" s="58">
        <f t="shared" si="17"/>
        <v>251100</v>
      </c>
      <c r="R164" s="69" t="s">
        <v>684</v>
      </c>
      <c r="S164" s="19"/>
      <c r="T164" s="32"/>
      <c r="U164" s="32"/>
      <c r="V164" s="51">
        <f t="shared" si="13"/>
        <v>97092</v>
      </c>
      <c r="W164" s="51">
        <f t="shared" si="14"/>
        <v>291276</v>
      </c>
      <c r="X164" s="52">
        <f t="shared" si="15"/>
        <v>65.31</v>
      </c>
      <c r="Y164" s="53">
        <f t="shared" si="16"/>
        <v>195.93</v>
      </c>
      <c r="Z164" s="54"/>
      <c r="AA164" s="71"/>
      <c r="AB164" s="71"/>
      <c r="AC164" s="128" t="s">
        <v>834</v>
      </c>
      <c r="AD164" s="33"/>
      <c r="AE164" s="55"/>
    </row>
    <row r="165" spans="2:31" ht="20.100000000000001" customHeight="1">
      <c r="B165" s="48">
        <v>165</v>
      </c>
      <c r="C165" s="121" t="s">
        <v>701</v>
      </c>
      <c r="D165" s="120" t="s">
        <v>349</v>
      </c>
      <c r="E165" s="120">
        <v>2603</v>
      </c>
      <c r="F165" s="120" t="s">
        <v>700</v>
      </c>
      <c r="G165" s="120" t="s">
        <v>689</v>
      </c>
      <c r="H165" s="49">
        <v>2</v>
      </c>
      <c r="I165" s="50" t="s">
        <v>177</v>
      </c>
      <c r="J165" s="124" t="s">
        <v>473</v>
      </c>
      <c r="K165" s="50" t="s">
        <v>48</v>
      </c>
      <c r="L165" s="50" t="s">
        <v>608</v>
      </c>
      <c r="M165" s="56" t="s">
        <v>12</v>
      </c>
      <c r="N165" s="122" t="s">
        <v>612</v>
      </c>
      <c r="O165" s="57">
        <v>2</v>
      </c>
      <c r="P165" s="45">
        <v>9130</v>
      </c>
      <c r="Q165" s="58">
        <f t="shared" si="17"/>
        <v>18260</v>
      </c>
      <c r="R165" s="69" t="s">
        <v>684</v>
      </c>
      <c r="S165" s="19"/>
      <c r="T165" s="32"/>
      <c r="U165" s="32"/>
      <c r="V165" s="51">
        <f t="shared" si="13"/>
        <v>10590.8</v>
      </c>
      <c r="W165" s="51">
        <f t="shared" si="14"/>
        <v>21181.599999999999</v>
      </c>
      <c r="X165" s="52">
        <f t="shared" si="15"/>
        <v>7.12</v>
      </c>
      <c r="Y165" s="53">
        <f t="shared" si="16"/>
        <v>14.24</v>
      </c>
      <c r="Z165" s="54"/>
      <c r="AA165" s="71"/>
      <c r="AB165" s="71"/>
      <c r="AC165" s="128"/>
      <c r="AD165" s="33"/>
      <c r="AE165" s="55"/>
    </row>
    <row r="166" spans="2:31" ht="20.100000000000001" customHeight="1">
      <c r="B166" s="48">
        <v>166</v>
      </c>
      <c r="C166" s="121" t="s">
        <v>701</v>
      </c>
      <c r="D166" s="120" t="s">
        <v>349</v>
      </c>
      <c r="E166" s="120">
        <v>2603</v>
      </c>
      <c r="F166" s="120" t="s">
        <v>700</v>
      </c>
      <c r="G166" s="120" t="s">
        <v>689</v>
      </c>
      <c r="H166" s="49">
        <v>2</v>
      </c>
      <c r="I166" s="50" t="s">
        <v>177</v>
      </c>
      <c r="J166" s="124" t="s">
        <v>474</v>
      </c>
      <c r="K166" s="50" t="s">
        <v>48</v>
      </c>
      <c r="L166" s="50" t="s">
        <v>608</v>
      </c>
      <c r="M166" s="56" t="s">
        <v>12</v>
      </c>
      <c r="N166" s="122" t="s">
        <v>612</v>
      </c>
      <c r="O166" s="57">
        <v>2</v>
      </c>
      <c r="P166" s="45">
        <v>9130</v>
      </c>
      <c r="Q166" s="58">
        <f t="shared" si="17"/>
        <v>18260</v>
      </c>
      <c r="R166" s="69" t="s">
        <v>684</v>
      </c>
      <c r="S166" s="19"/>
      <c r="T166" s="32"/>
      <c r="U166" s="32"/>
      <c r="V166" s="51">
        <f t="shared" si="13"/>
        <v>10590.8</v>
      </c>
      <c r="W166" s="51">
        <f t="shared" si="14"/>
        <v>21181.599999999999</v>
      </c>
      <c r="X166" s="52">
        <f t="shared" si="15"/>
        <v>7.12</v>
      </c>
      <c r="Y166" s="53">
        <f t="shared" si="16"/>
        <v>14.24</v>
      </c>
      <c r="Z166" s="54"/>
      <c r="AA166" s="71"/>
      <c r="AB166" s="71"/>
      <c r="AC166" s="128"/>
      <c r="AD166" s="33"/>
      <c r="AE166" s="55"/>
    </row>
    <row r="167" spans="2:31" ht="20.100000000000001" customHeight="1">
      <c r="B167" s="48">
        <v>167</v>
      </c>
      <c r="C167" s="121" t="s">
        <v>701</v>
      </c>
      <c r="D167" s="120" t="s">
        <v>349</v>
      </c>
      <c r="E167" s="120">
        <v>2603</v>
      </c>
      <c r="F167" s="120" t="s">
        <v>700</v>
      </c>
      <c r="G167" s="120" t="s">
        <v>689</v>
      </c>
      <c r="H167" s="49">
        <v>2</v>
      </c>
      <c r="I167" s="50" t="s">
        <v>129</v>
      </c>
      <c r="J167" s="124" t="s">
        <v>130</v>
      </c>
      <c r="K167" s="50" t="s">
        <v>48</v>
      </c>
      <c r="L167" s="50" t="s">
        <v>608</v>
      </c>
      <c r="M167" s="56" t="s">
        <v>12</v>
      </c>
      <c r="N167" s="122" t="s">
        <v>612</v>
      </c>
      <c r="O167" s="57">
        <v>2</v>
      </c>
      <c r="P167" s="45">
        <v>7619</v>
      </c>
      <c r="Q167" s="58">
        <f t="shared" si="17"/>
        <v>15238</v>
      </c>
      <c r="R167" s="69" t="s">
        <v>684</v>
      </c>
      <c r="S167" s="19"/>
      <c r="T167" s="32"/>
      <c r="U167" s="32"/>
      <c r="V167" s="51">
        <f t="shared" si="13"/>
        <v>8838.0399999999991</v>
      </c>
      <c r="W167" s="51">
        <f t="shared" si="14"/>
        <v>17676.079999999998</v>
      </c>
      <c r="X167" s="52">
        <f t="shared" si="15"/>
        <v>5.94</v>
      </c>
      <c r="Y167" s="53">
        <f t="shared" si="16"/>
        <v>11.88</v>
      </c>
      <c r="Z167" s="54"/>
      <c r="AA167" s="71"/>
      <c r="AB167" s="71"/>
      <c r="AC167" s="128"/>
      <c r="AD167" s="33"/>
      <c r="AE167" s="55"/>
    </row>
    <row r="168" spans="2:31" ht="20.100000000000001" customHeight="1">
      <c r="B168" s="48">
        <v>168</v>
      </c>
      <c r="C168" s="121" t="s">
        <v>701</v>
      </c>
      <c r="D168" s="120" t="s">
        <v>349</v>
      </c>
      <c r="E168" s="120">
        <v>2603</v>
      </c>
      <c r="F168" s="120" t="s">
        <v>700</v>
      </c>
      <c r="G168" s="120" t="s">
        <v>689</v>
      </c>
      <c r="H168" s="49">
        <v>2</v>
      </c>
      <c r="I168" s="50" t="s">
        <v>129</v>
      </c>
      <c r="J168" s="124" t="s">
        <v>131</v>
      </c>
      <c r="K168" s="50" t="s">
        <v>48</v>
      </c>
      <c r="L168" s="50" t="s">
        <v>608</v>
      </c>
      <c r="M168" s="56" t="s">
        <v>12</v>
      </c>
      <c r="N168" s="122" t="s">
        <v>612</v>
      </c>
      <c r="O168" s="57">
        <v>2</v>
      </c>
      <c r="P168" s="45">
        <v>7059</v>
      </c>
      <c r="Q168" s="58">
        <f t="shared" si="17"/>
        <v>14118</v>
      </c>
      <c r="R168" s="69" t="s">
        <v>684</v>
      </c>
      <c r="S168" s="19"/>
      <c r="T168" s="32"/>
      <c r="U168" s="32"/>
      <c r="V168" s="51">
        <f t="shared" si="13"/>
        <v>8188.44</v>
      </c>
      <c r="W168" s="51">
        <f t="shared" si="14"/>
        <v>16376.88</v>
      </c>
      <c r="X168" s="52">
        <f t="shared" si="15"/>
        <v>5.51</v>
      </c>
      <c r="Y168" s="53">
        <f t="shared" si="16"/>
        <v>11.02</v>
      </c>
      <c r="Z168" s="54"/>
      <c r="AA168" s="71"/>
      <c r="AB168" s="71"/>
      <c r="AC168" s="128"/>
      <c r="AD168" s="33"/>
      <c r="AE168" s="55"/>
    </row>
    <row r="169" spans="2:31" ht="20.100000000000001" customHeight="1">
      <c r="B169" s="48">
        <v>169</v>
      </c>
      <c r="C169" s="121" t="s">
        <v>701</v>
      </c>
      <c r="D169" s="120" t="s">
        <v>349</v>
      </c>
      <c r="E169" s="120">
        <v>2603</v>
      </c>
      <c r="F169" s="120" t="s">
        <v>700</v>
      </c>
      <c r="G169" s="120" t="s">
        <v>689</v>
      </c>
      <c r="H169" s="49">
        <v>2</v>
      </c>
      <c r="I169" s="50" t="s">
        <v>594</v>
      </c>
      <c r="J169" s="124" t="s">
        <v>595</v>
      </c>
      <c r="K169" s="50" t="s">
        <v>48</v>
      </c>
      <c r="L169" s="50" t="s">
        <v>608</v>
      </c>
      <c r="M169" s="56" t="s">
        <v>12</v>
      </c>
      <c r="N169" s="122" t="s">
        <v>612</v>
      </c>
      <c r="O169" s="57">
        <v>8</v>
      </c>
      <c r="P169" s="45">
        <v>8498</v>
      </c>
      <c r="Q169" s="58">
        <f t="shared" si="17"/>
        <v>67984</v>
      </c>
      <c r="R169" s="69" t="s">
        <v>684</v>
      </c>
      <c r="S169" s="19"/>
      <c r="T169" s="32"/>
      <c r="U169" s="32"/>
      <c r="V169" s="51">
        <f t="shared" si="13"/>
        <v>9857.6799999999985</v>
      </c>
      <c r="W169" s="51">
        <f t="shared" si="14"/>
        <v>78861.439999999988</v>
      </c>
      <c r="X169" s="52">
        <f t="shared" si="15"/>
        <v>6.63</v>
      </c>
      <c r="Y169" s="53">
        <f t="shared" si="16"/>
        <v>53.04</v>
      </c>
      <c r="Z169" s="54"/>
      <c r="AA169" s="71"/>
      <c r="AB169" s="71"/>
      <c r="AC169" s="128"/>
      <c r="AD169" s="33"/>
      <c r="AE169" s="55"/>
    </row>
    <row r="170" spans="2:31" ht="20.100000000000001" customHeight="1">
      <c r="B170" s="48">
        <v>170</v>
      </c>
      <c r="C170" s="121" t="s">
        <v>701</v>
      </c>
      <c r="D170" s="120" t="s">
        <v>349</v>
      </c>
      <c r="E170" s="120">
        <v>2603</v>
      </c>
      <c r="F170" s="120" t="s">
        <v>700</v>
      </c>
      <c r="G170" s="120" t="s">
        <v>689</v>
      </c>
      <c r="H170" s="49">
        <v>2</v>
      </c>
      <c r="I170" s="50" t="s">
        <v>596</v>
      </c>
      <c r="J170" s="124" t="s">
        <v>835</v>
      </c>
      <c r="K170" s="50" t="s">
        <v>48</v>
      </c>
      <c r="L170" s="50" t="s">
        <v>608</v>
      </c>
      <c r="M170" s="56" t="s">
        <v>12</v>
      </c>
      <c r="N170" s="122" t="s">
        <v>612</v>
      </c>
      <c r="O170" s="57">
        <v>4</v>
      </c>
      <c r="P170" s="45">
        <v>4608</v>
      </c>
      <c r="Q170" s="58">
        <f t="shared" si="17"/>
        <v>18432</v>
      </c>
      <c r="R170" s="69" t="s">
        <v>684</v>
      </c>
      <c r="S170" s="19"/>
      <c r="T170" s="32"/>
      <c r="U170" s="32"/>
      <c r="V170" s="51">
        <f t="shared" si="13"/>
        <v>5345.28</v>
      </c>
      <c r="W170" s="51">
        <f t="shared" si="14"/>
        <v>21381.119999999999</v>
      </c>
      <c r="X170" s="52">
        <f t="shared" si="15"/>
        <v>3.6</v>
      </c>
      <c r="Y170" s="53">
        <f t="shared" si="16"/>
        <v>14.4</v>
      </c>
      <c r="Z170" s="54"/>
      <c r="AA170" s="71"/>
      <c r="AB170" s="71"/>
      <c r="AC170" s="128" t="s">
        <v>834</v>
      </c>
      <c r="AD170" s="33"/>
      <c r="AE170" s="55"/>
    </row>
    <row r="171" spans="2:31" ht="20.100000000000001" customHeight="1">
      <c r="B171" s="48">
        <v>171</v>
      </c>
      <c r="C171" s="121" t="s">
        <v>701</v>
      </c>
      <c r="D171" s="120" t="s">
        <v>349</v>
      </c>
      <c r="E171" s="120">
        <v>2603</v>
      </c>
      <c r="F171" s="120" t="s">
        <v>700</v>
      </c>
      <c r="G171" s="120" t="s">
        <v>689</v>
      </c>
      <c r="H171" s="49">
        <v>2</v>
      </c>
      <c r="I171" s="50" t="s">
        <v>126</v>
      </c>
      <c r="J171" s="124" t="s">
        <v>127</v>
      </c>
      <c r="K171" s="50" t="s">
        <v>48</v>
      </c>
      <c r="L171" s="50" t="s">
        <v>608</v>
      </c>
      <c r="M171" s="56" t="s">
        <v>12</v>
      </c>
      <c r="N171" s="122" t="s">
        <v>612</v>
      </c>
      <c r="O171" s="57">
        <v>2</v>
      </c>
      <c r="P171" s="45">
        <v>5501</v>
      </c>
      <c r="Q171" s="58">
        <f t="shared" si="17"/>
        <v>11002</v>
      </c>
      <c r="R171" s="69" t="s">
        <v>684</v>
      </c>
      <c r="S171" s="19"/>
      <c r="T171" s="32"/>
      <c r="U171" s="32"/>
      <c r="V171" s="51">
        <f t="shared" si="13"/>
        <v>6381.16</v>
      </c>
      <c r="W171" s="51">
        <f t="shared" si="14"/>
        <v>12762.32</v>
      </c>
      <c r="X171" s="52">
        <f t="shared" si="15"/>
        <v>4.29</v>
      </c>
      <c r="Y171" s="53">
        <f t="shared" si="16"/>
        <v>8.58</v>
      </c>
      <c r="Z171" s="54"/>
      <c r="AA171" s="71"/>
      <c r="AB171" s="71"/>
      <c r="AC171" s="128"/>
      <c r="AD171" s="33"/>
      <c r="AE171" s="55"/>
    </row>
    <row r="172" spans="2:31" ht="20.100000000000001" customHeight="1">
      <c r="B172" s="48">
        <v>172</v>
      </c>
      <c r="C172" s="121" t="s">
        <v>701</v>
      </c>
      <c r="D172" s="120" t="s">
        <v>349</v>
      </c>
      <c r="E172" s="120">
        <v>2603</v>
      </c>
      <c r="F172" s="120" t="s">
        <v>700</v>
      </c>
      <c r="G172" s="120" t="s">
        <v>689</v>
      </c>
      <c r="H172" s="49">
        <v>2</v>
      </c>
      <c r="I172" s="50" t="s">
        <v>126</v>
      </c>
      <c r="J172" s="124" t="s">
        <v>128</v>
      </c>
      <c r="K172" s="50" t="s">
        <v>48</v>
      </c>
      <c r="L172" s="50" t="s">
        <v>608</v>
      </c>
      <c r="M172" s="56" t="s">
        <v>12</v>
      </c>
      <c r="N172" s="122" t="s">
        <v>612</v>
      </c>
      <c r="O172" s="57">
        <v>2</v>
      </c>
      <c r="P172" s="45">
        <v>13965</v>
      </c>
      <c r="Q172" s="58">
        <f t="shared" si="17"/>
        <v>27930</v>
      </c>
      <c r="R172" s="69" t="s">
        <v>684</v>
      </c>
      <c r="S172" s="19"/>
      <c r="T172" s="32"/>
      <c r="U172" s="32"/>
      <c r="V172" s="51">
        <f t="shared" si="13"/>
        <v>16199.4</v>
      </c>
      <c r="W172" s="51">
        <f t="shared" si="14"/>
        <v>32398.799999999999</v>
      </c>
      <c r="X172" s="52">
        <f t="shared" si="15"/>
        <v>10.9</v>
      </c>
      <c r="Y172" s="53">
        <f t="shared" si="16"/>
        <v>21.8</v>
      </c>
      <c r="Z172" s="54"/>
      <c r="AA172" s="71"/>
      <c r="AB172" s="71"/>
      <c r="AC172" s="128"/>
      <c r="AD172" s="33"/>
      <c r="AE172" s="55"/>
    </row>
    <row r="173" spans="2:31" ht="20.100000000000001" customHeight="1">
      <c r="B173" s="48">
        <v>173</v>
      </c>
      <c r="C173" s="121" t="s">
        <v>701</v>
      </c>
      <c r="D173" s="120" t="s">
        <v>349</v>
      </c>
      <c r="E173" s="120">
        <v>2603</v>
      </c>
      <c r="F173" s="120" t="s">
        <v>700</v>
      </c>
      <c r="G173" s="120" t="s">
        <v>689</v>
      </c>
      <c r="H173" s="49">
        <v>2</v>
      </c>
      <c r="I173" s="50" t="s">
        <v>125</v>
      </c>
      <c r="J173" s="124" t="s">
        <v>597</v>
      </c>
      <c r="K173" s="50" t="s">
        <v>48</v>
      </c>
      <c r="L173" s="50" t="s">
        <v>608</v>
      </c>
      <c r="M173" s="56" t="s">
        <v>12</v>
      </c>
      <c r="N173" s="122" t="s">
        <v>612</v>
      </c>
      <c r="O173" s="57">
        <v>2</v>
      </c>
      <c r="P173" s="45">
        <v>21660</v>
      </c>
      <c r="Q173" s="58">
        <f t="shared" si="17"/>
        <v>43320</v>
      </c>
      <c r="R173" s="129" t="s">
        <v>684</v>
      </c>
      <c r="S173" s="19"/>
      <c r="T173" s="32"/>
      <c r="U173" s="32"/>
      <c r="V173" s="51">
        <f t="shared" si="13"/>
        <v>25125.599999999999</v>
      </c>
      <c r="W173" s="51">
        <f t="shared" si="14"/>
        <v>50251.199999999997</v>
      </c>
      <c r="X173" s="52">
        <f t="shared" si="15"/>
        <v>16.899999999999999</v>
      </c>
      <c r="Y173" s="53">
        <f t="shared" si="16"/>
        <v>33.799999999999997</v>
      </c>
      <c r="Z173" s="54"/>
      <c r="AA173" s="71"/>
      <c r="AB173" s="71"/>
      <c r="AC173" s="128"/>
      <c r="AD173" s="33"/>
      <c r="AE173" s="55"/>
    </row>
    <row r="174" spans="2:31" ht="20.100000000000001" customHeight="1">
      <c r="B174" s="48">
        <v>174</v>
      </c>
      <c r="C174" s="121" t="s">
        <v>701</v>
      </c>
      <c r="D174" s="120" t="s">
        <v>349</v>
      </c>
      <c r="E174" s="120">
        <v>2603</v>
      </c>
      <c r="F174" s="120" t="s">
        <v>700</v>
      </c>
      <c r="G174" s="120" t="s">
        <v>699</v>
      </c>
      <c r="H174" s="49">
        <v>2</v>
      </c>
      <c r="I174" s="50" t="s">
        <v>46</v>
      </c>
      <c r="J174" s="124" t="s">
        <v>661</v>
      </c>
      <c r="K174" s="50" t="s">
        <v>123</v>
      </c>
      <c r="L174" s="50" t="s">
        <v>608</v>
      </c>
      <c r="M174" s="56" t="s">
        <v>12</v>
      </c>
      <c r="N174" s="122" t="s">
        <v>665</v>
      </c>
      <c r="O174" s="57">
        <v>4</v>
      </c>
      <c r="P174" s="45">
        <v>23910</v>
      </c>
      <c r="Q174" s="58">
        <f t="shared" si="17"/>
        <v>95640</v>
      </c>
      <c r="R174" s="69" t="s">
        <v>684</v>
      </c>
      <c r="S174" s="19"/>
      <c r="T174" s="32"/>
      <c r="U174" s="32"/>
      <c r="V174" s="51">
        <f t="shared" si="13"/>
        <v>27735.599999999999</v>
      </c>
      <c r="W174" s="51">
        <f t="shared" si="14"/>
        <v>110942.39999999999</v>
      </c>
      <c r="X174" s="52">
        <f t="shared" si="15"/>
        <v>18.66</v>
      </c>
      <c r="Y174" s="53">
        <f t="shared" si="16"/>
        <v>74.64</v>
      </c>
      <c r="Z174" s="54"/>
      <c r="AA174" s="71"/>
      <c r="AB174" s="71"/>
      <c r="AC174" s="128"/>
      <c r="AD174" s="33"/>
      <c r="AE174" s="55"/>
    </row>
    <row r="175" spans="2:31" ht="20.100000000000001" customHeight="1">
      <c r="B175" s="48">
        <v>175</v>
      </c>
      <c r="C175" s="121" t="s">
        <v>701</v>
      </c>
      <c r="D175" s="120" t="s">
        <v>349</v>
      </c>
      <c r="E175" s="120">
        <v>2603</v>
      </c>
      <c r="F175" s="120" t="s">
        <v>700</v>
      </c>
      <c r="G175" s="120" t="s">
        <v>699</v>
      </c>
      <c r="H175" s="49">
        <v>2</v>
      </c>
      <c r="I175" s="50" t="s">
        <v>177</v>
      </c>
      <c r="J175" s="124" t="s">
        <v>662</v>
      </c>
      <c r="K175" s="50" t="s">
        <v>48</v>
      </c>
      <c r="L175" s="50" t="s">
        <v>608</v>
      </c>
      <c r="M175" s="56" t="s">
        <v>12</v>
      </c>
      <c r="N175" s="122" t="s">
        <v>612</v>
      </c>
      <c r="O175" s="57">
        <v>1</v>
      </c>
      <c r="P175" s="45">
        <v>5890</v>
      </c>
      <c r="Q175" s="58">
        <f t="shared" si="17"/>
        <v>5890</v>
      </c>
      <c r="R175" s="69" t="s">
        <v>684</v>
      </c>
      <c r="S175" s="19"/>
      <c r="T175" s="32"/>
      <c r="U175" s="32"/>
      <c r="V175" s="51">
        <f t="shared" si="13"/>
        <v>6832.4</v>
      </c>
      <c r="W175" s="51">
        <f t="shared" si="14"/>
        <v>6832.4</v>
      </c>
      <c r="X175" s="52">
        <f t="shared" si="15"/>
        <v>4.5999999999999996</v>
      </c>
      <c r="Y175" s="53">
        <f t="shared" si="16"/>
        <v>4.5999999999999996</v>
      </c>
      <c r="Z175" s="54"/>
      <c r="AA175" s="71"/>
      <c r="AB175" s="71"/>
      <c r="AC175" s="128"/>
      <c r="AD175" s="33"/>
      <c r="AE175" s="55"/>
    </row>
    <row r="176" spans="2:31" ht="20.100000000000001" hidden="1" customHeight="1">
      <c r="B176" s="48">
        <v>123</v>
      </c>
      <c r="C176" s="121" t="s">
        <v>701</v>
      </c>
      <c r="D176" s="120" t="s">
        <v>349</v>
      </c>
      <c r="E176" s="120">
        <v>2603</v>
      </c>
      <c r="F176" s="120" t="s">
        <v>700</v>
      </c>
      <c r="G176" s="120" t="s">
        <v>689</v>
      </c>
      <c r="H176" s="49"/>
      <c r="I176" s="50" t="s">
        <v>842</v>
      </c>
      <c r="J176" s="124" t="s">
        <v>841</v>
      </c>
      <c r="K176" s="50" t="s">
        <v>573</v>
      </c>
      <c r="L176" s="50" t="s">
        <v>603</v>
      </c>
      <c r="M176" s="56" t="s">
        <v>12</v>
      </c>
      <c r="N176" s="122" t="s">
        <v>665</v>
      </c>
      <c r="O176" s="57">
        <v>2</v>
      </c>
      <c r="P176" s="45">
        <v>428700</v>
      </c>
      <c r="Q176" s="58">
        <f>O176*P176</f>
        <v>857400</v>
      </c>
      <c r="R176" s="141">
        <v>46122</v>
      </c>
      <c r="S176" s="19"/>
      <c r="T176" s="32"/>
      <c r="U176" s="32"/>
      <c r="V176" s="51">
        <f t="shared" si="13"/>
        <v>497291.99999999994</v>
      </c>
      <c r="W176" s="51">
        <f t="shared" si="14"/>
        <v>994583.99999999988</v>
      </c>
      <c r="X176" s="52">
        <f t="shared" si="15"/>
        <v>334.51</v>
      </c>
      <c r="Y176" s="53">
        <f t="shared" si="16"/>
        <v>669.02</v>
      </c>
      <c r="Z176" s="54"/>
      <c r="AA176" s="71"/>
      <c r="AB176" s="71"/>
      <c r="AC176" s="128"/>
      <c r="AD176" s="33"/>
      <c r="AE176" s="55"/>
    </row>
    <row r="177" spans="2:32" ht="20.100000000000001" hidden="1" customHeight="1">
      <c r="B177" s="48">
        <v>124</v>
      </c>
      <c r="C177" s="121" t="s">
        <v>701</v>
      </c>
      <c r="D177" s="120" t="s">
        <v>349</v>
      </c>
      <c r="E177" s="120">
        <v>2603</v>
      </c>
      <c r="F177" s="120" t="s">
        <v>700</v>
      </c>
      <c r="G177" s="120" t="s">
        <v>689</v>
      </c>
      <c r="H177" s="49"/>
      <c r="I177" s="50" t="s">
        <v>574</v>
      </c>
      <c r="J177" s="124" t="s">
        <v>575</v>
      </c>
      <c r="K177" s="50" t="s">
        <v>573</v>
      </c>
      <c r="L177" s="50" t="s">
        <v>603</v>
      </c>
      <c r="M177" s="56" t="s">
        <v>12</v>
      </c>
      <c r="N177" s="122" t="s">
        <v>665</v>
      </c>
      <c r="O177" s="57">
        <v>2</v>
      </c>
      <c r="P177" s="45">
        <v>32600</v>
      </c>
      <c r="Q177" s="58">
        <f>O177*P177</f>
        <v>65200</v>
      </c>
      <c r="R177" s="141">
        <v>46122</v>
      </c>
      <c r="S177" s="19"/>
      <c r="T177" s="32"/>
      <c r="U177" s="32"/>
      <c r="V177" s="51">
        <f t="shared" si="13"/>
        <v>37816</v>
      </c>
      <c r="W177" s="51">
        <f t="shared" si="14"/>
        <v>75632</v>
      </c>
      <c r="X177" s="52">
        <f t="shared" si="15"/>
        <v>25.44</v>
      </c>
      <c r="Y177" s="53">
        <f t="shared" si="16"/>
        <v>50.88</v>
      </c>
      <c r="Z177" s="54"/>
      <c r="AA177" s="71"/>
      <c r="AB177" s="71"/>
      <c r="AC177" s="128"/>
      <c r="AD177" s="33"/>
      <c r="AE177" s="55"/>
    </row>
    <row r="178" spans="2:32" ht="20.100000000000001" hidden="1" customHeight="1">
      <c r="B178" s="48">
        <v>125</v>
      </c>
      <c r="C178" s="121" t="s">
        <v>701</v>
      </c>
      <c r="D178" s="120" t="s">
        <v>349</v>
      </c>
      <c r="E178" s="120">
        <v>2603</v>
      </c>
      <c r="F178" s="120" t="s">
        <v>700</v>
      </c>
      <c r="G178" s="120" t="s">
        <v>689</v>
      </c>
      <c r="H178" s="49"/>
      <c r="I178" s="50" t="s">
        <v>576</v>
      </c>
      <c r="J178" s="124" t="s">
        <v>577</v>
      </c>
      <c r="K178" s="50" t="s">
        <v>573</v>
      </c>
      <c r="L178" s="50" t="s">
        <v>603</v>
      </c>
      <c r="M178" s="56" t="s">
        <v>12</v>
      </c>
      <c r="N178" s="122" t="s">
        <v>665</v>
      </c>
      <c r="O178" s="57">
        <v>2</v>
      </c>
      <c r="P178" s="45">
        <v>53700</v>
      </c>
      <c r="Q178" s="58">
        <f>O178*P178</f>
        <v>107400</v>
      </c>
      <c r="R178" s="141">
        <v>46122</v>
      </c>
      <c r="S178" s="19"/>
      <c r="T178" s="32"/>
      <c r="U178" s="32"/>
      <c r="V178" s="51">
        <f t="shared" si="13"/>
        <v>62291.999999999993</v>
      </c>
      <c r="W178" s="51">
        <f t="shared" si="14"/>
        <v>124583.99999999999</v>
      </c>
      <c r="X178" s="52">
        <f t="shared" si="15"/>
        <v>41.9</v>
      </c>
      <c r="Y178" s="53">
        <f t="shared" si="16"/>
        <v>83.8</v>
      </c>
      <c r="Z178" s="54"/>
      <c r="AA178" s="71"/>
      <c r="AB178" s="71"/>
      <c r="AC178" s="128"/>
      <c r="AD178" s="33"/>
      <c r="AE178" s="55"/>
    </row>
    <row r="179" spans="2:32" ht="20.100000000000001" hidden="1" customHeight="1">
      <c r="B179" s="48">
        <v>126</v>
      </c>
      <c r="C179" s="121" t="s">
        <v>701</v>
      </c>
      <c r="D179" s="120" t="s">
        <v>349</v>
      </c>
      <c r="E179" s="120">
        <v>2603</v>
      </c>
      <c r="F179" s="120" t="s">
        <v>700</v>
      </c>
      <c r="G179" s="120" t="s">
        <v>689</v>
      </c>
      <c r="H179" s="49"/>
      <c r="I179" s="50" t="s">
        <v>578</v>
      </c>
      <c r="J179" s="124" t="s">
        <v>62</v>
      </c>
      <c r="K179" s="50" t="s">
        <v>61</v>
      </c>
      <c r="L179" s="50" t="s">
        <v>61</v>
      </c>
      <c r="M179" s="56" t="s">
        <v>12</v>
      </c>
      <c r="N179" s="122" t="s">
        <v>665</v>
      </c>
      <c r="O179" s="57">
        <v>1</v>
      </c>
      <c r="P179" s="45">
        <v>315000</v>
      </c>
      <c r="Q179" s="58">
        <f>O179*P179</f>
        <v>315000</v>
      </c>
      <c r="R179" s="141">
        <v>46115</v>
      </c>
      <c r="S179" s="19"/>
      <c r="T179" s="32"/>
      <c r="U179" s="32"/>
      <c r="V179" s="51">
        <f t="shared" si="13"/>
        <v>365400</v>
      </c>
      <c r="W179" s="51">
        <f t="shared" si="14"/>
        <v>365400</v>
      </c>
      <c r="X179" s="52">
        <f t="shared" si="15"/>
        <v>245.79</v>
      </c>
      <c r="Y179" s="53">
        <f t="shared" si="16"/>
        <v>245.79</v>
      </c>
      <c r="Z179" s="54"/>
      <c r="AA179" s="71"/>
      <c r="AB179" s="71"/>
      <c r="AC179" s="128"/>
      <c r="AD179" s="33"/>
      <c r="AE179" s="55"/>
    </row>
    <row r="180" spans="2:32" ht="20.100000000000001" customHeight="1">
      <c r="B180" s="48"/>
      <c r="C180" s="121"/>
      <c r="D180" s="120"/>
      <c r="E180" s="120"/>
      <c r="F180" s="120"/>
      <c r="G180" s="120"/>
      <c r="H180" s="49"/>
      <c r="I180" s="50"/>
      <c r="J180" s="124"/>
      <c r="K180" s="50"/>
      <c r="L180" s="50"/>
      <c r="M180" s="56"/>
      <c r="N180" s="122"/>
      <c r="O180" s="57"/>
      <c r="P180" s="45"/>
      <c r="Q180" s="58">
        <f t="shared" si="17"/>
        <v>0</v>
      </c>
      <c r="R180" s="69"/>
      <c r="S180" s="19"/>
      <c r="T180" s="32"/>
      <c r="U180" s="32"/>
      <c r="V180" s="51">
        <f t="shared" si="13"/>
        <v>0</v>
      </c>
      <c r="W180" s="51">
        <f t="shared" si="14"/>
        <v>0</v>
      </c>
      <c r="X180" s="52">
        <f t="shared" si="15"/>
        <v>0</v>
      </c>
      <c r="Y180" s="53">
        <f t="shared" si="16"/>
        <v>0</v>
      </c>
      <c r="Z180" s="54"/>
      <c r="AA180" s="71"/>
      <c r="AB180" s="71"/>
      <c r="AC180" s="128"/>
      <c r="AD180" s="33"/>
      <c r="AE180" s="55"/>
    </row>
    <row r="181" spans="2:32" ht="30.75" customHeight="1" thickBot="1">
      <c r="B181" s="36"/>
      <c r="C181" s="119"/>
      <c r="D181" s="37"/>
      <c r="E181" s="37"/>
      <c r="F181" s="37"/>
      <c r="G181" s="37"/>
      <c r="H181" s="37"/>
      <c r="I181" s="37"/>
      <c r="J181" s="127"/>
      <c r="K181" s="37"/>
      <c r="L181" s="37"/>
      <c r="M181" s="37"/>
      <c r="N181" s="123" t="s">
        <v>1</v>
      </c>
      <c r="O181" s="38">
        <f>SUBTOTAL(9,O5:O180)</f>
        <v>525</v>
      </c>
      <c r="P181" s="38"/>
      <c r="Q181" s="38">
        <f>SUBTOTAL(9,Q5:Q180)</f>
        <v>14660436</v>
      </c>
      <c r="R181" s="70"/>
      <c r="S181" s="67"/>
      <c r="T181" s="39"/>
      <c r="U181" s="39"/>
      <c r="V181" s="38"/>
      <c r="W181" s="38">
        <f>SUBTOTAL(9,W5:W180)</f>
        <v>17006105.759999994</v>
      </c>
      <c r="X181" s="29"/>
      <c r="Y181" s="30">
        <f>++SUBTOTAL(9,Y5:Y180)</f>
        <v>11438.979999999996</v>
      </c>
      <c r="Z181" s="44" t="e">
        <f>++SUBTOTAL(9,#REF!)</f>
        <v>#REF!</v>
      </c>
      <c r="AA181" s="40" t="e">
        <f>++SUBTOTAL(9,#REF!)</f>
        <v>#REF!</v>
      </c>
      <c r="AB181" s="40" t="e">
        <f>++SUBTOTAL(9,#REF!)</f>
        <v>#REF!</v>
      </c>
      <c r="AC181" s="41"/>
      <c r="AD181" s="6"/>
      <c r="AE181" s="14">
        <f>SUM(AE4:AE180)+6</f>
        <v>6</v>
      </c>
      <c r="AF181" s="43"/>
    </row>
    <row r="182" spans="2:32" ht="15.75" thickTop="1">
      <c r="O182" s="9"/>
      <c r="P182" s="3"/>
      <c r="Q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17"/>
      <c r="AD182" s="3"/>
      <c r="AE182" s="9"/>
    </row>
    <row r="183" spans="2:32">
      <c r="O183" s="9"/>
      <c r="P183" s="3"/>
      <c r="Q183" s="3"/>
      <c r="S183" s="3"/>
      <c r="T183" s="3"/>
      <c r="U183" s="3"/>
      <c r="V183" s="42" t="s">
        <v>54</v>
      </c>
      <c r="W183" s="47">
        <f>++W181/Q181</f>
        <v>1.1599999999999997</v>
      </c>
      <c r="X183" s="3"/>
      <c r="Y183" s="3"/>
      <c r="Z183" s="3"/>
      <c r="AA183" s="3"/>
      <c r="AB183" s="3"/>
      <c r="AC183" s="17"/>
      <c r="AD183" s="3"/>
      <c r="AE183" s="9"/>
    </row>
    <row r="184" spans="2:32">
      <c r="O184" s="9"/>
      <c r="P184" s="3"/>
      <c r="Q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17"/>
      <c r="AD184" s="3"/>
      <c r="AE184" s="9"/>
    </row>
    <row r="185" spans="2:32">
      <c r="O185" s="9"/>
      <c r="P185" s="3"/>
      <c r="Q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17"/>
      <c r="AD185" s="3"/>
      <c r="AE185" s="9"/>
    </row>
    <row r="186" spans="2:32">
      <c r="O186" s="9"/>
      <c r="P186" s="3"/>
      <c r="Q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17"/>
      <c r="AD186" s="3"/>
      <c r="AE186" s="9"/>
    </row>
    <row r="187" spans="2:32">
      <c r="O187" s="9"/>
      <c r="P187" s="3"/>
      <c r="Q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17"/>
      <c r="AD187" s="3"/>
      <c r="AE187" s="9"/>
    </row>
    <row r="188" spans="2:32">
      <c r="O188" s="9"/>
      <c r="P188" s="3"/>
      <c r="Q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17"/>
      <c r="AD188" s="3"/>
      <c r="AE188" s="9"/>
    </row>
    <row r="189" spans="2:32">
      <c r="O189" s="9"/>
      <c r="P189" s="3"/>
      <c r="Q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17"/>
      <c r="AD189" s="3"/>
      <c r="AE189" s="9"/>
    </row>
    <row r="190" spans="2:32">
      <c r="O190" s="9"/>
      <c r="P190" s="3"/>
      <c r="Q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17"/>
      <c r="AD190" s="3"/>
      <c r="AE190" s="9"/>
    </row>
    <row r="191" spans="2:32">
      <c r="O191" s="9"/>
      <c r="P191" s="3"/>
      <c r="Q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17"/>
      <c r="AD191" s="3"/>
      <c r="AE191" s="9"/>
    </row>
    <row r="192" spans="2:32">
      <c r="O192" s="9"/>
      <c r="P192" s="3"/>
      <c r="Q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17"/>
      <c r="AD192" s="3"/>
      <c r="AE192" s="9"/>
    </row>
    <row r="193" spans="15:31">
      <c r="O193" s="9"/>
      <c r="P193" s="3"/>
      <c r="Q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17"/>
      <c r="AD193" s="3"/>
      <c r="AE193" s="9"/>
    </row>
    <row r="194" spans="15:31">
      <c r="O194" s="9"/>
      <c r="P194" s="3"/>
      <c r="Q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17"/>
      <c r="AD194" s="3"/>
      <c r="AE194" s="9"/>
    </row>
    <row r="195" spans="15:31">
      <c r="O195" s="9"/>
      <c r="P195" s="3"/>
      <c r="Q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17"/>
      <c r="AD195" s="3"/>
      <c r="AE195" s="9"/>
    </row>
  </sheetData>
  <autoFilter ref="B4:AE180" xr:uid="{00000000-0009-0000-0000-000000000000}">
    <filterColumn colId="16">
      <filters blank="1">
        <filter val="입고 완료"/>
      </filters>
    </filterColumn>
    <sortState xmlns:xlrd2="http://schemas.microsoft.com/office/spreadsheetml/2017/richdata2" ref="B5:AE180">
      <sortCondition ref="L4:L180"/>
    </sortState>
  </autoFilter>
  <mergeCells count="3">
    <mergeCell ref="B2:AE2"/>
    <mergeCell ref="C4:E4"/>
    <mergeCell ref="Z4:AA4"/>
  </mergeCells>
  <phoneticPr fontId="1" type="noConversion"/>
  <conditionalFormatting sqref="J1:J1048576">
    <cfRule type="duplicateValues" dxfId="4" priority="1"/>
  </conditionalFormatting>
  <pageMargins left="0.70866141732283472" right="0.70866141732283472" top="0.74803149606299213" bottom="0.74803149606299213" header="0.31496062992125984" footer="0.31496062992125984"/>
  <pageSetup paperSize="9" scale="74" fitToHeight="0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A19DB-3A8C-4494-9C30-1327922DDCF1}">
  <sheetPr filterMode="1">
    <pageSetUpPr fitToPage="1"/>
  </sheetPr>
  <dimension ref="B1:AF143"/>
  <sheetViews>
    <sheetView topLeftCell="J1" zoomScaleNormal="100" zoomScaleSheetLayoutView="100" workbookViewId="0">
      <pane ySplit="4" topLeftCell="A53" activePane="bottomLeft" state="frozen"/>
      <selection activeCell="X4" sqref="X4"/>
      <selection pane="bottomLeft" activeCell="P49" sqref="P49"/>
    </sheetView>
  </sheetViews>
  <sheetFormatPr defaultRowHeight="15"/>
  <cols>
    <col min="1" max="1" width="1" customWidth="1"/>
    <col min="2" max="2" width="5.33203125" style="1" customWidth="1"/>
    <col min="3" max="3" width="4" style="118" customWidth="1"/>
    <col min="4" max="4" width="2.77734375" style="1" customWidth="1"/>
    <col min="5" max="5" width="4.77734375" style="1" customWidth="1"/>
    <col min="6" max="6" width="5.88671875" style="1" customWidth="1"/>
    <col min="7" max="8" width="5.6640625" style="1" customWidth="1"/>
    <col min="9" max="9" width="17.21875" style="2" customWidth="1"/>
    <col min="10" max="10" width="32.88671875" style="125" customWidth="1"/>
    <col min="11" max="11" width="11.44140625" style="2" bestFit="1" customWidth="1"/>
    <col min="12" max="12" width="13.44140625" style="2" customWidth="1"/>
    <col min="13" max="13" width="4.21875" style="2" customWidth="1"/>
    <col min="14" max="14" width="10.44140625" style="2" customWidth="1"/>
    <col min="15" max="15" width="7.77734375" style="8" bestFit="1" customWidth="1"/>
    <col min="16" max="17" width="11.88671875" style="1" customWidth="1"/>
    <col min="18" max="18" width="10.21875" style="22" customWidth="1"/>
    <col min="19" max="19" width="10.5546875" style="1" hidden="1" customWidth="1"/>
    <col min="20" max="20" width="6.6640625" style="1" hidden="1" customWidth="1"/>
    <col min="21" max="21" width="6.109375" style="1" hidden="1" customWidth="1"/>
    <col min="22" max="25" width="11.77734375" style="1" customWidth="1"/>
    <col min="26" max="27" width="11.77734375" style="1" hidden="1" customWidth="1"/>
    <col min="28" max="28" width="1.33203125" style="1" hidden="1" customWidth="1"/>
    <col min="29" max="29" width="17.21875" style="16" bestFit="1" customWidth="1"/>
    <col min="30" max="30" width="16.44140625" style="1" hidden="1" customWidth="1"/>
    <col min="31" max="31" width="10.44140625" style="8" hidden="1" customWidth="1"/>
    <col min="32" max="32" width="12.6640625" bestFit="1" customWidth="1"/>
  </cols>
  <sheetData>
    <row r="1" spans="2:31" ht="4.5" customHeight="1"/>
    <row r="2" spans="2:31" ht="38.25" customHeight="1">
      <c r="B2" s="144" t="s">
        <v>4</v>
      </c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5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  <c r="AA2" s="144"/>
      <c r="AB2" s="144"/>
      <c r="AC2" s="144"/>
      <c r="AD2" s="144"/>
      <c r="AE2" s="144"/>
    </row>
    <row r="3" spans="2:31" ht="4.5" customHeight="1" thickBot="1">
      <c r="V3" s="31">
        <v>0.16</v>
      </c>
      <c r="X3" s="46">
        <v>1486.64</v>
      </c>
    </row>
    <row r="4" spans="2:31" ht="45" customHeight="1" thickTop="1" thickBot="1">
      <c r="B4" s="24" t="s">
        <v>13</v>
      </c>
      <c r="C4" s="148" t="s">
        <v>14</v>
      </c>
      <c r="D4" s="149"/>
      <c r="E4" s="150"/>
      <c r="F4" s="25" t="s">
        <v>194</v>
      </c>
      <c r="G4" s="25" t="s">
        <v>197</v>
      </c>
      <c r="H4" s="25" t="s">
        <v>195</v>
      </c>
      <c r="I4" s="26" t="s">
        <v>3</v>
      </c>
      <c r="J4" s="126" t="s">
        <v>0</v>
      </c>
      <c r="K4" s="26" t="s">
        <v>6</v>
      </c>
      <c r="L4" s="26" t="s">
        <v>5</v>
      </c>
      <c r="M4" s="25" t="s">
        <v>10</v>
      </c>
      <c r="N4" s="25" t="s">
        <v>20</v>
      </c>
      <c r="O4" s="25" t="s">
        <v>7</v>
      </c>
      <c r="P4" s="25" t="s">
        <v>8</v>
      </c>
      <c r="Q4" s="25" t="s">
        <v>9</v>
      </c>
      <c r="R4" s="68" t="s">
        <v>29</v>
      </c>
      <c r="S4" s="66" t="s">
        <v>50</v>
      </c>
      <c r="T4" s="25" t="s">
        <v>52</v>
      </c>
      <c r="U4" s="25" t="s">
        <v>53</v>
      </c>
      <c r="V4" s="25" t="s">
        <v>16</v>
      </c>
      <c r="W4" s="25" t="s">
        <v>17</v>
      </c>
      <c r="X4" s="27" t="s">
        <v>18</v>
      </c>
      <c r="Y4" s="28" t="s">
        <v>19</v>
      </c>
      <c r="Z4" s="146" t="s">
        <v>55</v>
      </c>
      <c r="AA4" s="147"/>
      <c r="AB4" s="35" t="s">
        <v>51</v>
      </c>
      <c r="AC4" s="23" t="s">
        <v>15</v>
      </c>
      <c r="AD4" s="20" t="s">
        <v>37</v>
      </c>
      <c r="AE4" s="21" t="s">
        <v>2</v>
      </c>
    </row>
    <row r="5" spans="2:31" ht="20.100000000000001" customHeight="1" thickTop="1">
      <c r="B5" s="48">
        <v>1</v>
      </c>
      <c r="C5" s="121" t="s">
        <v>850</v>
      </c>
      <c r="D5" s="120" t="s">
        <v>349</v>
      </c>
      <c r="E5" s="120">
        <v>2603</v>
      </c>
      <c r="F5" s="120" t="s">
        <v>700</v>
      </c>
      <c r="G5" s="120" t="s">
        <v>699</v>
      </c>
      <c r="H5" s="49">
        <v>1</v>
      </c>
      <c r="I5" s="50" t="s">
        <v>830</v>
      </c>
      <c r="J5" s="124" t="s">
        <v>236</v>
      </c>
      <c r="K5" s="50" t="s">
        <v>23</v>
      </c>
      <c r="L5" s="50" t="s">
        <v>518</v>
      </c>
      <c r="M5" s="56" t="s">
        <v>12</v>
      </c>
      <c r="N5" s="122" t="s">
        <v>666</v>
      </c>
      <c r="O5" s="57">
        <v>2</v>
      </c>
      <c r="P5" s="45">
        <v>33000</v>
      </c>
      <c r="Q5" s="58">
        <f t="shared" ref="Q5:Q36" si="0">O5*P5</f>
        <v>66000</v>
      </c>
      <c r="R5" s="129" t="s">
        <v>684</v>
      </c>
      <c r="S5" s="19"/>
      <c r="T5" s="32"/>
      <c r="U5" s="32"/>
      <c r="V5" s="51">
        <f>++P5*(1+$V$3)</f>
        <v>38280</v>
      </c>
      <c r="W5" s="51">
        <f>++O5*V5</f>
        <v>76560</v>
      </c>
      <c r="X5" s="52">
        <f>++ROUND(V5/$X$3,2)</f>
        <v>25.75</v>
      </c>
      <c r="Y5" s="53">
        <f>++O5*X5</f>
        <v>51.5</v>
      </c>
      <c r="Z5" s="54"/>
      <c r="AA5" s="71"/>
      <c r="AB5" s="71"/>
      <c r="AC5" s="128"/>
      <c r="AD5" s="33"/>
      <c r="AE5" s="55"/>
    </row>
    <row r="6" spans="2:31" ht="20.100000000000001" customHeight="1">
      <c r="B6" s="48">
        <v>2</v>
      </c>
      <c r="C6" s="121" t="s">
        <v>850</v>
      </c>
      <c r="D6" s="120" t="s">
        <v>349</v>
      </c>
      <c r="E6" s="120">
        <v>2603</v>
      </c>
      <c r="F6" s="120" t="s">
        <v>700</v>
      </c>
      <c r="G6" s="120" t="s">
        <v>699</v>
      </c>
      <c r="H6" s="49">
        <v>1</v>
      </c>
      <c r="I6" s="50" t="s">
        <v>896</v>
      </c>
      <c r="J6" s="124" t="s">
        <v>829</v>
      </c>
      <c r="K6" s="50" t="s">
        <v>22</v>
      </c>
      <c r="L6" s="50" t="s">
        <v>518</v>
      </c>
      <c r="M6" s="56" t="s">
        <v>12</v>
      </c>
      <c r="N6" s="122" t="s">
        <v>665</v>
      </c>
      <c r="O6" s="57">
        <v>1</v>
      </c>
      <c r="P6" s="45">
        <v>22000</v>
      </c>
      <c r="Q6" s="58">
        <f t="shared" si="0"/>
        <v>22000</v>
      </c>
      <c r="R6" s="129" t="s">
        <v>684</v>
      </c>
      <c r="S6" s="19"/>
      <c r="T6" s="32"/>
      <c r="U6" s="32"/>
      <c r="V6" s="51">
        <f t="shared" ref="V6:V69" si="1">++P6*(1+$V$3)</f>
        <v>25520</v>
      </c>
      <c r="W6" s="51">
        <f t="shared" ref="W6:W69" si="2">++O6*V6</f>
        <v>25520</v>
      </c>
      <c r="X6" s="52">
        <f t="shared" ref="X6:X69" si="3">++ROUND(V6/$X$3,2)</f>
        <v>17.170000000000002</v>
      </c>
      <c r="Y6" s="53">
        <f t="shared" ref="Y6:Y69" si="4">++O6*X6</f>
        <v>17.170000000000002</v>
      </c>
      <c r="Z6" s="54"/>
      <c r="AA6" s="71"/>
      <c r="AB6" s="71"/>
      <c r="AC6" s="128"/>
      <c r="AD6" s="33"/>
      <c r="AE6" s="55"/>
    </row>
    <row r="7" spans="2:31" ht="20.100000000000001" customHeight="1">
      <c r="B7" s="48">
        <v>3</v>
      </c>
      <c r="C7" s="121" t="s">
        <v>850</v>
      </c>
      <c r="D7" s="120" t="s">
        <v>349</v>
      </c>
      <c r="E7" s="120">
        <v>2603</v>
      </c>
      <c r="F7" s="120" t="s">
        <v>700</v>
      </c>
      <c r="G7" s="120" t="s">
        <v>699</v>
      </c>
      <c r="H7" s="49">
        <v>1</v>
      </c>
      <c r="I7" s="50" t="s">
        <v>980</v>
      </c>
      <c r="J7" s="124" t="s">
        <v>224</v>
      </c>
      <c r="K7" s="50" t="s">
        <v>60</v>
      </c>
      <c r="L7" s="50" t="s">
        <v>518</v>
      </c>
      <c r="M7" s="56" t="s">
        <v>12</v>
      </c>
      <c r="N7" s="122" t="s">
        <v>665</v>
      </c>
      <c r="O7" s="57">
        <v>1</v>
      </c>
      <c r="P7" s="45">
        <v>54800</v>
      </c>
      <c r="Q7" s="58">
        <f t="shared" si="0"/>
        <v>54800</v>
      </c>
      <c r="R7" s="129" t="s">
        <v>684</v>
      </c>
      <c r="S7" s="19"/>
      <c r="T7" s="32"/>
      <c r="U7" s="32"/>
      <c r="V7" s="51">
        <f t="shared" si="1"/>
        <v>63567.999999999993</v>
      </c>
      <c r="W7" s="51">
        <f t="shared" si="2"/>
        <v>63567.999999999993</v>
      </c>
      <c r="X7" s="52">
        <f t="shared" si="3"/>
        <v>42.76</v>
      </c>
      <c r="Y7" s="53">
        <f t="shared" si="4"/>
        <v>42.76</v>
      </c>
      <c r="Z7" s="54"/>
      <c r="AA7" s="71"/>
      <c r="AB7" s="71"/>
      <c r="AC7" s="128"/>
      <c r="AD7" s="33"/>
      <c r="AE7" s="55"/>
    </row>
    <row r="8" spans="2:31" ht="20.100000000000001" customHeight="1">
      <c r="B8" s="48">
        <v>4</v>
      </c>
      <c r="C8" s="121" t="s">
        <v>850</v>
      </c>
      <c r="D8" s="120" t="s">
        <v>349</v>
      </c>
      <c r="E8" s="120">
        <v>2603</v>
      </c>
      <c r="F8" s="120" t="s">
        <v>700</v>
      </c>
      <c r="G8" s="120" t="s">
        <v>699</v>
      </c>
      <c r="H8" s="49">
        <v>1</v>
      </c>
      <c r="I8" s="50" t="s">
        <v>219</v>
      </c>
      <c r="J8" s="124" t="s">
        <v>59</v>
      </c>
      <c r="K8" s="50" t="s">
        <v>60</v>
      </c>
      <c r="L8" s="50" t="s">
        <v>518</v>
      </c>
      <c r="M8" s="56" t="s">
        <v>12</v>
      </c>
      <c r="N8" s="122" t="s">
        <v>665</v>
      </c>
      <c r="O8" s="57">
        <v>1</v>
      </c>
      <c r="P8" s="45">
        <v>39800</v>
      </c>
      <c r="Q8" s="58">
        <f t="shared" si="0"/>
        <v>39800</v>
      </c>
      <c r="R8" s="129" t="s">
        <v>684</v>
      </c>
      <c r="S8" s="19"/>
      <c r="T8" s="32"/>
      <c r="U8" s="32"/>
      <c r="V8" s="51">
        <f t="shared" si="1"/>
        <v>46168</v>
      </c>
      <c r="W8" s="51">
        <f t="shared" si="2"/>
        <v>46168</v>
      </c>
      <c r="X8" s="52">
        <f t="shared" si="3"/>
        <v>31.06</v>
      </c>
      <c r="Y8" s="53">
        <f t="shared" si="4"/>
        <v>31.06</v>
      </c>
      <c r="Z8" s="54"/>
      <c r="AA8" s="71"/>
      <c r="AB8" s="71"/>
      <c r="AC8" s="128"/>
      <c r="AD8" s="33"/>
      <c r="AE8" s="55"/>
    </row>
    <row r="9" spans="2:31" ht="20.100000000000001" customHeight="1">
      <c r="B9" s="48">
        <v>5</v>
      </c>
      <c r="C9" s="121" t="s">
        <v>850</v>
      </c>
      <c r="D9" s="120" t="s">
        <v>349</v>
      </c>
      <c r="E9" s="120">
        <v>2603</v>
      </c>
      <c r="F9" s="120" t="s">
        <v>700</v>
      </c>
      <c r="G9" s="120" t="s">
        <v>699</v>
      </c>
      <c r="H9" s="49">
        <v>1</v>
      </c>
      <c r="I9" s="50" t="s">
        <v>353</v>
      </c>
      <c r="J9" s="124" t="s">
        <v>979</v>
      </c>
      <c r="K9" s="50" t="s">
        <v>83</v>
      </c>
      <c r="L9" s="50" t="s">
        <v>518</v>
      </c>
      <c r="M9" s="56" t="s">
        <v>12</v>
      </c>
      <c r="N9" s="122" t="s">
        <v>665</v>
      </c>
      <c r="O9" s="57">
        <v>1</v>
      </c>
      <c r="P9" s="45">
        <v>12200</v>
      </c>
      <c r="Q9" s="58">
        <f t="shared" si="0"/>
        <v>12200</v>
      </c>
      <c r="R9" s="129" t="s">
        <v>684</v>
      </c>
      <c r="S9" s="19"/>
      <c r="T9" s="32"/>
      <c r="U9" s="32"/>
      <c r="V9" s="51">
        <f t="shared" si="1"/>
        <v>14151.999999999998</v>
      </c>
      <c r="W9" s="51">
        <f t="shared" si="2"/>
        <v>14151.999999999998</v>
      </c>
      <c r="X9" s="52">
        <f t="shared" si="3"/>
        <v>9.52</v>
      </c>
      <c r="Y9" s="53">
        <f t="shared" si="4"/>
        <v>9.52</v>
      </c>
      <c r="Z9" s="54"/>
      <c r="AA9" s="71"/>
      <c r="AB9" s="71"/>
      <c r="AC9" s="128"/>
      <c r="AD9" s="33"/>
      <c r="AE9" s="55"/>
    </row>
    <row r="10" spans="2:31" ht="20.100000000000001" customHeight="1">
      <c r="B10" s="48">
        <v>6</v>
      </c>
      <c r="C10" s="121" t="s">
        <v>850</v>
      </c>
      <c r="D10" s="120" t="s">
        <v>349</v>
      </c>
      <c r="E10" s="120">
        <v>2603</v>
      </c>
      <c r="F10" s="120" t="s">
        <v>700</v>
      </c>
      <c r="G10" s="120" t="s">
        <v>699</v>
      </c>
      <c r="H10" s="49">
        <v>1</v>
      </c>
      <c r="I10" s="50" t="s">
        <v>163</v>
      </c>
      <c r="J10" s="124" t="s">
        <v>358</v>
      </c>
      <c r="K10" s="50" t="s">
        <v>164</v>
      </c>
      <c r="L10" s="50" t="s">
        <v>518</v>
      </c>
      <c r="M10" s="56" t="s">
        <v>12</v>
      </c>
      <c r="N10" s="122" t="s">
        <v>820</v>
      </c>
      <c r="O10" s="57">
        <v>1</v>
      </c>
      <c r="P10" s="45">
        <v>15000</v>
      </c>
      <c r="Q10" s="58">
        <f t="shared" si="0"/>
        <v>15000</v>
      </c>
      <c r="R10" s="129" t="s">
        <v>684</v>
      </c>
      <c r="S10" s="19"/>
      <c r="T10" s="32"/>
      <c r="U10" s="32"/>
      <c r="V10" s="51">
        <f t="shared" si="1"/>
        <v>17400</v>
      </c>
      <c r="W10" s="51">
        <f t="shared" si="2"/>
        <v>17400</v>
      </c>
      <c r="X10" s="52">
        <f t="shared" si="3"/>
        <v>11.7</v>
      </c>
      <c r="Y10" s="53">
        <f t="shared" si="4"/>
        <v>11.7</v>
      </c>
      <c r="Z10" s="54"/>
      <c r="AA10" s="71"/>
      <c r="AB10" s="71"/>
      <c r="AC10" s="128"/>
      <c r="AD10" s="33"/>
      <c r="AE10" s="55"/>
    </row>
    <row r="11" spans="2:31" ht="20.100000000000001" customHeight="1">
      <c r="B11" s="48">
        <v>7</v>
      </c>
      <c r="C11" s="121" t="s">
        <v>850</v>
      </c>
      <c r="D11" s="120" t="s">
        <v>349</v>
      </c>
      <c r="E11" s="120">
        <v>2603</v>
      </c>
      <c r="F11" s="120" t="s">
        <v>700</v>
      </c>
      <c r="G11" s="120" t="s">
        <v>699</v>
      </c>
      <c r="H11" s="49">
        <v>1</v>
      </c>
      <c r="I11" s="50" t="s">
        <v>163</v>
      </c>
      <c r="J11" s="124" t="s">
        <v>168</v>
      </c>
      <c r="K11" s="50" t="s">
        <v>164</v>
      </c>
      <c r="L11" s="50" t="s">
        <v>518</v>
      </c>
      <c r="M11" s="56" t="s">
        <v>12</v>
      </c>
      <c r="N11" s="122" t="s">
        <v>820</v>
      </c>
      <c r="O11" s="57">
        <v>1</v>
      </c>
      <c r="P11" s="45">
        <v>26000</v>
      </c>
      <c r="Q11" s="58">
        <f t="shared" si="0"/>
        <v>26000</v>
      </c>
      <c r="R11" s="129" t="s">
        <v>684</v>
      </c>
      <c r="S11" s="19"/>
      <c r="T11" s="32"/>
      <c r="U11" s="32"/>
      <c r="V11" s="51">
        <f t="shared" si="1"/>
        <v>30159.999999999996</v>
      </c>
      <c r="W11" s="51">
        <f t="shared" si="2"/>
        <v>30159.999999999996</v>
      </c>
      <c r="X11" s="52">
        <f t="shared" si="3"/>
        <v>20.29</v>
      </c>
      <c r="Y11" s="53">
        <f t="shared" si="4"/>
        <v>20.29</v>
      </c>
      <c r="Z11" s="54"/>
      <c r="AA11" s="71"/>
      <c r="AB11" s="71"/>
      <c r="AC11" s="128"/>
      <c r="AD11" s="33"/>
      <c r="AE11" s="55"/>
    </row>
    <row r="12" spans="2:31" ht="20.100000000000001" customHeight="1">
      <c r="B12" s="48">
        <v>8</v>
      </c>
      <c r="C12" s="121" t="s">
        <v>850</v>
      </c>
      <c r="D12" s="120" t="s">
        <v>349</v>
      </c>
      <c r="E12" s="120">
        <v>2603</v>
      </c>
      <c r="F12" s="120" t="s">
        <v>700</v>
      </c>
      <c r="G12" s="120" t="s">
        <v>699</v>
      </c>
      <c r="H12" s="49">
        <v>1</v>
      </c>
      <c r="I12" s="50" t="s">
        <v>978</v>
      </c>
      <c r="J12" s="124" t="s">
        <v>977</v>
      </c>
      <c r="K12" s="50" t="s">
        <v>976</v>
      </c>
      <c r="L12" s="50" t="s">
        <v>518</v>
      </c>
      <c r="M12" s="56" t="s">
        <v>12</v>
      </c>
      <c r="N12" s="122" t="s">
        <v>722</v>
      </c>
      <c r="O12" s="57">
        <v>1</v>
      </c>
      <c r="P12" s="45">
        <v>40000</v>
      </c>
      <c r="Q12" s="58">
        <f t="shared" si="0"/>
        <v>40000</v>
      </c>
      <c r="R12" s="129" t="s">
        <v>684</v>
      </c>
      <c r="S12" s="19"/>
      <c r="T12" s="32"/>
      <c r="U12" s="32"/>
      <c r="V12" s="51">
        <f t="shared" si="1"/>
        <v>46400</v>
      </c>
      <c r="W12" s="51">
        <f t="shared" si="2"/>
        <v>46400</v>
      </c>
      <c r="X12" s="52">
        <f t="shared" si="3"/>
        <v>31.21</v>
      </c>
      <c r="Y12" s="53">
        <f t="shared" si="4"/>
        <v>31.21</v>
      </c>
      <c r="Z12" s="54"/>
      <c r="AA12" s="71"/>
      <c r="AB12" s="71"/>
      <c r="AC12" s="128"/>
      <c r="AD12" s="33"/>
      <c r="AE12" s="55"/>
    </row>
    <row r="13" spans="2:31" ht="20.100000000000001" customHeight="1">
      <c r="B13" s="48">
        <v>9</v>
      </c>
      <c r="C13" s="121" t="s">
        <v>850</v>
      </c>
      <c r="D13" s="120" t="s">
        <v>349</v>
      </c>
      <c r="E13" s="120">
        <v>2603</v>
      </c>
      <c r="F13" s="120" t="s">
        <v>700</v>
      </c>
      <c r="G13" s="120" t="s">
        <v>699</v>
      </c>
      <c r="H13" s="49">
        <v>1</v>
      </c>
      <c r="I13" s="50" t="s">
        <v>155</v>
      </c>
      <c r="J13" s="124" t="s">
        <v>159</v>
      </c>
      <c r="K13" s="50" t="s">
        <v>23</v>
      </c>
      <c r="L13" s="50" t="s">
        <v>518</v>
      </c>
      <c r="M13" s="56" t="s">
        <v>12</v>
      </c>
      <c r="N13" s="122" t="s">
        <v>666</v>
      </c>
      <c r="O13" s="57">
        <v>4</v>
      </c>
      <c r="P13" s="45">
        <v>10500</v>
      </c>
      <c r="Q13" s="58">
        <f t="shared" si="0"/>
        <v>42000</v>
      </c>
      <c r="R13" s="129" t="s">
        <v>684</v>
      </c>
      <c r="S13" s="19"/>
      <c r="T13" s="32"/>
      <c r="U13" s="32"/>
      <c r="V13" s="51">
        <f t="shared" si="1"/>
        <v>12180</v>
      </c>
      <c r="W13" s="51">
        <f t="shared" si="2"/>
        <v>48720</v>
      </c>
      <c r="X13" s="52">
        <f t="shared" si="3"/>
        <v>8.19</v>
      </c>
      <c r="Y13" s="53">
        <f t="shared" si="4"/>
        <v>32.76</v>
      </c>
      <c r="Z13" s="54"/>
      <c r="AA13" s="71"/>
      <c r="AB13" s="71"/>
      <c r="AC13" s="128"/>
      <c r="AD13" s="33"/>
      <c r="AE13" s="55"/>
    </row>
    <row r="14" spans="2:31" ht="20.100000000000001" customHeight="1">
      <c r="B14" s="48">
        <v>10</v>
      </c>
      <c r="C14" s="121" t="s">
        <v>850</v>
      </c>
      <c r="D14" s="120" t="s">
        <v>349</v>
      </c>
      <c r="E14" s="120">
        <v>2603</v>
      </c>
      <c r="F14" s="120" t="s">
        <v>700</v>
      </c>
      <c r="G14" s="120" t="s">
        <v>699</v>
      </c>
      <c r="H14" s="49">
        <v>1</v>
      </c>
      <c r="I14" s="50" t="s">
        <v>156</v>
      </c>
      <c r="J14" s="124" t="s">
        <v>160</v>
      </c>
      <c r="K14" s="50" t="s">
        <v>23</v>
      </c>
      <c r="L14" s="50" t="s">
        <v>518</v>
      </c>
      <c r="M14" s="56" t="s">
        <v>12</v>
      </c>
      <c r="N14" s="122" t="s">
        <v>666</v>
      </c>
      <c r="O14" s="57">
        <v>4</v>
      </c>
      <c r="P14" s="45">
        <v>10600</v>
      </c>
      <c r="Q14" s="58">
        <f t="shared" si="0"/>
        <v>42400</v>
      </c>
      <c r="R14" s="129" t="s">
        <v>684</v>
      </c>
      <c r="S14" s="19"/>
      <c r="T14" s="32"/>
      <c r="U14" s="32"/>
      <c r="V14" s="51">
        <f t="shared" si="1"/>
        <v>12296</v>
      </c>
      <c r="W14" s="51">
        <f t="shared" si="2"/>
        <v>49184</v>
      </c>
      <c r="X14" s="52">
        <f t="shared" si="3"/>
        <v>8.27</v>
      </c>
      <c r="Y14" s="53">
        <f t="shared" si="4"/>
        <v>33.08</v>
      </c>
      <c r="Z14" s="54"/>
      <c r="AA14" s="71"/>
      <c r="AB14" s="71"/>
      <c r="AC14" s="128"/>
      <c r="AD14" s="33"/>
      <c r="AE14" s="55"/>
    </row>
    <row r="15" spans="2:31" ht="20.100000000000001" customHeight="1">
      <c r="B15" s="48">
        <v>11</v>
      </c>
      <c r="C15" s="121" t="s">
        <v>850</v>
      </c>
      <c r="D15" s="120" t="s">
        <v>349</v>
      </c>
      <c r="E15" s="120">
        <v>2603</v>
      </c>
      <c r="F15" s="120" t="s">
        <v>700</v>
      </c>
      <c r="G15" s="120" t="s">
        <v>699</v>
      </c>
      <c r="H15" s="49">
        <v>1</v>
      </c>
      <c r="I15" s="50" t="s">
        <v>144</v>
      </c>
      <c r="J15" s="124" t="s">
        <v>145</v>
      </c>
      <c r="K15" s="50" t="s">
        <v>22</v>
      </c>
      <c r="L15" s="50" t="s">
        <v>518</v>
      </c>
      <c r="M15" s="56" t="s">
        <v>12</v>
      </c>
      <c r="N15" s="122" t="s">
        <v>665</v>
      </c>
      <c r="O15" s="57">
        <v>2</v>
      </c>
      <c r="P15" s="45">
        <v>12600</v>
      </c>
      <c r="Q15" s="58">
        <f t="shared" si="0"/>
        <v>25200</v>
      </c>
      <c r="R15" s="129" t="s">
        <v>684</v>
      </c>
      <c r="S15" s="19"/>
      <c r="T15" s="32"/>
      <c r="U15" s="32"/>
      <c r="V15" s="51">
        <f t="shared" si="1"/>
        <v>14615.999999999998</v>
      </c>
      <c r="W15" s="51">
        <f t="shared" si="2"/>
        <v>29231.999999999996</v>
      </c>
      <c r="X15" s="52">
        <f t="shared" si="3"/>
        <v>9.83</v>
      </c>
      <c r="Y15" s="53">
        <f t="shared" si="4"/>
        <v>19.66</v>
      </c>
      <c r="Z15" s="54"/>
      <c r="AA15" s="71"/>
      <c r="AB15" s="71"/>
      <c r="AC15" s="128"/>
      <c r="AD15" s="33"/>
      <c r="AE15" s="55"/>
    </row>
    <row r="16" spans="2:31" ht="20.100000000000001" customHeight="1">
      <c r="B16" s="48">
        <v>12</v>
      </c>
      <c r="C16" s="121" t="s">
        <v>850</v>
      </c>
      <c r="D16" s="120" t="s">
        <v>349</v>
      </c>
      <c r="E16" s="120">
        <v>2603</v>
      </c>
      <c r="F16" s="120" t="s">
        <v>700</v>
      </c>
      <c r="G16" s="120" t="s">
        <v>699</v>
      </c>
      <c r="H16" s="49">
        <v>1</v>
      </c>
      <c r="I16" s="50" t="s">
        <v>975</v>
      </c>
      <c r="J16" s="124" t="s">
        <v>239</v>
      </c>
      <c r="K16" s="50" t="s">
        <v>23</v>
      </c>
      <c r="L16" s="50" t="s">
        <v>518</v>
      </c>
      <c r="M16" s="56" t="s">
        <v>12</v>
      </c>
      <c r="N16" s="122" t="s">
        <v>666</v>
      </c>
      <c r="O16" s="57">
        <v>1</v>
      </c>
      <c r="P16" s="45">
        <v>390000</v>
      </c>
      <c r="Q16" s="58">
        <f t="shared" si="0"/>
        <v>390000</v>
      </c>
      <c r="R16" s="129" t="s">
        <v>684</v>
      </c>
      <c r="S16" s="19"/>
      <c r="T16" s="32"/>
      <c r="U16" s="32"/>
      <c r="V16" s="51">
        <f t="shared" si="1"/>
        <v>452399.99999999994</v>
      </c>
      <c r="W16" s="51">
        <f t="shared" si="2"/>
        <v>452399.99999999994</v>
      </c>
      <c r="X16" s="52">
        <f t="shared" si="3"/>
        <v>304.31</v>
      </c>
      <c r="Y16" s="53">
        <f t="shared" si="4"/>
        <v>304.31</v>
      </c>
      <c r="Z16" s="54"/>
      <c r="AA16" s="71"/>
      <c r="AB16" s="71"/>
      <c r="AC16" s="128"/>
      <c r="AD16" s="33"/>
      <c r="AE16" s="55"/>
    </row>
    <row r="17" spans="2:31" ht="20.100000000000001" customHeight="1">
      <c r="B17" s="48">
        <v>13</v>
      </c>
      <c r="C17" s="121" t="s">
        <v>850</v>
      </c>
      <c r="D17" s="120" t="s">
        <v>349</v>
      </c>
      <c r="E17" s="120">
        <v>2603</v>
      </c>
      <c r="F17" s="120" t="s">
        <v>700</v>
      </c>
      <c r="G17" s="120" t="s">
        <v>699</v>
      </c>
      <c r="H17" s="49">
        <v>1</v>
      </c>
      <c r="I17" s="50" t="s">
        <v>209</v>
      </c>
      <c r="J17" s="124" t="s">
        <v>974</v>
      </c>
      <c r="K17" s="50" t="s">
        <v>973</v>
      </c>
      <c r="L17" s="50" t="s">
        <v>599</v>
      </c>
      <c r="M17" s="56" t="s">
        <v>12</v>
      </c>
      <c r="N17" s="122" t="s">
        <v>972</v>
      </c>
      <c r="O17" s="57">
        <v>1</v>
      </c>
      <c r="P17" s="45">
        <v>60000</v>
      </c>
      <c r="Q17" s="58">
        <f t="shared" si="0"/>
        <v>60000</v>
      </c>
      <c r="R17" s="129" t="s">
        <v>684</v>
      </c>
      <c r="S17" s="19"/>
      <c r="T17" s="32"/>
      <c r="U17" s="32"/>
      <c r="V17" s="51">
        <f t="shared" si="1"/>
        <v>69600</v>
      </c>
      <c r="W17" s="51">
        <f t="shared" si="2"/>
        <v>69600</v>
      </c>
      <c r="X17" s="52">
        <f t="shared" si="3"/>
        <v>46.82</v>
      </c>
      <c r="Y17" s="53">
        <f t="shared" si="4"/>
        <v>46.82</v>
      </c>
      <c r="Z17" s="54"/>
      <c r="AA17" s="71"/>
      <c r="AB17" s="71"/>
      <c r="AC17" s="128"/>
      <c r="AD17" s="33"/>
      <c r="AE17" s="55"/>
    </row>
    <row r="18" spans="2:31" ht="20.100000000000001" customHeight="1">
      <c r="B18" s="48">
        <v>14</v>
      </c>
      <c r="C18" s="121" t="s">
        <v>850</v>
      </c>
      <c r="D18" s="120" t="s">
        <v>349</v>
      </c>
      <c r="E18" s="120">
        <v>2603</v>
      </c>
      <c r="F18" s="120" t="s">
        <v>700</v>
      </c>
      <c r="G18" s="120" t="s">
        <v>699</v>
      </c>
      <c r="H18" s="49">
        <v>1</v>
      </c>
      <c r="I18" s="50" t="s">
        <v>971</v>
      </c>
      <c r="J18" s="124" t="s">
        <v>970</v>
      </c>
      <c r="K18" s="50" t="s">
        <v>26</v>
      </c>
      <c r="L18" s="50" t="s">
        <v>519</v>
      </c>
      <c r="M18" s="56" t="s">
        <v>12</v>
      </c>
      <c r="N18" s="122" t="s">
        <v>612</v>
      </c>
      <c r="O18" s="57">
        <v>1</v>
      </c>
      <c r="P18" s="45">
        <v>17020</v>
      </c>
      <c r="Q18" s="58">
        <f t="shared" si="0"/>
        <v>17020</v>
      </c>
      <c r="R18" s="129" t="s">
        <v>684</v>
      </c>
      <c r="S18" s="19"/>
      <c r="T18" s="32"/>
      <c r="U18" s="32"/>
      <c r="V18" s="51">
        <f t="shared" si="1"/>
        <v>19743.199999999997</v>
      </c>
      <c r="W18" s="51">
        <f t="shared" si="2"/>
        <v>19743.199999999997</v>
      </c>
      <c r="X18" s="52">
        <f t="shared" si="3"/>
        <v>13.28</v>
      </c>
      <c r="Y18" s="53">
        <f t="shared" si="4"/>
        <v>13.28</v>
      </c>
      <c r="Z18" s="54"/>
      <c r="AA18" s="71"/>
      <c r="AB18" s="71"/>
      <c r="AC18" s="128"/>
      <c r="AD18" s="33"/>
      <c r="AE18" s="55"/>
    </row>
    <row r="19" spans="2:31" ht="20.100000000000001" customHeight="1">
      <c r="B19" s="48">
        <v>15</v>
      </c>
      <c r="C19" s="121" t="s">
        <v>850</v>
      </c>
      <c r="D19" s="120" t="s">
        <v>349</v>
      </c>
      <c r="E19" s="120">
        <v>2603</v>
      </c>
      <c r="F19" s="120" t="s">
        <v>700</v>
      </c>
      <c r="G19" s="120" t="s">
        <v>699</v>
      </c>
      <c r="H19" s="49">
        <v>1</v>
      </c>
      <c r="I19" s="50" t="s">
        <v>967</v>
      </c>
      <c r="J19" s="124" t="s">
        <v>969</v>
      </c>
      <c r="K19" s="50" t="s">
        <v>26</v>
      </c>
      <c r="L19" s="50" t="s">
        <v>519</v>
      </c>
      <c r="M19" s="56" t="s">
        <v>12</v>
      </c>
      <c r="N19" s="122" t="s">
        <v>612</v>
      </c>
      <c r="O19" s="57">
        <v>1</v>
      </c>
      <c r="P19" s="45">
        <v>33560</v>
      </c>
      <c r="Q19" s="58">
        <f t="shared" si="0"/>
        <v>33560</v>
      </c>
      <c r="R19" s="129" t="s">
        <v>684</v>
      </c>
      <c r="S19" s="19"/>
      <c r="T19" s="32"/>
      <c r="U19" s="32"/>
      <c r="V19" s="51">
        <f t="shared" si="1"/>
        <v>38929.599999999999</v>
      </c>
      <c r="W19" s="51">
        <f t="shared" si="2"/>
        <v>38929.599999999999</v>
      </c>
      <c r="X19" s="52">
        <f t="shared" si="3"/>
        <v>26.19</v>
      </c>
      <c r="Y19" s="53">
        <f t="shared" si="4"/>
        <v>26.19</v>
      </c>
      <c r="Z19" s="54"/>
      <c r="AA19" s="71"/>
      <c r="AB19" s="71"/>
      <c r="AC19" s="128"/>
      <c r="AD19" s="33"/>
      <c r="AE19" s="55"/>
    </row>
    <row r="20" spans="2:31" ht="20.100000000000001" customHeight="1">
      <c r="B20" s="48">
        <v>16</v>
      </c>
      <c r="C20" s="121" t="s">
        <v>850</v>
      </c>
      <c r="D20" s="120" t="s">
        <v>349</v>
      </c>
      <c r="E20" s="120">
        <v>2603</v>
      </c>
      <c r="F20" s="120" t="s">
        <v>700</v>
      </c>
      <c r="G20" s="120" t="s">
        <v>699</v>
      </c>
      <c r="H20" s="49">
        <v>1</v>
      </c>
      <c r="I20" s="50" t="s">
        <v>968</v>
      </c>
      <c r="J20" s="124" t="s">
        <v>248</v>
      </c>
      <c r="K20" s="50" t="s">
        <v>26</v>
      </c>
      <c r="L20" s="50" t="s">
        <v>519</v>
      </c>
      <c r="M20" s="56" t="s">
        <v>12</v>
      </c>
      <c r="N20" s="122" t="s">
        <v>612</v>
      </c>
      <c r="O20" s="57">
        <v>1</v>
      </c>
      <c r="P20" s="45">
        <v>3140</v>
      </c>
      <c r="Q20" s="58">
        <f t="shared" si="0"/>
        <v>3140</v>
      </c>
      <c r="R20" s="129" t="s">
        <v>684</v>
      </c>
      <c r="S20" s="19"/>
      <c r="T20" s="32"/>
      <c r="U20" s="32"/>
      <c r="V20" s="51">
        <f t="shared" si="1"/>
        <v>3642.3999999999996</v>
      </c>
      <c r="W20" s="51">
        <f t="shared" si="2"/>
        <v>3642.3999999999996</v>
      </c>
      <c r="X20" s="52">
        <f t="shared" si="3"/>
        <v>2.4500000000000002</v>
      </c>
      <c r="Y20" s="53">
        <f t="shared" si="4"/>
        <v>2.4500000000000002</v>
      </c>
      <c r="Z20" s="54"/>
      <c r="AA20" s="71"/>
      <c r="AB20" s="71"/>
      <c r="AC20" s="128"/>
      <c r="AD20" s="33"/>
      <c r="AE20" s="55"/>
    </row>
    <row r="21" spans="2:31" ht="20.100000000000001" customHeight="1">
      <c r="B21" s="48">
        <v>17</v>
      </c>
      <c r="C21" s="121" t="s">
        <v>850</v>
      </c>
      <c r="D21" s="120" t="s">
        <v>349</v>
      </c>
      <c r="E21" s="120">
        <v>2603</v>
      </c>
      <c r="F21" s="120" t="s">
        <v>700</v>
      </c>
      <c r="G21" s="120" t="s">
        <v>699</v>
      </c>
      <c r="H21" s="49">
        <v>1</v>
      </c>
      <c r="I21" s="50" t="s">
        <v>967</v>
      </c>
      <c r="J21" s="124" t="s">
        <v>200</v>
      </c>
      <c r="K21" s="50" t="s">
        <v>26</v>
      </c>
      <c r="L21" s="50" t="s">
        <v>519</v>
      </c>
      <c r="M21" s="56" t="s">
        <v>12</v>
      </c>
      <c r="N21" s="122" t="s">
        <v>612</v>
      </c>
      <c r="O21" s="57">
        <v>1</v>
      </c>
      <c r="P21" s="45">
        <v>25550</v>
      </c>
      <c r="Q21" s="58">
        <f t="shared" si="0"/>
        <v>25550</v>
      </c>
      <c r="R21" s="129" t="s">
        <v>684</v>
      </c>
      <c r="S21" s="19"/>
      <c r="T21" s="32"/>
      <c r="U21" s="32"/>
      <c r="V21" s="51">
        <f t="shared" si="1"/>
        <v>29637.999999999996</v>
      </c>
      <c r="W21" s="51">
        <f t="shared" si="2"/>
        <v>29637.999999999996</v>
      </c>
      <c r="X21" s="52">
        <f t="shared" si="3"/>
        <v>19.940000000000001</v>
      </c>
      <c r="Y21" s="53">
        <f t="shared" si="4"/>
        <v>19.940000000000001</v>
      </c>
      <c r="Z21" s="54"/>
      <c r="AA21" s="71"/>
      <c r="AB21" s="71"/>
      <c r="AC21" s="128"/>
      <c r="AD21" s="33"/>
      <c r="AE21" s="55"/>
    </row>
    <row r="22" spans="2:31" ht="20.100000000000001" customHeight="1">
      <c r="B22" s="48">
        <v>18</v>
      </c>
      <c r="C22" s="121" t="s">
        <v>850</v>
      </c>
      <c r="D22" s="120" t="s">
        <v>349</v>
      </c>
      <c r="E22" s="120">
        <v>2603</v>
      </c>
      <c r="F22" s="120" t="s">
        <v>700</v>
      </c>
      <c r="G22" s="120" t="s">
        <v>699</v>
      </c>
      <c r="H22" s="49">
        <v>1</v>
      </c>
      <c r="I22" s="50" t="s">
        <v>41</v>
      </c>
      <c r="J22" s="124" t="s">
        <v>561</v>
      </c>
      <c r="K22" s="50" t="s">
        <v>26</v>
      </c>
      <c r="L22" s="50" t="s">
        <v>519</v>
      </c>
      <c r="M22" s="56" t="s">
        <v>12</v>
      </c>
      <c r="N22" s="122" t="s">
        <v>612</v>
      </c>
      <c r="O22" s="57">
        <v>1</v>
      </c>
      <c r="P22" s="45">
        <v>9980</v>
      </c>
      <c r="Q22" s="58">
        <f t="shared" si="0"/>
        <v>9980</v>
      </c>
      <c r="R22" s="129" t="s">
        <v>684</v>
      </c>
      <c r="S22" s="19"/>
      <c r="T22" s="32"/>
      <c r="U22" s="32"/>
      <c r="V22" s="51">
        <f t="shared" si="1"/>
        <v>11576.8</v>
      </c>
      <c r="W22" s="51">
        <f t="shared" si="2"/>
        <v>11576.8</v>
      </c>
      <c r="X22" s="52">
        <f t="shared" si="3"/>
        <v>7.79</v>
      </c>
      <c r="Y22" s="53">
        <f t="shared" si="4"/>
        <v>7.79</v>
      </c>
      <c r="Z22" s="54"/>
      <c r="AA22" s="71"/>
      <c r="AB22" s="71"/>
      <c r="AC22" s="128"/>
      <c r="AD22" s="33"/>
      <c r="AE22" s="55"/>
    </row>
    <row r="23" spans="2:31" ht="20.100000000000001" customHeight="1">
      <c r="B23" s="48">
        <v>19</v>
      </c>
      <c r="C23" s="121" t="s">
        <v>850</v>
      </c>
      <c r="D23" s="120" t="s">
        <v>349</v>
      </c>
      <c r="E23" s="120">
        <v>2603</v>
      </c>
      <c r="F23" s="120" t="s">
        <v>700</v>
      </c>
      <c r="G23" s="120" t="s">
        <v>699</v>
      </c>
      <c r="H23" s="49">
        <v>1</v>
      </c>
      <c r="I23" s="50" t="s">
        <v>40</v>
      </c>
      <c r="J23" s="124" t="s">
        <v>787</v>
      </c>
      <c r="K23" s="50" t="s">
        <v>26</v>
      </c>
      <c r="L23" s="50" t="s">
        <v>519</v>
      </c>
      <c r="M23" s="56" t="s">
        <v>12</v>
      </c>
      <c r="N23" s="122" t="s">
        <v>612</v>
      </c>
      <c r="O23" s="57">
        <v>3</v>
      </c>
      <c r="P23" s="45">
        <v>300</v>
      </c>
      <c r="Q23" s="58">
        <f t="shared" si="0"/>
        <v>900</v>
      </c>
      <c r="R23" s="129" t="s">
        <v>684</v>
      </c>
      <c r="S23" s="19"/>
      <c r="T23" s="32"/>
      <c r="U23" s="32"/>
      <c r="V23" s="51">
        <f t="shared" si="1"/>
        <v>348</v>
      </c>
      <c r="W23" s="51">
        <f t="shared" si="2"/>
        <v>1044</v>
      </c>
      <c r="X23" s="52">
        <f t="shared" si="3"/>
        <v>0.23</v>
      </c>
      <c r="Y23" s="53">
        <f t="shared" si="4"/>
        <v>0.69000000000000006</v>
      </c>
      <c r="Z23" s="54"/>
      <c r="AA23" s="71"/>
      <c r="AB23" s="71"/>
      <c r="AC23" s="128"/>
      <c r="AD23" s="33"/>
      <c r="AE23" s="55"/>
    </row>
    <row r="24" spans="2:31" ht="20.100000000000001" customHeight="1">
      <c r="B24" s="48">
        <v>20</v>
      </c>
      <c r="C24" s="121" t="s">
        <v>850</v>
      </c>
      <c r="D24" s="120" t="s">
        <v>349</v>
      </c>
      <c r="E24" s="120">
        <v>2603</v>
      </c>
      <c r="F24" s="120" t="s">
        <v>700</v>
      </c>
      <c r="G24" s="120" t="s">
        <v>699</v>
      </c>
      <c r="H24" s="49">
        <v>1</v>
      </c>
      <c r="I24" s="50" t="s">
        <v>966</v>
      </c>
      <c r="J24" s="124" t="s">
        <v>965</v>
      </c>
      <c r="K24" s="50" t="s">
        <v>26</v>
      </c>
      <c r="L24" s="50" t="s">
        <v>519</v>
      </c>
      <c r="M24" s="56" t="s">
        <v>12</v>
      </c>
      <c r="N24" s="122" t="s">
        <v>612</v>
      </c>
      <c r="O24" s="57">
        <v>2</v>
      </c>
      <c r="P24" s="45">
        <v>3090</v>
      </c>
      <c r="Q24" s="58">
        <f t="shared" si="0"/>
        <v>6180</v>
      </c>
      <c r="R24" s="129" t="s">
        <v>684</v>
      </c>
      <c r="S24" s="19"/>
      <c r="T24" s="32"/>
      <c r="U24" s="32"/>
      <c r="V24" s="51">
        <f t="shared" si="1"/>
        <v>3584.3999999999996</v>
      </c>
      <c r="W24" s="51">
        <f t="shared" si="2"/>
        <v>7168.7999999999993</v>
      </c>
      <c r="X24" s="52">
        <f t="shared" si="3"/>
        <v>2.41</v>
      </c>
      <c r="Y24" s="53">
        <f t="shared" si="4"/>
        <v>4.82</v>
      </c>
      <c r="Z24" s="54"/>
      <c r="AA24" s="71"/>
      <c r="AB24" s="71"/>
      <c r="AC24" s="128"/>
      <c r="AD24" s="33"/>
      <c r="AE24" s="55"/>
    </row>
    <row r="25" spans="2:31" ht="20.100000000000001" customHeight="1">
      <c r="B25" s="48">
        <v>21</v>
      </c>
      <c r="C25" s="121" t="s">
        <v>850</v>
      </c>
      <c r="D25" s="120" t="s">
        <v>349</v>
      </c>
      <c r="E25" s="120">
        <v>2603</v>
      </c>
      <c r="F25" s="120" t="s">
        <v>700</v>
      </c>
      <c r="G25" s="120" t="s">
        <v>699</v>
      </c>
      <c r="H25" s="49">
        <v>1</v>
      </c>
      <c r="I25" s="50" t="s">
        <v>28</v>
      </c>
      <c r="J25" s="124" t="s">
        <v>257</v>
      </c>
      <c r="K25" s="50" t="s">
        <v>26</v>
      </c>
      <c r="L25" s="50" t="s">
        <v>519</v>
      </c>
      <c r="M25" s="56" t="s">
        <v>12</v>
      </c>
      <c r="N25" s="122" t="s">
        <v>612</v>
      </c>
      <c r="O25" s="57">
        <v>1</v>
      </c>
      <c r="P25" s="45">
        <v>3020</v>
      </c>
      <c r="Q25" s="58">
        <f t="shared" si="0"/>
        <v>3020</v>
      </c>
      <c r="R25" s="129" t="s">
        <v>684</v>
      </c>
      <c r="S25" s="19"/>
      <c r="T25" s="32"/>
      <c r="U25" s="32"/>
      <c r="V25" s="51">
        <f t="shared" si="1"/>
        <v>3503.2</v>
      </c>
      <c r="W25" s="51">
        <f t="shared" si="2"/>
        <v>3503.2</v>
      </c>
      <c r="X25" s="52">
        <f t="shared" si="3"/>
        <v>2.36</v>
      </c>
      <c r="Y25" s="53">
        <f t="shared" si="4"/>
        <v>2.36</v>
      </c>
      <c r="Z25" s="54"/>
      <c r="AA25" s="71"/>
      <c r="AB25" s="71"/>
      <c r="AC25" s="128"/>
      <c r="AD25" s="33"/>
      <c r="AE25" s="55"/>
    </row>
    <row r="26" spans="2:31" ht="20.100000000000001" customHeight="1">
      <c r="B26" s="48">
        <v>22</v>
      </c>
      <c r="C26" s="121" t="s">
        <v>850</v>
      </c>
      <c r="D26" s="120" t="s">
        <v>349</v>
      </c>
      <c r="E26" s="120">
        <v>2603</v>
      </c>
      <c r="F26" s="120" t="s">
        <v>700</v>
      </c>
      <c r="G26" s="120" t="s">
        <v>699</v>
      </c>
      <c r="H26" s="49">
        <v>1</v>
      </c>
      <c r="I26" s="50" t="s">
        <v>28</v>
      </c>
      <c r="J26" s="124" t="s">
        <v>964</v>
      </c>
      <c r="K26" s="50" t="s">
        <v>26</v>
      </c>
      <c r="L26" s="50" t="s">
        <v>519</v>
      </c>
      <c r="M26" s="56" t="s">
        <v>12</v>
      </c>
      <c r="N26" s="122" t="s">
        <v>612</v>
      </c>
      <c r="O26" s="57">
        <v>1</v>
      </c>
      <c r="P26" s="45">
        <v>2200</v>
      </c>
      <c r="Q26" s="58">
        <f t="shared" si="0"/>
        <v>2200</v>
      </c>
      <c r="R26" s="129" t="s">
        <v>684</v>
      </c>
      <c r="S26" s="19"/>
      <c r="T26" s="32"/>
      <c r="U26" s="32"/>
      <c r="V26" s="51">
        <f t="shared" si="1"/>
        <v>2552</v>
      </c>
      <c r="W26" s="51">
        <f t="shared" si="2"/>
        <v>2552</v>
      </c>
      <c r="X26" s="52">
        <f t="shared" si="3"/>
        <v>1.72</v>
      </c>
      <c r="Y26" s="53">
        <f t="shared" si="4"/>
        <v>1.72</v>
      </c>
      <c r="Z26" s="54"/>
      <c r="AA26" s="71"/>
      <c r="AB26" s="71"/>
      <c r="AC26" s="128"/>
      <c r="AD26" s="33"/>
      <c r="AE26" s="55"/>
    </row>
    <row r="27" spans="2:31" ht="20.100000000000001" customHeight="1">
      <c r="B27" s="48">
        <v>23</v>
      </c>
      <c r="C27" s="121" t="s">
        <v>850</v>
      </c>
      <c r="D27" s="120" t="s">
        <v>349</v>
      </c>
      <c r="E27" s="120">
        <v>2603</v>
      </c>
      <c r="F27" s="120" t="s">
        <v>700</v>
      </c>
      <c r="G27" s="120" t="s">
        <v>699</v>
      </c>
      <c r="H27" s="49">
        <v>1</v>
      </c>
      <c r="I27" s="50" t="s">
        <v>28</v>
      </c>
      <c r="J27" s="124" t="s">
        <v>963</v>
      </c>
      <c r="K27" s="50" t="s">
        <v>26</v>
      </c>
      <c r="L27" s="50" t="s">
        <v>519</v>
      </c>
      <c r="M27" s="56" t="s">
        <v>12</v>
      </c>
      <c r="N27" s="122" t="s">
        <v>612</v>
      </c>
      <c r="O27" s="57">
        <v>2</v>
      </c>
      <c r="P27" s="45">
        <v>1980</v>
      </c>
      <c r="Q27" s="58">
        <f t="shared" si="0"/>
        <v>3960</v>
      </c>
      <c r="R27" s="129" t="s">
        <v>684</v>
      </c>
      <c r="S27" s="19"/>
      <c r="T27" s="32"/>
      <c r="U27" s="32"/>
      <c r="V27" s="51">
        <f t="shared" si="1"/>
        <v>2296.7999999999997</v>
      </c>
      <c r="W27" s="51">
        <f t="shared" si="2"/>
        <v>4593.5999999999995</v>
      </c>
      <c r="X27" s="52">
        <f t="shared" si="3"/>
        <v>1.54</v>
      </c>
      <c r="Y27" s="53">
        <f t="shared" si="4"/>
        <v>3.08</v>
      </c>
      <c r="Z27" s="54"/>
      <c r="AA27" s="71"/>
      <c r="AB27" s="71"/>
      <c r="AC27" s="128"/>
      <c r="AD27" s="33"/>
      <c r="AE27" s="55"/>
    </row>
    <row r="28" spans="2:31" ht="20.100000000000001" customHeight="1">
      <c r="B28" s="48">
        <v>24</v>
      </c>
      <c r="C28" s="121" t="s">
        <v>850</v>
      </c>
      <c r="D28" s="120" t="s">
        <v>349</v>
      </c>
      <c r="E28" s="120">
        <v>2603</v>
      </c>
      <c r="F28" s="120" t="s">
        <v>700</v>
      </c>
      <c r="G28" s="120" t="s">
        <v>699</v>
      </c>
      <c r="H28" s="49">
        <v>1</v>
      </c>
      <c r="I28" s="50" t="s">
        <v>28</v>
      </c>
      <c r="J28" s="124" t="s">
        <v>962</v>
      </c>
      <c r="K28" s="50" t="s">
        <v>26</v>
      </c>
      <c r="L28" s="50" t="s">
        <v>519</v>
      </c>
      <c r="M28" s="56" t="s">
        <v>12</v>
      </c>
      <c r="N28" s="122" t="s">
        <v>612</v>
      </c>
      <c r="O28" s="57">
        <v>1</v>
      </c>
      <c r="P28" s="45">
        <v>1580</v>
      </c>
      <c r="Q28" s="58">
        <f t="shared" si="0"/>
        <v>1580</v>
      </c>
      <c r="R28" s="129" t="s">
        <v>684</v>
      </c>
      <c r="S28" s="19"/>
      <c r="T28" s="32"/>
      <c r="U28" s="32"/>
      <c r="V28" s="51">
        <f t="shared" si="1"/>
        <v>1832.8</v>
      </c>
      <c r="W28" s="51">
        <f t="shared" si="2"/>
        <v>1832.8</v>
      </c>
      <c r="X28" s="52">
        <f t="shared" si="3"/>
        <v>1.23</v>
      </c>
      <c r="Y28" s="53">
        <f t="shared" si="4"/>
        <v>1.23</v>
      </c>
      <c r="Z28" s="54"/>
      <c r="AA28" s="71"/>
      <c r="AB28" s="71"/>
      <c r="AC28" s="128"/>
      <c r="AD28" s="33"/>
      <c r="AE28" s="55"/>
    </row>
    <row r="29" spans="2:31" ht="20.100000000000001" customHeight="1">
      <c r="B29" s="48">
        <v>25</v>
      </c>
      <c r="C29" s="121" t="s">
        <v>850</v>
      </c>
      <c r="D29" s="120" t="s">
        <v>349</v>
      </c>
      <c r="E29" s="120">
        <v>2603</v>
      </c>
      <c r="F29" s="120" t="s">
        <v>700</v>
      </c>
      <c r="G29" s="120" t="s">
        <v>699</v>
      </c>
      <c r="H29" s="49">
        <v>1</v>
      </c>
      <c r="I29" s="50" t="s">
        <v>961</v>
      </c>
      <c r="J29" s="124" t="s">
        <v>617</v>
      </c>
      <c r="K29" s="50" t="s">
        <v>26</v>
      </c>
      <c r="L29" s="50" t="s">
        <v>519</v>
      </c>
      <c r="M29" s="56" t="s">
        <v>12</v>
      </c>
      <c r="N29" s="122" t="s">
        <v>612</v>
      </c>
      <c r="O29" s="57">
        <v>1</v>
      </c>
      <c r="P29" s="45">
        <v>35880</v>
      </c>
      <c r="Q29" s="58">
        <f t="shared" si="0"/>
        <v>35880</v>
      </c>
      <c r="R29" s="129" t="s">
        <v>684</v>
      </c>
      <c r="S29" s="19"/>
      <c r="T29" s="32"/>
      <c r="U29" s="32"/>
      <c r="V29" s="51">
        <f t="shared" si="1"/>
        <v>41620.799999999996</v>
      </c>
      <c r="W29" s="51">
        <f t="shared" si="2"/>
        <v>41620.799999999996</v>
      </c>
      <c r="X29" s="52">
        <f t="shared" si="3"/>
        <v>28</v>
      </c>
      <c r="Y29" s="53">
        <f t="shared" si="4"/>
        <v>28</v>
      </c>
      <c r="Z29" s="54"/>
      <c r="AA29" s="71"/>
      <c r="AB29" s="71"/>
      <c r="AC29" s="128"/>
      <c r="AD29" s="33"/>
      <c r="AE29" s="55"/>
    </row>
    <row r="30" spans="2:31" ht="20.100000000000001" customHeight="1">
      <c r="B30" s="48">
        <v>26</v>
      </c>
      <c r="C30" s="121" t="s">
        <v>850</v>
      </c>
      <c r="D30" s="120" t="s">
        <v>349</v>
      </c>
      <c r="E30" s="120">
        <v>2603</v>
      </c>
      <c r="F30" s="120" t="s">
        <v>700</v>
      </c>
      <c r="G30" s="120" t="s">
        <v>699</v>
      </c>
      <c r="H30" s="49">
        <v>1</v>
      </c>
      <c r="I30" s="50" t="s">
        <v>961</v>
      </c>
      <c r="J30" s="124" t="s">
        <v>32</v>
      </c>
      <c r="K30" s="50" t="s">
        <v>26</v>
      </c>
      <c r="L30" s="50" t="s">
        <v>519</v>
      </c>
      <c r="M30" s="56" t="s">
        <v>12</v>
      </c>
      <c r="N30" s="122" t="s">
        <v>612</v>
      </c>
      <c r="O30" s="57">
        <v>2</v>
      </c>
      <c r="P30" s="45">
        <v>26460</v>
      </c>
      <c r="Q30" s="58">
        <f t="shared" si="0"/>
        <v>52920</v>
      </c>
      <c r="R30" s="129" t="s">
        <v>684</v>
      </c>
      <c r="S30" s="19"/>
      <c r="T30" s="32"/>
      <c r="U30" s="32"/>
      <c r="V30" s="51">
        <f t="shared" si="1"/>
        <v>30693.599999999999</v>
      </c>
      <c r="W30" s="51">
        <f t="shared" si="2"/>
        <v>61387.199999999997</v>
      </c>
      <c r="X30" s="52">
        <f t="shared" si="3"/>
        <v>20.65</v>
      </c>
      <c r="Y30" s="53">
        <f t="shared" si="4"/>
        <v>41.3</v>
      </c>
      <c r="Z30" s="54"/>
      <c r="AA30" s="71"/>
      <c r="AB30" s="71"/>
      <c r="AC30" s="128"/>
      <c r="AD30" s="33"/>
      <c r="AE30" s="55"/>
    </row>
    <row r="31" spans="2:31" ht="20.100000000000001" customHeight="1">
      <c r="B31" s="48">
        <v>27</v>
      </c>
      <c r="C31" s="121" t="s">
        <v>850</v>
      </c>
      <c r="D31" s="120" t="s">
        <v>349</v>
      </c>
      <c r="E31" s="120">
        <v>2603</v>
      </c>
      <c r="F31" s="120" t="s">
        <v>700</v>
      </c>
      <c r="G31" s="120" t="s">
        <v>699</v>
      </c>
      <c r="H31" s="49">
        <v>1</v>
      </c>
      <c r="I31" s="50" t="s">
        <v>27</v>
      </c>
      <c r="J31" s="124" t="s">
        <v>960</v>
      </c>
      <c r="K31" s="50" t="s">
        <v>26</v>
      </c>
      <c r="L31" s="50" t="s">
        <v>519</v>
      </c>
      <c r="M31" s="56" t="s">
        <v>12</v>
      </c>
      <c r="N31" s="122" t="s">
        <v>612</v>
      </c>
      <c r="O31" s="57">
        <v>1</v>
      </c>
      <c r="P31" s="45">
        <v>50700</v>
      </c>
      <c r="Q31" s="58">
        <f t="shared" si="0"/>
        <v>50700</v>
      </c>
      <c r="R31" s="129" t="s">
        <v>684</v>
      </c>
      <c r="S31" s="19"/>
      <c r="T31" s="32"/>
      <c r="U31" s="32"/>
      <c r="V31" s="51">
        <f t="shared" si="1"/>
        <v>58811.999999999993</v>
      </c>
      <c r="W31" s="51">
        <f t="shared" si="2"/>
        <v>58811.999999999993</v>
      </c>
      <c r="X31" s="52">
        <f t="shared" si="3"/>
        <v>39.56</v>
      </c>
      <c r="Y31" s="53">
        <f t="shared" si="4"/>
        <v>39.56</v>
      </c>
      <c r="Z31" s="54"/>
      <c r="AA31" s="71"/>
      <c r="AB31" s="71"/>
      <c r="AC31" s="128"/>
      <c r="AD31" s="33"/>
      <c r="AE31" s="55"/>
    </row>
    <row r="32" spans="2:31" ht="20.100000000000001" customHeight="1">
      <c r="B32" s="48">
        <v>28</v>
      </c>
      <c r="C32" s="121" t="s">
        <v>850</v>
      </c>
      <c r="D32" s="120" t="s">
        <v>349</v>
      </c>
      <c r="E32" s="120">
        <v>2603</v>
      </c>
      <c r="F32" s="120" t="s">
        <v>700</v>
      </c>
      <c r="G32" s="120" t="s">
        <v>699</v>
      </c>
      <c r="H32" s="49">
        <v>1</v>
      </c>
      <c r="I32" s="50" t="s">
        <v>33</v>
      </c>
      <c r="J32" s="124" t="s">
        <v>143</v>
      </c>
      <c r="K32" s="50" t="s">
        <v>26</v>
      </c>
      <c r="L32" s="50" t="s">
        <v>519</v>
      </c>
      <c r="M32" s="56" t="s">
        <v>12</v>
      </c>
      <c r="N32" s="122" t="s">
        <v>612</v>
      </c>
      <c r="O32" s="57">
        <v>4</v>
      </c>
      <c r="P32" s="45">
        <v>5040</v>
      </c>
      <c r="Q32" s="58">
        <f t="shared" si="0"/>
        <v>20160</v>
      </c>
      <c r="R32" s="129" t="s">
        <v>684</v>
      </c>
      <c r="S32" s="19"/>
      <c r="T32" s="32"/>
      <c r="U32" s="32"/>
      <c r="V32" s="51">
        <f t="shared" si="1"/>
        <v>5846.4</v>
      </c>
      <c r="W32" s="51">
        <f t="shared" si="2"/>
        <v>23385.599999999999</v>
      </c>
      <c r="X32" s="52">
        <f t="shared" si="3"/>
        <v>3.93</v>
      </c>
      <c r="Y32" s="53">
        <f t="shared" si="4"/>
        <v>15.72</v>
      </c>
      <c r="Z32" s="54"/>
      <c r="AA32" s="71"/>
      <c r="AB32" s="71"/>
      <c r="AC32" s="128"/>
      <c r="AD32" s="33"/>
      <c r="AE32" s="55"/>
    </row>
    <row r="33" spans="2:31" ht="20.100000000000001" customHeight="1">
      <c r="B33" s="48">
        <v>29</v>
      </c>
      <c r="C33" s="121" t="s">
        <v>850</v>
      </c>
      <c r="D33" s="120" t="s">
        <v>349</v>
      </c>
      <c r="E33" s="120">
        <v>2603</v>
      </c>
      <c r="F33" s="120" t="s">
        <v>700</v>
      </c>
      <c r="G33" s="120" t="s">
        <v>699</v>
      </c>
      <c r="H33" s="49">
        <v>1</v>
      </c>
      <c r="I33" s="50" t="s">
        <v>27</v>
      </c>
      <c r="J33" s="124" t="s">
        <v>959</v>
      </c>
      <c r="K33" s="50" t="s">
        <v>26</v>
      </c>
      <c r="L33" s="50" t="s">
        <v>519</v>
      </c>
      <c r="M33" s="56" t="s">
        <v>12</v>
      </c>
      <c r="N33" s="122" t="s">
        <v>612</v>
      </c>
      <c r="O33" s="57">
        <v>1</v>
      </c>
      <c r="P33" s="45">
        <v>206900</v>
      </c>
      <c r="Q33" s="58">
        <f t="shared" si="0"/>
        <v>206900</v>
      </c>
      <c r="R33" s="129" t="s">
        <v>684</v>
      </c>
      <c r="S33" s="19"/>
      <c r="T33" s="32"/>
      <c r="U33" s="32"/>
      <c r="V33" s="51">
        <f t="shared" si="1"/>
        <v>240003.99999999997</v>
      </c>
      <c r="W33" s="51">
        <f t="shared" si="2"/>
        <v>240003.99999999997</v>
      </c>
      <c r="X33" s="52">
        <f t="shared" si="3"/>
        <v>161.44</v>
      </c>
      <c r="Y33" s="53">
        <f t="shared" si="4"/>
        <v>161.44</v>
      </c>
      <c r="Z33" s="54"/>
      <c r="AA33" s="71"/>
      <c r="AB33" s="71"/>
      <c r="AC33" s="128"/>
      <c r="AD33" s="33"/>
      <c r="AE33" s="55"/>
    </row>
    <row r="34" spans="2:31" ht="20.100000000000001" customHeight="1">
      <c r="B34" s="48">
        <v>30</v>
      </c>
      <c r="C34" s="121" t="s">
        <v>850</v>
      </c>
      <c r="D34" s="120" t="s">
        <v>349</v>
      </c>
      <c r="E34" s="120">
        <v>2603</v>
      </c>
      <c r="F34" s="120" t="s">
        <v>700</v>
      </c>
      <c r="G34" s="120" t="s">
        <v>699</v>
      </c>
      <c r="H34" s="49">
        <v>1</v>
      </c>
      <c r="I34" s="50" t="s">
        <v>27</v>
      </c>
      <c r="J34" s="124" t="s">
        <v>958</v>
      </c>
      <c r="K34" s="50" t="s">
        <v>26</v>
      </c>
      <c r="L34" s="50" t="s">
        <v>519</v>
      </c>
      <c r="M34" s="56" t="s">
        <v>12</v>
      </c>
      <c r="N34" s="122" t="s">
        <v>612</v>
      </c>
      <c r="O34" s="57">
        <v>1</v>
      </c>
      <c r="P34" s="45">
        <v>192610</v>
      </c>
      <c r="Q34" s="58">
        <f t="shared" si="0"/>
        <v>192610</v>
      </c>
      <c r="R34" s="129" t="s">
        <v>684</v>
      </c>
      <c r="S34" s="19"/>
      <c r="T34" s="32"/>
      <c r="U34" s="32"/>
      <c r="V34" s="51">
        <f t="shared" si="1"/>
        <v>223427.59999999998</v>
      </c>
      <c r="W34" s="51">
        <f t="shared" si="2"/>
        <v>223427.59999999998</v>
      </c>
      <c r="X34" s="52">
        <f t="shared" si="3"/>
        <v>150.29</v>
      </c>
      <c r="Y34" s="53">
        <f t="shared" si="4"/>
        <v>150.29</v>
      </c>
      <c r="Z34" s="54"/>
      <c r="AA34" s="71"/>
      <c r="AB34" s="71"/>
      <c r="AC34" s="128"/>
      <c r="AD34" s="33"/>
      <c r="AE34" s="55"/>
    </row>
    <row r="35" spans="2:31" ht="20.100000000000001" customHeight="1">
      <c r="B35" s="48">
        <v>31</v>
      </c>
      <c r="C35" s="121" t="s">
        <v>850</v>
      </c>
      <c r="D35" s="120" t="s">
        <v>349</v>
      </c>
      <c r="E35" s="120">
        <v>2603</v>
      </c>
      <c r="F35" s="120" t="s">
        <v>700</v>
      </c>
      <c r="G35" s="120" t="s">
        <v>699</v>
      </c>
      <c r="H35" s="49">
        <v>1</v>
      </c>
      <c r="I35" s="50" t="s">
        <v>33</v>
      </c>
      <c r="J35" s="124" t="s">
        <v>188</v>
      </c>
      <c r="K35" s="50" t="s">
        <v>26</v>
      </c>
      <c r="L35" s="50" t="s">
        <v>519</v>
      </c>
      <c r="M35" s="56" t="s">
        <v>12</v>
      </c>
      <c r="N35" s="122" t="s">
        <v>612</v>
      </c>
      <c r="O35" s="57">
        <v>2</v>
      </c>
      <c r="P35" s="45">
        <v>7740</v>
      </c>
      <c r="Q35" s="58">
        <f t="shared" si="0"/>
        <v>15480</v>
      </c>
      <c r="R35" s="129" t="s">
        <v>684</v>
      </c>
      <c r="S35" s="19"/>
      <c r="T35" s="32"/>
      <c r="U35" s="32"/>
      <c r="V35" s="51">
        <f t="shared" si="1"/>
        <v>8978.4</v>
      </c>
      <c r="W35" s="51">
        <f t="shared" si="2"/>
        <v>17956.8</v>
      </c>
      <c r="X35" s="52">
        <f t="shared" si="3"/>
        <v>6.04</v>
      </c>
      <c r="Y35" s="53">
        <f t="shared" si="4"/>
        <v>12.08</v>
      </c>
      <c r="Z35" s="54"/>
      <c r="AA35" s="71"/>
      <c r="AB35" s="71"/>
      <c r="AC35" s="128"/>
      <c r="AD35" s="33"/>
      <c r="AE35" s="55"/>
    </row>
    <row r="36" spans="2:31" ht="20.100000000000001" customHeight="1">
      <c r="B36" s="48">
        <v>32</v>
      </c>
      <c r="C36" s="121" t="s">
        <v>850</v>
      </c>
      <c r="D36" s="120" t="s">
        <v>349</v>
      </c>
      <c r="E36" s="120">
        <v>2603</v>
      </c>
      <c r="F36" s="120" t="s">
        <v>700</v>
      </c>
      <c r="G36" s="120" t="s">
        <v>699</v>
      </c>
      <c r="H36" s="49">
        <v>1</v>
      </c>
      <c r="I36" s="50" t="s">
        <v>957</v>
      </c>
      <c r="J36" s="124" t="s">
        <v>956</v>
      </c>
      <c r="K36" s="50" t="s">
        <v>26</v>
      </c>
      <c r="L36" s="50" t="s">
        <v>519</v>
      </c>
      <c r="M36" s="56" t="s">
        <v>12</v>
      </c>
      <c r="N36" s="122" t="s">
        <v>612</v>
      </c>
      <c r="O36" s="57">
        <v>6</v>
      </c>
      <c r="P36" s="45">
        <v>19980</v>
      </c>
      <c r="Q36" s="58">
        <f t="shared" si="0"/>
        <v>119880</v>
      </c>
      <c r="R36" s="129" t="s">
        <v>663</v>
      </c>
      <c r="S36" s="19"/>
      <c r="T36" s="32"/>
      <c r="U36" s="32"/>
      <c r="V36" s="51">
        <f t="shared" si="1"/>
        <v>23176.799999999999</v>
      </c>
      <c r="W36" s="51">
        <f t="shared" si="2"/>
        <v>139060.79999999999</v>
      </c>
      <c r="X36" s="52">
        <f t="shared" si="3"/>
        <v>15.59</v>
      </c>
      <c r="Y36" s="53">
        <f t="shared" si="4"/>
        <v>93.539999999999992</v>
      </c>
      <c r="Z36" s="54"/>
      <c r="AA36" s="71"/>
      <c r="AB36" s="71"/>
      <c r="AC36" s="128"/>
      <c r="AD36" s="33"/>
      <c r="AE36" s="55"/>
    </row>
    <row r="37" spans="2:31" ht="20.100000000000001" customHeight="1">
      <c r="B37" s="48">
        <v>73</v>
      </c>
      <c r="C37" s="121" t="s">
        <v>906</v>
      </c>
      <c r="D37" s="120" t="s">
        <v>349</v>
      </c>
      <c r="E37" s="120">
        <v>2603</v>
      </c>
      <c r="F37" s="120" t="s">
        <v>832</v>
      </c>
      <c r="G37" s="120" t="s">
        <v>689</v>
      </c>
      <c r="H37" s="49">
        <v>1</v>
      </c>
      <c r="I37" s="50" t="s">
        <v>24</v>
      </c>
      <c r="J37" s="124" t="s">
        <v>905</v>
      </c>
      <c r="K37" s="50" t="s">
        <v>47</v>
      </c>
      <c r="L37" s="50" t="s">
        <v>521</v>
      </c>
      <c r="M37" s="56" t="s">
        <v>12</v>
      </c>
      <c r="N37" s="122" t="s">
        <v>666</v>
      </c>
      <c r="O37" s="57">
        <v>3</v>
      </c>
      <c r="P37" s="45">
        <v>24800</v>
      </c>
      <c r="Q37" s="58">
        <f t="shared" ref="Q37:Q53" si="5">O37*P37</f>
        <v>74400</v>
      </c>
      <c r="R37" s="129" t="s">
        <v>1025</v>
      </c>
      <c r="S37" s="19"/>
      <c r="T37" s="32"/>
      <c r="U37" s="32"/>
      <c r="V37" s="51">
        <f t="shared" si="1"/>
        <v>28767.999999999996</v>
      </c>
      <c r="W37" s="51">
        <f t="shared" si="2"/>
        <v>86303.999999999985</v>
      </c>
      <c r="X37" s="52">
        <f t="shared" si="3"/>
        <v>19.350000000000001</v>
      </c>
      <c r="Y37" s="53">
        <f t="shared" si="4"/>
        <v>58.050000000000004</v>
      </c>
      <c r="Z37" s="54"/>
      <c r="AA37" s="71"/>
      <c r="AB37" s="71"/>
      <c r="AC37" s="128"/>
      <c r="AD37" s="33"/>
      <c r="AE37" s="55"/>
    </row>
    <row r="38" spans="2:31" ht="20.100000000000001" customHeight="1">
      <c r="B38" s="48">
        <v>74</v>
      </c>
      <c r="C38" s="121" t="s">
        <v>850</v>
      </c>
      <c r="D38" s="120" t="s">
        <v>349</v>
      </c>
      <c r="E38" s="120">
        <v>2603</v>
      </c>
      <c r="F38" s="120" t="s">
        <v>700</v>
      </c>
      <c r="G38" s="120" t="s">
        <v>699</v>
      </c>
      <c r="H38" s="49">
        <v>1</v>
      </c>
      <c r="I38" s="50" t="s">
        <v>902</v>
      </c>
      <c r="J38" s="124" t="s">
        <v>904</v>
      </c>
      <c r="K38" s="50" t="s">
        <v>181</v>
      </c>
      <c r="L38" s="50" t="s">
        <v>521</v>
      </c>
      <c r="M38" s="56" t="s">
        <v>12</v>
      </c>
      <c r="N38" s="122" t="s">
        <v>665</v>
      </c>
      <c r="O38" s="57">
        <v>2</v>
      </c>
      <c r="P38" s="45">
        <v>26600</v>
      </c>
      <c r="Q38" s="58">
        <f t="shared" si="5"/>
        <v>53200</v>
      </c>
      <c r="R38" s="129" t="s">
        <v>684</v>
      </c>
      <c r="S38" s="19"/>
      <c r="T38" s="32"/>
      <c r="U38" s="32"/>
      <c r="V38" s="51">
        <f t="shared" si="1"/>
        <v>30855.999999999996</v>
      </c>
      <c r="W38" s="51">
        <f t="shared" si="2"/>
        <v>61711.999999999993</v>
      </c>
      <c r="X38" s="52">
        <f t="shared" si="3"/>
        <v>20.76</v>
      </c>
      <c r="Y38" s="53">
        <f t="shared" si="4"/>
        <v>41.52</v>
      </c>
      <c r="Z38" s="54"/>
      <c r="AA38" s="71"/>
      <c r="AB38" s="71"/>
      <c r="AC38" s="128"/>
      <c r="AD38" s="33"/>
      <c r="AE38" s="55"/>
    </row>
    <row r="39" spans="2:31" ht="20.100000000000001" customHeight="1">
      <c r="B39" s="48">
        <v>75</v>
      </c>
      <c r="C39" s="121" t="s">
        <v>850</v>
      </c>
      <c r="D39" s="120" t="s">
        <v>349</v>
      </c>
      <c r="E39" s="120">
        <v>2603</v>
      </c>
      <c r="F39" s="120" t="s">
        <v>700</v>
      </c>
      <c r="G39" s="120" t="s">
        <v>699</v>
      </c>
      <c r="H39" s="49">
        <v>1</v>
      </c>
      <c r="I39" s="50" t="s">
        <v>900</v>
      </c>
      <c r="J39" s="124" t="s">
        <v>903</v>
      </c>
      <c r="K39" s="50" t="s">
        <v>181</v>
      </c>
      <c r="L39" s="50" t="s">
        <v>521</v>
      </c>
      <c r="M39" s="56" t="s">
        <v>12</v>
      </c>
      <c r="N39" s="122" t="s">
        <v>665</v>
      </c>
      <c r="O39" s="57">
        <v>2</v>
      </c>
      <c r="P39" s="45">
        <v>22800</v>
      </c>
      <c r="Q39" s="58">
        <f t="shared" si="5"/>
        <v>45600</v>
      </c>
      <c r="R39" s="129" t="s">
        <v>684</v>
      </c>
      <c r="S39" s="19"/>
      <c r="T39" s="32"/>
      <c r="U39" s="32"/>
      <c r="V39" s="51">
        <f t="shared" si="1"/>
        <v>26447.999999999996</v>
      </c>
      <c r="W39" s="51">
        <f t="shared" si="2"/>
        <v>52895.999999999993</v>
      </c>
      <c r="X39" s="52">
        <f t="shared" si="3"/>
        <v>17.79</v>
      </c>
      <c r="Y39" s="53">
        <f t="shared" si="4"/>
        <v>35.58</v>
      </c>
      <c r="Z39" s="54"/>
      <c r="AA39" s="71"/>
      <c r="AB39" s="71"/>
      <c r="AC39" s="128"/>
      <c r="AD39" s="33"/>
      <c r="AE39" s="55"/>
    </row>
    <row r="40" spans="2:31" ht="20.100000000000001" customHeight="1">
      <c r="B40" s="48">
        <v>76</v>
      </c>
      <c r="C40" s="121" t="s">
        <v>850</v>
      </c>
      <c r="D40" s="120" t="s">
        <v>349</v>
      </c>
      <c r="E40" s="120">
        <v>2603</v>
      </c>
      <c r="F40" s="120" t="s">
        <v>700</v>
      </c>
      <c r="G40" s="120" t="s">
        <v>699</v>
      </c>
      <c r="H40" s="49">
        <v>1</v>
      </c>
      <c r="I40" s="50" t="s">
        <v>902</v>
      </c>
      <c r="J40" s="124" t="s">
        <v>901</v>
      </c>
      <c r="K40" s="50" t="s">
        <v>181</v>
      </c>
      <c r="L40" s="50" t="s">
        <v>521</v>
      </c>
      <c r="M40" s="56" t="s">
        <v>12</v>
      </c>
      <c r="N40" s="122" t="s">
        <v>665</v>
      </c>
      <c r="O40" s="57">
        <v>1</v>
      </c>
      <c r="P40" s="45">
        <v>22300</v>
      </c>
      <c r="Q40" s="58">
        <f t="shared" si="5"/>
        <v>22300</v>
      </c>
      <c r="R40" s="129" t="s">
        <v>684</v>
      </c>
      <c r="S40" s="19"/>
      <c r="T40" s="32"/>
      <c r="U40" s="32"/>
      <c r="V40" s="51">
        <f t="shared" si="1"/>
        <v>25868</v>
      </c>
      <c r="W40" s="51">
        <f t="shared" si="2"/>
        <v>25868</v>
      </c>
      <c r="X40" s="52">
        <f t="shared" si="3"/>
        <v>17.399999999999999</v>
      </c>
      <c r="Y40" s="53">
        <f t="shared" si="4"/>
        <v>17.399999999999999</v>
      </c>
      <c r="Z40" s="54"/>
      <c r="AA40" s="71"/>
      <c r="AB40" s="71"/>
      <c r="AC40" s="128"/>
      <c r="AD40" s="33"/>
      <c r="AE40" s="55"/>
    </row>
    <row r="41" spans="2:31" ht="20.100000000000001" customHeight="1">
      <c r="B41" s="48">
        <v>77</v>
      </c>
      <c r="C41" s="121" t="s">
        <v>850</v>
      </c>
      <c r="D41" s="120" t="s">
        <v>349</v>
      </c>
      <c r="E41" s="120">
        <v>2603</v>
      </c>
      <c r="F41" s="120" t="s">
        <v>700</v>
      </c>
      <c r="G41" s="120" t="s">
        <v>699</v>
      </c>
      <c r="H41" s="49">
        <v>1</v>
      </c>
      <c r="I41" s="50" t="s">
        <v>900</v>
      </c>
      <c r="J41" s="124" t="s">
        <v>899</v>
      </c>
      <c r="K41" s="50" t="s">
        <v>181</v>
      </c>
      <c r="L41" s="50" t="s">
        <v>521</v>
      </c>
      <c r="M41" s="56" t="s">
        <v>12</v>
      </c>
      <c r="N41" s="122" t="s">
        <v>665</v>
      </c>
      <c r="O41" s="57">
        <v>1</v>
      </c>
      <c r="P41" s="45">
        <v>20100</v>
      </c>
      <c r="Q41" s="58">
        <f t="shared" si="5"/>
        <v>20100</v>
      </c>
      <c r="R41" s="129" t="s">
        <v>684</v>
      </c>
      <c r="S41" s="19"/>
      <c r="T41" s="32"/>
      <c r="U41" s="32"/>
      <c r="V41" s="51">
        <f t="shared" si="1"/>
        <v>23316</v>
      </c>
      <c r="W41" s="51">
        <f t="shared" si="2"/>
        <v>23316</v>
      </c>
      <c r="X41" s="52">
        <f t="shared" si="3"/>
        <v>15.68</v>
      </c>
      <c r="Y41" s="53">
        <f t="shared" si="4"/>
        <v>15.68</v>
      </c>
      <c r="Z41" s="54"/>
      <c r="AA41" s="71"/>
      <c r="AB41" s="71"/>
      <c r="AC41" s="128"/>
      <c r="AD41" s="33"/>
      <c r="AE41" s="55"/>
    </row>
    <row r="42" spans="2:31" ht="20.100000000000001" customHeight="1">
      <c r="B42" s="48">
        <v>78</v>
      </c>
      <c r="C42" s="121" t="s">
        <v>850</v>
      </c>
      <c r="D42" s="120" t="s">
        <v>349</v>
      </c>
      <c r="E42" s="120">
        <v>2603</v>
      </c>
      <c r="F42" s="120" t="s">
        <v>700</v>
      </c>
      <c r="G42" s="120" t="s">
        <v>699</v>
      </c>
      <c r="H42" s="49">
        <v>1</v>
      </c>
      <c r="I42" s="50" t="s">
        <v>898</v>
      </c>
      <c r="J42" s="124" t="s">
        <v>897</v>
      </c>
      <c r="K42" s="50" t="s">
        <v>181</v>
      </c>
      <c r="L42" s="50" t="s">
        <v>521</v>
      </c>
      <c r="M42" s="56" t="s">
        <v>12</v>
      </c>
      <c r="N42" s="122" t="s">
        <v>665</v>
      </c>
      <c r="O42" s="57">
        <v>1</v>
      </c>
      <c r="P42" s="45">
        <v>15200</v>
      </c>
      <c r="Q42" s="58">
        <f t="shared" si="5"/>
        <v>15200</v>
      </c>
      <c r="R42" s="129" t="s">
        <v>684</v>
      </c>
      <c r="S42" s="19"/>
      <c r="T42" s="32"/>
      <c r="U42" s="32"/>
      <c r="V42" s="51">
        <f t="shared" si="1"/>
        <v>17632</v>
      </c>
      <c r="W42" s="51">
        <f t="shared" si="2"/>
        <v>17632</v>
      </c>
      <c r="X42" s="52">
        <f t="shared" si="3"/>
        <v>11.86</v>
      </c>
      <c r="Y42" s="53">
        <f t="shared" si="4"/>
        <v>11.86</v>
      </c>
      <c r="Z42" s="54"/>
      <c r="AA42" s="71"/>
      <c r="AB42" s="71"/>
      <c r="AC42" s="128"/>
      <c r="AD42" s="33"/>
      <c r="AE42" s="55"/>
    </row>
    <row r="43" spans="2:31" ht="20.100000000000001" customHeight="1">
      <c r="B43" s="48">
        <v>79</v>
      </c>
      <c r="C43" s="121" t="s">
        <v>850</v>
      </c>
      <c r="D43" s="120" t="s">
        <v>349</v>
      </c>
      <c r="E43" s="120">
        <v>2603</v>
      </c>
      <c r="F43" s="120" t="s">
        <v>700</v>
      </c>
      <c r="G43" s="120" t="s">
        <v>699</v>
      </c>
      <c r="H43" s="49">
        <v>1</v>
      </c>
      <c r="I43" s="50" t="s">
        <v>896</v>
      </c>
      <c r="J43" s="124" t="s">
        <v>66</v>
      </c>
      <c r="K43" s="50" t="s">
        <v>47</v>
      </c>
      <c r="L43" s="50" t="s">
        <v>521</v>
      </c>
      <c r="M43" s="56" t="s">
        <v>12</v>
      </c>
      <c r="N43" s="122" t="s">
        <v>666</v>
      </c>
      <c r="O43" s="57">
        <v>3</v>
      </c>
      <c r="P43" s="45">
        <v>34000</v>
      </c>
      <c r="Q43" s="58">
        <f t="shared" si="5"/>
        <v>102000</v>
      </c>
      <c r="R43" s="129" t="s">
        <v>1025</v>
      </c>
      <c r="S43" s="19"/>
      <c r="T43" s="32"/>
      <c r="U43" s="32"/>
      <c r="V43" s="51">
        <f t="shared" si="1"/>
        <v>39440</v>
      </c>
      <c r="W43" s="51">
        <f t="shared" si="2"/>
        <v>118320</v>
      </c>
      <c r="X43" s="52">
        <f t="shared" si="3"/>
        <v>26.53</v>
      </c>
      <c r="Y43" s="53">
        <f t="shared" si="4"/>
        <v>79.59</v>
      </c>
      <c r="Z43" s="54"/>
      <c r="AA43" s="71"/>
      <c r="AB43" s="71"/>
      <c r="AC43" s="128"/>
      <c r="AD43" s="33"/>
      <c r="AE43" s="55"/>
    </row>
    <row r="44" spans="2:31" ht="20.100000000000001" customHeight="1">
      <c r="B44" s="48">
        <v>80</v>
      </c>
      <c r="C44" s="121" t="s">
        <v>850</v>
      </c>
      <c r="D44" s="120" t="s">
        <v>349</v>
      </c>
      <c r="E44" s="120">
        <v>2603</v>
      </c>
      <c r="F44" s="120" t="s">
        <v>700</v>
      </c>
      <c r="G44" s="120" t="s">
        <v>699</v>
      </c>
      <c r="H44" s="49">
        <v>1</v>
      </c>
      <c r="I44" s="50" t="s">
        <v>569</v>
      </c>
      <c r="J44" s="124" t="s">
        <v>190</v>
      </c>
      <c r="K44" s="50" t="s">
        <v>38</v>
      </c>
      <c r="L44" s="50" t="s">
        <v>521</v>
      </c>
      <c r="M44" s="56" t="s">
        <v>12</v>
      </c>
      <c r="N44" s="122" t="s">
        <v>665</v>
      </c>
      <c r="O44" s="57">
        <v>2</v>
      </c>
      <c r="P44" s="45">
        <v>34400</v>
      </c>
      <c r="Q44" s="58">
        <f t="shared" si="5"/>
        <v>68800</v>
      </c>
      <c r="R44" s="129" t="s">
        <v>684</v>
      </c>
      <c r="S44" s="19"/>
      <c r="T44" s="32"/>
      <c r="U44" s="32"/>
      <c r="V44" s="51">
        <f t="shared" si="1"/>
        <v>39904</v>
      </c>
      <c r="W44" s="51">
        <f t="shared" si="2"/>
        <v>79808</v>
      </c>
      <c r="X44" s="52">
        <f t="shared" si="3"/>
        <v>26.84</v>
      </c>
      <c r="Y44" s="53">
        <f t="shared" si="4"/>
        <v>53.68</v>
      </c>
      <c r="Z44" s="54"/>
      <c r="AA44" s="71"/>
      <c r="AB44" s="71"/>
      <c r="AC44" s="128"/>
      <c r="AD44" s="33"/>
      <c r="AE44" s="55"/>
    </row>
    <row r="45" spans="2:31" ht="20.100000000000001" customHeight="1">
      <c r="B45" s="48">
        <v>81</v>
      </c>
      <c r="C45" s="121" t="s">
        <v>850</v>
      </c>
      <c r="D45" s="120" t="s">
        <v>349</v>
      </c>
      <c r="E45" s="120">
        <v>2603</v>
      </c>
      <c r="F45" s="120" t="s">
        <v>700</v>
      </c>
      <c r="G45" s="120" t="s">
        <v>699</v>
      </c>
      <c r="H45" s="49">
        <v>1</v>
      </c>
      <c r="I45" s="50" t="s">
        <v>39</v>
      </c>
      <c r="J45" s="124" t="s">
        <v>895</v>
      </c>
      <c r="K45" s="50" t="s">
        <v>38</v>
      </c>
      <c r="L45" s="50" t="s">
        <v>521</v>
      </c>
      <c r="M45" s="56" t="s">
        <v>12</v>
      </c>
      <c r="N45" s="122" t="s">
        <v>665</v>
      </c>
      <c r="O45" s="57">
        <v>1</v>
      </c>
      <c r="P45" s="45">
        <v>32100</v>
      </c>
      <c r="Q45" s="58">
        <f t="shared" si="5"/>
        <v>32100</v>
      </c>
      <c r="R45" s="129" t="s">
        <v>1020</v>
      </c>
      <c r="S45" s="19"/>
      <c r="T45" s="32"/>
      <c r="U45" s="32"/>
      <c r="V45" s="51">
        <f t="shared" si="1"/>
        <v>37236</v>
      </c>
      <c r="W45" s="51">
        <f t="shared" si="2"/>
        <v>37236</v>
      </c>
      <c r="X45" s="52">
        <f t="shared" si="3"/>
        <v>25.05</v>
      </c>
      <c r="Y45" s="53">
        <f t="shared" si="4"/>
        <v>25.05</v>
      </c>
      <c r="Z45" s="54"/>
      <c r="AA45" s="71"/>
      <c r="AB45" s="71"/>
      <c r="AC45" s="128"/>
      <c r="AD45" s="33"/>
      <c r="AE45" s="55"/>
    </row>
    <row r="46" spans="2:31" ht="20.100000000000001" customHeight="1">
      <c r="B46" s="48">
        <v>82</v>
      </c>
      <c r="C46" s="121" t="s">
        <v>850</v>
      </c>
      <c r="D46" s="120" t="s">
        <v>349</v>
      </c>
      <c r="E46" s="120">
        <v>2603</v>
      </c>
      <c r="F46" s="120" t="s">
        <v>700</v>
      </c>
      <c r="G46" s="120" t="s">
        <v>699</v>
      </c>
      <c r="H46" s="49">
        <v>1</v>
      </c>
      <c r="I46" s="50" t="s">
        <v>39</v>
      </c>
      <c r="J46" s="124" t="s">
        <v>215</v>
      </c>
      <c r="K46" s="50" t="s">
        <v>38</v>
      </c>
      <c r="L46" s="50" t="s">
        <v>521</v>
      </c>
      <c r="M46" s="56" t="s">
        <v>12</v>
      </c>
      <c r="N46" s="122" t="s">
        <v>665</v>
      </c>
      <c r="O46" s="57">
        <v>1</v>
      </c>
      <c r="P46" s="45">
        <v>32100</v>
      </c>
      <c r="Q46" s="58">
        <f t="shared" si="5"/>
        <v>32100</v>
      </c>
      <c r="R46" s="129" t="s">
        <v>684</v>
      </c>
      <c r="S46" s="19"/>
      <c r="T46" s="32"/>
      <c r="U46" s="32"/>
      <c r="V46" s="51">
        <f t="shared" si="1"/>
        <v>37236</v>
      </c>
      <c r="W46" s="51">
        <f t="shared" si="2"/>
        <v>37236</v>
      </c>
      <c r="X46" s="52">
        <f t="shared" si="3"/>
        <v>25.05</v>
      </c>
      <c r="Y46" s="53">
        <f t="shared" si="4"/>
        <v>25.05</v>
      </c>
      <c r="Z46" s="54"/>
      <c r="AA46" s="71"/>
      <c r="AB46" s="71"/>
      <c r="AC46" s="128"/>
      <c r="AD46" s="33"/>
      <c r="AE46" s="55"/>
    </row>
    <row r="47" spans="2:31" ht="20.100000000000001" customHeight="1">
      <c r="B47" s="48">
        <v>83</v>
      </c>
      <c r="C47" s="121" t="s">
        <v>850</v>
      </c>
      <c r="D47" s="120" t="s">
        <v>349</v>
      </c>
      <c r="E47" s="120">
        <v>2603</v>
      </c>
      <c r="F47" s="120" t="s">
        <v>700</v>
      </c>
      <c r="G47" s="120" t="s">
        <v>699</v>
      </c>
      <c r="H47" s="49">
        <v>1</v>
      </c>
      <c r="I47" s="50" t="s">
        <v>894</v>
      </c>
      <c r="J47" s="124" t="s">
        <v>893</v>
      </c>
      <c r="K47" s="50" t="s">
        <v>892</v>
      </c>
      <c r="L47" s="50" t="s">
        <v>521</v>
      </c>
      <c r="M47" s="56" t="s">
        <v>12</v>
      </c>
      <c r="N47" s="122" t="s">
        <v>665</v>
      </c>
      <c r="O47" s="57">
        <v>2</v>
      </c>
      <c r="P47" s="45">
        <v>219000</v>
      </c>
      <c r="Q47" s="58">
        <f t="shared" si="5"/>
        <v>438000</v>
      </c>
      <c r="R47" s="129" t="s">
        <v>1025</v>
      </c>
      <c r="S47" s="19"/>
      <c r="T47" s="32"/>
      <c r="U47" s="32"/>
      <c r="V47" s="51">
        <f t="shared" si="1"/>
        <v>254039.99999999997</v>
      </c>
      <c r="W47" s="51">
        <f t="shared" si="2"/>
        <v>508079.99999999994</v>
      </c>
      <c r="X47" s="52">
        <f t="shared" si="3"/>
        <v>170.88</v>
      </c>
      <c r="Y47" s="53">
        <f t="shared" si="4"/>
        <v>341.76</v>
      </c>
      <c r="Z47" s="54"/>
      <c r="AA47" s="71"/>
      <c r="AB47" s="71"/>
      <c r="AC47" s="128"/>
      <c r="AD47" s="33"/>
      <c r="AE47" s="55"/>
    </row>
    <row r="48" spans="2:31" ht="20.100000000000001" customHeight="1">
      <c r="B48" s="48">
        <v>84</v>
      </c>
      <c r="C48" s="121" t="s">
        <v>850</v>
      </c>
      <c r="D48" s="120" t="s">
        <v>349</v>
      </c>
      <c r="E48" s="120">
        <v>2603</v>
      </c>
      <c r="F48" s="120" t="s">
        <v>700</v>
      </c>
      <c r="G48" s="120" t="s">
        <v>699</v>
      </c>
      <c r="H48" s="49">
        <v>1</v>
      </c>
      <c r="I48" s="50" t="s">
        <v>182</v>
      </c>
      <c r="J48" s="124" t="s">
        <v>185</v>
      </c>
      <c r="K48" s="50" t="s">
        <v>181</v>
      </c>
      <c r="L48" s="50" t="s">
        <v>521</v>
      </c>
      <c r="M48" s="56" t="s">
        <v>12</v>
      </c>
      <c r="N48" s="122" t="s">
        <v>665</v>
      </c>
      <c r="O48" s="57">
        <v>2</v>
      </c>
      <c r="P48" s="45">
        <v>34900</v>
      </c>
      <c r="Q48" s="58">
        <f t="shared" si="5"/>
        <v>69800</v>
      </c>
      <c r="R48" s="129" t="s">
        <v>1025</v>
      </c>
      <c r="S48" s="19"/>
      <c r="T48" s="32"/>
      <c r="U48" s="32"/>
      <c r="V48" s="51">
        <f t="shared" si="1"/>
        <v>40484</v>
      </c>
      <c r="W48" s="51">
        <f t="shared" si="2"/>
        <v>80968</v>
      </c>
      <c r="X48" s="52">
        <f t="shared" si="3"/>
        <v>27.23</v>
      </c>
      <c r="Y48" s="53">
        <f t="shared" si="4"/>
        <v>54.46</v>
      </c>
      <c r="Z48" s="54"/>
      <c r="AA48" s="71"/>
      <c r="AB48" s="71"/>
      <c r="AC48" s="128"/>
      <c r="AD48" s="33"/>
      <c r="AE48" s="55"/>
    </row>
    <row r="49" spans="2:31" ht="20.100000000000001" customHeight="1">
      <c r="B49" s="48">
        <v>85</v>
      </c>
      <c r="C49" s="121" t="s">
        <v>850</v>
      </c>
      <c r="D49" s="120" t="s">
        <v>349</v>
      </c>
      <c r="E49" s="120">
        <v>2603</v>
      </c>
      <c r="F49" s="120" t="s">
        <v>700</v>
      </c>
      <c r="G49" s="120" t="s">
        <v>699</v>
      </c>
      <c r="H49" s="49">
        <v>1</v>
      </c>
      <c r="I49" s="50" t="s">
        <v>891</v>
      </c>
      <c r="J49" s="124" t="s">
        <v>184</v>
      </c>
      <c r="K49" s="50" t="s">
        <v>181</v>
      </c>
      <c r="L49" s="50" t="s">
        <v>521</v>
      </c>
      <c r="M49" s="56" t="s">
        <v>12</v>
      </c>
      <c r="N49" s="122" t="s">
        <v>665</v>
      </c>
      <c r="O49" s="57">
        <v>2</v>
      </c>
      <c r="P49" s="45">
        <v>8700</v>
      </c>
      <c r="Q49" s="58">
        <f t="shared" si="5"/>
        <v>17400</v>
      </c>
      <c r="R49" s="129" t="s">
        <v>1025</v>
      </c>
      <c r="S49" s="19"/>
      <c r="T49" s="32"/>
      <c r="U49" s="32"/>
      <c r="V49" s="51">
        <f t="shared" si="1"/>
        <v>10092</v>
      </c>
      <c r="W49" s="51">
        <f t="shared" si="2"/>
        <v>20184</v>
      </c>
      <c r="X49" s="52">
        <f t="shared" si="3"/>
        <v>6.79</v>
      </c>
      <c r="Y49" s="53">
        <f t="shared" si="4"/>
        <v>13.58</v>
      </c>
      <c r="Z49" s="54"/>
      <c r="AA49" s="71"/>
      <c r="AB49" s="71"/>
      <c r="AC49" s="128"/>
      <c r="AD49" s="33"/>
      <c r="AE49" s="55"/>
    </row>
    <row r="50" spans="2:31" ht="20.100000000000001" customHeight="1">
      <c r="B50" s="48">
        <v>89</v>
      </c>
      <c r="C50" s="121" t="s">
        <v>850</v>
      </c>
      <c r="D50" s="120" t="s">
        <v>349</v>
      </c>
      <c r="E50" s="120">
        <v>2603</v>
      </c>
      <c r="F50" s="120" t="s">
        <v>700</v>
      </c>
      <c r="G50" s="120" t="s">
        <v>699</v>
      </c>
      <c r="H50" s="49">
        <v>1</v>
      </c>
      <c r="I50" s="50" t="s">
        <v>228</v>
      </c>
      <c r="J50" s="124" t="s">
        <v>885</v>
      </c>
      <c r="K50" s="50" t="s">
        <v>229</v>
      </c>
      <c r="L50" s="50" t="s">
        <v>614</v>
      </c>
      <c r="M50" s="56" t="s">
        <v>12</v>
      </c>
      <c r="N50" s="122" t="s">
        <v>665</v>
      </c>
      <c r="O50" s="57">
        <v>1</v>
      </c>
      <c r="P50" s="45">
        <v>2280000</v>
      </c>
      <c r="Q50" s="58">
        <f t="shared" si="5"/>
        <v>2280000</v>
      </c>
      <c r="R50" s="129" t="s">
        <v>735</v>
      </c>
      <c r="S50" s="19"/>
      <c r="T50" s="32"/>
      <c r="U50" s="32"/>
      <c r="V50" s="51">
        <f t="shared" si="1"/>
        <v>2644800</v>
      </c>
      <c r="W50" s="51">
        <f t="shared" si="2"/>
        <v>2644800</v>
      </c>
      <c r="X50" s="52">
        <f t="shared" si="3"/>
        <v>1779.05</v>
      </c>
      <c r="Y50" s="53">
        <f t="shared" si="4"/>
        <v>1779.05</v>
      </c>
      <c r="Z50" s="54"/>
      <c r="AA50" s="71"/>
      <c r="AB50" s="71"/>
      <c r="AC50" s="128"/>
      <c r="AD50" s="33"/>
      <c r="AE50" s="55"/>
    </row>
    <row r="51" spans="2:31" ht="20.100000000000001" customHeight="1">
      <c r="B51" s="48">
        <v>91</v>
      </c>
      <c r="C51" s="121" t="s">
        <v>850</v>
      </c>
      <c r="D51" s="120" t="s">
        <v>349</v>
      </c>
      <c r="E51" s="120">
        <v>2603</v>
      </c>
      <c r="F51" s="120" t="s">
        <v>700</v>
      </c>
      <c r="G51" s="120" t="s">
        <v>699</v>
      </c>
      <c r="H51" s="49">
        <v>1</v>
      </c>
      <c r="I51" s="50" t="s">
        <v>515</v>
      </c>
      <c r="J51" s="124" t="s">
        <v>884</v>
      </c>
      <c r="K51" s="50" t="s">
        <v>883</v>
      </c>
      <c r="L51" s="50" t="s">
        <v>522</v>
      </c>
      <c r="M51" s="56" t="s">
        <v>12</v>
      </c>
      <c r="N51" s="122" t="s">
        <v>667</v>
      </c>
      <c r="O51" s="57">
        <v>3</v>
      </c>
      <c r="P51" s="45">
        <v>75000</v>
      </c>
      <c r="Q51" s="58">
        <f t="shared" si="5"/>
        <v>225000</v>
      </c>
      <c r="R51" s="129" t="s">
        <v>1020</v>
      </c>
      <c r="S51" s="19"/>
      <c r="T51" s="32"/>
      <c r="U51" s="32"/>
      <c r="V51" s="51">
        <f t="shared" si="1"/>
        <v>87000</v>
      </c>
      <c r="W51" s="51">
        <f t="shared" si="2"/>
        <v>261000</v>
      </c>
      <c r="X51" s="52">
        <f t="shared" si="3"/>
        <v>58.52</v>
      </c>
      <c r="Y51" s="53">
        <f t="shared" si="4"/>
        <v>175.56</v>
      </c>
      <c r="Z51" s="54"/>
      <c r="AA51" s="71"/>
      <c r="AB51" s="71"/>
      <c r="AC51" s="128"/>
      <c r="AD51" s="33"/>
      <c r="AE51" s="55"/>
    </row>
    <row r="52" spans="2:31" ht="20.100000000000001" customHeight="1">
      <c r="B52" s="48">
        <v>92</v>
      </c>
      <c r="C52" s="121" t="s">
        <v>850</v>
      </c>
      <c r="D52" s="120" t="s">
        <v>349</v>
      </c>
      <c r="E52" s="120">
        <v>2603</v>
      </c>
      <c r="F52" s="120" t="s">
        <v>700</v>
      </c>
      <c r="G52" s="120" t="s">
        <v>699</v>
      </c>
      <c r="H52" s="49">
        <v>1</v>
      </c>
      <c r="I52" s="50" t="s">
        <v>882</v>
      </c>
      <c r="J52" s="124" t="s">
        <v>881</v>
      </c>
      <c r="K52" s="50" t="s">
        <v>178</v>
      </c>
      <c r="L52" s="50" t="s">
        <v>522</v>
      </c>
      <c r="M52" s="56" t="s">
        <v>12</v>
      </c>
      <c r="N52" s="122" t="s">
        <v>665</v>
      </c>
      <c r="O52" s="57">
        <v>3</v>
      </c>
      <c r="P52" s="45">
        <v>83000</v>
      </c>
      <c r="Q52" s="58">
        <f t="shared" si="5"/>
        <v>249000</v>
      </c>
      <c r="R52" s="129" t="s">
        <v>1020</v>
      </c>
      <c r="S52" s="19"/>
      <c r="T52" s="32"/>
      <c r="U52" s="32"/>
      <c r="V52" s="51">
        <f t="shared" si="1"/>
        <v>96280</v>
      </c>
      <c r="W52" s="51">
        <f t="shared" si="2"/>
        <v>288840</v>
      </c>
      <c r="X52" s="52">
        <f t="shared" si="3"/>
        <v>64.760000000000005</v>
      </c>
      <c r="Y52" s="53">
        <f t="shared" si="4"/>
        <v>194.28000000000003</v>
      </c>
      <c r="Z52" s="54"/>
      <c r="AA52" s="71"/>
      <c r="AB52" s="71"/>
      <c r="AC52" s="128"/>
      <c r="AD52" s="33"/>
      <c r="AE52" s="55"/>
    </row>
    <row r="53" spans="2:31" ht="20.100000000000001" customHeight="1">
      <c r="B53" s="48">
        <v>93</v>
      </c>
      <c r="C53" s="121" t="s">
        <v>850</v>
      </c>
      <c r="D53" s="120" t="s">
        <v>349</v>
      </c>
      <c r="E53" s="120">
        <v>2603</v>
      </c>
      <c r="F53" s="120" t="s">
        <v>700</v>
      </c>
      <c r="G53" s="120" t="s">
        <v>699</v>
      </c>
      <c r="H53" s="49">
        <v>1</v>
      </c>
      <c r="I53" s="50" t="s">
        <v>25</v>
      </c>
      <c r="J53" s="124" t="s">
        <v>880</v>
      </c>
      <c r="K53" s="50" t="s">
        <v>879</v>
      </c>
      <c r="L53" s="50" t="s">
        <v>734</v>
      </c>
      <c r="M53" s="56" t="s">
        <v>12</v>
      </c>
      <c r="N53" s="122" t="s">
        <v>665</v>
      </c>
      <c r="O53" s="57">
        <v>1</v>
      </c>
      <c r="P53" s="45">
        <v>35700</v>
      </c>
      <c r="Q53" s="58">
        <f t="shared" si="5"/>
        <v>35700</v>
      </c>
      <c r="R53" s="129" t="s">
        <v>1020</v>
      </c>
      <c r="S53" s="19"/>
      <c r="T53" s="32"/>
      <c r="U53" s="32"/>
      <c r="V53" s="51">
        <f t="shared" si="1"/>
        <v>41412</v>
      </c>
      <c r="W53" s="51">
        <f t="shared" si="2"/>
        <v>41412</v>
      </c>
      <c r="X53" s="52">
        <f t="shared" si="3"/>
        <v>27.86</v>
      </c>
      <c r="Y53" s="53">
        <f t="shared" si="4"/>
        <v>27.86</v>
      </c>
      <c r="Z53" s="54"/>
      <c r="AA53" s="71"/>
      <c r="AB53" s="71"/>
      <c r="AC53" s="128"/>
      <c r="AD53" s="33"/>
      <c r="AE53" s="55"/>
    </row>
    <row r="54" spans="2:31" ht="20.100000000000001" customHeight="1">
      <c r="B54" s="48">
        <v>98</v>
      </c>
      <c r="C54" s="121" t="s">
        <v>850</v>
      </c>
      <c r="D54" s="120" t="s">
        <v>349</v>
      </c>
      <c r="E54" s="120">
        <v>2603</v>
      </c>
      <c r="F54" s="120" t="s">
        <v>700</v>
      </c>
      <c r="G54" s="120" t="s">
        <v>699</v>
      </c>
      <c r="H54" s="49">
        <v>1</v>
      </c>
      <c r="I54" s="50" t="s">
        <v>42</v>
      </c>
      <c r="J54" s="124" t="s">
        <v>644</v>
      </c>
      <c r="K54" s="50" t="s">
        <v>417</v>
      </c>
      <c r="L54" s="50" t="s">
        <v>606</v>
      </c>
      <c r="M54" s="56" t="s">
        <v>12</v>
      </c>
      <c r="N54" s="122" t="s">
        <v>665</v>
      </c>
      <c r="O54" s="57">
        <v>12</v>
      </c>
      <c r="P54" s="45">
        <v>850</v>
      </c>
      <c r="Q54" s="58">
        <f t="shared" ref="Q54:Q128" si="6">O54*P54</f>
        <v>10200</v>
      </c>
      <c r="R54" s="129" t="s">
        <v>663</v>
      </c>
      <c r="S54" s="19"/>
      <c r="T54" s="32"/>
      <c r="U54" s="32"/>
      <c r="V54" s="51">
        <f t="shared" si="1"/>
        <v>985.99999999999989</v>
      </c>
      <c r="W54" s="51">
        <f t="shared" si="2"/>
        <v>11831.999999999998</v>
      </c>
      <c r="X54" s="52">
        <f t="shared" si="3"/>
        <v>0.66</v>
      </c>
      <c r="Y54" s="53">
        <f t="shared" si="4"/>
        <v>7.92</v>
      </c>
      <c r="Z54" s="54"/>
      <c r="AA54" s="71"/>
      <c r="AB54" s="71"/>
      <c r="AC54" s="128"/>
      <c r="AD54" s="33"/>
      <c r="AE54" s="55"/>
    </row>
    <row r="55" spans="2:31" ht="20.100000000000001" customHeight="1">
      <c r="B55" s="48">
        <v>109</v>
      </c>
      <c r="C55" s="121" t="s">
        <v>850</v>
      </c>
      <c r="D55" s="120" t="s">
        <v>349</v>
      </c>
      <c r="E55" s="120">
        <v>2603</v>
      </c>
      <c r="F55" s="120" t="s">
        <v>700</v>
      </c>
      <c r="G55" s="120" t="s">
        <v>699</v>
      </c>
      <c r="H55" s="49">
        <v>1</v>
      </c>
      <c r="I55" s="50" t="s">
        <v>46</v>
      </c>
      <c r="J55" s="124" t="s">
        <v>864</v>
      </c>
      <c r="K55" s="50" t="s">
        <v>123</v>
      </c>
      <c r="L55" s="50" t="s">
        <v>608</v>
      </c>
      <c r="M55" s="56" t="s">
        <v>12</v>
      </c>
      <c r="N55" s="122" t="s">
        <v>665</v>
      </c>
      <c r="O55" s="57">
        <v>4</v>
      </c>
      <c r="P55" s="45">
        <v>15438</v>
      </c>
      <c r="Q55" s="58">
        <f t="shared" si="6"/>
        <v>61752</v>
      </c>
      <c r="R55" s="129" t="s">
        <v>1020</v>
      </c>
      <c r="S55" s="19"/>
      <c r="T55" s="32"/>
      <c r="U55" s="32"/>
      <c r="V55" s="51">
        <f t="shared" si="1"/>
        <v>17908.079999999998</v>
      </c>
      <c r="W55" s="51">
        <f t="shared" si="2"/>
        <v>71632.319999999992</v>
      </c>
      <c r="X55" s="52">
        <f t="shared" si="3"/>
        <v>12.05</v>
      </c>
      <c r="Y55" s="53">
        <f t="shared" si="4"/>
        <v>48.2</v>
      </c>
      <c r="Z55" s="54"/>
      <c r="AA55" s="71"/>
      <c r="AB55" s="71"/>
      <c r="AC55" s="128"/>
      <c r="AD55" s="33"/>
      <c r="AE55" s="55"/>
    </row>
    <row r="56" spans="2:31" ht="20.100000000000001" customHeight="1">
      <c r="B56" s="48">
        <v>110</v>
      </c>
      <c r="C56" s="121" t="s">
        <v>850</v>
      </c>
      <c r="D56" s="120" t="s">
        <v>349</v>
      </c>
      <c r="E56" s="120">
        <v>2603</v>
      </c>
      <c r="F56" s="120" t="s">
        <v>700</v>
      </c>
      <c r="G56" s="120" t="s">
        <v>699</v>
      </c>
      <c r="H56" s="49">
        <v>1</v>
      </c>
      <c r="I56" s="50" t="s">
        <v>177</v>
      </c>
      <c r="J56" s="124" t="s">
        <v>863</v>
      </c>
      <c r="K56" s="50" t="s">
        <v>48</v>
      </c>
      <c r="L56" s="50" t="s">
        <v>608</v>
      </c>
      <c r="M56" s="56" t="s">
        <v>12</v>
      </c>
      <c r="N56" s="122" t="s">
        <v>609</v>
      </c>
      <c r="O56" s="57">
        <v>1</v>
      </c>
      <c r="P56" s="45">
        <v>15485</v>
      </c>
      <c r="Q56" s="58">
        <f t="shared" si="6"/>
        <v>15485</v>
      </c>
      <c r="R56" s="129" t="s">
        <v>684</v>
      </c>
      <c r="S56" s="19"/>
      <c r="T56" s="32"/>
      <c r="U56" s="32"/>
      <c r="V56" s="51">
        <f t="shared" si="1"/>
        <v>17962.599999999999</v>
      </c>
      <c r="W56" s="51">
        <f t="shared" si="2"/>
        <v>17962.599999999999</v>
      </c>
      <c r="X56" s="52">
        <f t="shared" si="3"/>
        <v>12.08</v>
      </c>
      <c r="Y56" s="53">
        <f t="shared" si="4"/>
        <v>12.08</v>
      </c>
      <c r="Z56" s="54"/>
      <c r="AA56" s="71"/>
      <c r="AB56" s="71"/>
      <c r="AC56" s="128"/>
      <c r="AD56" s="33"/>
      <c r="AE56" s="55"/>
    </row>
    <row r="57" spans="2:31" ht="20.100000000000001" customHeight="1">
      <c r="B57" s="48">
        <v>111</v>
      </c>
      <c r="C57" s="121" t="s">
        <v>850</v>
      </c>
      <c r="D57" s="120" t="s">
        <v>349</v>
      </c>
      <c r="E57" s="120">
        <v>2603</v>
      </c>
      <c r="F57" s="120" t="s">
        <v>700</v>
      </c>
      <c r="G57" s="120" t="s">
        <v>699</v>
      </c>
      <c r="H57" s="49">
        <v>1</v>
      </c>
      <c r="I57" s="50" t="s">
        <v>862</v>
      </c>
      <c r="J57" s="124" t="s">
        <v>714</v>
      </c>
      <c r="K57" s="50" t="s">
        <v>48</v>
      </c>
      <c r="L57" s="50" t="s">
        <v>608</v>
      </c>
      <c r="M57" s="56" t="s">
        <v>12</v>
      </c>
      <c r="N57" s="122" t="s">
        <v>609</v>
      </c>
      <c r="O57" s="57">
        <v>1</v>
      </c>
      <c r="P57" s="45">
        <v>1815</v>
      </c>
      <c r="Q57" s="58">
        <f t="shared" si="6"/>
        <v>1815</v>
      </c>
      <c r="R57" s="129" t="s">
        <v>684</v>
      </c>
      <c r="S57" s="19"/>
      <c r="T57" s="32"/>
      <c r="U57" s="32"/>
      <c r="V57" s="51">
        <f t="shared" si="1"/>
        <v>2105.3999999999996</v>
      </c>
      <c r="W57" s="51">
        <f t="shared" si="2"/>
        <v>2105.3999999999996</v>
      </c>
      <c r="X57" s="52">
        <f t="shared" si="3"/>
        <v>1.42</v>
      </c>
      <c r="Y57" s="53">
        <f t="shared" si="4"/>
        <v>1.42</v>
      </c>
      <c r="Z57" s="54"/>
      <c r="AA57" s="71"/>
      <c r="AB57" s="71"/>
      <c r="AC57" s="128"/>
      <c r="AD57" s="33"/>
      <c r="AE57" s="55"/>
    </row>
    <row r="58" spans="2:31" ht="20.100000000000001" customHeight="1">
      <c r="B58" s="48">
        <v>112</v>
      </c>
      <c r="C58" s="121" t="s">
        <v>850</v>
      </c>
      <c r="D58" s="120" t="s">
        <v>349</v>
      </c>
      <c r="E58" s="120">
        <v>2603</v>
      </c>
      <c r="F58" s="120" t="s">
        <v>700</v>
      </c>
      <c r="G58" s="120" t="s">
        <v>699</v>
      </c>
      <c r="H58" s="49">
        <v>1</v>
      </c>
      <c r="I58" s="50" t="s">
        <v>861</v>
      </c>
      <c r="J58" s="124" t="s">
        <v>647</v>
      </c>
      <c r="K58" s="50" t="s">
        <v>48</v>
      </c>
      <c r="L58" s="50" t="s">
        <v>608</v>
      </c>
      <c r="M58" s="56" t="s">
        <v>12</v>
      </c>
      <c r="N58" s="122" t="s">
        <v>609</v>
      </c>
      <c r="O58" s="57">
        <v>2</v>
      </c>
      <c r="P58" s="45">
        <v>4608</v>
      </c>
      <c r="Q58" s="58">
        <f t="shared" si="6"/>
        <v>9216</v>
      </c>
      <c r="R58" s="129" t="s">
        <v>684</v>
      </c>
      <c r="S58" s="19"/>
      <c r="T58" s="32"/>
      <c r="U58" s="32"/>
      <c r="V58" s="51">
        <f t="shared" si="1"/>
        <v>5345.28</v>
      </c>
      <c r="W58" s="51">
        <f t="shared" si="2"/>
        <v>10690.56</v>
      </c>
      <c r="X58" s="52">
        <f t="shared" si="3"/>
        <v>3.6</v>
      </c>
      <c r="Y58" s="53">
        <f t="shared" si="4"/>
        <v>7.2</v>
      </c>
      <c r="Z58" s="54"/>
      <c r="AA58" s="71"/>
      <c r="AB58" s="71"/>
      <c r="AC58" s="128"/>
      <c r="AD58" s="33"/>
      <c r="AE58" s="55"/>
    </row>
    <row r="59" spans="2:31" ht="20.100000000000001" customHeight="1">
      <c r="B59" s="48">
        <v>113</v>
      </c>
      <c r="C59" s="121" t="s">
        <v>850</v>
      </c>
      <c r="D59" s="120" t="s">
        <v>349</v>
      </c>
      <c r="E59" s="120">
        <v>2603</v>
      </c>
      <c r="F59" s="120" t="s">
        <v>700</v>
      </c>
      <c r="G59" s="120" t="s">
        <v>699</v>
      </c>
      <c r="H59" s="49">
        <v>1</v>
      </c>
      <c r="I59" s="50" t="s">
        <v>849</v>
      </c>
      <c r="J59" s="124" t="s">
        <v>709</v>
      </c>
      <c r="K59" s="50" t="s">
        <v>48</v>
      </c>
      <c r="L59" s="50" t="s">
        <v>608</v>
      </c>
      <c r="M59" s="56" t="s">
        <v>12</v>
      </c>
      <c r="N59" s="122" t="s">
        <v>609</v>
      </c>
      <c r="O59" s="57">
        <v>1</v>
      </c>
      <c r="P59" s="45">
        <v>4009</v>
      </c>
      <c r="Q59" s="58">
        <f t="shared" si="6"/>
        <v>4009</v>
      </c>
      <c r="R59" s="129" t="s">
        <v>684</v>
      </c>
      <c r="S59" s="19"/>
      <c r="T59" s="32"/>
      <c r="U59" s="32"/>
      <c r="V59" s="51">
        <f t="shared" si="1"/>
        <v>4650.4399999999996</v>
      </c>
      <c r="W59" s="51">
        <f t="shared" si="2"/>
        <v>4650.4399999999996</v>
      </c>
      <c r="X59" s="52">
        <f t="shared" si="3"/>
        <v>3.13</v>
      </c>
      <c r="Y59" s="53">
        <f t="shared" si="4"/>
        <v>3.13</v>
      </c>
      <c r="Z59" s="54"/>
      <c r="AA59" s="71"/>
      <c r="AB59" s="71"/>
      <c r="AC59" s="128"/>
      <c r="AD59" s="33"/>
      <c r="AE59" s="55"/>
    </row>
    <row r="60" spans="2:31" ht="20.100000000000001" customHeight="1">
      <c r="B60" s="48">
        <v>114</v>
      </c>
      <c r="C60" s="121" t="s">
        <v>850</v>
      </c>
      <c r="D60" s="120" t="s">
        <v>349</v>
      </c>
      <c r="E60" s="120">
        <v>2603</v>
      </c>
      <c r="F60" s="120" t="s">
        <v>700</v>
      </c>
      <c r="G60" s="120" t="s">
        <v>699</v>
      </c>
      <c r="H60" s="49">
        <v>1</v>
      </c>
      <c r="I60" s="50" t="s">
        <v>129</v>
      </c>
      <c r="J60" s="124" t="s">
        <v>860</v>
      </c>
      <c r="K60" s="50" t="s">
        <v>48</v>
      </c>
      <c r="L60" s="50" t="s">
        <v>608</v>
      </c>
      <c r="M60" s="56" t="s">
        <v>12</v>
      </c>
      <c r="N60" s="122" t="s">
        <v>609</v>
      </c>
      <c r="O60" s="57">
        <v>1</v>
      </c>
      <c r="P60" s="45">
        <v>6137</v>
      </c>
      <c r="Q60" s="58">
        <f t="shared" si="6"/>
        <v>6137</v>
      </c>
      <c r="R60" s="129" t="s">
        <v>684</v>
      </c>
      <c r="S60" s="19"/>
      <c r="T60" s="32"/>
      <c r="U60" s="32"/>
      <c r="V60" s="51">
        <f t="shared" si="1"/>
        <v>7118.9199999999992</v>
      </c>
      <c r="W60" s="51">
        <f t="shared" si="2"/>
        <v>7118.9199999999992</v>
      </c>
      <c r="X60" s="52">
        <f t="shared" si="3"/>
        <v>4.79</v>
      </c>
      <c r="Y60" s="53">
        <f t="shared" si="4"/>
        <v>4.79</v>
      </c>
      <c r="Z60" s="54"/>
      <c r="AA60" s="71"/>
      <c r="AB60" s="71"/>
      <c r="AC60" s="128"/>
      <c r="AD60" s="33"/>
      <c r="AE60" s="55"/>
    </row>
    <row r="61" spans="2:31" ht="20.100000000000001" customHeight="1">
      <c r="B61" s="48">
        <v>115</v>
      </c>
      <c r="C61" s="121" t="s">
        <v>850</v>
      </c>
      <c r="D61" s="120" t="s">
        <v>349</v>
      </c>
      <c r="E61" s="120">
        <v>2603</v>
      </c>
      <c r="F61" s="120" t="s">
        <v>700</v>
      </c>
      <c r="G61" s="120" t="s">
        <v>699</v>
      </c>
      <c r="H61" s="49">
        <v>1</v>
      </c>
      <c r="I61" s="50" t="s">
        <v>405</v>
      </c>
      <c r="J61" s="124" t="s">
        <v>859</v>
      </c>
      <c r="K61" s="50" t="s">
        <v>48</v>
      </c>
      <c r="L61" s="50" t="s">
        <v>608</v>
      </c>
      <c r="M61" s="56" t="s">
        <v>12</v>
      </c>
      <c r="N61" s="122" t="s">
        <v>609</v>
      </c>
      <c r="O61" s="57">
        <v>4</v>
      </c>
      <c r="P61" s="45">
        <v>3554</v>
      </c>
      <c r="Q61" s="58">
        <f t="shared" si="6"/>
        <v>14216</v>
      </c>
      <c r="R61" s="129" t="s">
        <v>684</v>
      </c>
      <c r="S61" s="19"/>
      <c r="T61" s="32"/>
      <c r="U61" s="32"/>
      <c r="V61" s="51">
        <f t="shared" si="1"/>
        <v>4122.6399999999994</v>
      </c>
      <c r="W61" s="51">
        <f t="shared" si="2"/>
        <v>16490.559999999998</v>
      </c>
      <c r="X61" s="52">
        <f t="shared" si="3"/>
        <v>2.77</v>
      </c>
      <c r="Y61" s="53">
        <f t="shared" si="4"/>
        <v>11.08</v>
      </c>
      <c r="Z61" s="54"/>
      <c r="AA61" s="71"/>
      <c r="AB61" s="71"/>
      <c r="AC61" s="128"/>
      <c r="AD61" s="33"/>
      <c r="AE61" s="55"/>
    </row>
    <row r="62" spans="2:31" ht="20.100000000000001" customHeight="1">
      <c r="B62" s="48">
        <v>118</v>
      </c>
      <c r="C62" s="121" t="s">
        <v>850</v>
      </c>
      <c r="D62" s="120" t="s">
        <v>349</v>
      </c>
      <c r="E62" s="120">
        <v>2603</v>
      </c>
      <c r="F62" s="120" t="s">
        <v>700</v>
      </c>
      <c r="G62" s="120" t="s">
        <v>699</v>
      </c>
      <c r="H62" s="49">
        <v>1</v>
      </c>
      <c r="I62" s="50" t="s">
        <v>594</v>
      </c>
      <c r="J62" s="124" t="s">
        <v>856</v>
      </c>
      <c r="K62" s="50" t="s">
        <v>48</v>
      </c>
      <c r="L62" s="50" t="s">
        <v>608</v>
      </c>
      <c r="M62" s="56" t="s">
        <v>12</v>
      </c>
      <c r="N62" s="122" t="s">
        <v>609</v>
      </c>
      <c r="O62" s="57">
        <v>4</v>
      </c>
      <c r="P62" s="45">
        <v>10165</v>
      </c>
      <c r="Q62" s="58">
        <f t="shared" si="6"/>
        <v>40660</v>
      </c>
      <c r="R62" s="129" t="s">
        <v>684</v>
      </c>
      <c r="S62" s="19"/>
      <c r="T62" s="32"/>
      <c r="U62" s="32"/>
      <c r="V62" s="51">
        <f t="shared" si="1"/>
        <v>11791.4</v>
      </c>
      <c r="W62" s="51">
        <f t="shared" si="2"/>
        <v>47165.599999999999</v>
      </c>
      <c r="X62" s="52">
        <f t="shared" si="3"/>
        <v>7.93</v>
      </c>
      <c r="Y62" s="53">
        <f t="shared" si="4"/>
        <v>31.72</v>
      </c>
      <c r="Z62" s="54"/>
      <c r="AA62" s="71"/>
      <c r="AB62" s="71"/>
      <c r="AC62" s="128"/>
      <c r="AD62" s="33"/>
      <c r="AE62" s="55"/>
    </row>
    <row r="63" spans="2:31" ht="20.100000000000001" customHeight="1">
      <c r="B63" s="48">
        <v>119</v>
      </c>
      <c r="C63" s="121" t="s">
        <v>850</v>
      </c>
      <c r="D63" s="120" t="s">
        <v>349</v>
      </c>
      <c r="E63" s="120">
        <v>2603</v>
      </c>
      <c r="F63" s="120" t="s">
        <v>700</v>
      </c>
      <c r="G63" s="120" t="s">
        <v>699</v>
      </c>
      <c r="H63" s="49">
        <v>1</v>
      </c>
      <c r="I63" s="50" t="s">
        <v>855</v>
      </c>
      <c r="J63" s="124" t="s">
        <v>854</v>
      </c>
      <c r="K63" s="50" t="s">
        <v>48</v>
      </c>
      <c r="L63" s="50" t="s">
        <v>608</v>
      </c>
      <c r="M63" s="56" t="s">
        <v>12</v>
      </c>
      <c r="N63" s="122" t="s">
        <v>609</v>
      </c>
      <c r="O63" s="57">
        <v>3</v>
      </c>
      <c r="P63" s="45">
        <v>28560</v>
      </c>
      <c r="Q63" s="58">
        <f t="shared" si="6"/>
        <v>85680</v>
      </c>
      <c r="R63" s="129" t="s">
        <v>684</v>
      </c>
      <c r="S63" s="19"/>
      <c r="T63" s="32"/>
      <c r="U63" s="32"/>
      <c r="V63" s="51">
        <f t="shared" si="1"/>
        <v>33129.599999999999</v>
      </c>
      <c r="W63" s="51">
        <f t="shared" si="2"/>
        <v>99388.799999999988</v>
      </c>
      <c r="X63" s="52">
        <f t="shared" si="3"/>
        <v>22.28</v>
      </c>
      <c r="Y63" s="53">
        <f t="shared" si="4"/>
        <v>66.84</v>
      </c>
      <c r="Z63" s="54"/>
      <c r="AA63" s="71"/>
      <c r="AB63" s="71"/>
      <c r="AC63" s="128"/>
      <c r="AD63" s="33"/>
      <c r="AE63" s="55"/>
    </row>
    <row r="64" spans="2:31" ht="20.100000000000001" customHeight="1">
      <c r="B64" s="48">
        <v>120</v>
      </c>
      <c r="C64" s="121" t="s">
        <v>850</v>
      </c>
      <c r="D64" s="120" t="s">
        <v>349</v>
      </c>
      <c r="E64" s="120">
        <v>2603</v>
      </c>
      <c r="F64" s="120" t="s">
        <v>700</v>
      </c>
      <c r="G64" s="120" t="s">
        <v>699</v>
      </c>
      <c r="H64" s="49">
        <v>1</v>
      </c>
      <c r="I64" s="50" t="s">
        <v>410</v>
      </c>
      <c r="J64" s="124" t="s">
        <v>853</v>
      </c>
      <c r="K64" s="50" t="s">
        <v>48</v>
      </c>
      <c r="L64" s="50" t="s">
        <v>608</v>
      </c>
      <c r="M64" s="56" t="s">
        <v>12</v>
      </c>
      <c r="N64" s="122" t="s">
        <v>609</v>
      </c>
      <c r="O64" s="57">
        <v>2</v>
      </c>
      <c r="P64" s="45">
        <v>675</v>
      </c>
      <c r="Q64" s="58">
        <f t="shared" si="6"/>
        <v>1350</v>
      </c>
      <c r="R64" s="129" t="s">
        <v>684</v>
      </c>
      <c r="S64" s="19"/>
      <c r="T64" s="32"/>
      <c r="U64" s="32"/>
      <c r="V64" s="51">
        <f t="shared" si="1"/>
        <v>783</v>
      </c>
      <c r="W64" s="51">
        <f t="shared" si="2"/>
        <v>1566</v>
      </c>
      <c r="X64" s="52">
        <f t="shared" si="3"/>
        <v>0.53</v>
      </c>
      <c r="Y64" s="53">
        <f t="shared" si="4"/>
        <v>1.06</v>
      </c>
      <c r="Z64" s="54"/>
      <c r="AA64" s="71"/>
      <c r="AB64" s="71"/>
      <c r="AC64" s="128"/>
      <c r="AD64" s="33"/>
      <c r="AE64" s="55"/>
    </row>
    <row r="65" spans="2:31" ht="20.100000000000001" customHeight="1">
      <c r="B65" s="48">
        <v>121</v>
      </c>
      <c r="C65" s="121" t="s">
        <v>850</v>
      </c>
      <c r="D65" s="120" t="s">
        <v>349</v>
      </c>
      <c r="E65" s="120">
        <v>2603</v>
      </c>
      <c r="F65" s="120" t="s">
        <v>700</v>
      </c>
      <c r="G65" s="120" t="s">
        <v>699</v>
      </c>
      <c r="H65" s="49">
        <v>1</v>
      </c>
      <c r="I65" s="50" t="s">
        <v>852</v>
      </c>
      <c r="J65" s="124" t="s">
        <v>851</v>
      </c>
      <c r="K65" s="50" t="s">
        <v>48</v>
      </c>
      <c r="L65" s="50" t="s">
        <v>608</v>
      </c>
      <c r="M65" s="56" t="s">
        <v>12</v>
      </c>
      <c r="N65" s="122" t="s">
        <v>609</v>
      </c>
      <c r="O65" s="57">
        <v>2</v>
      </c>
      <c r="P65" s="45">
        <v>30066</v>
      </c>
      <c r="Q65" s="58">
        <f t="shared" si="6"/>
        <v>60132</v>
      </c>
      <c r="R65" s="129" t="s">
        <v>684</v>
      </c>
      <c r="S65" s="19"/>
      <c r="T65" s="32"/>
      <c r="U65" s="32"/>
      <c r="V65" s="51">
        <f t="shared" si="1"/>
        <v>34876.559999999998</v>
      </c>
      <c r="W65" s="51">
        <f t="shared" si="2"/>
        <v>69753.119999999995</v>
      </c>
      <c r="X65" s="52">
        <f t="shared" si="3"/>
        <v>23.46</v>
      </c>
      <c r="Y65" s="53">
        <f t="shared" si="4"/>
        <v>46.92</v>
      </c>
      <c r="Z65" s="54"/>
      <c r="AA65" s="71"/>
      <c r="AB65" s="71"/>
      <c r="AC65" s="128"/>
      <c r="AD65" s="33"/>
      <c r="AE65" s="55"/>
    </row>
    <row r="66" spans="2:31" ht="20.100000000000001" customHeight="1">
      <c r="B66" s="48">
        <v>122</v>
      </c>
      <c r="C66" s="121" t="s">
        <v>850</v>
      </c>
      <c r="D66" s="120" t="s">
        <v>349</v>
      </c>
      <c r="E66" s="120">
        <v>2603</v>
      </c>
      <c r="F66" s="120" t="s">
        <v>700</v>
      </c>
      <c r="G66" s="120" t="s">
        <v>699</v>
      </c>
      <c r="H66" s="49">
        <v>1</v>
      </c>
      <c r="I66" s="50" t="s">
        <v>849</v>
      </c>
      <c r="J66" s="124" t="s">
        <v>339</v>
      </c>
      <c r="K66" s="50" t="s">
        <v>48</v>
      </c>
      <c r="L66" s="50" t="s">
        <v>608</v>
      </c>
      <c r="M66" s="56" t="s">
        <v>12</v>
      </c>
      <c r="N66" s="122" t="s">
        <v>609</v>
      </c>
      <c r="O66" s="57">
        <v>3</v>
      </c>
      <c r="P66" s="45">
        <v>4589</v>
      </c>
      <c r="Q66" s="58">
        <f t="shared" si="6"/>
        <v>13767</v>
      </c>
      <c r="R66" s="129" t="s">
        <v>684</v>
      </c>
      <c r="S66" s="19"/>
      <c r="T66" s="32"/>
      <c r="U66" s="32"/>
      <c r="V66" s="51">
        <f t="shared" si="1"/>
        <v>5323.24</v>
      </c>
      <c r="W66" s="51">
        <f t="shared" si="2"/>
        <v>15969.72</v>
      </c>
      <c r="X66" s="52">
        <f t="shared" si="3"/>
        <v>3.58</v>
      </c>
      <c r="Y66" s="53">
        <f t="shared" si="4"/>
        <v>10.74</v>
      </c>
      <c r="Z66" s="54"/>
      <c r="AA66" s="71"/>
      <c r="AB66" s="71"/>
      <c r="AC66" s="128"/>
      <c r="AD66" s="33"/>
      <c r="AE66" s="55"/>
    </row>
    <row r="67" spans="2:31" ht="20.100000000000001" hidden="1" customHeight="1">
      <c r="B67" s="48">
        <v>33</v>
      </c>
      <c r="C67" s="121" t="s">
        <v>850</v>
      </c>
      <c r="D67" s="120" t="s">
        <v>349</v>
      </c>
      <c r="E67" s="120">
        <v>2603</v>
      </c>
      <c r="F67" s="120" t="s">
        <v>700</v>
      </c>
      <c r="G67" s="120" t="s">
        <v>699</v>
      </c>
      <c r="H67" s="49"/>
      <c r="I67" s="50" t="s">
        <v>72</v>
      </c>
      <c r="J67" s="124" t="s">
        <v>955</v>
      </c>
      <c r="K67" s="50" t="s">
        <v>649</v>
      </c>
      <c r="L67" s="50" t="s">
        <v>519</v>
      </c>
      <c r="M67" s="56" t="s">
        <v>12</v>
      </c>
      <c r="N67" s="122" t="s">
        <v>665</v>
      </c>
      <c r="O67" s="57">
        <v>4</v>
      </c>
      <c r="P67" s="45">
        <v>400</v>
      </c>
      <c r="Q67" s="58">
        <f t="shared" ref="Q67:Q98" si="7">O67*P67</f>
        <v>1600</v>
      </c>
      <c r="R67" s="141">
        <v>46118</v>
      </c>
      <c r="S67" s="19"/>
      <c r="T67" s="32"/>
      <c r="U67" s="32"/>
      <c r="V67" s="51">
        <f t="shared" si="1"/>
        <v>463.99999999999994</v>
      </c>
      <c r="W67" s="51">
        <f t="shared" si="2"/>
        <v>1855.9999999999998</v>
      </c>
      <c r="X67" s="52">
        <f t="shared" si="3"/>
        <v>0.31</v>
      </c>
      <c r="Y67" s="53">
        <f t="shared" si="4"/>
        <v>1.24</v>
      </c>
      <c r="Z67" s="54"/>
      <c r="AA67" s="71"/>
      <c r="AB67" s="71"/>
      <c r="AC67" s="128"/>
      <c r="AD67" s="33"/>
      <c r="AE67" s="55"/>
    </row>
    <row r="68" spans="2:31" ht="20.100000000000001" hidden="1" customHeight="1">
      <c r="B68" s="48">
        <v>34</v>
      </c>
      <c r="C68" s="121" t="s">
        <v>850</v>
      </c>
      <c r="D68" s="120" t="s">
        <v>349</v>
      </c>
      <c r="E68" s="120">
        <v>2603</v>
      </c>
      <c r="F68" s="120" t="s">
        <v>700</v>
      </c>
      <c r="G68" s="120" t="s">
        <v>699</v>
      </c>
      <c r="H68" s="49"/>
      <c r="I68" s="50" t="s">
        <v>72</v>
      </c>
      <c r="J68" s="124" t="s">
        <v>954</v>
      </c>
      <c r="K68" s="50" t="s">
        <v>649</v>
      </c>
      <c r="L68" s="50" t="s">
        <v>519</v>
      </c>
      <c r="M68" s="56" t="s">
        <v>12</v>
      </c>
      <c r="N68" s="122" t="s">
        <v>665</v>
      </c>
      <c r="O68" s="57">
        <v>4</v>
      </c>
      <c r="P68" s="45">
        <v>800</v>
      </c>
      <c r="Q68" s="58">
        <f t="shared" si="7"/>
        <v>3200</v>
      </c>
      <c r="R68" s="141">
        <v>46118</v>
      </c>
      <c r="S68" s="19"/>
      <c r="T68" s="32"/>
      <c r="U68" s="32"/>
      <c r="V68" s="51">
        <f t="shared" si="1"/>
        <v>927.99999999999989</v>
      </c>
      <c r="W68" s="51">
        <f t="shared" si="2"/>
        <v>3711.9999999999995</v>
      </c>
      <c r="X68" s="52">
        <f t="shared" si="3"/>
        <v>0.62</v>
      </c>
      <c r="Y68" s="53">
        <f t="shared" si="4"/>
        <v>2.48</v>
      </c>
      <c r="Z68" s="54"/>
      <c r="AA68" s="71"/>
      <c r="AB68" s="71"/>
      <c r="AC68" s="128"/>
      <c r="AD68" s="33"/>
      <c r="AE68" s="55"/>
    </row>
    <row r="69" spans="2:31" ht="20.100000000000001" hidden="1" customHeight="1">
      <c r="B69" s="48">
        <v>35</v>
      </c>
      <c r="C69" s="121" t="s">
        <v>850</v>
      </c>
      <c r="D69" s="120" t="s">
        <v>349</v>
      </c>
      <c r="E69" s="120">
        <v>2603</v>
      </c>
      <c r="F69" s="120" t="s">
        <v>700</v>
      </c>
      <c r="G69" s="120" t="s">
        <v>699</v>
      </c>
      <c r="H69" s="49"/>
      <c r="I69" s="50" t="s">
        <v>72</v>
      </c>
      <c r="J69" s="124" t="s">
        <v>953</v>
      </c>
      <c r="K69" s="50" t="s">
        <v>649</v>
      </c>
      <c r="L69" s="50" t="s">
        <v>519</v>
      </c>
      <c r="M69" s="56" t="s">
        <v>12</v>
      </c>
      <c r="N69" s="122" t="s">
        <v>665</v>
      </c>
      <c r="O69" s="57">
        <v>2</v>
      </c>
      <c r="P69" s="45">
        <v>800</v>
      </c>
      <c r="Q69" s="58">
        <f t="shared" si="7"/>
        <v>1600</v>
      </c>
      <c r="R69" s="141">
        <v>46118</v>
      </c>
      <c r="S69" s="19"/>
      <c r="T69" s="32"/>
      <c r="U69" s="32"/>
      <c r="V69" s="51">
        <f t="shared" si="1"/>
        <v>927.99999999999989</v>
      </c>
      <c r="W69" s="51">
        <f t="shared" si="2"/>
        <v>1855.9999999999998</v>
      </c>
      <c r="X69" s="52">
        <f t="shared" si="3"/>
        <v>0.62</v>
      </c>
      <c r="Y69" s="53">
        <f t="shared" si="4"/>
        <v>1.24</v>
      </c>
      <c r="Z69" s="54"/>
      <c r="AA69" s="71"/>
      <c r="AB69" s="71"/>
      <c r="AC69" s="128"/>
      <c r="AD69" s="33"/>
      <c r="AE69" s="55"/>
    </row>
    <row r="70" spans="2:31" ht="20.100000000000001" hidden="1" customHeight="1">
      <c r="B70" s="48">
        <v>36</v>
      </c>
      <c r="C70" s="121" t="s">
        <v>850</v>
      </c>
      <c r="D70" s="120" t="s">
        <v>349</v>
      </c>
      <c r="E70" s="120">
        <v>2603</v>
      </c>
      <c r="F70" s="120" t="s">
        <v>700</v>
      </c>
      <c r="G70" s="120" t="s">
        <v>699</v>
      </c>
      <c r="H70" s="49"/>
      <c r="I70" s="50" t="s">
        <v>350</v>
      </c>
      <c r="J70" s="124" t="s">
        <v>952</v>
      </c>
      <c r="K70" s="50" t="s">
        <v>921</v>
      </c>
      <c r="L70" s="50" t="s">
        <v>519</v>
      </c>
      <c r="M70" s="56" t="s">
        <v>12</v>
      </c>
      <c r="N70" s="122" t="s">
        <v>665</v>
      </c>
      <c r="O70" s="57">
        <v>2</v>
      </c>
      <c r="P70" s="45">
        <v>7800</v>
      </c>
      <c r="Q70" s="58">
        <f t="shared" si="7"/>
        <v>15600</v>
      </c>
      <c r="R70" s="141">
        <v>46118</v>
      </c>
      <c r="S70" s="19"/>
      <c r="T70" s="32"/>
      <c r="U70" s="32"/>
      <c r="V70" s="51">
        <f t="shared" ref="V70:V128" si="8">++P70*(1+$V$3)</f>
        <v>9048</v>
      </c>
      <c r="W70" s="51">
        <f t="shared" ref="W70:W128" si="9">++O70*V70</f>
        <v>18096</v>
      </c>
      <c r="X70" s="52">
        <f t="shared" ref="X70:X128" si="10">++ROUND(V70/$X$3,2)</f>
        <v>6.09</v>
      </c>
      <c r="Y70" s="53">
        <f t="shared" ref="Y70:Y128" si="11">++O70*X70</f>
        <v>12.18</v>
      </c>
      <c r="Z70" s="54"/>
      <c r="AA70" s="71"/>
      <c r="AB70" s="71"/>
      <c r="AC70" s="128"/>
      <c r="AD70" s="33"/>
      <c r="AE70" s="55"/>
    </row>
    <row r="71" spans="2:31" ht="20.100000000000001" hidden="1" customHeight="1">
      <c r="B71" s="48">
        <v>37</v>
      </c>
      <c r="C71" s="121" t="s">
        <v>850</v>
      </c>
      <c r="D71" s="120" t="s">
        <v>349</v>
      </c>
      <c r="E71" s="120">
        <v>2603</v>
      </c>
      <c r="F71" s="120" t="s">
        <v>700</v>
      </c>
      <c r="G71" s="120" t="s">
        <v>699</v>
      </c>
      <c r="H71" s="49"/>
      <c r="I71" s="50" t="s">
        <v>795</v>
      </c>
      <c r="J71" s="124" t="s">
        <v>448</v>
      </c>
      <c r="K71" s="50" t="s">
        <v>31</v>
      </c>
      <c r="L71" s="50" t="s">
        <v>519</v>
      </c>
      <c r="M71" s="56" t="s">
        <v>12</v>
      </c>
      <c r="N71" s="122" t="s">
        <v>665</v>
      </c>
      <c r="O71" s="57">
        <v>1</v>
      </c>
      <c r="P71" s="45">
        <v>8600</v>
      </c>
      <c r="Q71" s="58">
        <f t="shared" si="7"/>
        <v>8600</v>
      </c>
      <c r="R71" s="141">
        <v>46118</v>
      </c>
      <c r="S71" s="19"/>
      <c r="T71" s="32"/>
      <c r="U71" s="32"/>
      <c r="V71" s="51">
        <f t="shared" si="8"/>
        <v>9976</v>
      </c>
      <c r="W71" s="51">
        <f t="shared" si="9"/>
        <v>9976</v>
      </c>
      <c r="X71" s="52">
        <f t="shared" si="10"/>
        <v>6.71</v>
      </c>
      <c r="Y71" s="53">
        <f t="shared" si="11"/>
        <v>6.71</v>
      </c>
      <c r="Z71" s="54"/>
      <c r="AA71" s="71"/>
      <c r="AB71" s="71"/>
      <c r="AC71" s="128"/>
      <c r="AD71" s="33"/>
      <c r="AE71" s="55"/>
    </row>
    <row r="72" spans="2:31" ht="20.100000000000001" hidden="1" customHeight="1">
      <c r="B72" s="48">
        <v>38</v>
      </c>
      <c r="C72" s="121" t="s">
        <v>850</v>
      </c>
      <c r="D72" s="120" t="s">
        <v>349</v>
      </c>
      <c r="E72" s="120">
        <v>2603</v>
      </c>
      <c r="F72" s="120" t="s">
        <v>700</v>
      </c>
      <c r="G72" s="120" t="s">
        <v>699</v>
      </c>
      <c r="H72" s="49"/>
      <c r="I72" s="50" t="s">
        <v>951</v>
      </c>
      <c r="J72" s="124" t="s">
        <v>950</v>
      </c>
      <c r="K72" s="50" t="s">
        <v>31</v>
      </c>
      <c r="L72" s="50" t="s">
        <v>519</v>
      </c>
      <c r="M72" s="56" t="s">
        <v>12</v>
      </c>
      <c r="N72" s="122" t="s">
        <v>665</v>
      </c>
      <c r="O72" s="57">
        <v>1</v>
      </c>
      <c r="P72" s="45">
        <v>540</v>
      </c>
      <c r="Q72" s="58">
        <f t="shared" si="7"/>
        <v>540</v>
      </c>
      <c r="R72" s="141">
        <v>46118</v>
      </c>
      <c r="S72" s="19"/>
      <c r="T72" s="32"/>
      <c r="U72" s="32"/>
      <c r="V72" s="51">
        <f t="shared" si="8"/>
        <v>626.4</v>
      </c>
      <c r="W72" s="51">
        <f t="shared" si="9"/>
        <v>626.4</v>
      </c>
      <c r="X72" s="52">
        <f t="shared" si="10"/>
        <v>0.42</v>
      </c>
      <c r="Y72" s="53">
        <f t="shared" si="11"/>
        <v>0.42</v>
      </c>
      <c r="Z72" s="54"/>
      <c r="AA72" s="71"/>
      <c r="AB72" s="71"/>
      <c r="AC72" s="128"/>
      <c r="AD72" s="33"/>
      <c r="AE72" s="55"/>
    </row>
    <row r="73" spans="2:31" ht="20.100000000000001" hidden="1" customHeight="1">
      <c r="B73" s="48">
        <v>39</v>
      </c>
      <c r="C73" s="121" t="s">
        <v>850</v>
      </c>
      <c r="D73" s="120" t="s">
        <v>349</v>
      </c>
      <c r="E73" s="120">
        <v>2603</v>
      </c>
      <c r="F73" s="120" t="s">
        <v>700</v>
      </c>
      <c r="G73" s="120" t="s">
        <v>699</v>
      </c>
      <c r="H73" s="49"/>
      <c r="I73" s="50" t="s">
        <v>949</v>
      </c>
      <c r="J73" s="124" t="s">
        <v>624</v>
      </c>
      <c r="K73" s="50" t="s">
        <v>31</v>
      </c>
      <c r="L73" s="50" t="s">
        <v>519</v>
      </c>
      <c r="M73" s="56" t="s">
        <v>12</v>
      </c>
      <c r="N73" s="122" t="s">
        <v>665</v>
      </c>
      <c r="O73" s="57">
        <v>1</v>
      </c>
      <c r="P73" s="45">
        <v>7300</v>
      </c>
      <c r="Q73" s="58">
        <f t="shared" si="7"/>
        <v>7300</v>
      </c>
      <c r="R73" s="141">
        <v>46118</v>
      </c>
      <c r="S73" s="19"/>
      <c r="T73" s="32"/>
      <c r="U73" s="32"/>
      <c r="V73" s="51">
        <f t="shared" si="8"/>
        <v>8468</v>
      </c>
      <c r="W73" s="51">
        <f t="shared" si="9"/>
        <v>8468</v>
      </c>
      <c r="X73" s="52">
        <f t="shared" si="10"/>
        <v>5.7</v>
      </c>
      <c r="Y73" s="53">
        <f t="shared" si="11"/>
        <v>5.7</v>
      </c>
      <c r="Z73" s="54"/>
      <c r="AA73" s="71"/>
      <c r="AB73" s="71"/>
      <c r="AC73" s="128"/>
      <c r="AD73" s="33"/>
      <c r="AE73" s="55"/>
    </row>
    <row r="74" spans="2:31" ht="20.100000000000001" hidden="1" customHeight="1">
      <c r="B74" s="48">
        <v>40</v>
      </c>
      <c r="C74" s="121" t="s">
        <v>850</v>
      </c>
      <c r="D74" s="120" t="s">
        <v>349</v>
      </c>
      <c r="E74" s="120">
        <v>2603</v>
      </c>
      <c r="F74" s="120" t="s">
        <v>700</v>
      </c>
      <c r="G74" s="120" t="s">
        <v>699</v>
      </c>
      <c r="H74" s="49"/>
      <c r="I74" s="50" t="s">
        <v>948</v>
      </c>
      <c r="J74" s="124" t="s">
        <v>80</v>
      </c>
      <c r="K74" s="50" t="s">
        <v>31</v>
      </c>
      <c r="L74" s="50" t="s">
        <v>519</v>
      </c>
      <c r="M74" s="56" t="s">
        <v>12</v>
      </c>
      <c r="N74" s="122" t="s">
        <v>665</v>
      </c>
      <c r="O74" s="57">
        <v>1</v>
      </c>
      <c r="P74" s="45">
        <v>6700</v>
      </c>
      <c r="Q74" s="58">
        <f t="shared" si="7"/>
        <v>6700</v>
      </c>
      <c r="R74" s="141">
        <v>46118</v>
      </c>
      <c r="S74" s="19"/>
      <c r="T74" s="32"/>
      <c r="U74" s="32"/>
      <c r="V74" s="51">
        <f t="shared" si="8"/>
        <v>7771.9999999999991</v>
      </c>
      <c r="W74" s="51">
        <f t="shared" si="9"/>
        <v>7771.9999999999991</v>
      </c>
      <c r="X74" s="52">
        <f t="shared" si="10"/>
        <v>5.23</v>
      </c>
      <c r="Y74" s="53">
        <f t="shared" si="11"/>
        <v>5.23</v>
      </c>
      <c r="Z74" s="54"/>
      <c r="AA74" s="71"/>
      <c r="AB74" s="71"/>
      <c r="AC74" s="128"/>
      <c r="AD74" s="33"/>
      <c r="AE74" s="55"/>
    </row>
    <row r="75" spans="2:31" ht="20.100000000000001" hidden="1" customHeight="1">
      <c r="B75" s="48">
        <v>41</v>
      </c>
      <c r="C75" s="121" t="s">
        <v>850</v>
      </c>
      <c r="D75" s="120" t="s">
        <v>349</v>
      </c>
      <c r="E75" s="120">
        <v>2603</v>
      </c>
      <c r="F75" s="120" t="s">
        <v>700</v>
      </c>
      <c r="G75" s="120" t="s">
        <v>699</v>
      </c>
      <c r="H75" s="49"/>
      <c r="I75" s="50" t="s">
        <v>947</v>
      </c>
      <c r="J75" s="124" t="s">
        <v>81</v>
      </c>
      <c r="K75" s="50" t="s">
        <v>31</v>
      </c>
      <c r="L75" s="50" t="s">
        <v>519</v>
      </c>
      <c r="M75" s="56" t="s">
        <v>12</v>
      </c>
      <c r="N75" s="122" t="s">
        <v>665</v>
      </c>
      <c r="O75" s="57">
        <v>1</v>
      </c>
      <c r="P75" s="45">
        <v>6700</v>
      </c>
      <c r="Q75" s="58">
        <f t="shared" si="7"/>
        <v>6700</v>
      </c>
      <c r="R75" s="141">
        <v>46118</v>
      </c>
      <c r="S75" s="19"/>
      <c r="T75" s="32"/>
      <c r="U75" s="32"/>
      <c r="V75" s="51">
        <f t="shared" si="8"/>
        <v>7771.9999999999991</v>
      </c>
      <c r="W75" s="51">
        <f t="shared" si="9"/>
        <v>7771.9999999999991</v>
      </c>
      <c r="X75" s="52">
        <f t="shared" si="10"/>
        <v>5.23</v>
      </c>
      <c r="Y75" s="53">
        <f t="shared" si="11"/>
        <v>5.23</v>
      </c>
      <c r="Z75" s="54"/>
      <c r="AA75" s="71"/>
      <c r="AB75" s="71"/>
      <c r="AC75" s="128"/>
      <c r="AD75" s="33"/>
      <c r="AE75" s="55"/>
    </row>
    <row r="76" spans="2:31" ht="20.100000000000001" hidden="1" customHeight="1">
      <c r="B76" s="48">
        <v>42</v>
      </c>
      <c r="C76" s="121" t="s">
        <v>850</v>
      </c>
      <c r="D76" s="120" t="s">
        <v>349</v>
      </c>
      <c r="E76" s="120">
        <v>2603</v>
      </c>
      <c r="F76" s="120" t="s">
        <v>700</v>
      </c>
      <c r="G76" s="120" t="s">
        <v>699</v>
      </c>
      <c r="H76" s="49"/>
      <c r="I76" s="50" t="s">
        <v>946</v>
      </c>
      <c r="J76" s="124" t="s">
        <v>447</v>
      </c>
      <c r="K76" s="50" t="s">
        <v>31</v>
      </c>
      <c r="L76" s="50" t="s">
        <v>519</v>
      </c>
      <c r="M76" s="56" t="s">
        <v>12</v>
      </c>
      <c r="N76" s="122" t="s">
        <v>665</v>
      </c>
      <c r="O76" s="57">
        <v>1</v>
      </c>
      <c r="P76" s="45">
        <v>8200</v>
      </c>
      <c r="Q76" s="58">
        <f t="shared" si="7"/>
        <v>8200</v>
      </c>
      <c r="R76" s="141">
        <v>46118</v>
      </c>
      <c r="S76" s="19"/>
      <c r="T76" s="32"/>
      <c r="U76" s="32"/>
      <c r="V76" s="51">
        <f t="shared" si="8"/>
        <v>9512</v>
      </c>
      <c r="W76" s="51">
        <f t="shared" si="9"/>
        <v>9512</v>
      </c>
      <c r="X76" s="52">
        <f t="shared" si="10"/>
        <v>6.4</v>
      </c>
      <c r="Y76" s="53">
        <f t="shared" si="11"/>
        <v>6.4</v>
      </c>
      <c r="Z76" s="54"/>
      <c r="AA76" s="71"/>
      <c r="AB76" s="71"/>
      <c r="AC76" s="128"/>
      <c r="AD76" s="33"/>
      <c r="AE76" s="55"/>
    </row>
    <row r="77" spans="2:31" ht="20.100000000000001" hidden="1" customHeight="1">
      <c r="B77" s="48">
        <v>43</v>
      </c>
      <c r="C77" s="121" t="s">
        <v>850</v>
      </c>
      <c r="D77" s="120" t="s">
        <v>349</v>
      </c>
      <c r="E77" s="120">
        <v>2603</v>
      </c>
      <c r="F77" s="120" t="s">
        <v>700</v>
      </c>
      <c r="G77" s="120" t="s">
        <v>699</v>
      </c>
      <c r="H77" s="49"/>
      <c r="I77" s="50" t="s">
        <v>82</v>
      </c>
      <c r="J77" s="124" t="s">
        <v>84</v>
      </c>
      <c r="K77" s="50" t="s">
        <v>83</v>
      </c>
      <c r="L77" s="50" t="s">
        <v>519</v>
      </c>
      <c r="M77" s="56" t="s">
        <v>12</v>
      </c>
      <c r="N77" s="122" t="s">
        <v>665</v>
      </c>
      <c r="O77" s="57">
        <v>1</v>
      </c>
      <c r="P77" s="45">
        <v>21500</v>
      </c>
      <c r="Q77" s="58">
        <f t="shared" si="7"/>
        <v>21500</v>
      </c>
      <c r="R77" s="141">
        <v>46118</v>
      </c>
      <c r="S77" s="19"/>
      <c r="T77" s="32"/>
      <c r="U77" s="32"/>
      <c r="V77" s="51">
        <f t="shared" si="8"/>
        <v>24940</v>
      </c>
      <c r="W77" s="51">
        <f t="shared" si="9"/>
        <v>24940</v>
      </c>
      <c r="X77" s="52">
        <f t="shared" si="10"/>
        <v>16.78</v>
      </c>
      <c r="Y77" s="53">
        <f t="shared" si="11"/>
        <v>16.78</v>
      </c>
      <c r="Z77" s="54"/>
      <c r="AA77" s="71"/>
      <c r="AB77" s="71"/>
      <c r="AC77" s="128"/>
      <c r="AD77" s="33"/>
      <c r="AE77" s="55"/>
    </row>
    <row r="78" spans="2:31" ht="20.100000000000001" hidden="1" customHeight="1">
      <c r="B78" s="48">
        <v>44</v>
      </c>
      <c r="C78" s="121" t="s">
        <v>850</v>
      </c>
      <c r="D78" s="120" t="s">
        <v>349</v>
      </c>
      <c r="E78" s="120">
        <v>2603</v>
      </c>
      <c r="F78" s="120" t="s">
        <v>700</v>
      </c>
      <c r="G78" s="120" t="s">
        <v>699</v>
      </c>
      <c r="H78" s="49"/>
      <c r="I78" s="50" t="s">
        <v>91</v>
      </c>
      <c r="J78" s="124" t="s">
        <v>945</v>
      </c>
      <c r="K78" s="50" t="s">
        <v>101</v>
      </c>
      <c r="L78" s="50" t="s">
        <v>519</v>
      </c>
      <c r="M78" s="56" t="s">
        <v>12</v>
      </c>
      <c r="N78" s="122" t="s">
        <v>665</v>
      </c>
      <c r="O78" s="57">
        <v>1</v>
      </c>
      <c r="P78" s="45">
        <v>29800</v>
      </c>
      <c r="Q78" s="58">
        <f t="shared" si="7"/>
        <v>29800</v>
      </c>
      <c r="R78" s="141">
        <v>46118</v>
      </c>
      <c r="S78" s="19"/>
      <c r="T78" s="32"/>
      <c r="U78" s="32"/>
      <c r="V78" s="51">
        <f t="shared" si="8"/>
        <v>34568</v>
      </c>
      <c r="W78" s="51">
        <f t="shared" si="9"/>
        <v>34568</v>
      </c>
      <c r="X78" s="52">
        <f t="shared" si="10"/>
        <v>23.25</v>
      </c>
      <c r="Y78" s="53">
        <f t="shared" si="11"/>
        <v>23.25</v>
      </c>
      <c r="Z78" s="54"/>
      <c r="AA78" s="71"/>
      <c r="AB78" s="71"/>
      <c r="AC78" s="128"/>
      <c r="AD78" s="33"/>
      <c r="AE78" s="55"/>
    </row>
    <row r="79" spans="2:31" ht="20.100000000000001" hidden="1" customHeight="1">
      <c r="B79" s="48">
        <v>45</v>
      </c>
      <c r="C79" s="121" t="s">
        <v>850</v>
      </c>
      <c r="D79" s="120" t="s">
        <v>349</v>
      </c>
      <c r="E79" s="120">
        <v>2603</v>
      </c>
      <c r="F79" s="120" t="s">
        <v>700</v>
      </c>
      <c r="G79" s="120" t="s">
        <v>699</v>
      </c>
      <c r="H79" s="49"/>
      <c r="I79" s="50" t="s">
        <v>944</v>
      </c>
      <c r="J79" s="124" t="s">
        <v>943</v>
      </c>
      <c r="K79" s="50" t="s">
        <v>798</v>
      </c>
      <c r="L79" s="50" t="s">
        <v>519</v>
      </c>
      <c r="M79" s="56" t="s">
        <v>12</v>
      </c>
      <c r="N79" s="122" t="s">
        <v>665</v>
      </c>
      <c r="O79" s="57">
        <v>1</v>
      </c>
      <c r="P79" s="45">
        <v>5600</v>
      </c>
      <c r="Q79" s="58">
        <f t="shared" si="7"/>
        <v>5600</v>
      </c>
      <c r="R79" s="141">
        <v>46118</v>
      </c>
      <c r="S79" s="19"/>
      <c r="T79" s="32"/>
      <c r="U79" s="32"/>
      <c r="V79" s="51">
        <f t="shared" si="8"/>
        <v>6496</v>
      </c>
      <c r="W79" s="51">
        <f t="shared" si="9"/>
        <v>6496</v>
      </c>
      <c r="X79" s="52">
        <f t="shared" si="10"/>
        <v>4.37</v>
      </c>
      <c r="Y79" s="53">
        <f t="shared" si="11"/>
        <v>4.37</v>
      </c>
      <c r="Z79" s="54"/>
      <c r="AA79" s="71"/>
      <c r="AB79" s="71"/>
      <c r="AC79" s="128"/>
      <c r="AD79" s="33"/>
      <c r="AE79" s="55"/>
    </row>
    <row r="80" spans="2:31" ht="20.100000000000001" hidden="1" customHeight="1">
      <c r="B80" s="48">
        <v>46</v>
      </c>
      <c r="C80" s="121" t="s">
        <v>850</v>
      </c>
      <c r="D80" s="120" t="s">
        <v>349</v>
      </c>
      <c r="E80" s="120">
        <v>2603</v>
      </c>
      <c r="F80" s="120" t="s">
        <v>700</v>
      </c>
      <c r="G80" s="120" t="s">
        <v>699</v>
      </c>
      <c r="H80" s="49"/>
      <c r="I80" s="50" t="s">
        <v>942</v>
      </c>
      <c r="J80" s="124" t="s">
        <v>941</v>
      </c>
      <c r="K80" s="50" t="s">
        <v>30</v>
      </c>
      <c r="L80" s="50" t="s">
        <v>519</v>
      </c>
      <c r="M80" s="56" t="s">
        <v>12</v>
      </c>
      <c r="N80" s="122" t="s">
        <v>665</v>
      </c>
      <c r="O80" s="57">
        <v>1</v>
      </c>
      <c r="P80" s="45">
        <v>5500</v>
      </c>
      <c r="Q80" s="58">
        <f t="shared" si="7"/>
        <v>5500</v>
      </c>
      <c r="R80" s="141">
        <v>46118</v>
      </c>
      <c r="S80" s="19"/>
      <c r="T80" s="32"/>
      <c r="U80" s="32"/>
      <c r="V80" s="51">
        <f t="shared" si="8"/>
        <v>6380</v>
      </c>
      <c r="W80" s="51">
        <f t="shared" si="9"/>
        <v>6380</v>
      </c>
      <c r="X80" s="52">
        <f t="shared" si="10"/>
        <v>4.29</v>
      </c>
      <c r="Y80" s="53">
        <f t="shared" si="11"/>
        <v>4.29</v>
      </c>
      <c r="Z80" s="54"/>
      <c r="AA80" s="71"/>
      <c r="AB80" s="71"/>
      <c r="AC80" s="128"/>
      <c r="AD80" s="33"/>
      <c r="AE80" s="55"/>
    </row>
    <row r="81" spans="2:31" ht="20.100000000000001" hidden="1" customHeight="1">
      <c r="B81" s="48">
        <v>47</v>
      </c>
      <c r="C81" s="121" t="s">
        <v>850</v>
      </c>
      <c r="D81" s="120" t="s">
        <v>349</v>
      </c>
      <c r="E81" s="120">
        <v>2603</v>
      </c>
      <c r="F81" s="120" t="s">
        <v>700</v>
      </c>
      <c r="G81" s="120" t="s">
        <v>699</v>
      </c>
      <c r="H81" s="49"/>
      <c r="I81" s="50" t="s">
        <v>940</v>
      </c>
      <c r="J81" s="124" t="s">
        <v>939</v>
      </c>
      <c r="K81" s="50" t="s">
        <v>30</v>
      </c>
      <c r="L81" s="50" t="s">
        <v>519</v>
      </c>
      <c r="M81" s="56" t="s">
        <v>12</v>
      </c>
      <c r="N81" s="122" t="s">
        <v>665</v>
      </c>
      <c r="O81" s="57">
        <v>1</v>
      </c>
      <c r="P81" s="45">
        <v>15000</v>
      </c>
      <c r="Q81" s="58">
        <f t="shared" si="7"/>
        <v>15000</v>
      </c>
      <c r="R81" s="141">
        <v>46118</v>
      </c>
      <c r="S81" s="19"/>
      <c r="T81" s="32"/>
      <c r="U81" s="32"/>
      <c r="V81" s="51">
        <f t="shared" si="8"/>
        <v>17400</v>
      </c>
      <c r="W81" s="51">
        <f t="shared" si="9"/>
        <v>17400</v>
      </c>
      <c r="X81" s="52">
        <f t="shared" si="10"/>
        <v>11.7</v>
      </c>
      <c r="Y81" s="53">
        <f t="shared" si="11"/>
        <v>11.7</v>
      </c>
      <c r="Z81" s="54"/>
      <c r="AA81" s="71"/>
      <c r="AB81" s="71"/>
      <c r="AC81" s="128"/>
      <c r="AD81" s="33"/>
      <c r="AE81" s="55"/>
    </row>
    <row r="82" spans="2:31" ht="20.100000000000001" hidden="1" customHeight="1">
      <c r="B82" s="48">
        <v>48</v>
      </c>
      <c r="C82" s="121" t="s">
        <v>850</v>
      </c>
      <c r="D82" s="120" t="s">
        <v>349</v>
      </c>
      <c r="E82" s="120">
        <v>2603</v>
      </c>
      <c r="F82" s="120" t="s">
        <v>700</v>
      </c>
      <c r="G82" s="120" t="s">
        <v>699</v>
      </c>
      <c r="H82" s="49"/>
      <c r="I82" s="50" t="s">
        <v>938</v>
      </c>
      <c r="J82" s="124" t="s">
        <v>99</v>
      </c>
      <c r="K82" s="50" t="s">
        <v>210</v>
      </c>
      <c r="L82" s="50" t="s">
        <v>519</v>
      </c>
      <c r="M82" s="56" t="s">
        <v>12</v>
      </c>
      <c r="N82" s="122" t="s">
        <v>665</v>
      </c>
      <c r="O82" s="57">
        <v>4</v>
      </c>
      <c r="P82" s="45">
        <v>13500</v>
      </c>
      <c r="Q82" s="58">
        <f t="shared" si="7"/>
        <v>54000</v>
      </c>
      <c r="R82" s="141">
        <v>46118</v>
      </c>
      <c r="S82" s="19"/>
      <c r="T82" s="32"/>
      <c r="U82" s="32"/>
      <c r="V82" s="51">
        <f t="shared" si="8"/>
        <v>15659.999999999998</v>
      </c>
      <c r="W82" s="51">
        <f t="shared" si="9"/>
        <v>62639.999999999993</v>
      </c>
      <c r="X82" s="52">
        <f t="shared" si="10"/>
        <v>10.53</v>
      </c>
      <c r="Y82" s="53">
        <f t="shared" si="11"/>
        <v>42.12</v>
      </c>
      <c r="Z82" s="54"/>
      <c r="AA82" s="71"/>
      <c r="AB82" s="71"/>
      <c r="AC82" s="128"/>
      <c r="AD82" s="33"/>
      <c r="AE82" s="55"/>
    </row>
    <row r="83" spans="2:31" ht="20.100000000000001" hidden="1" customHeight="1">
      <c r="B83" s="48">
        <v>49</v>
      </c>
      <c r="C83" s="121" t="s">
        <v>850</v>
      </c>
      <c r="D83" s="120" t="s">
        <v>349</v>
      </c>
      <c r="E83" s="120">
        <v>2603</v>
      </c>
      <c r="F83" s="120" t="s">
        <v>700</v>
      </c>
      <c r="G83" s="120" t="s">
        <v>699</v>
      </c>
      <c r="H83" s="49"/>
      <c r="I83" s="50" t="s">
        <v>36</v>
      </c>
      <c r="J83" s="124" t="s">
        <v>641</v>
      </c>
      <c r="K83" s="50" t="s">
        <v>34</v>
      </c>
      <c r="L83" s="50" t="s">
        <v>519</v>
      </c>
      <c r="M83" s="56" t="s">
        <v>12</v>
      </c>
      <c r="N83" s="122" t="s">
        <v>665</v>
      </c>
      <c r="O83" s="57">
        <v>12</v>
      </c>
      <c r="P83" s="45">
        <v>2800</v>
      </c>
      <c r="Q83" s="58">
        <f t="shared" si="7"/>
        <v>33600</v>
      </c>
      <c r="R83" s="141">
        <v>46118</v>
      </c>
      <c r="S83" s="19"/>
      <c r="T83" s="32"/>
      <c r="U83" s="32"/>
      <c r="V83" s="51">
        <f t="shared" si="8"/>
        <v>3248</v>
      </c>
      <c r="W83" s="51">
        <f t="shared" si="9"/>
        <v>38976</v>
      </c>
      <c r="X83" s="52">
        <f t="shared" si="10"/>
        <v>2.1800000000000002</v>
      </c>
      <c r="Y83" s="53">
        <f t="shared" si="11"/>
        <v>26.160000000000004</v>
      </c>
      <c r="Z83" s="54"/>
      <c r="AA83" s="71"/>
      <c r="AB83" s="71"/>
      <c r="AC83" s="128"/>
      <c r="AD83" s="33"/>
      <c r="AE83" s="55"/>
    </row>
    <row r="84" spans="2:31" ht="20.100000000000001" hidden="1" customHeight="1">
      <c r="B84" s="48">
        <v>50</v>
      </c>
      <c r="C84" s="121" t="s">
        <v>850</v>
      </c>
      <c r="D84" s="120" t="s">
        <v>349</v>
      </c>
      <c r="E84" s="120">
        <v>2603</v>
      </c>
      <c r="F84" s="120" t="s">
        <v>700</v>
      </c>
      <c r="G84" s="120" t="s">
        <v>699</v>
      </c>
      <c r="H84" s="49"/>
      <c r="I84" s="50" t="s">
        <v>937</v>
      </c>
      <c r="J84" s="124" t="s">
        <v>936</v>
      </c>
      <c r="K84" s="50" t="s">
        <v>34</v>
      </c>
      <c r="L84" s="50" t="s">
        <v>519</v>
      </c>
      <c r="M84" s="56" t="s">
        <v>12</v>
      </c>
      <c r="N84" s="122" t="s">
        <v>665</v>
      </c>
      <c r="O84" s="57">
        <v>6</v>
      </c>
      <c r="P84" s="45">
        <v>2800</v>
      </c>
      <c r="Q84" s="58">
        <f t="shared" si="7"/>
        <v>16800</v>
      </c>
      <c r="R84" s="141">
        <v>46118</v>
      </c>
      <c r="S84" s="19"/>
      <c r="T84" s="32"/>
      <c r="U84" s="32"/>
      <c r="V84" s="51">
        <f t="shared" si="8"/>
        <v>3248</v>
      </c>
      <c r="W84" s="51">
        <f t="shared" si="9"/>
        <v>19488</v>
      </c>
      <c r="X84" s="52">
        <f t="shared" si="10"/>
        <v>2.1800000000000002</v>
      </c>
      <c r="Y84" s="53">
        <f t="shared" si="11"/>
        <v>13.080000000000002</v>
      </c>
      <c r="Z84" s="54"/>
      <c r="AA84" s="71"/>
      <c r="AB84" s="71"/>
      <c r="AC84" s="128"/>
      <c r="AD84" s="33"/>
      <c r="AE84" s="55"/>
    </row>
    <row r="85" spans="2:31" ht="20.100000000000001" hidden="1" customHeight="1">
      <c r="B85" s="48">
        <v>51</v>
      </c>
      <c r="C85" s="121" t="s">
        <v>850</v>
      </c>
      <c r="D85" s="120" t="s">
        <v>349</v>
      </c>
      <c r="E85" s="120">
        <v>2603</v>
      </c>
      <c r="F85" s="120" t="s">
        <v>700</v>
      </c>
      <c r="G85" s="120" t="s">
        <v>699</v>
      </c>
      <c r="H85" s="49"/>
      <c r="I85" s="50" t="s">
        <v>35</v>
      </c>
      <c r="J85" s="124" t="s">
        <v>77</v>
      </c>
      <c r="K85" s="50" t="s">
        <v>34</v>
      </c>
      <c r="L85" s="50" t="s">
        <v>519</v>
      </c>
      <c r="M85" s="56" t="s">
        <v>12</v>
      </c>
      <c r="N85" s="122" t="s">
        <v>665</v>
      </c>
      <c r="O85" s="57">
        <v>12</v>
      </c>
      <c r="P85" s="45">
        <v>3300</v>
      </c>
      <c r="Q85" s="58">
        <f t="shared" si="7"/>
        <v>39600</v>
      </c>
      <c r="R85" s="141">
        <v>46118</v>
      </c>
      <c r="S85" s="19"/>
      <c r="T85" s="32"/>
      <c r="U85" s="32"/>
      <c r="V85" s="51">
        <f t="shared" si="8"/>
        <v>3827.9999999999995</v>
      </c>
      <c r="W85" s="51">
        <f t="shared" si="9"/>
        <v>45935.999999999993</v>
      </c>
      <c r="X85" s="52">
        <f t="shared" si="10"/>
        <v>2.57</v>
      </c>
      <c r="Y85" s="53">
        <f t="shared" si="11"/>
        <v>30.839999999999996</v>
      </c>
      <c r="Z85" s="54"/>
      <c r="AA85" s="71"/>
      <c r="AB85" s="71"/>
      <c r="AC85" s="128"/>
      <c r="AD85" s="33"/>
      <c r="AE85" s="55"/>
    </row>
    <row r="86" spans="2:31" ht="20.100000000000001" hidden="1" customHeight="1">
      <c r="B86" s="48">
        <v>52</v>
      </c>
      <c r="C86" s="121" t="s">
        <v>850</v>
      </c>
      <c r="D86" s="120" t="s">
        <v>349</v>
      </c>
      <c r="E86" s="120">
        <v>2603</v>
      </c>
      <c r="F86" s="120" t="s">
        <v>700</v>
      </c>
      <c r="G86" s="120" t="s">
        <v>699</v>
      </c>
      <c r="H86" s="49"/>
      <c r="I86" s="50" t="s">
        <v>392</v>
      </c>
      <c r="J86" s="124" t="s">
        <v>78</v>
      </c>
      <c r="K86" s="50" t="s">
        <v>34</v>
      </c>
      <c r="L86" s="50" t="s">
        <v>519</v>
      </c>
      <c r="M86" s="56" t="s">
        <v>12</v>
      </c>
      <c r="N86" s="122" t="s">
        <v>665</v>
      </c>
      <c r="O86" s="57">
        <v>4</v>
      </c>
      <c r="P86" s="45">
        <v>7000</v>
      </c>
      <c r="Q86" s="58">
        <f t="shared" si="7"/>
        <v>28000</v>
      </c>
      <c r="R86" s="141">
        <v>46118</v>
      </c>
      <c r="S86" s="19"/>
      <c r="T86" s="32"/>
      <c r="U86" s="32"/>
      <c r="V86" s="51">
        <f t="shared" si="8"/>
        <v>8119.9999999999991</v>
      </c>
      <c r="W86" s="51">
        <f t="shared" si="9"/>
        <v>32479.999999999996</v>
      </c>
      <c r="X86" s="52">
        <f t="shared" si="10"/>
        <v>5.46</v>
      </c>
      <c r="Y86" s="53">
        <f t="shared" si="11"/>
        <v>21.84</v>
      </c>
      <c r="Z86" s="54"/>
      <c r="AA86" s="71"/>
      <c r="AB86" s="71"/>
      <c r="AC86" s="128"/>
      <c r="AD86" s="33"/>
      <c r="AE86" s="55"/>
    </row>
    <row r="87" spans="2:31" ht="20.100000000000001" hidden="1" customHeight="1">
      <c r="B87" s="48">
        <v>53</v>
      </c>
      <c r="C87" s="121" t="s">
        <v>850</v>
      </c>
      <c r="D87" s="120" t="s">
        <v>349</v>
      </c>
      <c r="E87" s="120">
        <v>2603</v>
      </c>
      <c r="F87" s="120" t="s">
        <v>700</v>
      </c>
      <c r="G87" s="120" t="s">
        <v>699</v>
      </c>
      <c r="H87" s="49"/>
      <c r="I87" s="50" t="s">
        <v>935</v>
      </c>
      <c r="J87" s="124" t="s">
        <v>934</v>
      </c>
      <c r="K87" s="50" t="s">
        <v>30</v>
      </c>
      <c r="L87" s="50" t="s">
        <v>519</v>
      </c>
      <c r="M87" s="56" t="s">
        <v>12</v>
      </c>
      <c r="N87" s="122" t="s">
        <v>665</v>
      </c>
      <c r="O87" s="57">
        <v>1</v>
      </c>
      <c r="P87" s="45">
        <v>230</v>
      </c>
      <c r="Q87" s="58">
        <f t="shared" si="7"/>
        <v>230</v>
      </c>
      <c r="R87" s="141">
        <v>46118</v>
      </c>
      <c r="S87" s="19"/>
      <c r="T87" s="32"/>
      <c r="U87" s="32"/>
      <c r="V87" s="51">
        <f t="shared" si="8"/>
        <v>266.79999999999995</v>
      </c>
      <c r="W87" s="51">
        <f t="shared" si="9"/>
        <v>266.79999999999995</v>
      </c>
      <c r="X87" s="52">
        <f t="shared" si="10"/>
        <v>0.18</v>
      </c>
      <c r="Y87" s="53">
        <f t="shared" si="11"/>
        <v>0.18</v>
      </c>
      <c r="Z87" s="54"/>
      <c r="AA87" s="71"/>
      <c r="AB87" s="71"/>
      <c r="AC87" s="128"/>
      <c r="AD87" s="33"/>
      <c r="AE87" s="55"/>
    </row>
    <row r="88" spans="2:31" ht="20.100000000000001" hidden="1" customHeight="1">
      <c r="B88" s="48">
        <v>54</v>
      </c>
      <c r="C88" s="121" t="s">
        <v>850</v>
      </c>
      <c r="D88" s="120" t="s">
        <v>349</v>
      </c>
      <c r="E88" s="120">
        <v>2603</v>
      </c>
      <c r="F88" s="120" t="s">
        <v>700</v>
      </c>
      <c r="G88" s="120" t="s">
        <v>699</v>
      </c>
      <c r="H88" s="49"/>
      <c r="I88" s="50" t="s">
        <v>927</v>
      </c>
      <c r="J88" s="124" t="s">
        <v>933</v>
      </c>
      <c r="K88" s="50" t="s">
        <v>923</v>
      </c>
      <c r="L88" s="50" t="s">
        <v>519</v>
      </c>
      <c r="M88" s="56" t="s">
        <v>12</v>
      </c>
      <c r="N88" s="122" t="s">
        <v>665</v>
      </c>
      <c r="O88" s="57">
        <v>1</v>
      </c>
      <c r="P88" s="45">
        <v>20000</v>
      </c>
      <c r="Q88" s="58">
        <f t="shared" si="7"/>
        <v>20000</v>
      </c>
      <c r="R88" s="141">
        <v>46118</v>
      </c>
      <c r="S88" s="19"/>
      <c r="T88" s="32"/>
      <c r="U88" s="32"/>
      <c r="V88" s="51">
        <f t="shared" si="8"/>
        <v>23200</v>
      </c>
      <c r="W88" s="51">
        <f t="shared" si="9"/>
        <v>23200</v>
      </c>
      <c r="X88" s="52">
        <f t="shared" si="10"/>
        <v>15.61</v>
      </c>
      <c r="Y88" s="53">
        <f t="shared" si="11"/>
        <v>15.61</v>
      </c>
      <c r="Z88" s="54"/>
      <c r="AA88" s="71"/>
      <c r="AB88" s="71"/>
      <c r="AC88" s="128"/>
      <c r="AD88" s="33"/>
      <c r="AE88" s="55"/>
    </row>
    <row r="89" spans="2:31" ht="20.100000000000001" hidden="1" customHeight="1">
      <c r="B89" s="48">
        <v>55</v>
      </c>
      <c r="C89" s="121" t="s">
        <v>850</v>
      </c>
      <c r="D89" s="120" t="s">
        <v>349</v>
      </c>
      <c r="E89" s="120">
        <v>2603</v>
      </c>
      <c r="F89" s="120" t="s">
        <v>700</v>
      </c>
      <c r="G89" s="120" t="s">
        <v>699</v>
      </c>
      <c r="H89" s="49"/>
      <c r="I89" s="50" t="s">
        <v>925</v>
      </c>
      <c r="J89" s="124" t="s">
        <v>932</v>
      </c>
      <c r="K89" s="50" t="s">
        <v>923</v>
      </c>
      <c r="L89" s="50" t="s">
        <v>519</v>
      </c>
      <c r="M89" s="56" t="s">
        <v>12</v>
      </c>
      <c r="N89" s="122" t="s">
        <v>665</v>
      </c>
      <c r="O89" s="57">
        <v>1</v>
      </c>
      <c r="P89" s="45">
        <v>2650</v>
      </c>
      <c r="Q89" s="58">
        <f t="shared" si="7"/>
        <v>2650</v>
      </c>
      <c r="R89" s="141">
        <v>46118</v>
      </c>
      <c r="S89" s="19"/>
      <c r="T89" s="32"/>
      <c r="U89" s="32"/>
      <c r="V89" s="51">
        <f t="shared" si="8"/>
        <v>3074</v>
      </c>
      <c r="W89" s="51">
        <f t="shared" si="9"/>
        <v>3074</v>
      </c>
      <c r="X89" s="52">
        <f t="shared" si="10"/>
        <v>2.0699999999999998</v>
      </c>
      <c r="Y89" s="53">
        <f t="shared" si="11"/>
        <v>2.0699999999999998</v>
      </c>
      <c r="Z89" s="54"/>
      <c r="AA89" s="71"/>
      <c r="AB89" s="71"/>
      <c r="AC89" s="128"/>
      <c r="AD89" s="33"/>
      <c r="AE89" s="55"/>
    </row>
    <row r="90" spans="2:31" ht="20.100000000000001" hidden="1" customHeight="1">
      <c r="B90" s="48">
        <v>56</v>
      </c>
      <c r="C90" s="121" t="s">
        <v>850</v>
      </c>
      <c r="D90" s="120" t="s">
        <v>349</v>
      </c>
      <c r="E90" s="120">
        <v>2603</v>
      </c>
      <c r="F90" s="120" t="s">
        <v>700</v>
      </c>
      <c r="G90" s="120" t="s">
        <v>699</v>
      </c>
      <c r="H90" s="49"/>
      <c r="I90" s="50" t="s">
        <v>927</v>
      </c>
      <c r="J90" s="124" t="s">
        <v>931</v>
      </c>
      <c r="K90" s="50" t="s">
        <v>923</v>
      </c>
      <c r="L90" s="50" t="s">
        <v>519</v>
      </c>
      <c r="M90" s="56" t="s">
        <v>12</v>
      </c>
      <c r="N90" s="122" t="s">
        <v>665</v>
      </c>
      <c r="O90" s="57">
        <v>1</v>
      </c>
      <c r="P90" s="45">
        <v>18500</v>
      </c>
      <c r="Q90" s="58">
        <f t="shared" si="7"/>
        <v>18500</v>
      </c>
      <c r="R90" s="141">
        <v>46118</v>
      </c>
      <c r="S90" s="19"/>
      <c r="T90" s="32"/>
      <c r="U90" s="32"/>
      <c r="V90" s="51">
        <f t="shared" si="8"/>
        <v>21460</v>
      </c>
      <c r="W90" s="51">
        <f t="shared" si="9"/>
        <v>21460</v>
      </c>
      <c r="X90" s="52">
        <f t="shared" si="10"/>
        <v>14.44</v>
      </c>
      <c r="Y90" s="53">
        <f t="shared" si="11"/>
        <v>14.44</v>
      </c>
      <c r="Z90" s="54"/>
      <c r="AA90" s="71"/>
      <c r="AB90" s="71"/>
      <c r="AC90" s="128"/>
      <c r="AD90" s="33"/>
      <c r="AE90" s="55"/>
    </row>
    <row r="91" spans="2:31" ht="20.100000000000001" hidden="1" customHeight="1">
      <c r="B91" s="48">
        <v>57</v>
      </c>
      <c r="C91" s="121" t="s">
        <v>850</v>
      </c>
      <c r="D91" s="120" t="s">
        <v>349</v>
      </c>
      <c r="E91" s="120">
        <v>2603</v>
      </c>
      <c r="F91" s="120" t="s">
        <v>700</v>
      </c>
      <c r="G91" s="120" t="s">
        <v>699</v>
      </c>
      <c r="H91" s="49"/>
      <c r="I91" s="50" t="s">
        <v>925</v>
      </c>
      <c r="J91" s="124" t="s">
        <v>930</v>
      </c>
      <c r="K91" s="50" t="s">
        <v>923</v>
      </c>
      <c r="L91" s="50" t="s">
        <v>519</v>
      </c>
      <c r="M91" s="56" t="s">
        <v>12</v>
      </c>
      <c r="N91" s="122" t="s">
        <v>847</v>
      </c>
      <c r="O91" s="57">
        <v>1</v>
      </c>
      <c r="P91" s="45">
        <v>2650</v>
      </c>
      <c r="Q91" s="58">
        <f t="shared" si="7"/>
        <v>2650</v>
      </c>
      <c r="R91" s="141">
        <v>46118</v>
      </c>
      <c r="S91" s="19"/>
      <c r="T91" s="32"/>
      <c r="U91" s="32"/>
      <c r="V91" s="51">
        <f t="shared" si="8"/>
        <v>3074</v>
      </c>
      <c r="W91" s="51">
        <f t="shared" si="9"/>
        <v>3074</v>
      </c>
      <c r="X91" s="52">
        <f t="shared" si="10"/>
        <v>2.0699999999999998</v>
      </c>
      <c r="Y91" s="53">
        <f t="shared" si="11"/>
        <v>2.0699999999999998</v>
      </c>
      <c r="Z91" s="54"/>
      <c r="AA91" s="71"/>
      <c r="AB91" s="71"/>
      <c r="AC91" s="128"/>
      <c r="AD91" s="33"/>
      <c r="AE91" s="55"/>
    </row>
    <row r="92" spans="2:31" ht="20.100000000000001" hidden="1" customHeight="1">
      <c r="B92" s="48">
        <v>58</v>
      </c>
      <c r="C92" s="121" t="s">
        <v>850</v>
      </c>
      <c r="D92" s="120" t="s">
        <v>349</v>
      </c>
      <c r="E92" s="120">
        <v>2603</v>
      </c>
      <c r="F92" s="120" t="s">
        <v>700</v>
      </c>
      <c r="G92" s="120" t="s">
        <v>699</v>
      </c>
      <c r="H92" s="49"/>
      <c r="I92" s="50" t="s">
        <v>927</v>
      </c>
      <c r="J92" s="124" t="s">
        <v>929</v>
      </c>
      <c r="K92" s="50" t="s">
        <v>923</v>
      </c>
      <c r="L92" s="50" t="s">
        <v>519</v>
      </c>
      <c r="M92" s="56" t="s">
        <v>12</v>
      </c>
      <c r="N92" s="122" t="s">
        <v>847</v>
      </c>
      <c r="O92" s="57">
        <v>1</v>
      </c>
      <c r="P92" s="45">
        <v>18500</v>
      </c>
      <c r="Q92" s="58">
        <f t="shared" si="7"/>
        <v>18500</v>
      </c>
      <c r="R92" s="141">
        <v>46118</v>
      </c>
      <c r="S92" s="19"/>
      <c r="T92" s="32"/>
      <c r="U92" s="32"/>
      <c r="V92" s="51">
        <f t="shared" si="8"/>
        <v>21460</v>
      </c>
      <c r="W92" s="51">
        <f t="shared" si="9"/>
        <v>21460</v>
      </c>
      <c r="X92" s="52">
        <f t="shared" si="10"/>
        <v>14.44</v>
      </c>
      <c r="Y92" s="53">
        <f t="shared" si="11"/>
        <v>14.44</v>
      </c>
      <c r="Z92" s="54"/>
      <c r="AA92" s="71"/>
      <c r="AB92" s="71"/>
      <c r="AC92" s="128"/>
      <c r="AD92" s="33"/>
      <c r="AE92" s="55"/>
    </row>
    <row r="93" spans="2:31" ht="20.100000000000001" hidden="1" customHeight="1">
      <c r="B93" s="48">
        <v>59</v>
      </c>
      <c r="C93" s="121" t="s">
        <v>850</v>
      </c>
      <c r="D93" s="120" t="s">
        <v>349</v>
      </c>
      <c r="E93" s="120">
        <v>2603</v>
      </c>
      <c r="F93" s="120" t="s">
        <v>700</v>
      </c>
      <c r="G93" s="120" t="s">
        <v>699</v>
      </c>
      <c r="H93" s="49"/>
      <c r="I93" s="50" t="s">
        <v>925</v>
      </c>
      <c r="J93" s="124" t="s">
        <v>928</v>
      </c>
      <c r="K93" s="50" t="s">
        <v>923</v>
      </c>
      <c r="L93" s="50" t="s">
        <v>519</v>
      </c>
      <c r="M93" s="56" t="s">
        <v>12</v>
      </c>
      <c r="N93" s="122" t="s">
        <v>847</v>
      </c>
      <c r="O93" s="57">
        <v>1</v>
      </c>
      <c r="P93" s="45">
        <v>1750</v>
      </c>
      <c r="Q93" s="58">
        <f t="shared" si="7"/>
        <v>1750</v>
      </c>
      <c r="R93" s="141">
        <v>46118</v>
      </c>
      <c r="S93" s="19"/>
      <c r="T93" s="32"/>
      <c r="U93" s="32"/>
      <c r="V93" s="51">
        <f t="shared" si="8"/>
        <v>2029.9999999999998</v>
      </c>
      <c r="W93" s="51">
        <f t="shared" si="9"/>
        <v>2029.9999999999998</v>
      </c>
      <c r="X93" s="52">
        <f t="shared" si="10"/>
        <v>1.37</v>
      </c>
      <c r="Y93" s="53">
        <f t="shared" si="11"/>
        <v>1.37</v>
      </c>
      <c r="Z93" s="54"/>
      <c r="AA93" s="71"/>
      <c r="AB93" s="71"/>
      <c r="AC93" s="128"/>
      <c r="AD93" s="33"/>
      <c r="AE93" s="55"/>
    </row>
    <row r="94" spans="2:31" ht="20.100000000000001" hidden="1" customHeight="1">
      <c r="B94" s="48">
        <v>60</v>
      </c>
      <c r="C94" s="121" t="s">
        <v>850</v>
      </c>
      <c r="D94" s="120" t="s">
        <v>349</v>
      </c>
      <c r="E94" s="120">
        <v>2603</v>
      </c>
      <c r="F94" s="120" t="s">
        <v>700</v>
      </c>
      <c r="G94" s="120" t="s">
        <v>699</v>
      </c>
      <c r="H94" s="49"/>
      <c r="I94" s="50" t="s">
        <v>927</v>
      </c>
      <c r="J94" s="124" t="s">
        <v>926</v>
      </c>
      <c r="K94" s="50" t="s">
        <v>923</v>
      </c>
      <c r="L94" s="50" t="s">
        <v>519</v>
      </c>
      <c r="M94" s="56" t="s">
        <v>12</v>
      </c>
      <c r="N94" s="122" t="s">
        <v>847</v>
      </c>
      <c r="O94" s="57">
        <v>1</v>
      </c>
      <c r="P94" s="45">
        <v>20500</v>
      </c>
      <c r="Q94" s="58">
        <f t="shared" si="7"/>
        <v>20500</v>
      </c>
      <c r="R94" s="141">
        <v>46118</v>
      </c>
      <c r="S94" s="19"/>
      <c r="T94" s="32"/>
      <c r="U94" s="32"/>
      <c r="V94" s="51">
        <f t="shared" si="8"/>
        <v>23780</v>
      </c>
      <c r="W94" s="51">
        <f t="shared" si="9"/>
        <v>23780</v>
      </c>
      <c r="X94" s="52">
        <f t="shared" si="10"/>
        <v>16</v>
      </c>
      <c r="Y94" s="53">
        <f t="shared" si="11"/>
        <v>16</v>
      </c>
      <c r="Z94" s="54"/>
      <c r="AA94" s="71"/>
      <c r="AB94" s="71"/>
      <c r="AC94" s="128"/>
      <c r="AD94" s="33"/>
      <c r="AE94" s="55"/>
    </row>
    <row r="95" spans="2:31" ht="20.100000000000001" hidden="1" customHeight="1">
      <c r="B95" s="48">
        <v>61</v>
      </c>
      <c r="C95" s="121" t="s">
        <v>850</v>
      </c>
      <c r="D95" s="120" t="s">
        <v>349</v>
      </c>
      <c r="E95" s="120">
        <v>2603</v>
      </c>
      <c r="F95" s="120" t="s">
        <v>700</v>
      </c>
      <c r="G95" s="120" t="s">
        <v>699</v>
      </c>
      <c r="H95" s="49"/>
      <c r="I95" s="50" t="s">
        <v>925</v>
      </c>
      <c r="J95" s="124" t="s">
        <v>924</v>
      </c>
      <c r="K95" s="50" t="s">
        <v>923</v>
      </c>
      <c r="L95" s="50" t="s">
        <v>519</v>
      </c>
      <c r="M95" s="56" t="s">
        <v>12</v>
      </c>
      <c r="N95" s="122" t="s">
        <v>847</v>
      </c>
      <c r="O95" s="57">
        <v>2</v>
      </c>
      <c r="P95" s="45">
        <v>2150</v>
      </c>
      <c r="Q95" s="58">
        <f t="shared" si="7"/>
        <v>4300</v>
      </c>
      <c r="R95" s="141">
        <v>46118</v>
      </c>
      <c r="S95" s="19"/>
      <c r="T95" s="32"/>
      <c r="U95" s="32"/>
      <c r="V95" s="51">
        <f t="shared" si="8"/>
        <v>2494</v>
      </c>
      <c r="W95" s="51">
        <f t="shared" si="9"/>
        <v>4988</v>
      </c>
      <c r="X95" s="52">
        <f t="shared" si="10"/>
        <v>1.68</v>
      </c>
      <c r="Y95" s="53">
        <f t="shared" si="11"/>
        <v>3.36</v>
      </c>
      <c r="Z95" s="54"/>
      <c r="AA95" s="71"/>
      <c r="AB95" s="71"/>
      <c r="AC95" s="128"/>
      <c r="AD95" s="33"/>
      <c r="AE95" s="55"/>
    </row>
    <row r="96" spans="2:31" ht="20.100000000000001" hidden="1" customHeight="1">
      <c r="B96" s="48">
        <v>62</v>
      </c>
      <c r="C96" s="121" t="s">
        <v>850</v>
      </c>
      <c r="D96" s="120" t="s">
        <v>349</v>
      </c>
      <c r="E96" s="120">
        <v>2603</v>
      </c>
      <c r="F96" s="120" t="s">
        <v>700</v>
      </c>
      <c r="G96" s="120" t="s">
        <v>699</v>
      </c>
      <c r="H96" s="49"/>
      <c r="I96" s="50" t="s">
        <v>63</v>
      </c>
      <c r="J96" s="124" t="s">
        <v>922</v>
      </c>
      <c r="K96" s="50" t="s">
        <v>921</v>
      </c>
      <c r="L96" s="50" t="s">
        <v>519</v>
      </c>
      <c r="M96" s="56" t="s">
        <v>12</v>
      </c>
      <c r="N96" s="122" t="s">
        <v>847</v>
      </c>
      <c r="O96" s="57">
        <v>1</v>
      </c>
      <c r="P96" s="45">
        <v>7200</v>
      </c>
      <c r="Q96" s="58">
        <f t="shared" si="7"/>
        <v>7200</v>
      </c>
      <c r="R96" s="141">
        <v>46118</v>
      </c>
      <c r="S96" s="19"/>
      <c r="T96" s="32"/>
      <c r="U96" s="32"/>
      <c r="V96" s="51">
        <f t="shared" si="8"/>
        <v>8352</v>
      </c>
      <c r="W96" s="51">
        <f t="shared" si="9"/>
        <v>8352</v>
      </c>
      <c r="X96" s="52">
        <f t="shared" si="10"/>
        <v>5.62</v>
      </c>
      <c r="Y96" s="53">
        <f t="shared" si="11"/>
        <v>5.62</v>
      </c>
      <c r="Z96" s="54"/>
      <c r="AA96" s="71"/>
      <c r="AB96" s="71"/>
      <c r="AC96" s="128"/>
      <c r="AD96" s="33"/>
      <c r="AE96" s="55"/>
    </row>
    <row r="97" spans="2:31" ht="20.100000000000001" hidden="1" customHeight="1">
      <c r="B97" s="48">
        <v>63</v>
      </c>
      <c r="C97" s="121" t="s">
        <v>850</v>
      </c>
      <c r="D97" s="120" t="s">
        <v>349</v>
      </c>
      <c r="E97" s="120">
        <v>2603</v>
      </c>
      <c r="F97" s="120" t="s">
        <v>700</v>
      </c>
      <c r="G97" s="120" t="s">
        <v>699</v>
      </c>
      <c r="H97" s="49"/>
      <c r="I97" s="50" t="s">
        <v>149</v>
      </c>
      <c r="J97" s="124" t="s">
        <v>920</v>
      </c>
      <c r="K97" s="50" t="s">
        <v>88</v>
      </c>
      <c r="L97" s="50" t="s">
        <v>519</v>
      </c>
      <c r="M97" s="56" t="s">
        <v>12</v>
      </c>
      <c r="N97" s="122" t="s">
        <v>666</v>
      </c>
      <c r="O97" s="57">
        <v>1</v>
      </c>
      <c r="P97" s="45">
        <v>15500</v>
      </c>
      <c r="Q97" s="58">
        <f t="shared" si="7"/>
        <v>15500</v>
      </c>
      <c r="R97" s="141">
        <v>46118</v>
      </c>
      <c r="S97" s="19"/>
      <c r="T97" s="32"/>
      <c r="U97" s="32"/>
      <c r="V97" s="51">
        <f t="shared" si="8"/>
        <v>17980</v>
      </c>
      <c r="W97" s="51">
        <f t="shared" si="9"/>
        <v>17980</v>
      </c>
      <c r="X97" s="52">
        <f t="shared" si="10"/>
        <v>12.09</v>
      </c>
      <c r="Y97" s="53">
        <f t="shared" si="11"/>
        <v>12.09</v>
      </c>
      <c r="Z97" s="54"/>
      <c r="AA97" s="71"/>
      <c r="AB97" s="71"/>
      <c r="AC97" s="128"/>
      <c r="AD97" s="33"/>
      <c r="AE97" s="55"/>
    </row>
    <row r="98" spans="2:31" ht="20.100000000000001" hidden="1" customHeight="1">
      <c r="B98" s="48">
        <v>64</v>
      </c>
      <c r="C98" s="121" t="s">
        <v>850</v>
      </c>
      <c r="D98" s="120" t="s">
        <v>349</v>
      </c>
      <c r="E98" s="120">
        <v>2603</v>
      </c>
      <c r="F98" s="120" t="s">
        <v>700</v>
      </c>
      <c r="G98" s="120" t="s">
        <v>699</v>
      </c>
      <c r="H98" s="49"/>
      <c r="I98" s="50" t="s">
        <v>149</v>
      </c>
      <c r="J98" s="124" t="s">
        <v>919</v>
      </c>
      <c r="K98" s="50" t="s">
        <v>88</v>
      </c>
      <c r="L98" s="50" t="s">
        <v>519</v>
      </c>
      <c r="M98" s="56" t="s">
        <v>12</v>
      </c>
      <c r="N98" s="122" t="s">
        <v>666</v>
      </c>
      <c r="O98" s="57">
        <v>5</v>
      </c>
      <c r="P98" s="45">
        <v>15500</v>
      </c>
      <c r="Q98" s="58">
        <f t="shared" si="7"/>
        <v>77500</v>
      </c>
      <c r="R98" s="141">
        <v>46118</v>
      </c>
      <c r="S98" s="19"/>
      <c r="T98" s="32"/>
      <c r="U98" s="32"/>
      <c r="V98" s="51">
        <f t="shared" si="8"/>
        <v>17980</v>
      </c>
      <c r="W98" s="51">
        <f t="shared" si="9"/>
        <v>89900</v>
      </c>
      <c r="X98" s="52">
        <f t="shared" si="10"/>
        <v>12.09</v>
      </c>
      <c r="Y98" s="53">
        <f t="shared" si="11"/>
        <v>60.45</v>
      </c>
      <c r="Z98" s="54"/>
      <c r="AA98" s="71"/>
      <c r="AB98" s="71"/>
      <c r="AC98" s="128"/>
      <c r="AD98" s="33"/>
      <c r="AE98" s="55"/>
    </row>
    <row r="99" spans="2:31" ht="20.100000000000001" hidden="1" customHeight="1">
      <c r="B99" s="48">
        <v>65</v>
      </c>
      <c r="C99" s="121" t="s">
        <v>850</v>
      </c>
      <c r="D99" s="120" t="s">
        <v>349</v>
      </c>
      <c r="E99" s="120">
        <v>2603</v>
      </c>
      <c r="F99" s="120" t="s">
        <v>700</v>
      </c>
      <c r="G99" s="120" t="s">
        <v>699</v>
      </c>
      <c r="H99" s="49"/>
      <c r="I99" s="50" t="s">
        <v>149</v>
      </c>
      <c r="J99" s="124" t="s">
        <v>918</v>
      </c>
      <c r="K99" s="50" t="s">
        <v>88</v>
      </c>
      <c r="L99" s="50" t="s">
        <v>519</v>
      </c>
      <c r="M99" s="56" t="s">
        <v>12</v>
      </c>
      <c r="N99" s="122" t="s">
        <v>666</v>
      </c>
      <c r="O99" s="57">
        <v>1</v>
      </c>
      <c r="P99" s="45">
        <v>15500</v>
      </c>
      <c r="Q99" s="58">
        <f t="shared" ref="Q99:Q126" si="12">O99*P99</f>
        <v>15500</v>
      </c>
      <c r="R99" s="141">
        <v>46118</v>
      </c>
      <c r="S99" s="19"/>
      <c r="T99" s="32"/>
      <c r="U99" s="32"/>
      <c r="V99" s="51">
        <f t="shared" si="8"/>
        <v>17980</v>
      </c>
      <c r="W99" s="51">
        <f t="shared" si="9"/>
        <v>17980</v>
      </c>
      <c r="X99" s="52">
        <f t="shared" si="10"/>
        <v>12.09</v>
      </c>
      <c r="Y99" s="53">
        <f t="shared" si="11"/>
        <v>12.09</v>
      </c>
      <c r="Z99" s="54"/>
      <c r="AA99" s="71"/>
      <c r="AB99" s="71"/>
      <c r="AC99" s="128"/>
      <c r="AD99" s="33"/>
      <c r="AE99" s="55"/>
    </row>
    <row r="100" spans="2:31" ht="20.100000000000001" hidden="1" customHeight="1">
      <c r="B100" s="48">
        <v>66</v>
      </c>
      <c r="C100" s="121" t="s">
        <v>850</v>
      </c>
      <c r="D100" s="120" t="s">
        <v>349</v>
      </c>
      <c r="E100" s="120">
        <v>2603</v>
      </c>
      <c r="F100" s="120" t="s">
        <v>700</v>
      </c>
      <c r="G100" s="120" t="s">
        <v>699</v>
      </c>
      <c r="H100" s="49"/>
      <c r="I100" s="50" t="s">
        <v>917</v>
      </c>
      <c r="J100" s="124" t="s">
        <v>87</v>
      </c>
      <c r="K100" s="50" t="s">
        <v>88</v>
      </c>
      <c r="L100" s="50" t="s">
        <v>519</v>
      </c>
      <c r="M100" s="56" t="s">
        <v>12</v>
      </c>
      <c r="N100" s="122" t="s">
        <v>666</v>
      </c>
      <c r="O100" s="57">
        <v>8</v>
      </c>
      <c r="P100" s="45">
        <v>2600</v>
      </c>
      <c r="Q100" s="58">
        <f t="shared" si="12"/>
        <v>20800</v>
      </c>
      <c r="R100" s="141">
        <v>46118</v>
      </c>
      <c r="S100" s="19"/>
      <c r="T100" s="32"/>
      <c r="U100" s="32"/>
      <c r="V100" s="51">
        <f t="shared" si="8"/>
        <v>3016</v>
      </c>
      <c r="W100" s="51">
        <f t="shared" si="9"/>
        <v>24128</v>
      </c>
      <c r="X100" s="52">
        <f t="shared" si="10"/>
        <v>2.0299999999999998</v>
      </c>
      <c r="Y100" s="53">
        <f t="shared" si="11"/>
        <v>16.239999999999998</v>
      </c>
      <c r="Z100" s="54"/>
      <c r="AA100" s="71"/>
      <c r="AB100" s="71"/>
      <c r="AC100" s="128"/>
      <c r="AD100" s="33"/>
      <c r="AE100" s="55"/>
    </row>
    <row r="101" spans="2:31" ht="20.100000000000001" hidden="1" customHeight="1">
      <c r="B101" s="48">
        <v>67</v>
      </c>
      <c r="C101" s="121" t="s">
        <v>850</v>
      </c>
      <c r="D101" s="120" t="s">
        <v>349</v>
      </c>
      <c r="E101" s="120">
        <v>2603</v>
      </c>
      <c r="F101" s="120" t="s">
        <v>700</v>
      </c>
      <c r="G101" s="120" t="s">
        <v>699</v>
      </c>
      <c r="H101" s="49"/>
      <c r="I101" s="50" t="s">
        <v>158</v>
      </c>
      <c r="J101" s="124" t="s">
        <v>916</v>
      </c>
      <c r="K101" s="50" t="s">
        <v>83</v>
      </c>
      <c r="L101" s="50" t="s">
        <v>519</v>
      </c>
      <c r="M101" s="56" t="s">
        <v>12</v>
      </c>
      <c r="N101" s="122" t="s">
        <v>665</v>
      </c>
      <c r="O101" s="57">
        <v>2</v>
      </c>
      <c r="P101" s="45">
        <v>2300</v>
      </c>
      <c r="Q101" s="58">
        <f t="shared" si="12"/>
        <v>4600</v>
      </c>
      <c r="R101" s="141">
        <v>46118</v>
      </c>
      <c r="S101" s="19"/>
      <c r="T101" s="32"/>
      <c r="U101" s="32"/>
      <c r="V101" s="51">
        <f t="shared" si="8"/>
        <v>2668</v>
      </c>
      <c r="W101" s="51">
        <f t="shared" si="9"/>
        <v>5336</v>
      </c>
      <c r="X101" s="52">
        <f t="shared" si="10"/>
        <v>1.79</v>
      </c>
      <c r="Y101" s="53">
        <f t="shared" si="11"/>
        <v>3.58</v>
      </c>
      <c r="Z101" s="54"/>
      <c r="AA101" s="71"/>
      <c r="AB101" s="71"/>
      <c r="AC101" s="128"/>
      <c r="AD101" s="33"/>
      <c r="AE101" s="55"/>
    </row>
    <row r="102" spans="2:31" ht="20.100000000000001" hidden="1" customHeight="1">
      <c r="B102" s="48">
        <v>68</v>
      </c>
      <c r="C102" s="121" t="s">
        <v>850</v>
      </c>
      <c r="D102" s="120" t="s">
        <v>349</v>
      </c>
      <c r="E102" s="120">
        <v>2603</v>
      </c>
      <c r="F102" s="120" t="s">
        <v>700</v>
      </c>
      <c r="G102" s="120" t="s">
        <v>699</v>
      </c>
      <c r="H102" s="49"/>
      <c r="I102" s="50" t="s">
        <v>915</v>
      </c>
      <c r="J102" s="124" t="s">
        <v>914</v>
      </c>
      <c r="K102" s="50" t="s">
        <v>913</v>
      </c>
      <c r="L102" s="50" t="s">
        <v>519</v>
      </c>
      <c r="M102" s="56" t="s">
        <v>12</v>
      </c>
      <c r="N102" s="122" t="s">
        <v>665</v>
      </c>
      <c r="O102" s="57">
        <v>1</v>
      </c>
      <c r="P102" s="45">
        <v>13400</v>
      </c>
      <c r="Q102" s="58">
        <f t="shared" si="12"/>
        <v>13400</v>
      </c>
      <c r="R102" s="141">
        <v>46118</v>
      </c>
      <c r="S102" s="19"/>
      <c r="T102" s="32"/>
      <c r="U102" s="32"/>
      <c r="V102" s="51">
        <f t="shared" si="8"/>
        <v>15543.999999999998</v>
      </c>
      <c r="W102" s="51">
        <f t="shared" si="9"/>
        <v>15543.999999999998</v>
      </c>
      <c r="X102" s="52">
        <f t="shared" si="10"/>
        <v>10.46</v>
      </c>
      <c r="Y102" s="53">
        <f t="shared" si="11"/>
        <v>10.46</v>
      </c>
      <c r="Z102" s="54"/>
      <c r="AA102" s="71"/>
      <c r="AB102" s="71"/>
      <c r="AC102" s="128"/>
      <c r="AD102" s="33"/>
      <c r="AE102" s="55"/>
    </row>
    <row r="103" spans="2:31" ht="20.100000000000001" hidden="1" customHeight="1">
      <c r="B103" s="48">
        <v>69</v>
      </c>
      <c r="C103" s="121" t="s">
        <v>850</v>
      </c>
      <c r="D103" s="120" t="s">
        <v>349</v>
      </c>
      <c r="E103" s="120">
        <v>2603</v>
      </c>
      <c r="F103" s="120" t="s">
        <v>700</v>
      </c>
      <c r="G103" s="120" t="s">
        <v>699</v>
      </c>
      <c r="H103" s="49"/>
      <c r="I103" s="50" t="s">
        <v>97</v>
      </c>
      <c r="J103" s="124" t="s">
        <v>106</v>
      </c>
      <c r="K103" s="50" t="s">
        <v>98</v>
      </c>
      <c r="L103" s="50" t="s">
        <v>519</v>
      </c>
      <c r="M103" s="56" t="s">
        <v>12</v>
      </c>
      <c r="N103" s="122" t="s">
        <v>665</v>
      </c>
      <c r="O103" s="57">
        <v>9</v>
      </c>
      <c r="P103" s="45">
        <v>160</v>
      </c>
      <c r="Q103" s="58">
        <f t="shared" si="12"/>
        <v>1440</v>
      </c>
      <c r="R103" s="141">
        <v>46118</v>
      </c>
      <c r="S103" s="19"/>
      <c r="T103" s="32"/>
      <c r="U103" s="32"/>
      <c r="V103" s="51">
        <f t="shared" si="8"/>
        <v>185.6</v>
      </c>
      <c r="W103" s="51">
        <f t="shared" si="9"/>
        <v>1670.3999999999999</v>
      </c>
      <c r="X103" s="52">
        <f t="shared" si="10"/>
        <v>0.12</v>
      </c>
      <c r="Y103" s="53">
        <f t="shared" si="11"/>
        <v>1.08</v>
      </c>
      <c r="Z103" s="54"/>
      <c r="AA103" s="71"/>
      <c r="AB103" s="71"/>
      <c r="AC103" s="128"/>
      <c r="AD103" s="33"/>
      <c r="AE103" s="55"/>
    </row>
    <row r="104" spans="2:31" ht="20.100000000000001" hidden="1" customHeight="1">
      <c r="B104" s="48">
        <v>70</v>
      </c>
      <c r="C104" s="121" t="s">
        <v>850</v>
      </c>
      <c r="D104" s="120" t="s">
        <v>349</v>
      </c>
      <c r="E104" s="120">
        <v>2603</v>
      </c>
      <c r="F104" s="120" t="s">
        <v>700</v>
      </c>
      <c r="G104" s="120" t="s">
        <v>699</v>
      </c>
      <c r="H104" s="49"/>
      <c r="I104" s="50" t="s">
        <v>912</v>
      </c>
      <c r="J104" s="124" t="s">
        <v>911</v>
      </c>
      <c r="K104" s="50" t="s">
        <v>98</v>
      </c>
      <c r="L104" s="50" t="s">
        <v>519</v>
      </c>
      <c r="M104" s="56" t="s">
        <v>12</v>
      </c>
      <c r="N104" s="122" t="s">
        <v>665</v>
      </c>
      <c r="O104" s="57">
        <v>2</v>
      </c>
      <c r="P104" s="45">
        <v>1900</v>
      </c>
      <c r="Q104" s="58">
        <f t="shared" si="12"/>
        <v>3800</v>
      </c>
      <c r="R104" s="141">
        <v>46118</v>
      </c>
      <c r="S104" s="19"/>
      <c r="T104" s="32"/>
      <c r="U104" s="32"/>
      <c r="V104" s="51">
        <f t="shared" si="8"/>
        <v>2204</v>
      </c>
      <c r="W104" s="51">
        <f t="shared" si="9"/>
        <v>4408</v>
      </c>
      <c r="X104" s="52">
        <f t="shared" si="10"/>
        <v>1.48</v>
      </c>
      <c r="Y104" s="53">
        <f t="shared" si="11"/>
        <v>2.96</v>
      </c>
      <c r="Z104" s="54"/>
      <c r="AA104" s="71"/>
      <c r="AB104" s="71"/>
      <c r="AC104" s="128"/>
      <c r="AD104" s="33"/>
      <c r="AE104" s="55"/>
    </row>
    <row r="105" spans="2:31" ht="20.100000000000001" hidden="1" customHeight="1">
      <c r="B105" s="48">
        <v>71</v>
      </c>
      <c r="C105" s="121" t="s">
        <v>850</v>
      </c>
      <c r="D105" s="120" t="s">
        <v>349</v>
      </c>
      <c r="E105" s="120">
        <v>2603</v>
      </c>
      <c r="F105" s="120" t="s">
        <v>700</v>
      </c>
      <c r="G105" s="120" t="s">
        <v>699</v>
      </c>
      <c r="H105" s="49"/>
      <c r="I105" s="50" t="s">
        <v>85</v>
      </c>
      <c r="J105" s="124" t="s">
        <v>910</v>
      </c>
      <c r="K105" s="50" t="s">
        <v>88</v>
      </c>
      <c r="L105" s="50" t="s">
        <v>519</v>
      </c>
      <c r="M105" s="56" t="s">
        <v>12</v>
      </c>
      <c r="N105" s="122" t="s">
        <v>666</v>
      </c>
      <c r="O105" s="57">
        <v>1</v>
      </c>
      <c r="P105" s="45">
        <v>37000</v>
      </c>
      <c r="Q105" s="58">
        <f t="shared" si="12"/>
        <v>37000</v>
      </c>
      <c r="R105" s="141">
        <v>46118</v>
      </c>
      <c r="S105" s="19"/>
      <c r="T105" s="32"/>
      <c r="U105" s="32"/>
      <c r="V105" s="51">
        <f t="shared" si="8"/>
        <v>42920</v>
      </c>
      <c r="W105" s="51">
        <f t="shared" si="9"/>
        <v>42920</v>
      </c>
      <c r="X105" s="52">
        <f t="shared" si="10"/>
        <v>28.87</v>
      </c>
      <c r="Y105" s="53">
        <f t="shared" si="11"/>
        <v>28.87</v>
      </c>
      <c r="Z105" s="54"/>
      <c r="AA105" s="71"/>
      <c r="AB105" s="71"/>
      <c r="AC105" s="128"/>
      <c r="AD105" s="33"/>
      <c r="AE105" s="55"/>
    </row>
    <row r="106" spans="2:31" ht="20.100000000000001" hidden="1" customHeight="1">
      <c r="B106" s="48">
        <v>72</v>
      </c>
      <c r="C106" s="121" t="s">
        <v>850</v>
      </c>
      <c r="D106" s="120" t="s">
        <v>349</v>
      </c>
      <c r="E106" s="120">
        <v>2603</v>
      </c>
      <c r="F106" s="120" t="s">
        <v>700</v>
      </c>
      <c r="G106" s="120" t="s">
        <v>699</v>
      </c>
      <c r="H106" s="49"/>
      <c r="I106" s="50" t="s">
        <v>909</v>
      </c>
      <c r="J106" s="124" t="s">
        <v>908</v>
      </c>
      <c r="K106" s="50" t="s">
        <v>907</v>
      </c>
      <c r="L106" s="50" t="s">
        <v>519</v>
      </c>
      <c r="M106" s="56" t="s">
        <v>12</v>
      </c>
      <c r="N106" s="122" t="s">
        <v>665</v>
      </c>
      <c r="O106" s="57">
        <v>1</v>
      </c>
      <c r="P106" s="45">
        <v>38000</v>
      </c>
      <c r="Q106" s="58">
        <f t="shared" si="12"/>
        <v>38000</v>
      </c>
      <c r="R106" s="141">
        <v>46118</v>
      </c>
      <c r="S106" s="19"/>
      <c r="T106" s="32"/>
      <c r="U106" s="32"/>
      <c r="V106" s="51">
        <f t="shared" si="8"/>
        <v>44080</v>
      </c>
      <c r="W106" s="51">
        <f t="shared" si="9"/>
        <v>44080</v>
      </c>
      <c r="X106" s="52">
        <f t="shared" si="10"/>
        <v>29.65</v>
      </c>
      <c r="Y106" s="53">
        <f t="shared" si="11"/>
        <v>29.65</v>
      </c>
      <c r="Z106" s="54"/>
      <c r="AA106" s="71"/>
      <c r="AB106" s="71"/>
      <c r="AC106" s="128"/>
      <c r="AD106" s="33"/>
      <c r="AE106" s="55"/>
    </row>
    <row r="107" spans="2:31" ht="20.100000000000001" hidden="1" customHeight="1">
      <c r="B107" s="48">
        <v>86</v>
      </c>
      <c r="C107" s="121" t="s">
        <v>850</v>
      </c>
      <c r="D107" s="120" t="s">
        <v>349</v>
      </c>
      <c r="E107" s="120">
        <v>2603</v>
      </c>
      <c r="F107" s="120" t="s">
        <v>700</v>
      </c>
      <c r="G107" s="120" t="s">
        <v>699</v>
      </c>
      <c r="H107" s="49"/>
      <c r="I107" s="50" t="s">
        <v>135</v>
      </c>
      <c r="J107" s="124" t="s">
        <v>890</v>
      </c>
      <c r="K107" s="50" t="s">
        <v>887</v>
      </c>
      <c r="L107" s="50" t="s">
        <v>886</v>
      </c>
      <c r="M107" s="56" t="s">
        <v>12</v>
      </c>
      <c r="N107" s="122" t="s">
        <v>665</v>
      </c>
      <c r="O107" s="57">
        <v>1</v>
      </c>
      <c r="P107" s="45">
        <v>200000</v>
      </c>
      <c r="Q107" s="58">
        <f t="shared" si="12"/>
        <v>200000</v>
      </c>
      <c r="R107" s="141">
        <v>46121</v>
      </c>
      <c r="S107" s="19"/>
      <c r="T107" s="32"/>
      <c r="U107" s="32"/>
      <c r="V107" s="51">
        <f t="shared" si="8"/>
        <v>231999.99999999997</v>
      </c>
      <c r="W107" s="51">
        <f t="shared" si="9"/>
        <v>231999.99999999997</v>
      </c>
      <c r="X107" s="52">
        <f t="shared" si="10"/>
        <v>156.06</v>
      </c>
      <c r="Y107" s="53">
        <f t="shared" si="11"/>
        <v>156.06</v>
      </c>
      <c r="Z107" s="54"/>
      <c r="AA107" s="71"/>
      <c r="AB107" s="71"/>
      <c r="AC107" s="128"/>
      <c r="AD107" s="33"/>
      <c r="AE107" s="55"/>
    </row>
    <row r="108" spans="2:31" ht="20.100000000000001" hidden="1" customHeight="1">
      <c r="B108" s="48">
        <v>87</v>
      </c>
      <c r="C108" s="121" t="s">
        <v>850</v>
      </c>
      <c r="D108" s="120" t="s">
        <v>349</v>
      </c>
      <c r="E108" s="120">
        <v>2603</v>
      </c>
      <c r="F108" s="120" t="s">
        <v>700</v>
      </c>
      <c r="G108" s="120" t="s">
        <v>699</v>
      </c>
      <c r="H108" s="49"/>
      <c r="I108" s="50" t="s">
        <v>137</v>
      </c>
      <c r="J108" s="124" t="s">
        <v>889</v>
      </c>
      <c r="K108" s="50" t="s">
        <v>887</v>
      </c>
      <c r="L108" s="50" t="s">
        <v>886</v>
      </c>
      <c r="M108" s="56" t="s">
        <v>12</v>
      </c>
      <c r="N108" s="122" t="s">
        <v>665</v>
      </c>
      <c r="O108" s="57">
        <v>1</v>
      </c>
      <c r="P108" s="45">
        <v>220000</v>
      </c>
      <c r="Q108" s="58">
        <f t="shared" si="12"/>
        <v>220000</v>
      </c>
      <c r="R108" s="141">
        <v>46121</v>
      </c>
      <c r="S108" s="19"/>
      <c r="T108" s="32"/>
      <c r="U108" s="32"/>
      <c r="V108" s="51">
        <f t="shared" si="8"/>
        <v>255199.99999999997</v>
      </c>
      <c r="W108" s="51">
        <f t="shared" si="9"/>
        <v>255199.99999999997</v>
      </c>
      <c r="X108" s="52">
        <f t="shared" si="10"/>
        <v>171.66</v>
      </c>
      <c r="Y108" s="53">
        <f t="shared" si="11"/>
        <v>171.66</v>
      </c>
      <c r="Z108" s="54"/>
      <c r="AA108" s="71"/>
      <c r="AB108" s="71"/>
      <c r="AC108" s="128"/>
      <c r="AD108" s="33"/>
      <c r="AE108" s="55"/>
    </row>
    <row r="109" spans="2:31" ht="20.100000000000001" hidden="1" customHeight="1">
      <c r="B109" s="48">
        <v>88</v>
      </c>
      <c r="C109" s="121" t="s">
        <v>850</v>
      </c>
      <c r="D109" s="120" t="s">
        <v>349</v>
      </c>
      <c r="E109" s="120">
        <v>2603</v>
      </c>
      <c r="F109" s="120" t="s">
        <v>700</v>
      </c>
      <c r="G109" s="120" t="s">
        <v>699</v>
      </c>
      <c r="H109" s="49"/>
      <c r="I109" s="50" t="s">
        <v>67</v>
      </c>
      <c r="J109" s="124" t="s">
        <v>888</v>
      </c>
      <c r="K109" s="50" t="s">
        <v>887</v>
      </c>
      <c r="L109" s="50" t="s">
        <v>886</v>
      </c>
      <c r="M109" s="56" t="s">
        <v>12</v>
      </c>
      <c r="N109" s="122" t="s">
        <v>665</v>
      </c>
      <c r="O109" s="57">
        <v>1</v>
      </c>
      <c r="P109" s="45">
        <v>900000</v>
      </c>
      <c r="Q109" s="58">
        <f t="shared" si="12"/>
        <v>900000</v>
      </c>
      <c r="R109" s="141">
        <v>46121</v>
      </c>
      <c r="S109" s="19"/>
      <c r="T109" s="32"/>
      <c r="U109" s="32"/>
      <c r="V109" s="51">
        <f t="shared" si="8"/>
        <v>1043999.9999999999</v>
      </c>
      <c r="W109" s="51">
        <f t="shared" si="9"/>
        <v>1043999.9999999999</v>
      </c>
      <c r="X109" s="52">
        <f t="shared" si="10"/>
        <v>702.25</v>
      </c>
      <c r="Y109" s="53">
        <f t="shared" si="11"/>
        <v>702.25</v>
      </c>
      <c r="Z109" s="54"/>
      <c r="AA109" s="71"/>
      <c r="AB109" s="71"/>
      <c r="AC109" s="128"/>
      <c r="AD109" s="33"/>
      <c r="AE109" s="55"/>
    </row>
    <row r="110" spans="2:31" ht="20.100000000000001" hidden="1" customHeight="1">
      <c r="B110" s="48">
        <v>90</v>
      </c>
      <c r="C110" s="121" t="s">
        <v>850</v>
      </c>
      <c r="D110" s="120" t="s">
        <v>349</v>
      </c>
      <c r="E110" s="120">
        <v>2603</v>
      </c>
      <c r="F110" s="120" t="s">
        <v>700</v>
      </c>
      <c r="G110" s="120" t="s">
        <v>699</v>
      </c>
      <c r="H110" s="49"/>
      <c r="I110" s="50" t="s">
        <v>578</v>
      </c>
      <c r="J110" s="124" t="s">
        <v>62</v>
      </c>
      <c r="K110" s="50" t="s">
        <v>61</v>
      </c>
      <c r="L110" s="50" t="s">
        <v>61</v>
      </c>
      <c r="M110" s="56" t="s">
        <v>12</v>
      </c>
      <c r="N110" s="122" t="s">
        <v>665</v>
      </c>
      <c r="O110" s="57">
        <v>1</v>
      </c>
      <c r="P110" s="45">
        <v>315000</v>
      </c>
      <c r="Q110" s="58">
        <f t="shared" si="12"/>
        <v>315000</v>
      </c>
      <c r="R110" s="141">
        <v>46115</v>
      </c>
      <c r="S110" s="19"/>
      <c r="T110" s="32"/>
      <c r="U110" s="32"/>
      <c r="V110" s="51">
        <f t="shared" si="8"/>
        <v>365400</v>
      </c>
      <c r="W110" s="51">
        <f t="shared" si="9"/>
        <v>365400</v>
      </c>
      <c r="X110" s="52">
        <f t="shared" si="10"/>
        <v>245.79</v>
      </c>
      <c r="Y110" s="53">
        <f t="shared" si="11"/>
        <v>245.79</v>
      </c>
      <c r="Z110" s="54"/>
      <c r="AA110" s="71"/>
      <c r="AB110" s="71"/>
      <c r="AC110" s="128"/>
      <c r="AD110" s="33"/>
      <c r="AE110" s="55"/>
    </row>
    <row r="111" spans="2:31" ht="20.100000000000001" hidden="1" customHeight="1">
      <c r="B111" s="48">
        <v>94</v>
      </c>
      <c r="C111" s="121" t="s">
        <v>850</v>
      </c>
      <c r="D111" s="120" t="s">
        <v>349</v>
      </c>
      <c r="E111" s="120">
        <v>2603</v>
      </c>
      <c r="F111" s="120" t="s">
        <v>700</v>
      </c>
      <c r="G111" s="120" t="s">
        <v>699</v>
      </c>
      <c r="H111" s="49"/>
      <c r="I111" s="50" t="s">
        <v>712</v>
      </c>
      <c r="J111" s="124" t="s">
        <v>878</v>
      </c>
      <c r="K111" s="50" t="s">
        <v>48</v>
      </c>
      <c r="L111" s="50" t="s">
        <v>604</v>
      </c>
      <c r="M111" s="56" t="s">
        <v>12</v>
      </c>
      <c r="N111" s="122" t="s">
        <v>666</v>
      </c>
      <c r="O111" s="57">
        <v>1</v>
      </c>
      <c r="P111" s="45">
        <v>11500</v>
      </c>
      <c r="Q111" s="58">
        <f t="shared" si="12"/>
        <v>11500</v>
      </c>
      <c r="R111" s="141">
        <v>46118</v>
      </c>
      <c r="S111" s="19"/>
      <c r="T111" s="32"/>
      <c r="U111" s="32"/>
      <c r="V111" s="51">
        <f t="shared" si="8"/>
        <v>13339.999999999998</v>
      </c>
      <c r="W111" s="51">
        <f t="shared" si="9"/>
        <v>13339.999999999998</v>
      </c>
      <c r="X111" s="52">
        <f t="shared" si="10"/>
        <v>8.9700000000000006</v>
      </c>
      <c r="Y111" s="53">
        <f t="shared" si="11"/>
        <v>8.9700000000000006</v>
      </c>
      <c r="Z111" s="54"/>
      <c r="AA111" s="71"/>
      <c r="AB111" s="71"/>
      <c r="AC111" s="128"/>
      <c r="AD111" s="33"/>
      <c r="AE111" s="55"/>
    </row>
    <row r="112" spans="2:31" ht="20.100000000000001" hidden="1" customHeight="1">
      <c r="B112" s="48">
        <v>95</v>
      </c>
      <c r="C112" s="121" t="s">
        <v>850</v>
      </c>
      <c r="D112" s="120" t="s">
        <v>349</v>
      </c>
      <c r="E112" s="120">
        <v>2603</v>
      </c>
      <c r="F112" s="120" t="s">
        <v>700</v>
      </c>
      <c r="G112" s="120" t="s">
        <v>699</v>
      </c>
      <c r="H112" s="49"/>
      <c r="I112" s="50" t="s">
        <v>712</v>
      </c>
      <c r="J112" s="124" t="s">
        <v>877</v>
      </c>
      <c r="K112" s="50" t="s">
        <v>48</v>
      </c>
      <c r="L112" s="50" t="s">
        <v>604</v>
      </c>
      <c r="M112" s="56" t="s">
        <v>12</v>
      </c>
      <c r="N112" s="122" t="s">
        <v>666</v>
      </c>
      <c r="O112" s="57">
        <v>1</v>
      </c>
      <c r="P112" s="45">
        <v>12000</v>
      </c>
      <c r="Q112" s="58">
        <f t="shared" si="12"/>
        <v>12000</v>
      </c>
      <c r="R112" s="141">
        <v>46118</v>
      </c>
      <c r="S112" s="19"/>
      <c r="T112" s="32"/>
      <c r="U112" s="32"/>
      <c r="V112" s="51">
        <f t="shared" si="8"/>
        <v>13919.999999999998</v>
      </c>
      <c r="W112" s="51">
        <f t="shared" si="9"/>
        <v>13919.999999999998</v>
      </c>
      <c r="X112" s="52">
        <f t="shared" si="10"/>
        <v>9.36</v>
      </c>
      <c r="Y112" s="53">
        <f t="shared" si="11"/>
        <v>9.36</v>
      </c>
      <c r="Z112" s="54"/>
      <c r="AA112" s="71"/>
      <c r="AB112" s="71"/>
      <c r="AC112" s="128"/>
      <c r="AD112" s="33"/>
      <c r="AE112" s="55"/>
    </row>
    <row r="113" spans="2:31" ht="20.100000000000001" hidden="1" customHeight="1">
      <c r="B113" s="48">
        <v>96</v>
      </c>
      <c r="C113" s="121" t="s">
        <v>850</v>
      </c>
      <c r="D113" s="120" t="s">
        <v>349</v>
      </c>
      <c r="E113" s="120">
        <v>2603</v>
      </c>
      <c r="F113" s="120" t="s">
        <v>700</v>
      </c>
      <c r="G113" s="120" t="s">
        <v>699</v>
      </c>
      <c r="H113" s="49"/>
      <c r="I113" s="50" t="s">
        <v>712</v>
      </c>
      <c r="J113" s="124" t="s">
        <v>876</v>
      </c>
      <c r="K113" s="50" t="s">
        <v>48</v>
      </c>
      <c r="L113" s="50" t="s">
        <v>604</v>
      </c>
      <c r="M113" s="56" t="s">
        <v>12</v>
      </c>
      <c r="N113" s="122" t="s">
        <v>666</v>
      </c>
      <c r="O113" s="57">
        <v>1</v>
      </c>
      <c r="P113" s="45">
        <v>4000</v>
      </c>
      <c r="Q113" s="58">
        <f t="shared" si="12"/>
        <v>4000</v>
      </c>
      <c r="R113" s="141">
        <v>46118</v>
      </c>
      <c r="S113" s="19"/>
      <c r="T113" s="32"/>
      <c r="U113" s="32"/>
      <c r="V113" s="51">
        <f t="shared" si="8"/>
        <v>4640</v>
      </c>
      <c r="W113" s="51">
        <f t="shared" si="9"/>
        <v>4640</v>
      </c>
      <c r="X113" s="52">
        <f t="shared" si="10"/>
        <v>3.12</v>
      </c>
      <c r="Y113" s="53">
        <f t="shared" si="11"/>
        <v>3.12</v>
      </c>
      <c r="Z113" s="54"/>
      <c r="AA113" s="71"/>
      <c r="AB113" s="71"/>
      <c r="AC113" s="128"/>
      <c r="AD113" s="33"/>
      <c r="AE113" s="55"/>
    </row>
    <row r="114" spans="2:31" ht="20.100000000000001" hidden="1" customHeight="1">
      <c r="B114" s="48">
        <v>97</v>
      </c>
      <c r="C114" s="121" t="s">
        <v>850</v>
      </c>
      <c r="D114" s="120" t="s">
        <v>349</v>
      </c>
      <c r="E114" s="120">
        <v>2603</v>
      </c>
      <c r="F114" s="120" t="s">
        <v>700</v>
      </c>
      <c r="G114" s="120" t="s">
        <v>699</v>
      </c>
      <c r="H114" s="49"/>
      <c r="I114" s="50" t="s">
        <v>177</v>
      </c>
      <c r="J114" s="124" t="s">
        <v>875</v>
      </c>
      <c r="K114" s="50" t="s">
        <v>48</v>
      </c>
      <c r="L114" s="50" t="s">
        <v>604</v>
      </c>
      <c r="M114" s="56" t="s">
        <v>12</v>
      </c>
      <c r="N114" s="122" t="s">
        <v>666</v>
      </c>
      <c r="O114" s="57">
        <v>2</v>
      </c>
      <c r="P114" s="45">
        <v>73000</v>
      </c>
      <c r="Q114" s="58">
        <f t="shared" si="12"/>
        <v>146000</v>
      </c>
      <c r="R114" s="141">
        <v>46118</v>
      </c>
      <c r="S114" s="19"/>
      <c r="T114" s="32"/>
      <c r="U114" s="32"/>
      <c r="V114" s="51">
        <f t="shared" si="8"/>
        <v>84680</v>
      </c>
      <c r="W114" s="51">
        <f t="shared" si="9"/>
        <v>169360</v>
      </c>
      <c r="X114" s="52">
        <f t="shared" si="10"/>
        <v>56.96</v>
      </c>
      <c r="Y114" s="53">
        <f t="shared" si="11"/>
        <v>113.92</v>
      </c>
      <c r="Z114" s="54"/>
      <c r="AA114" s="71"/>
      <c r="AB114" s="71"/>
      <c r="AC114" s="128"/>
      <c r="AD114" s="33"/>
      <c r="AE114" s="55"/>
    </row>
    <row r="115" spans="2:31" ht="20.100000000000001" hidden="1" customHeight="1">
      <c r="B115" s="48">
        <v>99</v>
      </c>
      <c r="C115" s="121" t="s">
        <v>850</v>
      </c>
      <c r="D115" s="120" t="s">
        <v>349</v>
      </c>
      <c r="E115" s="120">
        <v>2603</v>
      </c>
      <c r="F115" s="120" t="s">
        <v>700</v>
      </c>
      <c r="G115" s="120" t="s">
        <v>699</v>
      </c>
      <c r="H115" s="49"/>
      <c r="I115" s="50" t="s">
        <v>873</v>
      </c>
      <c r="J115" s="124" t="s">
        <v>874</v>
      </c>
      <c r="K115" s="50" t="s">
        <v>47</v>
      </c>
      <c r="L115" s="50" t="s">
        <v>607</v>
      </c>
      <c r="M115" s="56" t="s">
        <v>12</v>
      </c>
      <c r="N115" s="122" t="s">
        <v>666</v>
      </c>
      <c r="O115" s="57">
        <v>2</v>
      </c>
      <c r="P115" s="45">
        <v>195000</v>
      </c>
      <c r="Q115" s="58">
        <f t="shared" si="12"/>
        <v>390000</v>
      </c>
      <c r="R115" s="141">
        <v>46115</v>
      </c>
      <c r="S115" s="19"/>
      <c r="T115" s="32"/>
      <c r="U115" s="32"/>
      <c r="V115" s="51">
        <f t="shared" si="8"/>
        <v>226199.99999999997</v>
      </c>
      <c r="W115" s="51">
        <f t="shared" si="9"/>
        <v>452399.99999999994</v>
      </c>
      <c r="X115" s="52">
        <f t="shared" si="10"/>
        <v>152.16</v>
      </c>
      <c r="Y115" s="53">
        <f t="shared" si="11"/>
        <v>304.32</v>
      </c>
      <c r="Z115" s="54"/>
      <c r="AA115" s="71"/>
      <c r="AB115" s="71"/>
      <c r="AC115" s="128"/>
      <c r="AD115" s="33"/>
      <c r="AE115" s="55"/>
    </row>
    <row r="116" spans="2:31" ht="20.100000000000001" hidden="1" customHeight="1">
      <c r="B116" s="48">
        <v>100</v>
      </c>
      <c r="C116" s="121" t="s">
        <v>850</v>
      </c>
      <c r="D116" s="120" t="s">
        <v>349</v>
      </c>
      <c r="E116" s="120">
        <v>2603</v>
      </c>
      <c r="F116" s="120" t="s">
        <v>700</v>
      </c>
      <c r="G116" s="120" t="s">
        <v>699</v>
      </c>
      <c r="H116" s="49"/>
      <c r="I116" s="50" t="s">
        <v>871</v>
      </c>
      <c r="J116" s="124" t="s">
        <v>108</v>
      </c>
      <c r="K116" s="50" t="s">
        <v>47</v>
      </c>
      <c r="L116" s="50" t="s">
        <v>607</v>
      </c>
      <c r="M116" s="56" t="s">
        <v>12</v>
      </c>
      <c r="N116" s="122" t="s">
        <v>666</v>
      </c>
      <c r="O116" s="57">
        <v>2</v>
      </c>
      <c r="P116" s="45">
        <v>146000</v>
      </c>
      <c r="Q116" s="58">
        <f t="shared" si="12"/>
        <v>292000</v>
      </c>
      <c r="R116" s="141">
        <v>46115</v>
      </c>
      <c r="S116" s="19"/>
      <c r="T116" s="32"/>
      <c r="U116" s="32"/>
      <c r="V116" s="51">
        <f t="shared" si="8"/>
        <v>169360</v>
      </c>
      <c r="W116" s="51">
        <f t="shared" si="9"/>
        <v>338720</v>
      </c>
      <c r="X116" s="52">
        <f t="shared" si="10"/>
        <v>113.92</v>
      </c>
      <c r="Y116" s="53">
        <f t="shared" si="11"/>
        <v>227.84</v>
      </c>
      <c r="Z116" s="54"/>
      <c r="AA116" s="71"/>
      <c r="AB116" s="71"/>
      <c r="AC116" s="128"/>
      <c r="AD116" s="33"/>
      <c r="AE116" s="55"/>
    </row>
    <row r="117" spans="2:31" ht="20.100000000000001" hidden="1" customHeight="1">
      <c r="B117" s="48">
        <v>101</v>
      </c>
      <c r="C117" s="121" t="s">
        <v>850</v>
      </c>
      <c r="D117" s="120" t="s">
        <v>349</v>
      </c>
      <c r="E117" s="120">
        <v>2603</v>
      </c>
      <c r="F117" s="120" t="s">
        <v>700</v>
      </c>
      <c r="G117" s="120" t="s">
        <v>699</v>
      </c>
      <c r="H117" s="49"/>
      <c r="I117" s="50" t="s">
        <v>873</v>
      </c>
      <c r="J117" s="124" t="s">
        <v>872</v>
      </c>
      <c r="K117" s="50" t="s">
        <v>47</v>
      </c>
      <c r="L117" s="50" t="s">
        <v>607</v>
      </c>
      <c r="M117" s="56" t="s">
        <v>12</v>
      </c>
      <c r="N117" s="122" t="s">
        <v>666</v>
      </c>
      <c r="O117" s="57">
        <v>1</v>
      </c>
      <c r="P117" s="45">
        <v>196000</v>
      </c>
      <c r="Q117" s="58">
        <f t="shared" si="12"/>
        <v>196000</v>
      </c>
      <c r="R117" s="141">
        <v>46115</v>
      </c>
      <c r="S117" s="19"/>
      <c r="T117" s="32"/>
      <c r="U117" s="32"/>
      <c r="V117" s="51">
        <f t="shared" si="8"/>
        <v>227359.99999999997</v>
      </c>
      <c r="W117" s="51">
        <f t="shared" si="9"/>
        <v>227359.99999999997</v>
      </c>
      <c r="X117" s="52">
        <f t="shared" si="10"/>
        <v>152.94</v>
      </c>
      <c r="Y117" s="53">
        <f t="shared" si="11"/>
        <v>152.94</v>
      </c>
      <c r="Z117" s="54"/>
      <c r="AA117" s="71"/>
      <c r="AB117" s="71"/>
      <c r="AC117" s="128"/>
      <c r="AD117" s="33"/>
      <c r="AE117" s="55"/>
    </row>
    <row r="118" spans="2:31" ht="20.100000000000001" hidden="1" customHeight="1">
      <c r="B118" s="48">
        <v>102</v>
      </c>
      <c r="C118" s="121" t="s">
        <v>850</v>
      </c>
      <c r="D118" s="120" t="s">
        <v>349</v>
      </c>
      <c r="E118" s="120">
        <v>2603</v>
      </c>
      <c r="F118" s="120" t="s">
        <v>700</v>
      </c>
      <c r="G118" s="120" t="s">
        <v>699</v>
      </c>
      <c r="H118" s="49"/>
      <c r="I118" s="50" t="s">
        <v>871</v>
      </c>
      <c r="J118" s="124" t="s">
        <v>110</v>
      </c>
      <c r="K118" s="50" t="s">
        <v>47</v>
      </c>
      <c r="L118" s="50" t="s">
        <v>607</v>
      </c>
      <c r="M118" s="56" t="s">
        <v>12</v>
      </c>
      <c r="N118" s="122" t="s">
        <v>666</v>
      </c>
      <c r="O118" s="57">
        <v>1</v>
      </c>
      <c r="P118" s="45">
        <v>258000</v>
      </c>
      <c r="Q118" s="58">
        <f t="shared" si="12"/>
        <v>258000</v>
      </c>
      <c r="R118" s="141">
        <v>46115</v>
      </c>
      <c r="S118" s="19"/>
      <c r="T118" s="32"/>
      <c r="U118" s="32"/>
      <c r="V118" s="51">
        <f t="shared" si="8"/>
        <v>299280</v>
      </c>
      <c r="W118" s="51">
        <f t="shared" si="9"/>
        <v>299280</v>
      </c>
      <c r="X118" s="52">
        <f t="shared" si="10"/>
        <v>201.31</v>
      </c>
      <c r="Y118" s="53">
        <f t="shared" si="11"/>
        <v>201.31</v>
      </c>
      <c r="Z118" s="54"/>
      <c r="AA118" s="71"/>
      <c r="AB118" s="71"/>
      <c r="AC118" s="128"/>
      <c r="AD118" s="33"/>
      <c r="AE118" s="55"/>
    </row>
    <row r="119" spans="2:31" ht="20.100000000000001" hidden="1" customHeight="1">
      <c r="B119" s="48">
        <v>103</v>
      </c>
      <c r="C119" s="121" t="s">
        <v>850</v>
      </c>
      <c r="D119" s="120" t="s">
        <v>349</v>
      </c>
      <c r="E119" s="120">
        <v>2603</v>
      </c>
      <c r="F119" s="120" t="s">
        <v>700</v>
      </c>
      <c r="G119" s="120" t="s">
        <v>699</v>
      </c>
      <c r="H119" s="49"/>
      <c r="I119" s="50" t="s">
        <v>24</v>
      </c>
      <c r="J119" s="124" t="s">
        <v>621</v>
      </c>
      <c r="K119" s="50" t="s">
        <v>47</v>
      </c>
      <c r="L119" s="50" t="s">
        <v>607</v>
      </c>
      <c r="M119" s="56" t="s">
        <v>12</v>
      </c>
      <c r="N119" s="122" t="s">
        <v>666</v>
      </c>
      <c r="O119" s="57">
        <v>3</v>
      </c>
      <c r="P119" s="45">
        <v>4500</v>
      </c>
      <c r="Q119" s="58">
        <f t="shared" si="12"/>
        <v>13500</v>
      </c>
      <c r="R119" s="141">
        <v>46115</v>
      </c>
      <c r="S119" s="19"/>
      <c r="T119" s="32"/>
      <c r="U119" s="32"/>
      <c r="V119" s="51">
        <f t="shared" si="8"/>
        <v>5220</v>
      </c>
      <c r="W119" s="51">
        <f t="shared" si="9"/>
        <v>15660</v>
      </c>
      <c r="X119" s="52">
        <f t="shared" si="10"/>
        <v>3.51</v>
      </c>
      <c r="Y119" s="53">
        <f t="shared" si="11"/>
        <v>10.53</v>
      </c>
      <c r="Z119" s="54"/>
      <c r="AA119" s="71"/>
      <c r="AB119" s="71"/>
      <c r="AC119" s="128"/>
      <c r="AD119" s="33"/>
      <c r="AE119" s="55"/>
    </row>
    <row r="120" spans="2:31" ht="20.100000000000001" hidden="1" customHeight="1">
      <c r="B120" s="48">
        <v>104</v>
      </c>
      <c r="C120" s="121" t="s">
        <v>850</v>
      </c>
      <c r="D120" s="120" t="s">
        <v>349</v>
      </c>
      <c r="E120" s="120">
        <v>2603</v>
      </c>
      <c r="F120" s="120" t="s">
        <v>700</v>
      </c>
      <c r="G120" s="120" t="s">
        <v>699</v>
      </c>
      <c r="H120" s="49"/>
      <c r="I120" s="50" t="s">
        <v>530</v>
      </c>
      <c r="J120" s="124" t="s">
        <v>870</v>
      </c>
      <c r="K120" s="50" t="s">
        <v>47</v>
      </c>
      <c r="L120" s="50" t="s">
        <v>607</v>
      </c>
      <c r="M120" s="56" t="s">
        <v>12</v>
      </c>
      <c r="N120" s="122" t="s">
        <v>666</v>
      </c>
      <c r="O120" s="57">
        <v>1</v>
      </c>
      <c r="P120" s="45">
        <v>3600</v>
      </c>
      <c r="Q120" s="58">
        <f t="shared" si="12"/>
        <v>3600</v>
      </c>
      <c r="R120" s="141">
        <v>46115</v>
      </c>
      <c r="S120" s="19"/>
      <c r="T120" s="32"/>
      <c r="U120" s="32"/>
      <c r="V120" s="51">
        <f t="shared" si="8"/>
        <v>4176</v>
      </c>
      <c r="W120" s="51">
        <f t="shared" si="9"/>
        <v>4176</v>
      </c>
      <c r="X120" s="52">
        <f t="shared" si="10"/>
        <v>2.81</v>
      </c>
      <c r="Y120" s="53">
        <f t="shared" si="11"/>
        <v>2.81</v>
      </c>
      <c r="Z120" s="54"/>
      <c r="AA120" s="71"/>
      <c r="AB120" s="71"/>
      <c r="AC120" s="128"/>
      <c r="AD120" s="33"/>
      <c r="AE120" s="55"/>
    </row>
    <row r="121" spans="2:31" ht="20.100000000000001" hidden="1" customHeight="1">
      <c r="B121" s="48">
        <v>105</v>
      </c>
      <c r="C121" s="121" t="s">
        <v>850</v>
      </c>
      <c r="D121" s="120" t="s">
        <v>349</v>
      </c>
      <c r="E121" s="120">
        <v>2603</v>
      </c>
      <c r="F121" s="120" t="s">
        <v>700</v>
      </c>
      <c r="G121" s="120" t="s">
        <v>699</v>
      </c>
      <c r="H121" s="49"/>
      <c r="I121" s="50" t="s">
        <v>869</v>
      </c>
      <c r="J121" s="124" t="s">
        <v>868</v>
      </c>
      <c r="K121" s="50" t="s">
        <v>47</v>
      </c>
      <c r="L121" s="50" t="s">
        <v>607</v>
      </c>
      <c r="M121" s="56" t="s">
        <v>12</v>
      </c>
      <c r="N121" s="122" t="s">
        <v>666</v>
      </c>
      <c r="O121" s="57">
        <v>1</v>
      </c>
      <c r="P121" s="45">
        <v>3500</v>
      </c>
      <c r="Q121" s="58">
        <f t="shared" si="12"/>
        <v>3500</v>
      </c>
      <c r="R121" s="141">
        <v>46115</v>
      </c>
      <c r="S121" s="19"/>
      <c r="T121" s="32"/>
      <c r="U121" s="32"/>
      <c r="V121" s="51">
        <f t="shared" si="8"/>
        <v>4059.9999999999995</v>
      </c>
      <c r="W121" s="51">
        <f t="shared" si="9"/>
        <v>4059.9999999999995</v>
      </c>
      <c r="X121" s="52">
        <f t="shared" si="10"/>
        <v>2.73</v>
      </c>
      <c r="Y121" s="53">
        <f t="shared" si="11"/>
        <v>2.73</v>
      </c>
      <c r="Z121" s="54"/>
      <c r="AA121" s="71"/>
      <c r="AB121" s="71"/>
      <c r="AC121" s="128"/>
      <c r="AD121" s="33"/>
      <c r="AE121" s="55"/>
    </row>
    <row r="122" spans="2:31" ht="20.100000000000001" hidden="1" customHeight="1">
      <c r="B122" s="48">
        <v>106</v>
      </c>
      <c r="C122" s="121" t="s">
        <v>850</v>
      </c>
      <c r="D122" s="120" t="s">
        <v>349</v>
      </c>
      <c r="E122" s="120">
        <v>2603</v>
      </c>
      <c r="F122" s="120" t="s">
        <v>700</v>
      </c>
      <c r="G122" s="120" t="s">
        <v>699</v>
      </c>
      <c r="H122" s="49"/>
      <c r="I122" s="50" t="s">
        <v>25</v>
      </c>
      <c r="J122" s="124" t="s">
        <v>867</v>
      </c>
      <c r="K122" s="50" t="s">
        <v>48</v>
      </c>
      <c r="L122" s="50" t="s">
        <v>608</v>
      </c>
      <c r="M122" s="56" t="s">
        <v>12</v>
      </c>
      <c r="N122" s="122" t="s">
        <v>666</v>
      </c>
      <c r="O122" s="57">
        <v>2</v>
      </c>
      <c r="P122" s="45">
        <v>34607</v>
      </c>
      <c r="Q122" s="58">
        <f t="shared" si="12"/>
        <v>69214</v>
      </c>
      <c r="R122" s="141">
        <v>46128</v>
      </c>
      <c r="S122" s="19"/>
      <c r="T122" s="32"/>
      <c r="U122" s="32"/>
      <c r="V122" s="51">
        <f t="shared" si="8"/>
        <v>40144.119999999995</v>
      </c>
      <c r="W122" s="51">
        <f t="shared" si="9"/>
        <v>80288.239999999991</v>
      </c>
      <c r="X122" s="52">
        <f t="shared" si="10"/>
        <v>27</v>
      </c>
      <c r="Y122" s="53">
        <f t="shared" si="11"/>
        <v>54</v>
      </c>
      <c r="Z122" s="54"/>
      <c r="AA122" s="71"/>
      <c r="AB122" s="71"/>
      <c r="AC122" s="128"/>
      <c r="AD122" s="33"/>
      <c r="AE122" s="55"/>
    </row>
    <row r="123" spans="2:31" ht="20.100000000000001" hidden="1" customHeight="1">
      <c r="B123" s="48">
        <v>107</v>
      </c>
      <c r="C123" s="121" t="s">
        <v>850</v>
      </c>
      <c r="D123" s="120" t="s">
        <v>349</v>
      </c>
      <c r="E123" s="120">
        <v>2603</v>
      </c>
      <c r="F123" s="120" t="s">
        <v>700</v>
      </c>
      <c r="G123" s="120" t="s">
        <v>699</v>
      </c>
      <c r="H123" s="49"/>
      <c r="I123" s="50" t="s">
        <v>25</v>
      </c>
      <c r="J123" s="124" t="s">
        <v>866</v>
      </c>
      <c r="K123" s="50" t="s">
        <v>48</v>
      </c>
      <c r="L123" s="50" t="s">
        <v>608</v>
      </c>
      <c r="M123" s="56" t="s">
        <v>12</v>
      </c>
      <c r="N123" s="122" t="s">
        <v>666</v>
      </c>
      <c r="O123" s="57">
        <v>1</v>
      </c>
      <c r="P123" s="45">
        <v>35954</v>
      </c>
      <c r="Q123" s="58">
        <f t="shared" si="12"/>
        <v>35954</v>
      </c>
      <c r="R123" s="141">
        <v>46128</v>
      </c>
      <c r="S123" s="19"/>
      <c r="T123" s="32"/>
      <c r="U123" s="32"/>
      <c r="V123" s="51">
        <f t="shared" si="8"/>
        <v>41706.639999999999</v>
      </c>
      <c r="W123" s="51">
        <f t="shared" si="9"/>
        <v>41706.639999999999</v>
      </c>
      <c r="X123" s="52">
        <f t="shared" si="10"/>
        <v>28.05</v>
      </c>
      <c r="Y123" s="53">
        <f t="shared" si="11"/>
        <v>28.05</v>
      </c>
      <c r="Z123" s="54"/>
      <c r="AA123" s="71"/>
      <c r="AB123" s="71"/>
      <c r="AC123" s="128"/>
      <c r="AD123" s="33"/>
      <c r="AE123" s="55"/>
    </row>
    <row r="124" spans="2:31" ht="20.100000000000001" hidden="1" customHeight="1">
      <c r="B124" s="48">
        <v>108</v>
      </c>
      <c r="C124" s="121" t="s">
        <v>850</v>
      </c>
      <c r="D124" s="120" t="s">
        <v>349</v>
      </c>
      <c r="E124" s="120">
        <v>2603</v>
      </c>
      <c r="F124" s="120" t="s">
        <v>700</v>
      </c>
      <c r="G124" s="120" t="s">
        <v>699</v>
      </c>
      <c r="H124" s="49"/>
      <c r="I124" s="50" t="s">
        <v>177</v>
      </c>
      <c r="J124" s="124" t="s">
        <v>865</v>
      </c>
      <c r="K124" s="50" t="s">
        <v>48</v>
      </c>
      <c r="L124" s="50" t="s">
        <v>608</v>
      </c>
      <c r="M124" s="56" t="s">
        <v>12</v>
      </c>
      <c r="N124" s="122" t="s">
        <v>609</v>
      </c>
      <c r="O124" s="57">
        <v>2</v>
      </c>
      <c r="P124" s="45">
        <v>13300</v>
      </c>
      <c r="Q124" s="58">
        <f t="shared" si="12"/>
        <v>26600</v>
      </c>
      <c r="R124" s="141">
        <v>46119</v>
      </c>
      <c r="S124" s="19"/>
      <c r="T124" s="32"/>
      <c r="U124" s="32"/>
      <c r="V124" s="51">
        <f t="shared" si="8"/>
        <v>15427.999999999998</v>
      </c>
      <c r="W124" s="51">
        <f t="shared" si="9"/>
        <v>30855.999999999996</v>
      </c>
      <c r="X124" s="52">
        <f t="shared" si="10"/>
        <v>10.38</v>
      </c>
      <c r="Y124" s="53">
        <f t="shared" si="11"/>
        <v>20.76</v>
      </c>
      <c r="Z124" s="54"/>
      <c r="AA124" s="71"/>
      <c r="AB124" s="71"/>
      <c r="AC124" s="128"/>
      <c r="AD124" s="33"/>
      <c r="AE124" s="55"/>
    </row>
    <row r="125" spans="2:31" ht="20.100000000000001" hidden="1" customHeight="1">
      <c r="B125" s="48">
        <v>116</v>
      </c>
      <c r="C125" s="121" t="s">
        <v>850</v>
      </c>
      <c r="D125" s="120" t="s">
        <v>349</v>
      </c>
      <c r="E125" s="120">
        <v>2603</v>
      </c>
      <c r="F125" s="120" t="s">
        <v>700</v>
      </c>
      <c r="G125" s="120" t="s">
        <v>699</v>
      </c>
      <c r="H125" s="49"/>
      <c r="I125" s="50" t="s">
        <v>177</v>
      </c>
      <c r="J125" s="124" t="s">
        <v>858</v>
      </c>
      <c r="K125" s="50" t="s">
        <v>48</v>
      </c>
      <c r="L125" s="50" t="s">
        <v>608</v>
      </c>
      <c r="M125" s="56" t="s">
        <v>12</v>
      </c>
      <c r="N125" s="122" t="s">
        <v>609</v>
      </c>
      <c r="O125" s="57">
        <v>1</v>
      </c>
      <c r="P125" s="45">
        <v>8066</v>
      </c>
      <c r="Q125" s="58">
        <f t="shared" si="12"/>
        <v>8066</v>
      </c>
      <c r="R125" s="141">
        <v>46119</v>
      </c>
      <c r="S125" s="19"/>
      <c r="T125" s="32"/>
      <c r="U125" s="32"/>
      <c r="V125" s="51">
        <f t="shared" si="8"/>
        <v>9356.56</v>
      </c>
      <c r="W125" s="51">
        <f t="shared" si="9"/>
        <v>9356.56</v>
      </c>
      <c r="X125" s="52">
        <f t="shared" si="10"/>
        <v>6.29</v>
      </c>
      <c r="Y125" s="53">
        <f t="shared" si="11"/>
        <v>6.29</v>
      </c>
      <c r="Z125" s="54"/>
      <c r="AA125" s="71"/>
      <c r="AB125" s="71"/>
      <c r="AC125" s="128"/>
      <c r="AD125" s="33"/>
      <c r="AE125" s="55"/>
    </row>
    <row r="126" spans="2:31" ht="20.100000000000001" hidden="1" customHeight="1">
      <c r="B126" s="48">
        <v>117</v>
      </c>
      <c r="C126" s="121" t="s">
        <v>850</v>
      </c>
      <c r="D126" s="120" t="s">
        <v>349</v>
      </c>
      <c r="E126" s="120">
        <v>2603</v>
      </c>
      <c r="F126" s="120" t="s">
        <v>700</v>
      </c>
      <c r="G126" s="120" t="s">
        <v>699</v>
      </c>
      <c r="H126" s="49"/>
      <c r="I126" s="50" t="s">
        <v>129</v>
      </c>
      <c r="J126" s="124" t="s">
        <v>857</v>
      </c>
      <c r="K126" s="50" t="s">
        <v>48</v>
      </c>
      <c r="L126" s="50" t="s">
        <v>608</v>
      </c>
      <c r="M126" s="56" t="s">
        <v>12</v>
      </c>
      <c r="N126" s="122" t="s">
        <v>609</v>
      </c>
      <c r="O126" s="57">
        <v>2</v>
      </c>
      <c r="P126" s="45">
        <v>12284</v>
      </c>
      <c r="Q126" s="58">
        <f t="shared" si="12"/>
        <v>24568</v>
      </c>
      <c r="R126" s="141">
        <v>46115</v>
      </c>
      <c r="S126" s="19"/>
      <c r="T126" s="32"/>
      <c r="U126" s="32"/>
      <c r="V126" s="51">
        <f t="shared" si="8"/>
        <v>14249.439999999999</v>
      </c>
      <c r="W126" s="51">
        <f t="shared" si="9"/>
        <v>28498.879999999997</v>
      </c>
      <c r="X126" s="52">
        <f t="shared" si="10"/>
        <v>9.58</v>
      </c>
      <c r="Y126" s="53">
        <f t="shared" si="11"/>
        <v>19.16</v>
      </c>
      <c r="Z126" s="54"/>
      <c r="AA126" s="71"/>
      <c r="AB126" s="71"/>
      <c r="AC126" s="128"/>
      <c r="AD126" s="33"/>
      <c r="AE126" s="55"/>
    </row>
    <row r="127" spans="2:31" ht="20.100000000000001" customHeight="1">
      <c r="B127" s="48"/>
      <c r="C127" s="121"/>
      <c r="D127" s="120"/>
      <c r="E127" s="120"/>
      <c r="F127" s="120"/>
      <c r="G127" s="120"/>
      <c r="H127" s="49"/>
      <c r="I127" s="50"/>
      <c r="J127" s="124"/>
      <c r="K127" s="50"/>
      <c r="L127" s="50"/>
      <c r="M127" s="56" t="s">
        <v>12</v>
      </c>
      <c r="N127" s="122"/>
      <c r="O127" s="57"/>
      <c r="P127" s="45"/>
      <c r="Q127" s="58">
        <f t="shared" si="6"/>
        <v>0</v>
      </c>
      <c r="R127" s="129"/>
      <c r="S127" s="19"/>
      <c r="T127" s="32"/>
      <c r="U127" s="32"/>
      <c r="V127" s="51">
        <f t="shared" si="8"/>
        <v>0</v>
      </c>
      <c r="W127" s="51">
        <f t="shared" si="9"/>
        <v>0</v>
      </c>
      <c r="X127" s="52">
        <f t="shared" si="10"/>
        <v>0</v>
      </c>
      <c r="Y127" s="53">
        <f t="shared" si="11"/>
        <v>0</v>
      </c>
      <c r="Z127" s="54"/>
      <c r="AA127" s="71"/>
      <c r="AB127" s="71"/>
      <c r="AC127" s="128"/>
      <c r="AD127" s="33"/>
      <c r="AE127" s="55"/>
    </row>
    <row r="128" spans="2:31" ht="20.100000000000001" customHeight="1">
      <c r="B128" s="48"/>
      <c r="C128" s="121"/>
      <c r="D128" s="120"/>
      <c r="E128" s="120"/>
      <c r="F128" s="120"/>
      <c r="G128" s="120"/>
      <c r="H128" s="49"/>
      <c r="I128" s="50"/>
      <c r="J128" s="124"/>
      <c r="K128" s="50"/>
      <c r="L128" s="50"/>
      <c r="M128" s="56" t="s">
        <v>12</v>
      </c>
      <c r="N128" s="122"/>
      <c r="O128" s="57"/>
      <c r="P128" s="45"/>
      <c r="Q128" s="58">
        <f t="shared" si="6"/>
        <v>0</v>
      </c>
      <c r="R128" s="129"/>
      <c r="S128" s="19"/>
      <c r="T128" s="32"/>
      <c r="U128" s="32"/>
      <c r="V128" s="51">
        <f t="shared" si="8"/>
        <v>0</v>
      </c>
      <c r="W128" s="51">
        <f t="shared" si="9"/>
        <v>0</v>
      </c>
      <c r="X128" s="52">
        <f t="shared" si="10"/>
        <v>0</v>
      </c>
      <c r="Y128" s="53">
        <f t="shared" si="11"/>
        <v>0</v>
      </c>
      <c r="Z128" s="54"/>
      <c r="AA128" s="71"/>
      <c r="AB128" s="71"/>
      <c r="AC128" s="128"/>
      <c r="AD128" s="33"/>
      <c r="AE128" s="55"/>
    </row>
    <row r="129" spans="2:32" ht="30.75" customHeight="1" thickBot="1">
      <c r="B129" s="36"/>
      <c r="C129" s="119"/>
      <c r="D129" s="37"/>
      <c r="E129" s="37"/>
      <c r="F129" s="37"/>
      <c r="G129" s="37"/>
      <c r="H129" s="37"/>
      <c r="I129" s="37"/>
      <c r="J129" s="127"/>
      <c r="K129" s="37"/>
      <c r="L129" s="37"/>
      <c r="M129" s="37"/>
      <c r="N129" s="123" t="s">
        <v>1</v>
      </c>
      <c r="O129" s="38">
        <f>SUBTOTAL(9,O5:O128)</f>
        <v>125</v>
      </c>
      <c r="P129" s="38"/>
      <c r="Q129" s="38">
        <f>SUBTOTAL(9,Q5:Q128)</f>
        <v>5742139</v>
      </c>
      <c r="R129" s="70"/>
      <c r="S129" s="67"/>
      <c r="T129" s="39"/>
      <c r="U129" s="39"/>
      <c r="V129" s="38"/>
      <c r="W129" s="38">
        <f>SUBTOTAL(9,W5:W128)</f>
        <v>6660881.2399999993</v>
      </c>
      <c r="X129" s="29"/>
      <c r="Y129" s="30">
        <f>++SUBTOTAL(9,Y5:Y128)</f>
        <v>4480.43</v>
      </c>
      <c r="Z129" s="44" t="e">
        <f>++SUBTOTAL(9,#REF!)</f>
        <v>#REF!</v>
      </c>
      <c r="AA129" s="40" t="e">
        <f>++SUBTOTAL(9,#REF!)</f>
        <v>#REF!</v>
      </c>
      <c r="AB129" s="40" t="e">
        <f>++SUBTOTAL(9,#REF!)</f>
        <v>#REF!</v>
      </c>
      <c r="AC129" s="41"/>
      <c r="AD129" s="6"/>
      <c r="AE129" s="14">
        <f>SUM(AE4:AE128)+6</f>
        <v>6</v>
      </c>
      <c r="AF129" s="43"/>
    </row>
    <row r="130" spans="2:32" ht="15.75" thickTop="1">
      <c r="O130" s="9"/>
      <c r="P130" s="3"/>
      <c r="Q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17"/>
      <c r="AD130" s="3"/>
      <c r="AE130" s="9"/>
    </row>
    <row r="131" spans="2:32">
      <c r="O131" s="9"/>
      <c r="P131" s="3"/>
      <c r="Q131" s="3"/>
      <c r="S131" s="3"/>
      <c r="T131" s="3"/>
      <c r="U131" s="3"/>
      <c r="V131" s="42" t="s">
        <v>54</v>
      </c>
      <c r="W131" s="47">
        <f>++W129/Q129</f>
        <v>1.1599999999999999</v>
      </c>
      <c r="X131" s="3"/>
      <c r="Y131" s="3"/>
      <c r="Z131" s="3"/>
      <c r="AA131" s="3"/>
      <c r="AB131" s="3"/>
      <c r="AC131" s="17"/>
      <c r="AD131" s="3"/>
      <c r="AE131" s="9"/>
    </row>
    <row r="132" spans="2:32">
      <c r="O132" s="9"/>
      <c r="P132" s="3"/>
      <c r="Q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17"/>
      <c r="AD132" s="3"/>
      <c r="AE132" s="9"/>
    </row>
    <row r="133" spans="2:32">
      <c r="O133" s="9"/>
      <c r="P133" s="3"/>
      <c r="Q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17"/>
      <c r="AD133" s="3"/>
      <c r="AE133" s="9"/>
    </row>
    <row r="134" spans="2:32">
      <c r="O134" s="9"/>
      <c r="P134" s="3"/>
      <c r="Q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17"/>
      <c r="AD134" s="3"/>
      <c r="AE134" s="9"/>
    </row>
    <row r="135" spans="2:32">
      <c r="O135" s="9"/>
      <c r="P135" s="3"/>
      <c r="Q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17"/>
      <c r="AD135" s="3"/>
      <c r="AE135" s="9"/>
    </row>
    <row r="136" spans="2:32">
      <c r="O136" s="9"/>
      <c r="P136" s="3"/>
      <c r="Q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17"/>
      <c r="AD136" s="3"/>
      <c r="AE136" s="9"/>
    </row>
    <row r="137" spans="2:32">
      <c r="O137" s="9"/>
      <c r="P137" s="3"/>
      <c r="Q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17"/>
      <c r="AD137" s="3"/>
      <c r="AE137" s="9"/>
    </row>
    <row r="138" spans="2:32">
      <c r="O138" s="9"/>
      <c r="P138" s="3"/>
      <c r="Q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17"/>
      <c r="AD138" s="3"/>
      <c r="AE138" s="9"/>
    </row>
    <row r="139" spans="2:32">
      <c r="O139" s="9"/>
      <c r="P139" s="3"/>
      <c r="Q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17"/>
      <c r="AD139" s="3"/>
      <c r="AE139" s="9"/>
    </row>
    <row r="140" spans="2:32">
      <c r="O140" s="9"/>
      <c r="P140" s="3"/>
      <c r="Q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17"/>
      <c r="AD140" s="3"/>
      <c r="AE140" s="9"/>
    </row>
    <row r="141" spans="2:32">
      <c r="O141" s="9"/>
      <c r="P141" s="3"/>
      <c r="Q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17"/>
      <c r="AD141" s="3"/>
      <c r="AE141" s="9"/>
    </row>
    <row r="142" spans="2:32">
      <c r="O142" s="9"/>
      <c r="P142" s="3"/>
      <c r="Q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17"/>
      <c r="AD142" s="3"/>
      <c r="AE142" s="9"/>
    </row>
    <row r="143" spans="2:32">
      <c r="O143" s="9"/>
      <c r="P143" s="3"/>
      <c r="Q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17"/>
      <c r="AD143" s="3"/>
      <c r="AE143" s="9"/>
    </row>
  </sheetData>
  <autoFilter ref="B4:AE128" xr:uid="{00000000-0009-0000-0000-000000000000}">
    <filterColumn colId="16">
      <filters blank="1">
        <filter val="사내 재고"/>
        <filter val="입고 완료"/>
      </filters>
    </filterColumn>
    <sortState xmlns:xlrd2="http://schemas.microsoft.com/office/spreadsheetml/2017/richdata2" ref="B5:AE128">
      <sortCondition ref="L4:L128"/>
    </sortState>
  </autoFilter>
  <mergeCells count="3">
    <mergeCell ref="B2:AE2"/>
    <mergeCell ref="C4:E4"/>
    <mergeCell ref="Z4:AA4"/>
  </mergeCells>
  <phoneticPr fontId="1" type="noConversion"/>
  <conditionalFormatting sqref="J1:J1048576">
    <cfRule type="duplicateValues" dxfId="3" priority="1"/>
  </conditionalFormatting>
  <pageMargins left="0.70866141732283472" right="0.70866141732283472" top="0.74803149606299213" bottom="0.74803149606299213" header="0.31496062992125984" footer="0.31496062992125984"/>
  <pageSetup paperSize="9" scale="52" fitToHeight="0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2A3AA-9D1E-4DA5-AD37-950673303DF0}">
  <sheetPr filterMode="1">
    <pageSetUpPr fitToPage="1"/>
  </sheetPr>
  <dimension ref="B1:AF143"/>
  <sheetViews>
    <sheetView topLeftCell="J1" zoomScaleNormal="100" zoomScaleSheetLayoutView="100" workbookViewId="0">
      <pane ySplit="4" topLeftCell="A47" activePane="bottomLeft" state="frozen"/>
      <selection activeCell="X4" sqref="X4"/>
      <selection pane="bottomLeft" activeCell="Q148" sqref="Q147:Q148"/>
    </sheetView>
  </sheetViews>
  <sheetFormatPr defaultRowHeight="15"/>
  <cols>
    <col min="1" max="1" width="1" customWidth="1"/>
    <col min="2" max="2" width="5.33203125" style="1" customWidth="1"/>
    <col min="3" max="3" width="4" style="118" customWidth="1"/>
    <col min="4" max="4" width="2.77734375" style="1" customWidth="1"/>
    <col min="5" max="5" width="4.77734375" style="1" customWidth="1"/>
    <col min="6" max="6" width="5.88671875" style="1" customWidth="1"/>
    <col min="7" max="8" width="5.6640625" style="1" customWidth="1"/>
    <col min="9" max="9" width="17.21875" style="2" customWidth="1"/>
    <col min="10" max="10" width="32.88671875" style="125" customWidth="1"/>
    <col min="11" max="11" width="11.44140625" style="2" bestFit="1" customWidth="1"/>
    <col min="12" max="12" width="13.44140625" style="2" customWidth="1"/>
    <col min="13" max="13" width="4.21875" style="2" customWidth="1"/>
    <col min="14" max="14" width="10.44140625" style="2" customWidth="1"/>
    <col min="15" max="15" width="7.77734375" style="8" bestFit="1" customWidth="1"/>
    <col min="16" max="17" width="11.88671875" style="1" customWidth="1"/>
    <col min="18" max="18" width="10.21875" style="22" customWidth="1"/>
    <col min="19" max="19" width="10.5546875" style="1" hidden="1" customWidth="1"/>
    <col min="20" max="20" width="6.6640625" style="1" hidden="1" customWidth="1"/>
    <col min="21" max="21" width="6.109375" style="1" hidden="1" customWidth="1"/>
    <col min="22" max="25" width="11.77734375" style="1" customWidth="1"/>
    <col min="26" max="27" width="11.77734375" style="1" hidden="1" customWidth="1"/>
    <col min="28" max="28" width="1.33203125" style="1" hidden="1" customWidth="1"/>
    <col min="29" max="29" width="17.21875" style="16" bestFit="1" customWidth="1"/>
    <col min="30" max="30" width="16.44140625" style="1" hidden="1" customWidth="1"/>
    <col min="31" max="31" width="10.44140625" style="8" hidden="1" customWidth="1"/>
    <col min="32" max="32" width="12.6640625" bestFit="1" customWidth="1"/>
  </cols>
  <sheetData>
    <row r="1" spans="2:31" ht="4.5" customHeight="1"/>
    <row r="2" spans="2:31" ht="38.25" customHeight="1">
      <c r="B2" s="144" t="s">
        <v>4</v>
      </c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5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  <c r="AA2" s="144"/>
      <c r="AB2" s="144"/>
      <c r="AC2" s="144"/>
      <c r="AD2" s="144"/>
      <c r="AE2" s="144"/>
    </row>
    <row r="3" spans="2:31" ht="4.5" customHeight="1" thickBot="1">
      <c r="V3" s="31">
        <v>0.16</v>
      </c>
      <c r="X3" s="46">
        <v>1486.64</v>
      </c>
    </row>
    <row r="4" spans="2:31" ht="45" customHeight="1" thickTop="1" thickBot="1">
      <c r="B4" s="24" t="s">
        <v>13</v>
      </c>
      <c r="C4" s="148" t="s">
        <v>14</v>
      </c>
      <c r="D4" s="149"/>
      <c r="E4" s="150"/>
      <c r="F4" s="25" t="s">
        <v>194</v>
      </c>
      <c r="G4" s="25" t="s">
        <v>197</v>
      </c>
      <c r="H4" s="25" t="s">
        <v>195</v>
      </c>
      <c r="I4" s="26" t="s">
        <v>3</v>
      </c>
      <c r="J4" s="126" t="s">
        <v>0</v>
      </c>
      <c r="K4" s="26" t="s">
        <v>6</v>
      </c>
      <c r="L4" s="26" t="s">
        <v>5</v>
      </c>
      <c r="M4" s="25" t="s">
        <v>10</v>
      </c>
      <c r="N4" s="25" t="s">
        <v>20</v>
      </c>
      <c r="O4" s="25" t="s">
        <v>7</v>
      </c>
      <c r="P4" s="25" t="s">
        <v>8</v>
      </c>
      <c r="Q4" s="25" t="s">
        <v>9</v>
      </c>
      <c r="R4" s="68" t="s">
        <v>29</v>
      </c>
      <c r="S4" s="66" t="s">
        <v>50</v>
      </c>
      <c r="T4" s="25" t="s">
        <v>52</v>
      </c>
      <c r="U4" s="25" t="s">
        <v>53</v>
      </c>
      <c r="V4" s="25" t="s">
        <v>16</v>
      </c>
      <c r="W4" s="25" t="s">
        <v>17</v>
      </c>
      <c r="X4" s="27" t="s">
        <v>18</v>
      </c>
      <c r="Y4" s="28" t="s">
        <v>19</v>
      </c>
      <c r="Z4" s="146" t="s">
        <v>55</v>
      </c>
      <c r="AA4" s="147"/>
      <c r="AB4" s="35" t="s">
        <v>51</v>
      </c>
      <c r="AC4" s="23" t="s">
        <v>15</v>
      </c>
      <c r="AD4" s="20" t="s">
        <v>37</v>
      </c>
      <c r="AE4" s="21" t="s">
        <v>2</v>
      </c>
    </row>
    <row r="5" spans="2:31" ht="20.100000000000001" customHeight="1" thickTop="1">
      <c r="B5" s="48">
        <v>1</v>
      </c>
      <c r="C5" s="121" t="s">
        <v>988</v>
      </c>
      <c r="D5" s="120" t="s">
        <v>349</v>
      </c>
      <c r="E5" s="120">
        <v>2603</v>
      </c>
      <c r="F5" s="120" t="s">
        <v>832</v>
      </c>
      <c r="G5" s="120" t="s">
        <v>689</v>
      </c>
      <c r="H5" s="49"/>
      <c r="I5" s="50" t="s">
        <v>24</v>
      </c>
      <c r="J5" s="124" t="s">
        <v>905</v>
      </c>
      <c r="K5" s="50" t="s">
        <v>47</v>
      </c>
      <c r="L5" s="50" t="s">
        <v>521</v>
      </c>
      <c r="M5" s="56" t="s">
        <v>12</v>
      </c>
      <c r="N5" s="122" t="s">
        <v>666</v>
      </c>
      <c r="O5" s="57">
        <v>3</v>
      </c>
      <c r="P5" s="45">
        <v>24800</v>
      </c>
      <c r="Q5" s="58">
        <f t="shared" ref="Q5:Q36" si="0">O5*P5</f>
        <v>74400</v>
      </c>
      <c r="R5" s="129" t="s">
        <v>663</v>
      </c>
      <c r="S5" s="19"/>
      <c r="T5" s="32"/>
      <c r="U5" s="32"/>
      <c r="V5" s="51">
        <f>++P5*(1+$V$3)</f>
        <v>28767.999999999996</v>
      </c>
      <c r="W5" s="51">
        <f>++O5*V5</f>
        <v>86303.999999999985</v>
      </c>
      <c r="X5" s="52">
        <f>++ROUND(V5/$X$3,2)</f>
        <v>19.350000000000001</v>
      </c>
      <c r="Y5" s="53">
        <f>++O5*X5</f>
        <v>58.050000000000004</v>
      </c>
      <c r="Z5" s="54"/>
      <c r="AA5" s="71"/>
      <c r="AB5" s="71"/>
      <c r="AC5" s="128"/>
      <c r="AD5" s="33"/>
      <c r="AE5" s="55"/>
    </row>
    <row r="6" spans="2:31" ht="20.100000000000001" customHeight="1">
      <c r="B6" s="48">
        <v>2</v>
      </c>
      <c r="C6" s="121" t="s">
        <v>981</v>
      </c>
      <c r="D6" s="120" t="s">
        <v>349</v>
      </c>
      <c r="E6" s="120">
        <v>2603</v>
      </c>
      <c r="F6" s="120" t="s">
        <v>700</v>
      </c>
      <c r="G6" s="120" t="s">
        <v>699</v>
      </c>
      <c r="H6" s="49">
        <v>1</v>
      </c>
      <c r="I6" s="50" t="s">
        <v>902</v>
      </c>
      <c r="J6" s="124" t="s">
        <v>904</v>
      </c>
      <c r="K6" s="50" t="s">
        <v>181</v>
      </c>
      <c r="L6" s="50" t="s">
        <v>521</v>
      </c>
      <c r="M6" s="56" t="s">
        <v>12</v>
      </c>
      <c r="N6" s="122" t="s">
        <v>665</v>
      </c>
      <c r="O6" s="57">
        <v>2</v>
      </c>
      <c r="P6" s="45">
        <v>26600</v>
      </c>
      <c r="Q6" s="58">
        <f t="shared" si="0"/>
        <v>53200</v>
      </c>
      <c r="R6" s="129" t="s">
        <v>663</v>
      </c>
      <c r="S6" s="19"/>
      <c r="T6" s="32"/>
      <c r="U6" s="32"/>
      <c r="V6" s="51">
        <f t="shared" ref="V6:V69" si="1">++P6*(1+$V$3)</f>
        <v>30855.999999999996</v>
      </c>
      <c r="W6" s="51">
        <f t="shared" ref="W6:W69" si="2">++O6*V6</f>
        <v>61711.999999999993</v>
      </c>
      <c r="X6" s="52">
        <f t="shared" ref="X6:X69" si="3">++ROUND(V6/$X$3,2)</f>
        <v>20.76</v>
      </c>
      <c r="Y6" s="53">
        <f t="shared" ref="Y6:Y69" si="4">++O6*X6</f>
        <v>41.52</v>
      </c>
      <c r="Z6" s="54"/>
      <c r="AA6" s="71"/>
      <c r="AB6" s="71"/>
      <c r="AC6" s="128"/>
      <c r="AD6" s="33"/>
      <c r="AE6" s="55"/>
    </row>
    <row r="7" spans="2:31" ht="20.100000000000001" customHeight="1">
      <c r="B7" s="48">
        <v>3</v>
      </c>
      <c r="C7" s="121" t="s">
        <v>981</v>
      </c>
      <c r="D7" s="120" t="s">
        <v>349</v>
      </c>
      <c r="E7" s="120">
        <v>2603</v>
      </c>
      <c r="F7" s="120" t="s">
        <v>700</v>
      </c>
      <c r="G7" s="120" t="s">
        <v>699</v>
      </c>
      <c r="H7" s="49">
        <v>1</v>
      </c>
      <c r="I7" s="50" t="s">
        <v>900</v>
      </c>
      <c r="J7" s="124" t="s">
        <v>903</v>
      </c>
      <c r="K7" s="50" t="s">
        <v>181</v>
      </c>
      <c r="L7" s="50" t="s">
        <v>521</v>
      </c>
      <c r="M7" s="56" t="s">
        <v>12</v>
      </c>
      <c r="N7" s="122" t="s">
        <v>847</v>
      </c>
      <c r="O7" s="57">
        <v>2</v>
      </c>
      <c r="P7" s="45">
        <v>22800</v>
      </c>
      <c r="Q7" s="58">
        <f t="shared" si="0"/>
        <v>45600</v>
      </c>
      <c r="R7" s="129" t="s">
        <v>663</v>
      </c>
      <c r="S7" s="19"/>
      <c r="T7" s="32"/>
      <c r="U7" s="32"/>
      <c r="V7" s="51">
        <f t="shared" si="1"/>
        <v>26447.999999999996</v>
      </c>
      <c r="W7" s="51">
        <f t="shared" si="2"/>
        <v>52895.999999999993</v>
      </c>
      <c r="X7" s="52">
        <f t="shared" si="3"/>
        <v>17.79</v>
      </c>
      <c r="Y7" s="53">
        <f t="shared" si="4"/>
        <v>35.58</v>
      </c>
      <c r="Z7" s="54"/>
      <c r="AA7" s="71"/>
      <c r="AB7" s="71"/>
      <c r="AC7" s="128"/>
      <c r="AD7" s="33"/>
      <c r="AE7" s="55"/>
    </row>
    <row r="8" spans="2:31" ht="20.100000000000001" customHeight="1">
      <c r="B8" s="48">
        <v>4</v>
      </c>
      <c r="C8" s="121" t="s">
        <v>981</v>
      </c>
      <c r="D8" s="120" t="s">
        <v>349</v>
      </c>
      <c r="E8" s="120">
        <v>2603</v>
      </c>
      <c r="F8" s="120" t="s">
        <v>700</v>
      </c>
      <c r="G8" s="120" t="s">
        <v>699</v>
      </c>
      <c r="H8" s="49">
        <v>1</v>
      </c>
      <c r="I8" s="50" t="s">
        <v>902</v>
      </c>
      <c r="J8" s="124" t="s">
        <v>901</v>
      </c>
      <c r="K8" s="50" t="s">
        <v>181</v>
      </c>
      <c r="L8" s="50" t="s">
        <v>521</v>
      </c>
      <c r="M8" s="56" t="s">
        <v>12</v>
      </c>
      <c r="N8" s="122" t="s">
        <v>847</v>
      </c>
      <c r="O8" s="57">
        <v>1</v>
      </c>
      <c r="P8" s="45">
        <v>22300</v>
      </c>
      <c r="Q8" s="58">
        <f t="shared" si="0"/>
        <v>22300</v>
      </c>
      <c r="R8" s="129" t="s">
        <v>663</v>
      </c>
      <c r="S8" s="19"/>
      <c r="T8" s="32"/>
      <c r="U8" s="32"/>
      <c r="V8" s="51">
        <f t="shared" si="1"/>
        <v>25868</v>
      </c>
      <c r="W8" s="51">
        <f t="shared" si="2"/>
        <v>25868</v>
      </c>
      <c r="X8" s="52">
        <f t="shared" si="3"/>
        <v>17.399999999999999</v>
      </c>
      <c r="Y8" s="53">
        <f t="shared" si="4"/>
        <v>17.399999999999999</v>
      </c>
      <c r="Z8" s="54"/>
      <c r="AA8" s="71"/>
      <c r="AB8" s="71"/>
      <c r="AC8" s="128"/>
      <c r="AD8" s="33"/>
      <c r="AE8" s="55"/>
    </row>
    <row r="9" spans="2:31" ht="20.100000000000001" customHeight="1">
      <c r="B9" s="48">
        <v>5</v>
      </c>
      <c r="C9" s="121" t="s">
        <v>981</v>
      </c>
      <c r="D9" s="120" t="s">
        <v>349</v>
      </c>
      <c r="E9" s="120">
        <v>2603</v>
      </c>
      <c r="F9" s="120" t="s">
        <v>700</v>
      </c>
      <c r="G9" s="120" t="s">
        <v>699</v>
      </c>
      <c r="H9" s="49">
        <v>1</v>
      </c>
      <c r="I9" s="50" t="s">
        <v>900</v>
      </c>
      <c r="J9" s="124" t="s">
        <v>899</v>
      </c>
      <c r="K9" s="50" t="s">
        <v>181</v>
      </c>
      <c r="L9" s="50" t="s">
        <v>521</v>
      </c>
      <c r="M9" s="56" t="s">
        <v>12</v>
      </c>
      <c r="N9" s="122" t="s">
        <v>847</v>
      </c>
      <c r="O9" s="57">
        <v>1</v>
      </c>
      <c r="P9" s="45">
        <v>20100</v>
      </c>
      <c r="Q9" s="58">
        <f t="shared" si="0"/>
        <v>20100</v>
      </c>
      <c r="R9" s="129" t="s">
        <v>684</v>
      </c>
      <c r="S9" s="19"/>
      <c r="T9" s="32"/>
      <c r="U9" s="32"/>
      <c r="V9" s="51">
        <f t="shared" si="1"/>
        <v>23316</v>
      </c>
      <c r="W9" s="51">
        <f t="shared" si="2"/>
        <v>23316</v>
      </c>
      <c r="X9" s="52">
        <f t="shared" si="3"/>
        <v>15.68</v>
      </c>
      <c r="Y9" s="53">
        <f t="shared" si="4"/>
        <v>15.68</v>
      </c>
      <c r="Z9" s="54"/>
      <c r="AA9" s="71"/>
      <c r="AB9" s="71"/>
      <c r="AC9" s="128"/>
      <c r="AD9" s="33"/>
      <c r="AE9" s="55"/>
    </row>
    <row r="10" spans="2:31" ht="20.100000000000001" customHeight="1">
      <c r="B10" s="48">
        <v>6</v>
      </c>
      <c r="C10" s="121" t="s">
        <v>981</v>
      </c>
      <c r="D10" s="120" t="s">
        <v>349</v>
      </c>
      <c r="E10" s="120">
        <v>2603</v>
      </c>
      <c r="F10" s="120" t="s">
        <v>700</v>
      </c>
      <c r="G10" s="120" t="s">
        <v>699</v>
      </c>
      <c r="H10" s="49">
        <v>1</v>
      </c>
      <c r="I10" s="50" t="s">
        <v>898</v>
      </c>
      <c r="J10" s="124" t="s">
        <v>897</v>
      </c>
      <c r="K10" s="50" t="s">
        <v>181</v>
      </c>
      <c r="L10" s="50" t="s">
        <v>521</v>
      </c>
      <c r="M10" s="56" t="s">
        <v>12</v>
      </c>
      <c r="N10" s="122" t="s">
        <v>847</v>
      </c>
      <c r="O10" s="57">
        <v>1</v>
      </c>
      <c r="P10" s="45">
        <v>15200</v>
      </c>
      <c r="Q10" s="58">
        <f t="shared" si="0"/>
        <v>15200</v>
      </c>
      <c r="R10" s="129" t="s">
        <v>684</v>
      </c>
      <c r="S10" s="19"/>
      <c r="T10" s="32"/>
      <c r="U10" s="32"/>
      <c r="V10" s="51">
        <f t="shared" si="1"/>
        <v>17632</v>
      </c>
      <c r="W10" s="51">
        <f t="shared" si="2"/>
        <v>17632</v>
      </c>
      <c r="X10" s="52">
        <f t="shared" si="3"/>
        <v>11.86</v>
      </c>
      <c r="Y10" s="53">
        <f t="shared" si="4"/>
        <v>11.86</v>
      </c>
      <c r="Z10" s="54"/>
      <c r="AA10" s="71"/>
      <c r="AB10" s="71"/>
      <c r="AC10" s="128"/>
      <c r="AD10" s="33"/>
      <c r="AE10" s="55"/>
    </row>
    <row r="11" spans="2:31" ht="20.100000000000001" customHeight="1">
      <c r="B11" s="48">
        <v>7</v>
      </c>
      <c r="C11" s="121" t="s">
        <v>981</v>
      </c>
      <c r="D11" s="120" t="s">
        <v>349</v>
      </c>
      <c r="E11" s="120">
        <v>2603</v>
      </c>
      <c r="F11" s="120" t="s">
        <v>700</v>
      </c>
      <c r="G11" s="120" t="s">
        <v>699</v>
      </c>
      <c r="H11" s="49"/>
      <c r="I11" s="50" t="s">
        <v>24</v>
      </c>
      <c r="J11" s="124" t="s">
        <v>66</v>
      </c>
      <c r="K11" s="50" t="s">
        <v>47</v>
      </c>
      <c r="L11" s="50" t="s">
        <v>521</v>
      </c>
      <c r="M11" s="56" t="s">
        <v>12</v>
      </c>
      <c r="N11" s="122" t="s">
        <v>666</v>
      </c>
      <c r="O11" s="57">
        <v>3</v>
      </c>
      <c r="P11" s="45">
        <v>34000</v>
      </c>
      <c r="Q11" s="58">
        <f t="shared" si="0"/>
        <v>102000</v>
      </c>
      <c r="R11" s="129" t="s">
        <v>684</v>
      </c>
      <c r="S11" s="19"/>
      <c r="T11" s="32"/>
      <c r="U11" s="32"/>
      <c r="V11" s="51">
        <f t="shared" si="1"/>
        <v>39440</v>
      </c>
      <c r="W11" s="51">
        <f t="shared" si="2"/>
        <v>118320</v>
      </c>
      <c r="X11" s="52">
        <f t="shared" si="3"/>
        <v>26.53</v>
      </c>
      <c r="Y11" s="53">
        <f t="shared" si="4"/>
        <v>79.59</v>
      </c>
      <c r="Z11" s="54"/>
      <c r="AA11" s="71"/>
      <c r="AB11" s="71"/>
      <c r="AC11" s="128"/>
      <c r="AD11" s="33"/>
      <c r="AE11" s="55"/>
    </row>
    <row r="12" spans="2:31" ht="20.100000000000001" customHeight="1">
      <c r="B12" s="48">
        <v>8</v>
      </c>
      <c r="C12" s="121" t="s">
        <v>981</v>
      </c>
      <c r="D12" s="120" t="s">
        <v>349</v>
      </c>
      <c r="E12" s="120">
        <v>2603</v>
      </c>
      <c r="F12" s="120" t="s">
        <v>700</v>
      </c>
      <c r="G12" s="120" t="s">
        <v>699</v>
      </c>
      <c r="H12" s="49">
        <v>1</v>
      </c>
      <c r="I12" s="50" t="s">
        <v>569</v>
      </c>
      <c r="J12" s="124" t="s">
        <v>190</v>
      </c>
      <c r="K12" s="50" t="s">
        <v>38</v>
      </c>
      <c r="L12" s="50" t="s">
        <v>521</v>
      </c>
      <c r="M12" s="56" t="s">
        <v>12</v>
      </c>
      <c r="N12" s="122" t="s">
        <v>665</v>
      </c>
      <c r="O12" s="57">
        <v>2</v>
      </c>
      <c r="P12" s="45">
        <v>34400</v>
      </c>
      <c r="Q12" s="58">
        <f t="shared" si="0"/>
        <v>68800</v>
      </c>
      <c r="R12" s="129" t="s">
        <v>663</v>
      </c>
      <c r="S12" s="19"/>
      <c r="T12" s="32"/>
      <c r="U12" s="32"/>
      <c r="V12" s="51">
        <f t="shared" si="1"/>
        <v>39904</v>
      </c>
      <c r="W12" s="51">
        <f t="shared" si="2"/>
        <v>79808</v>
      </c>
      <c r="X12" s="52">
        <f t="shared" si="3"/>
        <v>26.84</v>
      </c>
      <c r="Y12" s="53">
        <f t="shared" si="4"/>
        <v>53.68</v>
      </c>
      <c r="Z12" s="54"/>
      <c r="AA12" s="71"/>
      <c r="AB12" s="71"/>
      <c r="AC12" s="128"/>
      <c r="AD12" s="33"/>
      <c r="AE12" s="55"/>
    </row>
    <row r="13" spans="2:31" ht="20.100000000000001" customHeight="1">
      <c r="B13" s="48">
        <v>9</v>
      </c>
      <c r="C13" s="121" t="s">
        <v>981</v>
      </c>
      <c r="D13" s="120" t="s">
        <v>349</v>
      </c>
      <c r="E13" s="120">
        <v>2603</v>
      </c>
      <c r="F13" s="120" t="s">
        <v>700</v>
      </c>
      <c r="G13" s="120" t="s">
        <v>699</v>
      </c>
      <c r="H13" s="49">
        <v>1</v>
      </c>
      <c r="I13" s="50" t="s">
        <v>39</v>
      </c>
      <c r="J13" s="124" t="s">
        <v>895</v>
      </c>
      <c r="K13" s="50" t="s">
        <v>38</v>
      </c>
      <c r="L13" s="50" t="s">
        <v>521</v>
      </c>
      <c r="M13" s="56" t="s">
        <v>12</v>
      </c>
      <c r="N13" s="122" t="s">
        <v>665</v>
      </c>
      <c r="O13" s="57">
        <v>1</v>
      </c>
      <c r="P13" s="45">
        <v>32100</v>
      </c>
      <c r="Q13" s="58">
        <f t="shared" si="0"/>
        <v>32100</v>
      </c>
      <c r="R13" s="129" t="s">
        <v>663</v>
      </c>
      <c r="S13" s="19"/>
      <c r="T13" s="32"/>
      <c r="U13" s="32"/>
      <c r="V13" s="51">
        <f t="shared" si="1"/>
        <v>37236</v>
      </c>
      <c r="W13" s="51">
        <f t="shared" si="2"/>
        <v>37236</v>
      </c>
      <c r="X13" s="52">
        <f t="shared" si="3"/>
        <v>25.05</v>
      </c>
      <c r="Y13" s="53">
        <f t="shared" si="4"/>
        <v>25.05</v>
      </c>
      <c r="Z13" s="54"/>
      <c r="AA13" s="71"/>
      <c r="AB13" s="71"/>
      <c r="AC13" s="128"/>
      <c r="AD13" s="33"/>
      <c r="AE13" s="55"/>
    </row>
    <row r="14" spans="2:31" ht="20.100000000000001" customHeight="1">
      <c r="B14" s="48">
        <v>10</v>
      </c>
      <c r="C14" s="121" t="s">
        <v>981</v>
      </c>
      <c r="D14" s="120" t="s">
        <v>349</v>
      </c>
      <c r="E14" s="120">
        <v>2603</v>
      </c>
      <c r="F14" s="120" t="s">
        <v>700</v>
      </c>
      <c r="G14" s="120" t="s">
        <v>699</v>
      </c>
      <c r="H14" s="49">
        <v>1</v>
      </c>
      <c r="I14" s="50" t="s">
        <v>39</v>
      </c>
      <c r="J14" s="124" t="s">
        <v>215</v>
      </c>
      <c r="K14" s="50" t="s">
        <v>38</v>
      </c>
      <c r="L14" s="50" t="s">
        <v>521</v>
      </c>
      <c r="M14" s="56" t="s">
        <v>12</v>
      </c>
      <c r="N14" s="122" t="s">
        <v>665</v>
      </c>
      <c r="O14" s="57">
        <v>1</v>
      </c>
      <c r="P14" s="45">
        <v>32100</v>
      </c>
      <c r="Q14" s="58">
        <f t="shared" si="0"/>
        <v>32100</v>
      </c>
      <c r="R14" s="129" t="s">
        <v>663</v>
      </c>
      <c r="S14" s="19"/>
      <c r="T14" s="32"/>
      <c r="U14" s="32"/>
      <c r="V14" s="51">
        <f t="shared" si="1"/>
        <v>37236</v>
      </c>
      <c r="W14" s="51">
        <f t="shared" si="2"/>
        <v>37236</v>
      </c>
      <c r="X14" s="52">
        <f t="shared" si="3"/>
        <v>25.05</v>
      </c>
      <c r="Y14" s="53">
        <f t="shared" si="4"/>
        <v>25.05</v>
      </c>
      <c r="Z14" s="54"/>
      <c r="AA14" s="71"/>
      <c r="AB14" s="71"/>
      <c r="AC14" s="128"/>
      <c r="AD14" s="33"/>
      <c r="AE14" s="55"/>
    </row>
    <row r="15" spans="2:31" ht="20.100000000000001" customHeight="1">
      <c r="B15" s="48">
        <v>11</v>
      </c>
      <c r="C15" s="121" t="s">
        <v>981</v>
      </c>
      <c r="D15" s="120" t="s">
        <v>349</v>
      </c>
      <c r="E15" s="120">
        <v>2603</v>
      </c>
      <c r="F15" s="120" t="s">
        <v>700</v>
      </c>
      <c r="G15" s="120" t="s">
        <v>699</v>
      </c>
      <c r="H15" s="49"/>
      <c r="I15" s="50" t="s">
        <v>894</v>
      </c>
      <c r="J15" s="124" t="s">
        <v>893</v>
      </c>
      <c r="K15" s="50" t="s">
        <v>892</v>
      </c>
      <c r="L15" s="50" t="s">
        <v>521</v>
      </c>
      <c r="M15" s="56" t="s">
        <v>12</v>
      </c>
      <c r="N15" s="122" t="s">
        <v>665</v>
      </c>
      <c r="O15" s="57">
        <v>2</v>
      </c>
      <c r="P15" s="45">
        <v>219000</v>
      </c>
      <c r="Q15" s="58">
        <f t="shared" si="0"/>
        <v>438000</v>
      </c>
      <c r="R15" s="129" t="s">
        <v>684</v>
      </c>
      <c r="S15" s="19"/>
      <c r="T15" s="32"/>
      <c r="U15" s="32"/>
      <c r="V15" s="51">
        <f t="shared" si="1"/>
        <v>254039.99999999997</v>
      </c>
      <c r="W15" s="51">
        <f t="shared" si="2"/>
        <v>508079.99999999994</v>
      </c>
      <c r="X15" s="52">
        <f t="shared" si="3"/>
        <v>170.88</v>
      </c>
      <c r="Y15" s="53">
        <f t="shared" si="4"/>
        <v>341.76</v>
      </c>
      <c r="Z15" s="54"/>
      <c r="AA15" s="71"/>
      <c r="AB15" s="71"/>
      <c r="AC15" s="128"/>
      <c r="AD15" s="33"/>
      <c r="AE15" s="55"/>
    </row>
    <row r="16" spans="2:31" ht="20.100000000000001" customHeight="1">
      <c r="B16" s="48">
        <v>12</v>
      </c>
      <c r="C16" s="121" t="s">
        <v>981</v>
      </c>
      <c r="D16" s="120" t="s">
        <v>349</v>
      </c>
      <c r="E16" s="120">
        <v>2603</v>
      </c>
      <c r="F16" s="120" t="s">
        <v>700</v>
      </c>
      <c r="G16" s="120" t="s">
        <v>699</v>
      </c>
      <c r="H16" s="49">
        <v>1</v>
      </c>
      <c r="I16" s="50" t="s">
        <v>228</v>
      </c>
      <c r="J16" s="124" t="s">
        <v>1028</v>
      </c>
      <c r="K16" s="50" t="s">
        <v>229</v>
      </c>
      <c r="L16" s="50" t="s">
        <v>614</v>
      </c>
      <c r="M16" s="56" t="s">
        <v>12</v>
      </c>
      <c r="N16" s="122" t="s">
        <v>665</v>
      </c>
      <c r="O16" s="57">
        <v>1</v>
      </c>
      <c r="P16" s="45">
        <v>2280000</v>
      </c>
      <c r="Q16" s="58">
        <f t="shared" si="0"/>
        <v>2280000</v>
      </c>
      <c r="R16" s="141" t="s">
        <v>735</v>
      </c>
      <c r="S16" s="19"/>
      <c r="T16" s="32"/>
      <c r="U16" s="32"/>
      <c r="V16" s="51">
        <f t="shared" si="1"/>
        <v>2644800</v>
      </c>
      <c r="W16" s="51">
        <f t="shared" si="2"/>
        <v>2644800</v>
      </c>
      <c r="X16" s="52">
        <f t="shared" si="3"/>
        <v>1779.05</v>
      </c>
      <c r="Y16" s="53">
        <f t="shared" si="4"/>
        <v>1779.05</v>
      </c>
      <c r="Z16" s="54"/>
      <c r="AA16" s="71"/>
      <c r="AB16" s="71"/>
      <c r="AC16" s="128"/>
      <c r="AD16" s="33"/>
      <c r="AE16" s="55"/>
    </row>
    <row r="17" spans="2:31" ht="20.100000000000001" customHeight="1">
      <c r="B17" s="48">
        <v>17</v>
      </c>
      <c r="C17" s="121" t="s">
        <v>981</v>
      </c>
      <c r="D17" s="120" t="s">
        <v>349</v>
      </c>
      <c r="E17" s="120">
        <v>2603</v>
      </c>
      <c r="F17" s="120" t="s">
        <v>700</v>
      </c>
      <c r="G17" s="120" t="s">
        <v>699</v>
      </c>
      <c r="H17" s="49">
        <v>1</v>
      </c>
      <c r="I17" s="50" t="s">
        <v>515</v>
      </c>
      <c r="J17" s="124" t="s">
        <v>884</v>
      </c>
      <c r="K17" s="50" t="s">
        <v>883</v>
      </c>
      <c r="L17" s="50" t="s">
        <v>522</v>
      </c>
      <c r="M17" s="56" t="s">
        <v>12</v>
      </c>
      <c r="N17" s="122" t="s">
        <v>667</v>
      </c>
      <c r="O17" s="57">
        <v>3</v>
      </c>
      <c r="P17" s="45">
        <v>75000</v>
      </c>
      <c r="Q17" s="58">
        <f t="shared" si="0"/>
        <v>225000</v>
      </c>
      <c r="R17" s="129" t="s">
        <v>663</v>
      </c>
      <c r="S17" s="19"/>
      <c r="T17" s="32"/>
      <c r="U17" s="32"/>
      <c r="V17" s="51">
        <f t="shared" si="1"/>
        <v>87000</v>
      </c>
      <c r="W17" s="51">
        <f t="shared" si="2"/>
        <v>261000</v>
      </c>
      <c r="X17" s="52">
        <f t="shared" si="3"/>
        <v>58.52</v>
      </c>
      <c r="Y17" s="53">
        <f t="shared" si="4"/>
        <v>175.56</v>
      </c>
      <c r="Z17" s="54"/>
      <c r="AA17" s="71"/>
      <c r="AB17" s="71"/>
      <c r="AC17" s="128"/>
      <c r="AD17" s="33"/>
      <c r="AE17" s="55"/>
    </row>
    <row r="18" spans="2:31" ht="20.100000000000001" customHeight="1">
      <c r="B18" s="48">
        <v>18</v>
      </c>
      <c r="C18" s="121" t="s">
        <v>981</v>
      </c>
      <c r="D18" s="120" t="s">
        <v>349</v>
      </c>
      <c r="E18" s="120">
        <v>2603</v>
      </c>
      <c r="F18" s="120" t="s">
        <v>700</v>
      </c>
      <c r="G18" s="120" t="s">
        <v>699</v>
      </c>
      <c r="H18" s="49">
        <v>1</v>
      </c>
      <c r="I18" s="50" t="s">
        <v>882</v>
      </c>
      <c r="J18" s="124" t="s">
        <v>881</v>
      </c>
      <c r="K18" s="50" t="s">
        <v>178</v>
      </c>
      <c r="L18" s="50" t="s">
        <v>522</v>
      </c>
      <c r="M18" s="56" t="s">
        <v>12</v>
      </c>
      <c r="N18" s="122" t="s">
        <v>665</v>
      </c>
      <c r="O18" s="57">
        <v>3</v>
      </c>
      <c r="P18" s="45">
        <v>83000</v>
      </c>
      <c r="Q18" s="58">
        <f t="shared" si="0"/>
        <v>249000</v>
      </c>
      <c r="R18" s="129" t="s">
        <v>663</v>
      </c>
      <c r="S18" s="19"/>
      <c r="T18" s="32"/>
      <c r="U18" s="32"/>
      <c r="V18" s="51">
        <f t="shared" si="1"/>
        <v>96280</v>
      </c>
      <c r="W18" s="51">
        <f t="shared" si="2"/>
        <v>288840</v>
      </c>
      <c r="X18" s="52">
        <f t="shared" si="3"/>
        <v>64.760000000000005</v>
      </c>
      <c r="Y18" s="53">
        <f t="shared" si="4"/>
        <v>194.28000000000003</v>
      </c>
      <c r="Z18" s="54"/>
      <c r="AA18" s="71"/>
      <c r="AB18" s="71"/>
      <c r="AC18" s="128"/>
      <c r="AD18" s="33"/>
      <c r="AE18" s="55"/>
    </row>
    <row r="19" spans="2:31" ht="20.100000000000001" customHeight="1">
      <c r="B19" s="48">
        <v>19</v>
      </c>
      <c r="C19" s="121" t="s">
        <v>981</v>
      </c>
      <c r="D19" s="120" t="s">
        <v>349</v>
      </c>
      <c r="E19" s="120">
        <v>2603</v>
      </c>
      <c r="F19" s="120" t="s">
        <v>700</v>
      </c>
      <c r="G19" s="120" t="s">
        <v>699</v>
      </c>
      <c r="H19" s="49">
        <v>1</v>
      </c>
      <c r="I19" s="50" t="s">
        <v>830</v>
      </c>
      <c r="J19" s="135" t="s">
        <v>236</v>
      </c>
      <c r="K19" s="50" t="s">
        <v>23</v>
      </c>
      <c r="L19" s="50" t="s">
        <v>518</v>
      </c>
      <c r="M19" s="56" t="s">
        <v>12</v>
      </c>
      <c r="N19" s="122" t="s">
        <v>666</v>
      </c>
      <c r="O19" s="57">
        <v>2</v>
      </c>
      <c r="P19" s="45">
        <v>33000</v>
      </c>
      <c r="Q19" s="58">
        <f t="shared" si="0"/>
        <v>66000</v>
      </c>
      <c r="R19" s="129" t="s">
        <v>663</v>
      </c>
      <c r="S19" s="19"/>
      <c r="T19" s="32"/>
      <c r="U19" s="32"/>
      <c r="V19" s="51">
        <f t="shared" si="1"/>
        <v>38280</v>
      </c>
      <c r="W19" s="51">
        <f t="shared" si="2"/>
        <v>76560</v>
      </c>
      <c r="X19" s="52">
        <f t="shared" si="3"/>
        <v>25.75</v>
      </c>
      <c r="Y19" s="53">
        <f t="shared" si="4"/>
        <v>51.5</v>
      </c>
      <c r="Z19" s="54"/>
      <c r="AA19" s="71"/>
      <c r="AB19" s="71"/>
      <c r="AC19" s="128"/>
      <c r="AD19" s="33"/>
      <c r="AE19" s="55"/>
    </row>
    <row r="20" spans="2:31" ht="20.100000000000001" customHeight="1">
      <c r="B20" s="48">
        <v>20</v>
      </c>
      <c r="C20" s="121" t="s">
        <v>981</v>
      </c>
      <c r="D20" s="120" t="s">
        <v>349</v>
      </c>
      <c r="E20" s="120">
        <v>2603</v>
      </c>
      <c r="F20" s="120" t="s">
        <v>700</v>
      </c>
      <c r="G20" s="120" t="s">
        <v>699</v>
      </c>
      <c r="H20" s="49">
        <v>1</v>
      </c>
      <c r="I20" s="50" t="s">
        <v>24</v>
      </c>
      <c r="J20" s="124" t="s">
        <v>829</v>
      </c>
      <c r="K20" s="50" t="s">
        <v>22</v>
      </c>
      <c r="L20" s="50" t="s">
        <v>518</v>
      </c>
      <c r="M20" s="56" t="s">
        <v>12</v>
      </c>
      <c r="N20" s="122" t="s">
        <v>665</v>
      </c>
      <c r="O20" s="57">
        <v>1</v>
      </c>
      <c r="P20" s="45">
        <v>22000</v>
      </c>
      <c r="Q20" s="58">
        <f t="shared" si="0"/>
        <v>22000</v>
      </c>
      <c r="R20" s="129" t="s">
        <v>684</v>
      </c>
      <c r="S20" s="19"/>
      <c r="T20" s="32"/>
      <c r="U20" s="32"/>
      <c r="V20" s="51">
        <f t="shared" si="1"/>
        <v>25520</v>
      </c>
      <c r="W20" s="51">
        <f t="shared" si="2"/>
        <v>25520</v>
      </c>
      <c r="X20" s="52">
        <f t="shared" si="3"/>
        <v>17.170000000000002</v>
      </c>
      <c r="Y20" s="53">
        <f t="shared" si="4"/>
        <v>17.170000000000002</v>
      </c>
      <c r="Z20" s="54"/>
      <c r="AA20" s="71"/>
      <c r="AB20" s="71"/>
      <c r="AC20" s="128"/>
      <c r="AD20" s="33"/>
      <c r="AE20" s="55"/>
    </row>
    <row r="21" spans="2:31" ht="20.100000000000001" customHeight="1">
      <c r="B21" s="48">
        <v>21</v>
      </c>
      <c r="C21" s="121" t="s">
        <v>981</v>
      </c>
      <c r="D21" s="120" t="s">
        <v>349</v>
      </c>
      <c r="E21" s="120">
        <v>2603</v>
      </c>
      <c r="F21" s="120" t="s">
        <v>700</v>
      </c>
      <c r="G21" s="120" t="s">
        <v>699</v>
      </c>
      <c r="H21" s="49">
        <v>1</v>
      </c>
      <c r="I21" s="50" t="s">
        <v>980</v>
      </c>
      <c r="J21" s="124" t="s">
        <v>224</v>
      </c>
      <c r="K21" s="50" t="s">
        <v>60</v>
      </c>
      <c r="L21" s="50" t="s">
        <v>518</v>
      </c>
      <c r="M21" s="56" t="s">
        <v>12</v>
      </c>
      <c r="N21" s="122" t="s">
        <v>665</v>
      </c>
      <c r="O21" s="57">
        <v>1</v>
      </c>
      <c r="P21" s="45">
        <v>54800</v>
      </c>
      <c r="Q21" s="58">
        <f t="shared" si="0"/>
        <v>54800</v>
      </c>
      <c r="R21" s="129" t="s">
        <v>684</v>
      </c>
      <c r="S21" s="19"/>
      <c r="T21" s="32"/>
      <c r="U21" s="32"/>
      <c r="V21" s="51">
        <f t="shared" si="1"/>
        <v>63567.999999999993</v>
      </c>
      <c r="W21" s="51">
        <f t="shared" si="2"/>
        <v>63567.999999999993</v>
      </c>
      <c r="X21" s="52">
        <f t="shared" si="3"/>
        <v>42.76</v>
      </c>
      <c r="Y21" s="53">
        <f t="shared" si="4"/>
        <v>42.76</v>
      </c>
      <c r="Z21" s="54"/>
      <c r="AA21" s="71"/>
      <c r="AB21" s="71"/>
      <c r="AC21" s="128"/>
      <c r="AD21" s="33"/>
      <c r="AE21" s="55"/>
    </row>
    <row r="22" spans="2:31" ht="20.100000000000001" customHeight="1">
      <c r="B22" s="48">
        <v>22</v>
      </c>
      <c r="C22" s="121" t="s">
        <v>981</v>
      </c>
      <c r="D22" s="120" t="s">
        <v>349</v>
      </c>
      <c r="E22" s="120">
        <v>2603</v>
      </c>
      <c r="F22" s="120" t="s">
        <v>700</v>
      </c>
      <c r="G22" s="120" t="s">
        <v>699</v>
      </c>
      <c r="H22" s="49">
        <v>1</v>
      </c>
      <c r="I22" s="50" t="s">
        <v>219</v>
      </c>
      <c r="J22" s="124" t="s">
        <v>59</v>
      </c>
      <c r="K22" s="50" t="s">
        <v>60</v>
      </c>
      <c r="L22" s="50" t="s">
        <v>518</v>
      </c>
      <c r="M22" s="56" t="s">
        <v>12</v>
      </c>
      <c r="N22" s="122" t="s">
        <v>847</v>
      </c>
      <c r="O22" s="57">
        <v>1</v>
      </c>
      <c r="P22" s="45">
        <v>39800</v>
      </c>
      <c r="Q22" s="58">
        <f t="shared" si="0"/>
        <v>39800</v>
      </c>
      <c r="R22" s="129" t="s">
        <v>684</v>
      </c>
      <c r="S22" s="19"/>
      <c r="T22" s="32"/>
      <c r="U22" s="32"/>
      <c r="V22" s="51">
        <f t="shared" si="1"/>
        <v>46168</v>
      </c>
      <c r="W22" s="51">
        <f t="shared" si="2"/>
        <v>46168</v>
      </c>
      <c r="X22" s="52">
        <f t="shared" si="3"/>
        <v>31.06</v>
      </c>
      <c r="Y22" s="53">
        <f t="shared" si="4"/>
        <v>31.06</v>
      </c>
      <c r="Z22" s="54"/>
      <c r="AA22" s="71"/>
      <c r="AB22" s="71"/>
      <c r="AC22" s="128"/>
      <c r="AD22" s="33"/>
      <c r="AE22" s="55"/>
    </row>
    <row r="23" spans="2:31" ht="20.100000000000001" customHeight="1">
      <c r="B23" s="48">
        <v>23</v>
      </c>
      <c r="C23" s="121" t="s">
        <v>981</v>
      </c>
      <c r="D23" s="120" t="s">
        <v>349</v>
      </c>
      <c r="E23" s="120">
        <v>2603</v>
      </c>
      <c r="F23" s="120" t="s">
        <v>700</v>
      </c>
      <c r="G23" s="120" t="s">
        <v>699</v>
      </c>
      <c r="H23" s="49">
        <v>1</v>
      </c>
      <c r="I23" s="50" t="s">
        <v>353</v>
      </c>
      <c r="J23" s="124" t="s">
        <v>979</v>
      </c>
      <c r="K23" s="50" t="s">
        <v>83</v>
      </c>
      <c r="L23" s="50" t="s">
        <v>518</v>
      </c>
      <c r="M23" s="56" t="s">
        <v>12</v>
      </c>
      <c r="N23" s="122" t="s">
        <v>847</v>
      </c>
      <c r="O23" s="57">
        <v>1</v>
      </c>
      <c r="P23" s="45">
        <v>12200</v>
      </c>
      <c r="Q23" s="58">
        <f t="shared" si="0"/>
        <v>12200</v>
      </c>
      <c r="R23" s="129" t="s">
        <v>684</v>
      </c>
      <c r="S23" s="19"/>
      <c r="T23" s="32"/>
      <c r="U23" s="32"/>
      <c r="V23" s="51">
        <f t="shared" si="1"/>
        <v>14151.999999999998</v>
      </c>
      <c r="W23" s="51">
        <f t="shared" si="2"/>
        <v>14151.999999999998</v>
      </c>
      <c r="X23" s="52">
        <f t="shared" si="3"/>
        <v>9.52</v>
      </c>
      <c r="Y23" s="53">
        <f t="shared" si="4"/>
        <v>9.52</v>
      </c>
      <c r="Z23" s="54"/>
      <c r="AA23" s="71"/>
      <c r="AB23" s="71"/>
      <c r="AC23" s="128"/>
      <c r="AD23" s="33"/>
      <c r="AE23" s="55"/>
    </row>
    <row r="24" spans="2:31" ht="20.100000000000001" customHeight="1">
      <c r="B24" s="48">
        <v>24</v>
      </c>
      <c r="C24" s="121" t="s">
        <v>981</v>
      </c>
      <c r="D24" s="120" t="s">
        <v>349</v>
      </c>
      <c r="E24" s="120">
        <v>2603</v>
      </c>
      <c r="F24" s="120" t="s">
        <v>700</v>
      </c>
      <c r="G24" s="120" t="s">
        <v>699</v>
      </c>
      <c r="H24" s="49">
        <v>1</v>
      </c>
      <c r="I24" s="50" t="s">
        <v>163</v>
      </c>
      <c r="J24" s="124" t="s">
        <v>358</v>
      </c>
      <c r="K24" s="50" t="s">
        <v>164</v>
      </c>
      <c r="L24" s="50" t="s">
        <v>518</v>
      </c>
      <c r="M24" s="56" t="s">
        <v>12</v>
      </c>
      <c r="N24" s="122" t="s">
        <v>820</v>
      </c>
      <c r="O24" s="57">
        <v>1</v>
      </c>
      <c r="P24" s="45">
        <v>15000</v>
      </c>
      <c r="Q24" s="58">
        <f t="shared" si="0"/>
        <v>15000</v>
      </c>
      <c r="R24" s="129" t="s">
        <v>684</v>
      </c>
      <c r="S24" s="19"/>
      <c r="T24" s="32"/>
      <c r="U24" s="32"/>
      <c r="V24" s="51">
        <f t="shared" si="1"/>
        <v>17400</v>
      </c>
      <c r="W24" s="51">
        <f t="shared" si="2"/>
        <v>17400</v>
      </c>
      <c r="X24" s="52">
        <f t="shared" si="3"/>
        <v>11.7</v>
      </c>
      <c r="Y24" s="53">
        <f t="shared" si="4"/>
        <v>11.7</v>
      </c>
      <c r="Z24" s="54"/>
      <c r="AA24" s="71"/>
      <c r="AB24" s="71"/>
      <c r="AC24" s="128"/>
      <c r="AD24" s="33"/>
      <c r="AE24" s="55"/>
    </row>
    <row r="25" spans="2:31" ht="20.100000000000001" customHeight="1">
      <c r="B25" s="48">
        <v>25</v>
      </c>
      <c r="C25" s="121" t="s">
        <v>981</v>
      </c>
      <c r="D25" s="120" t="s">
        <v>349</v>
      </c>
      <c r="E25" s="120">
        <v>2603</v>
      </c>
      <c r="F25" s="120" t="s">
        <v>700</v>
      </c>
      <c r="G25" s="120" t="s">
        <v>699</v>
      </c>
      <c r="H25" s="49">
        <v>1</v>
      </c>
      <c r="I25" s="50" t="s">
        <v>163</v>
      </c>
      <c r="J25" s="124" t="s">
        <v>168</v>
      </c>
      <c r="K25" s="50" t="s">
        <v>164</v>
      </c>
      <c r="L25" s="50" t="s">
        <v>518</v>
      </c>
      <c r="M25" s="56" t="s">
        <v>12</v>
      </c>
      <c r="N25" s="122" t="s">
        <v>820</v>
      </c>
      <c r="O25" s="57">
        <v>1</v>
      </c>
      <c r="P25" s="45">
        <v>26000</v>
      </c>
      <c r="Q25" s="58">
        <f t="shared" si="0"/>
        <v>26000</v>
      </c>
      <c r="R25" s="129" t="s">
        <v>684</v>
      </c>
      <c r="S25" s="19"/>
      <c r="T25" s="32"/>
      <c r="U25" s="32"/>
      <c r="V25" s="51">
        <f t="shared" si="1"/>
        <v>30159.999999999996</v>
      </c>
      <c r="W25" s="51">
        <f t="shared" si="2"/>
        <v>30159.999999999996</v>
      </c>
      <c r="X25" s="52">
        <f t="shared" si="3"/>
        <v>20.29</v>
      </c>
      <c r="Y25" s="53">
        <f t="shared" si="4"/>
        <v>20.29</v>
      </c>
      <c r="Z25" s="54"/>
      <c r="AA25" s="71"/>
      <c r="AB25" s="71"/>
      <c r="AC25" s="128"/>
      <c r="AD25" s="33"/>
      <c r="AE25" s="55"/>
    </row>
    <row r="26" spans="2:31" ht="20.100000000000001" customHeight="1">
      <c r="B26" s="48">
        <v>26</v>
      </c>
      <c r="C26" s="121" t="s">
        <v>981</v>
      </c>
      <c r="D26" s="120" t="s">
        <v>349</v>
      </c>
      <c r="E26" s="120">
        <v>2603</v>
      </c>
      <c r="F26" s="120" t="s">
        <v>700</v>
      </c>
      <c r="G26" s="120" t="s">
        <v>699</v>
      </c>
      <c r="H26" s="49">
        <v>1</v>
      </c>
      <c r="I26" s="50" t="s">
        <v>978</v>
      </c>
      <c r="J26" s="124" t="s">
        <v>977</v>
      </c>
      <c r="K26" s="50" t="s">
        <v>976</v>
      </c>
      <c r="L26" s="50" t="s">
        <v>518</v>
      </c>
      <c r="M26" s="56" t="s">
        <v>12</v>
      </c>
      <c r="N26" s="122" t="s">
        <v>722</v>
      </c>
      <c r="O26" s="57">
        <v>1</v>
      </c>
      <c r="P26" s="45">
        <v>40000</v>
      </c>
      <c r="Q26" s="58">
        <f t="shared" si="0"/>
        <v>40000</v>
      </c>
      <c r="R26" s="129" t="s">
        <v>684</v>
      </c>
      <c r="S26" s="19"/>
      <c r="T26" s="32"/>
      <c r="U26" s="32"/>
      <c r="V26" s="51">
        <f t="shared" si="1"/>
        <v>46400</v>
      </c>
      <c r="W26" s="51">
        <f t="shared" si="2"/>
        <v>46400</v>
      </c>
      <c r="X26" s="52">
        <f t="shared" si="3"/>
        <v>31.21</v>
      </c>
      <c r="Y26" s="53">
        <f t="shared" si="4"/>
        <v>31.21</v>
      </c>
      <c r="Z26" s="54"/>
      <c r="AA26" s="71"/>
      <c r="AB26" s="71"/>
      <c r="AC26" s="128"/>
      <c r="AD26" s="33"/>
      <c r="AE26" s="55"/>
    </row>
    <row r="27" spans="2:31" ht="20.100000000000001" customHeight="1">
      <c r="B27" s="48">
        <v>27</v>
      </c>
      <c r="C27" s="121" t="s">
        <v>981</v>
      </c>
      <c r="D27" s="120" t="s">
        <v>349</v>
      </c>
      <c r="E27" s="120">
        <v>2603</v>
      </c>
      <c r="F27" s="120" t="s">
        <v>700</v>
      </c>
      <c r="G27" s="120" t="s">
        <v>699</v>
      </c>
      <c r="H27" s="49">
        <v>1</v>
      </c>
      <c r="I27" s="50" t="s">
        <v>155</v>
      </c>
      <c r="J27" s="124" t="s">
        <v>159</v>
      </c>
      <c r="K27" s="50" t="s">
        <v>23</v>
      </c>
      <c r="L27" s="50" t="s">
        <v>518</v>
      </c>
      <c r="M27" s="56" t="s">
        <v>12</v>
      </c>
      <c r="N27" s="122" t="s">
        <v>666</v>
      </c>
      <c r="O27" s="57">
        <v>4</v>
      </c>
      <c r="P27" s="45">
        <v>10500</v>
      </c>
      <c r="Q27" s="58">
        <f t="shared" si="0"/>
        <v>42000</v>
      </c>
      <c r="R27" s="129" t="s">
        <v>684</v>
      </c>
      <c r="S27" s="19"/>
      <c r="T27" s="32"/>
      <c r="U27" s="32"/>
      <c r="V27" s="51">
        <f t="shared" si="1"/>
        <v>12180</v>
      </c>
      <c r="W27" s="51">
        <f t="shared" si="2"/>
        <v>48720</v>
      </c>
      <c r="X27" s="52">
        <f t="shared" si="3"/>
        <v>8.19</v>
      </c>
      <c r="Y27" s="53">
        <f t="shared" si="4"/>
        <v>32.76</v>
      </c>
      <c r="Z27" s="54"/>
      <c r="AA27" s="71"/>
      <c r="AB27" s="71"/>
      <c r="AC27" s="128"/>
      <c r="AD27" s="33"/>
      <c r="AE27" s="55"/>
    </row>
    <row r="28" spans="2:31" ht="20.100000000000001" customHeight="1">
      <c r="B28" s="48">
        <v>28</v>
      </c>
      <c r="C28" s="121" t="s">
        <v>981</v>
      </c>
      <c r="D28" s="120" t="s">
        <v>349</v>
      </c>
      <c r="E28" s="120">
        <v>2603</v>
      </c>
      <c r="F28" s="120" t="s">
        <v>700</v>
      </c>
      <c r="G28" s="120" t="s">
        <v>699</v>
      </c>
      <c r="H28" s="49">
        <v>1</v>
      </c>
      <c r="I28" s="50" t="s">
        <v>156</v>
      </c>
      <c r="J28" s="124" t="s">
        <v>160</v>
      </c>
      <c r="K28" s="50" t="s">
        <v>23</v>
      </c>
      <c r="L28" s="50" t="s">
        <v>518</v>
      </c>
      <c r="M28" s="56" t="s">
        <v>12</v>
      </c>
      <c r="N28" s="122" t="s">
        <v>666</v>
      </c>
      <c r="O28" s="57">
        <v>4</v>
      </c>
      <c r="P28" s="45">
        <v>10600</v>
      </c>
      <c r="Q28" s="58">
        <f t="shared" si="0"/>
        <v>42400</v>
      </c>
      <c r="R28" s="129" t="s">
        <v>684</v>
      </c>
      <c r="S28" s="19"/>
      <c r="T28" s="32"/>
      <c r="U28" s="32"/>
      <c r="V28" s="51">
        <f t="shared" si="1"/>
        <v>12296</v>
      </c>
      <c r="W28" s="51">
        <f t="shared" si="2"/>
        <v>49184</v>
      </c>
      <c r="X28" s="52">
        <f t="shared" si="3"/>
        <v>8.27</v>
      </c>
      <c r="Y28" s="53">
        <f t="shared" si="4"/>
        <v>33.08</v>
      </c>
      <c r="Z28" s="54"/>
      <c r="AA28" s="71"/>
      <c r="AB28" s="71"/>
      <c r="AC28" s="128"/>
      <c r="AD28" s="33"/>
      <c r="AE28" s="55"/>
    </row>
    <row r="29" spans="2:31" ht="20.100000000000001" customHeight="1">
      <c r="B29" s="48">
        <v>29</v>
      </c>
      <c r="C29" s="121" t="s">
        <v>981</v>
      </c>
      <c r="D29" s="120" t="s">
        <v>349</v>
      </c>
      <c r="E29" s="120">
        <v>2603</v>
      </c>
      <c r="F29" s="120" t="s">
        <v>700</v>
      </c>
      <c r="G29" s="120" t="s">
        <v>699</v>
      </c>
      <c r="H29" s="49">
        <v>1</v>
      </c>
      <c r="I29" s="50" t="s">
        <v>144</v>
      </c>
      <c r="J29" s="124" t="s">
        <v>145</v>
      </c>
      <c r="K29" s="50" t="s">
        <v>22</v>
      </c>
      <c r="L29" s="50" t="s">
        <v>518</v>
      </c>
      <c r="M29" s="56" t="s">
        <v>12</v>
      </c>
      <c r="N29" s="122" t="s">
        <v>665</v>
      </c>
      <c r="O29" s="57">
        <v>2</v>
      </c>
      <c r="P29" s="45">
        <v>12600</v>
      </c>
      <c r="Q29" s="58">
        <f t="shared" si="0"/>
        <v>25200</v>
      </c>
      <c r="R29" s="129" t="s">
        <v>684</v>
      </c>
      <c r="S29" s="19"/>
      <c r="T29" s="32"/>
      <c r="U29" s="32"/>
      <c r="V29" s="51">
        <f t="shared" si="1"/>
        <v>14615.999999999998</v>
      </c>
      <c r="W29" s="51">
        <f t="shared" si="2"/>
        <v>29231.999999999996</v>
      </c>
      <c r="X29" s="52">
        <f t="shared" si="3"/>
        <v>9.83</v>
      </c>
      <c r="Y29" s="53">
        <f t="shared" si="4"/>
        <v>19.66</v>
      </c>
      <c r="Z29" s="54"/>
      <c r="AA29" s="71"/>
      <c r="AB29" s="71"/>
      <c r="AC29" s="128"/>
      <c r="AD29" s="33"/>
      <c r="AE29" s="55"/>
    </row>
    <row r="30" spans="2:31" ht="20.100000000000001" customHeight="1">
      <c r="B30" s="48">
        <v>30</v>
      </c>
      <c r="C30" s="121" t="s">
        <v>981</v>
      </c>
      <c r="D30" s="120" t="s">
        <v>349</v>
      </c>
      <c r="E30" s="120">
        <v>2603</v>
      </c>
      <c r="F30" s="120" t="s">
        <v>700</v>
      </c>
      <c r="G30" s="120" t="s">
        <v>699</v>
      </c>
      <c r="H30" s="49">
        <v>1</v>
      </c>
      <c r="I30" s="50" t="s">
        <v>975</v>
      </c>
      <c r="J30" s="124" t="s">
        <v>239</v>
      </c>
      <c r="K30" s="50" t="s">
        <v>23</v>
      </c>
      <c r="L30" s="50" t="s">
        <v>518</v>
      </c>
      <c r="M30" s="56" t="s">
        <v>12</v>
      </c>
      <c r="N30" s="122" t="s">
        <v>666</v>
      </c>
      <c r="O30" s="57">
        <v>1</v>
      </c>
      <c r="P30" s="45">
        <v>390000</v>
      </c>
      <c r="Q30" s="58">
        <f t="shared" si="0"/>
        <v>390000</v>
      </c>
      <c r="R30" s="129" t="s">
        <v>684</v>
      </c>
      <c r="S30" s="19"/>
      <c r="T30" s="32"/>
      <c r="U30" s="32"/>
      <c r="V30" s="51">
        <f t="shared" si="1"/>
        <v>452399.99999999994</v>
      </c>
      <c r="W30" s="51">
        <f t="shared" si="2"/>
        <v>452399.99999999994</v>
      </c>
      <c r="X30" s="52">
        <f t="shared" si="3"/>
        <v>304.31</v>
      </c>
      <c r="Y30" s="53">
        <f t="shared" si="4"/>
        <v>304.31</v>
      </c>
      <c r="Z30" s="54"/>
      <c r="AA30" s="71"/>
      <c r="AB30" s="71"/>
      <c r="AC30" s="128"/>
      <c r="AD30" s="33"/>
      <c r="AE30" s="55"/>
    </row>
    <row r="31" spans="2:31" ht="20.100000000000001" customHeight="1">
      <c r="B31" s="48">
        <v>31</v>
      </c>
      <c r="C31" s="121" t="s">
        <v>981</v>
      </c>
      <c r="D31" s="120" t="s">
        <v>349</v>
      </c>
      <c r="E31" s="120">
        <v>2603</v>
      </c>
      <c r="F31" s="120" t="s">
        <v>700</v>
      </c>
      <c r="G31" s="120" t="s">
        <v>699</v>
      </c>
      <c r="H31" s="49">
        <v>1</v>
      </c>
      <c r="I31" s="50" t="s">
        <v>209</v>
      </c>
      <c r="J31" s="124" t="s">
        <v>974</v>
      </c>
      <c r="K31" s="50" t="s">
        <v>973</v>
      </c>
      <c r="L31" s="50" t="s">
        <v>599</v>
      </c>
      <c r="M31" s="56" t="s">
        <v>12</v>
      </c>
      <c r="N31" s="122" t="s">
        <v>972</v>
      </c>
      <c r="O31" s="57">
        <v>1</v>
      </c>
      <c r="P31" s="45">
        <v>60000</v>
      </c>
      <c r="Q31" s="58">
        <f t="shared" si="0"/>
        <v>60000</v>
      </c>
      <c r="R31" s="129" t="s">
        <v>663</v>
      </c>
      <c r="S31" s="19"/>
      <c r="T31" s="32"/>
      <c r="U31" s="32"/>
      <c r="V31" s="51">
        <f t="shared" si="1"/>
        <v>69600</v>
      </c>
      <c r="W31" s="51">
        <f t="shared" si="2"/>
        <v>69600</v>
      </c>
      <c r="X31" s="52">
        <f t="shared" si="3"/>
        <v>46.82</v>
      </c>
      <c r="Y31" s="53">
        <f t="shared" si="4"/>
        <v>46.82</v>
      </c>
      <c r="Z31" s="54"/>
      <c r="AA31" s="71"/>
      <c r="AB31" s="71"/>
      <c r="AC31" s="128"/>
      <c r="AD31" s="33"/>
      <c r="AE31" s="55"/>
    </row>
    <row r="32" spans="2:31" ht="20.100000000000001" customHeight="1">
      <c r="B32" s="48">
        <v>32</v>
      </c>
      <c r="C32" s="121" t="s">
        <v>981</v>
      </c>
      <c r="D32" s="120" t="s">
        <v>349</v>
      </c>
      <c r="E32" s="120">
        <v>2603</v>
      </c>
      <c r="F32" s="120" t="s">
        <v>700</v>
      </c>
      <c r="G32" s="120" t="s">
        <v>699</v>
      </c>
      <c r="H32" s="49">
        <v>1</v>
      </c>
      <c r="I32" s="50" t="s">
        <v>971</v>
      </c>
      <c r="J32" s="124" t="s">
        <v>970</v>
      </c>
      <c r="K32" s="50" t="s">
        <v>26</v>
      </c>
      <c r="L32" s="50" t="s">
        <v>519</v>
      </c>
      <c r="M32" s="56" t="s">
        <v>12</v>
      </c>
      <c r="N32" s="122" t="s">
        <v>612</v>
      </c>
      <c r="O32" s="57">
        <v>1</v>
      </c>
      <c r="P32" s="45">
        <v>17020</v>
      </c>
      <c r="Q32" s="58">
        <f t="shared" si="0"/>
        <v>17020</v>
      </c>
      <c r="R32" s="129" t="s">
        <v>684</v>
      </c>
      <c r="S32" s="19"/>
      <c r="T32" s="32"/>
      <c r="U32" s="32"/>
      <c r="V32" s="51">
        <f t="shared" si="1"/>
        <v>19743.199999999997</v>
      </c>
      <c r="W32" s="51">
        <f t="shared" si="2"/>
        <v>19743.199999999997</v>
      </c>
      <c r="X32" s="52">
        <f t="shared" si="3"/>
        <v>13.28</v>
      </c>
      <c r="Y32" s="53">
        <f t="shared" si="4"/>
        <v>13.28</v>
      </c>
      <c r="Z32" s="54"/>
      <c r="AA32" s="71"/>
      <c r="AB32" s="71"/>
      <c r="AC32" s="128"/>
      <c r="AD32" s="33"/>
      <c r="AE32" s="55"/>
    </row>
    <row r="33" spans="2:31" ht="20.100000000000001" customHeight="1">
      <c r="B33" s="48">
        <v>33</v>
      </c>
      <c r="C33" s="121" t="s">
        <v>981</v>
      </c>
      <c r="D33" s="120" t="s">
        <v>349</v>
      </c>
      <c r="E33" s="120">
        <v>2603</v>
      </c>
      <c r="F33" s="120" t="s">
        <v>700</v>
      </c>
      <c r="G33" s="120" t="s">
        <v>699</v>
      </c>
      <c r="H33" s="49">
        <v>1</v>
      </c>
      <c r="I33" s="50" t="s">
        <v>141</v>
      </c>
      <c r="J33" s="124" t="s">
        <v>969</v>
      </c>
      <c r="K33" s="50" t="s">
        <v>26</v>
      </c>
      <c r="L33" s="50" t="s">
        <v>519</v>
      </c>
      <c r="M33" s="56" t="s">
        <v>12</v>
      </c>
      <c r="N33" s="122" t="s">
        <v>612</v>
      </c>
      <c r="O33" s="57">
        <v>1</v>
      </c>
      <c r="P33" s="45">
        <v>33560</v>
      </c>
      <c r="Q33" s="58">
        <f t="shared" si="0"/>
        <v>33560</v>
      </c>
      <c r="R33" s="129" t="s">
        <v>684</v>
      </c>
      <c r="S33" s="19"/>
      <c r="T33" s="32"/>
      <c r="U33" s="32"/>
      <c r="V33" s="51">
        <f t="shared" si="1"/>
        <v>38929.599999999999</v>
      </c>
      <c r="W33" s="51">
        <f t="shared" si="2"/>
        <v>38929.599999999999</v>
      </c>
      <c r="X33" s="52">
        <f t="shared" si="3"/>
        <v>26.19</v>
      </c>
      <c r="Y33" s="53">
        <f t="shared" si="4"/>
        <v>26.19</v>
      </c>
      <c r="Z33" s="54"/>
      <c r="AA33" s="71"/>
      <c r="AB33" s="71"/>
      <c r="AC33" s="128"/>
      <c r="AD33" s="33"/>
      <c r="AE33" s="55"/>
    </row>
    <row r="34" spans="2:31" ht="20.100000000000001" customHeight="1">
      <c r="B34" s="48">
        <v>34</v>
      </c>
      <c r="C34" s="121" t="s">
        <v>981</v>
      </c>
      <c r="D34" s="120" t="s">
        <v>349</v>
      </c>
      <c r="E34" s="120">
        <v>2603</v>
      </c>
      <c r="F34" s="120" t="s">
        <v>700</v>
      </c>
      <c r="G34" s="120" t="s">
        <v>699</v>
      </c>
      <c r="H34" s="49">
        <v>1</v>
      </c>
      <c r="I34" s="50" t="s">
        <v>564</v>
      </c>
      <c r="J34" s="124" t="s">
        <v>248</v>
      </c>
      <c r="K34" s="50" t="s">
        <v>26</v>
      </c>
      <c r="L34" s="50" t="s">
        <v>519</v>
      </c>
      <c r="M34" s="56" t="s">
        <v>12</v>
      </c>
      <c r="N34" s="122" t="s">
        <v>612</v>
      </c>
      <c r="O34" s="57">
        <v>1</v>
      </c>
      <c r="P34" s="45">
        <v>3140</v>
      </c>
      <c r="Q34" s="58">
        <f t="shared" si="0"/>
        <v>3140</v>
      </c>
      <c r="R34" s="129" t="s">
        <v>684</v>
      </c>
      <c r="S34" s="19"/>
      <c r="T34" s="32"/>
      <c r="U34" s="32"/>
      <c r="V34" s="51">
        <f t="shared" si="1"/>
        <v>3642.3999999999996</v>
      </c>
      <c r="W34" s="51">
        <f t="shared" si="2"/>
        <v>3642.3999999999996</v>
      </c>
      <c r="X34" s="52">
        <f t="shared" si="3"/>
        <v>2.4500000000000002</v>
      </c>
      <c r="Y34" s="53">
        <f t="shared" si="4"/>
        <v>2.4500000000000002</v>
      </c>
      <c r="Z34" s="54"/>
      <c r="AA34" s="71"/>
      <c r="AB34" s="71"/>
      <c r="AC34" s="128"/>
      <c r="AD34" s="33"/>
      <c r="AE34" s="55"/>
    </row>
    <row r="35" spans="2:31" ht="20.100000000000001" customHeight="1">
      <c r="B35" s="48">
        <v>35</v>
      </c>
      <c r="C35" s="121" t="s">
        <v>981</v>
      </c>
      <c r="D35" s="120" t="s">
        <v>349</v>
      </c>
      <c r="E35" s="120">
        <v>2603</v>
      </c>
      <c r="F35" s="120" t="s">
        <v>700</v>
      </c>
      <c r="G35" s="120" t="s">
        <v>699</v>
      </c>
      <c r="H35" s="49">
        <v>1</v>
      </c>
      <c r="I35" s="50" t="s">
        <v>141</v>
      </c>
      <c r="J35" s="124" t="s">
        <v>1029</v>
      </c>
      <c r="K35" s="50" t="s">
        <v>26</v>
      </c>
      <c r="L35" s="50" t="s">
        <v>519</v>
      </c>
      <c r="M35" s="56" t="s">
        <v>12</v>
      </c>
      <c r="N35" s="122" t="s">
        <v>612</v>
      </c>
      <c r="O35" s="57">
        <v>1</v>
      </c>
      <c r="P35" s="45">
        <v>25550</v>
      </c>
      <c r="Q35" s="58">
        <f t="shared" si="0"/>
        <v>25550</v>
      </c>
      <c r="R35" s="129" t="s">
        <v>684</v>
      </c>
      <c r="S35" s="19"/>
      <c r="T35" s="32"/>
      <c r="U35" s="32"/>
      <c r="V35" s="51">
        <f t="shared" si="1"/>
        <v>29637.999999999996</v>
      </c>
      <c r="W35" s="51">
        <f t="shared" si="2"/>
        <v>29637.999999999996</v>
      </c>
      <c r="X35" s="52">
        <f t="shared" si="3"/>
        <v>19.940000000000001</v>
      </c>
      <c r="Y35" s="53">
        <f t="shared" si="4"/>
        <v>19.940000000000001</v>
      </c>
      <c r="Z35" s="54"/>
      <c r="AA35" s="71"/>
      <c r="AB35" s="71"/>
      <c r="AC35" s="128"/>
      <c r="AD35" s="33"/>
      <c r="AE35" s="55"/>
    </row>
    <row r="36" spans="2:31" ht="20.100000000000001" customHeight="1">
      <c r="B36" s="48">
        <v>36</v>
      </c>
      <c r="C36" s="121" t="s">
        <v>981</v>
      </c>
      <c r="D36" s="120" t="s">
        <v>349</v>
      </c>
      <c r="E36" s="120">
        <v>2603</v>
      </c>
      <c r="F36" s="120" t="s">
        <v>700</v>
      </c>
      <c r="G36" s="120" t="s">
        <v>699</v>
      </c>
      <c r="H36" s="49">
        <v>1</v>
      </c>
      <c r="I36" s="50" t="s">
        <v>41</v>
      </c>
      <c r="J36" s="124" t="s">
        <v>561</v>
      </c>
      <c r="K36" s="50" t="s">
        <v>26</v>
      </c>
      <c r="L36" s="50" t="s">
        <v>519</v>
      </c>
      <c r="M36" s="56" t="s">
        <v>12</v>
      </c>
      <c r="N36" s="122" t="s">
        <v>612</v>
      </c>
      <c r="O36" s="57">
        <v>1</v>
      </c>
      <c r="P36" s="45">
        <v>9980</v>
      </c>
      <c r="Q36" s="58">
        <f t="shared" si="0"/>
        <v>9980</v>
      </c>
      <c r="R36" s="129" t="s">
        <v>684</v>
      </c>
      <c r="S36" s="19"/>
      <c r="T36" s="32"/>
      <c r="U36" s="32"/>
      <c r="V36" s="51">
        <f t="shared" si="1"/>
        <v>11576.8</v>
      </c>
      <c r="W36" s="51">
        <f t="shared" si="2"/>
        <v>11576.8</v>
      </c>
      <c r="X36" s="52">
        <f t="shared" si="3"/>
        <v>7.79</v>
      </c>
      <c r="Y36" s="53">
        <f t="shared" si="4"/>
        <v>7.79</v>
      </c>
      <c r="Z36" s="54"/>
      <c r="AA36" s="71"/>
      <c r="AB36" s="71"/>
      <c r="AC36" s="128"/>
      <c r="AD36" s="33"/>
      <c r="AE36" s="55"/>
    </row>
    <row r="37" spans="2:31" ht="20.100000000000001" customHeight="1">
      <c r="B37" s="48">
        <v>37</v>
      </c>
      <c r="C37" s="121" t="s">
        <v>981</v>
      </c>
      <c r="D37" s="120" t="s">
        <v>349</v>
      </c>
      <c r="E37" s="120">
        <v>2603</v>
      </c>
      <c r="F37" s="120" t="s">
        <v>700</v>
      </c>
      <c r="G37" s="120" t="s">
        <v>699</v>
      </c>
      <c r="H37" s="49">
        <v>1</v>
      </c>
      <c r="I37" s="50" t="s">
        <v>40</v>
      </c>
      <c r="J37" s="124" t="s">
        <v>787</v>
      </c>
      <c r="K37" s="50" t="s">
        <v>26</v>
      </c>
      <c r="L37" s="50" t="s">
        <v>519</v>
      </c>
      <c r="M37" s="56" t="s">
        <v>12</v>
      </c>
      <c r="N37" s="122" t="s">
        <v>612</v>
      </c>
      <c r="O37" s="57">
        <v>3</v>
      </c>
      <c r="P37" s="45">
        <v>300</v>
      </c>
      <c r="Q37" s="58">
        <f t="shared" ref="Q37:Q68" si="5">O37*P37</f>
        <v>900</v>
      </c>
      <c r="R37" s="129" t="s">
        <v>684</v>
      </c>
      <c r="S37" s="19"/>
      <c r="T37" s="32"/>
      <c r="U37" s="32"/>
      <c r="V37" s="51">
        <f t="shared" si="1"/>
        <v>348</v>
      </c>
      <c r="W37" s="51">
        <f t="shared" si="2"/>
        <v>1044</v>
      </c>
      <c r="X37" s="52">
        <f t="shared" si="3"/>
        <v>0.23</v>
      </c>
      <c r="Y37" s="53">
        <f t="shared" si="4"/>
        <v>0.69000000000000006</v>
      </c>
      <c r="Z37" s="54"/>
      <c r="AA37" s="71"/>
      <c r="AB37" s="71"/>
      <c r="AC37" s="128"/>
      <c r="AD37" s="33"/>
      <c r="AE37" s="55"/>
    </row>
    <row r="38" spans="2:31" ht="20.100000000000001" customHeight="1">
      <c r="B38" s="48">
        <v>38</v>
      </c>
      <c r="C38" s="121" t="s">
        <v>981</v>
      </c>
      <c r="D38" s="120" t="s">
        <v>349</v>
      </c>
      <c r="E38" s="120">
        <v>2603</v>
      </c>
      <c r="F38" s="120" t="s">
        <v>700</v>
      </c>
      <c r="G38" s="120" t="s">
        <v>699</v>
      </c>
      <c r="H38" s="49">
        <v>1</v>
      </c>
      <c r="I38" s="50" t="s">
        <v>992</v>
      </c>
      <c r="J38" s="124" t="s">
        <v>965</v>
      </c>
      <c r="K38" s="50" t="s">
        <v>26</v>
      </c>
      <c r="L38" s="50" t="s">
        <v>519</v>
      </c>
      <c r="M38" s="56" t="s">
        <v>12</v>
      </c>
      <c r="N38" s="122" t="s">
        <v>612</v>
      </c>
      <c r="O38" s="57">
        <v>2</v>
      </c>
      <c r="P38" s="45">
        <v>3090</v>
      </c>
      <c r="Q38" s="58">
        <f t="shared" si="5"/>
        <v>6180</v>
      </c>
      <c r="R38" s="129" t="s">
        <v>684</v>
      </c>
      <c r="S38" s="19"/>
      <c r="T38" s="32"/>
      <c r="U38" s="32"/>
      <c r="V38" s="51">
        <f t="shared" si="1"/>
        <v>3584.3999999999996</v>
      </c>
      <c r="W38" s="51">
        <f t="shared" si="2"/>
        <v>7168.7999999999993</v>
      </c>
      <c r="X38" s="52">
        <f t="shared" si="3"/>
        <v>2.41</v>
      </c>
      <c r="Y38" s="53">
        <f t="shared" si="4"/>
        <v>4.82</v>
      </c>
      <c r="Z38" s="54"/>
      <c r="AA38" s="71"/>
      <c r="AB38" s="71"/>
      <c r="AC38" s="128"/>
      <c r="AD38" s="33"/>
      <c r="AE38" s="55"/>
    </row>
    <row r="39" spans="2:31" ht="20.100000000000001" customHeight="1">
      <c r="B39" s="48">
        <v>39</v>
      </c>
      <c r="C39" s="121" t="s">
        <v>981</v>
      </c>
      <c r="D39" s="120" t="s">
        <v>349</v>
      </c>
      <c r="E39" s="120">
        <v>2603</v>
      </c>
      <c r="F39" s="120" t="s">
        <v>700</v>
      </c>
      <c r="G39" s="120" t="s">
        <v>699</v>
      </c>
      <c r="H39" s="49">
        <v>1</v>
      </c>
      <c r="I39" s="50" t="s">
        <v>28</v>
      </c>
      <c r="J39" s="124" t="s">
        <v>257</v>
      </c>
      <c r="K39" s="50" t="s">
        <v>26</v>
      </c>
      <c r="L39" s="50" t="s">
        <v>519</v>
      </c>
      <c r="M39" s="56" t="s">
        <v>12</v>
      </c>
      <c r="N39" s="122" t="s">
        <v>612</v>
      </c>
      <c r="O39" s="57">
        <v>1</v>
      </c>
      <c r="P39" s="45">
        <v>3020</v>
      </c>
      <c r="Q39" s="58">
        <f t="shared" si="5"/>
        <v>3020</v>
      </c>
      <c r="R39" s="129" t="s">
        <v>684</v>
      </c>
      <c r="S39" s="19"/>
      <c r="T39" s="32"/>
      <c r="U39" s="32"/>
      <c r="V39" s="51">
        <f t="shared" si="1"/>
        <v>3503.2</v>
      </c>
      <c r="W39" s="51">
        <f t="shared" si="2"/>
        <v>3503.2</v>
      </c>
      <c r="X39" s="52">
        <f t="shared" si="3"/>
        <v>2.36</v>
      </c>
      <c r="Y39" s="53">
        <f t="shared" si="4"/>
        <v>2.36</v>
      </c>
      <c r="Z39" s="54"/>
      <c r="AA39" s="71"/>
      <c r="AB39" s="71"/>
      <c r="AC39" s="128"/>
      <c r="AD39" s="33"/>
      <c r="AE39" s="55"/>
    </row>
    <row r="40" spans="2:31" ht="20.100000000000001" customHeight="1">
      <c r="B40" s="48">
        <v>40</v>
      </c>
      <c r="C40" s="121" t="s">
        <v>981</v>
      </c>
      <c r="D40" s="120" t="s">
        <v>349</v>
      </c>
      <c r="E40" s="120">
        <v>2603</v>
      </c>
      <c r="F40" s="120" t="s">
        <v>700</v>
      </c>
      <c r="G40" s="120" t="s">
        <v>699</v>
      </c>
      <c r="H40" s="49">
        <v>1</v>
      </c>
      <c r="I40" s="50" t="s">
        <v>28</v>
      </c>
      <c r="J40" s="124" t="s">
        <v>964</v>
      </c>
      <c r="K40" s="50" t="s">
        <v>26</v>
      </c>
      <c r="L40" s="50" t="s">
        <v>519</v>
      </c>
      <c r="M40" s="56" t="s">
        <v>12</v>
      </c>
      <c r="N40" s="122" t="s">
        <v>612</v>
      </c>
      <c r="O40" s="57">
        <v>1</v>
      </c>
      <c r="P40" s="45">
        <v>2200</v>
      </c>
      <c r="Q40" s="58">
        <f t="shared" si="5"/>
        <v>2200</v>
      </c>
      <c r="R40" s="129" t="s">
        <v>684</v>
      </c>
      <c r="S40" s="19"/>
      <c r="T40" s="32"/>
      <c r="U40" s="32"/>
      <c r="V40" s="51">
        <f t="shared" si="1"/>
        <v>2552</v>
      </c>
      <c r="W40" s="51">
        <f t="shared" si="2"/>
        <v>2552</v>
      </c>
      <c r="X40" s="52">
        <f t="shared" si="3"/>
        <v>1.72</v>
      </c>
      <c r="Y40" s="53">
        <f t="shared" si="4"/>
        <v>1.72</v>
      </c>
      <c r="Z40" s="54"/>
      <c r="AA40" s="71"/>
      <c r="AB40" s="71"/>
      <c r="AC40" s="128"/>
      <c r="AD40" s="33"/>
      <c r="AE40" s="55"/>
    </row>
    <row r="41" spans="2:31" ht="20.100000000000001" customHeight="1">
      <c r="B41" s="48">
        <v>41</v>
      </c>
      <c r="C41" s="121" t="s">
        <v>981</v>
      </c>
      <c r="D41" s="120" t="s">
        <v>349</v>
      </c>
      <c r="E41" s="120">
        <v>2603</v>
      </c>
      <c r="F41" s="120" t="s">
        <v>700</v>
      </c>
      <c r="G41" s="120" t="s">
        <v>699</v>
      </c>
      <c r="H41" s="49">
        <v>1</v>
      </c>
      <c r="I41" s="50" t="s">
        <v>28</v>
      </c>
      <c r="J41" s="124" t="s">
        <v>963</v>
      </c>
      <c r="K41" s="50" t="s">
        <v>26</v>
      </c>
      <c r="L41" s="50" t="s">
        <v>519</v>
      </c>
      <c r="M41" s="56" t="s">
        <v>12</v>
      </c>
      <c r="N41" s="122" t="s">
        <v>612</v>
      </c>
      <c r="O41" s="57">
        <v>2</v>
      </c>
      <c r="P41" s="45">
        <v>1980</v>
      </c>
      <c r="Q41" s="58">
        <f t="shared" si="5"/>
        <v>3960</v>
      </c>
      <c r="R41" s="129" t="s">
        <v>684</v>
      </c>
      <c r="S41" s="19"/>
      <c r="T41" s="32"/>
      <c r="U41" s="32"/>
      <c r="V41" s="51">
        <f t="shared" si="1"/>
        <v>2296.7999999999997</v>
      </c>
      <c r="W41" s="51">
        <f t="shared" si="2"/>
        <v>4593.5999999999995</v>
      </c>
      <c r="X41" s="52">
        <f t="shared" si="3"/>
        <v>1.54</v>
      </c>
      <c r="Y41" s="53">
        <f t="shared" si="4"/>
        <v>3.08</v>
      </c>
      <c r="Z41" s="54"/>
      <c r="AA41" s="71"/>
      <c r="AB41" s="71"/>
      <c r="AC41" s="128"/>
      <c r="AD41" s="33"/>
      <c r="AE41" s="55"/>
    </row>
    <row r="42" spans="2:31" ht="20.100000000000001" customHeight="1">
      <c r="B42" s="48">
        <v>42</v>
      </c>
      <c r="C42" s="121" t="s">
        <v>981</v>
      </c>
      <c r="D42" s="120" t="s">
        <v>349</v>
      </c>
      <c r="E42" s="120">
        <v>2603</v>
      </c>
      <c r="F42" s="120" t="s">
        <v>700</v>
      </c>
      <c r="G42" s="120" t="s">
        <v>699</v>
      </c>
      <c r="H42" s="49">
        <v>1</v>
      </c>
      <c r="I42" s="50" t="s">
        <v>28</v>
      </c>
      <c r="J42" s="124" t="s">
        <v>962</v>
      </c>
      <c r="K42" s="50" t="s">
        <v>26</v>
      </c>
      <c r="L42" s="50" t="s">
        <v>519</v>
      </c>
      <c r="M42" s="56" t="s">
        <v>12</v>
      </c>
      <c r="N42" s="122" t="s">
        <v>612</v>
      </c>
      <c r="O42" s="57">
        <v>1</v>
      </c>
      <c r="P42" s="45">
        <v>1580</v>
      </c>
      <c r="Q42" s="58">
        <f t="shared" si="5"/>
        <v>1580</v>
      </c>
      <c r="R42" s="129" t="s">
        <v>684</v>
      </c>
      <c r="S42" s="19"/>
      <c r="T42" s="32"/>
      <c r="U42" s="32"/>
      <c r="V42" s="51">
        <f t="shared" si="1"/>
        <v>1832.8</v>
      </c>
      <c r="W42" s="51">
        <f t="shared" si="2"/>
        <v>1832.8</v>
      </c>
      <c r="X42" s="52">
        <f t="shared" si="3"/>
        <v>1.23</v>
      </c>
      <c r="Y42" s="53">
        <f t="shared" si="4"/>
        <v>1.23</v>
      </c>
      <c r="Z42" s="54"/>
      <c r="AA42" s="71"/>
      <c r="AB42" s="71"/>
      <c r="AC42" s="128"/>
      <c r="AD42" s="33"/>
      <c r="AE42" s="55"/>
    </row>
    <row r="43" spans="2:31" ht="20.100000000000001" customHeight="1">
      <c r="B43" s="48">
        <v>43</v>
      </c>
      <c r="C43" s="121" t="s">
        <v>981</v>
      </c>
      <c r="D43" s="120" t="s">
        <v>349</v>
      </c>
      <c r="E43" s="120">
        <v>2603</v>
      </c>
      <c r="F43" s="120" t="s">
        <v>700</v>
      </c>
      <c r="G43" s="120" t="s">
        <v>699</v>
      </c>
      <c r="H43" s="49">
        <v>1</v>
      </c>
      <c r="I43" s="50" t="s">
        <v>961</v>
      </c>
      <c r="J43" s="124" t="s">
        <v>617</v>
      </c>
      <c r="K43" s="50" t="s">
        <v>26</v>
      </c>
      <c r="L43" s="50" t="s">
        <v>519</v>
      </c>
      <c r="M43" s="56" t="s">
        <v>12</v>
      </c>
      <c r="N43" s="122" t="s">
        <v>612</v>
      </c>
      <c r="O43" s="57">
        <v>1</v>
      </c>
      <c r="P43" s="45">
        <v>35880</v>
      </c>
      <c r="Q43" s="58">
        <f t="shared" si="5"/>
        <v>35880</v>
      </c>
      <c r="R43" s="129" t="s">
        <v>684</v>
      </c>
      <c r="S43" s="19"/>
      <c r="T43" s="32"/>
      <c r="U43" s="32"/>
      <c r="V43" s="51">
        <f t="shared" si="1"/>
        <v>41620.799999999996</v>
      </c>
      <c r="W43" s="51">
        <f t="shared" si="2"/>
        <v>41620.799999999996</v>
      </c>
      <c r="X43" s="52">
        <f t="shared" si="3"/>
        <v>28</v>
      </c>
      <c r="Y43" s="53">
        <f t="shared" si="4"/>
        <v>28</v>
      </c>
      <c r="Z43" s="54"/>
      <c r="AA43" s="71"/>
      <c r="AB43" s="71"/>
      <c r="AC43" s="128"/>
      <c r="AD43" s="33"/>
      <c r="AE43" s="55"/>
    </row>
    <row r="44" spans="2:31" ht="20.100000000000001" customHeight="1">
      <c r="B44" s="48">
        <v>44</v>
      </c>
      <c r="C44" s="121" t="s">
        <v>981</v>
      </c>
      <c r="D44" s="120" t="s">
        <v>349</v>
      </c>
      <c r="E44" s="120">
        <v>2603</v>
      </c>
      <c r="F44" s="120" t="s">
        <v>700</v>
      </c>
      <c r="G44" s="120" t="s">
        <v>699</v>
      </c>
      <c r="H44" s="49">
        <v>1</v>
      </c>
      <c r="I44" s="50" t="s">
        <v>961</v>
      </c>
      <c r="J44" s="124" t="s">
        <v>32</v>
      </c>
      <c r="K44" s="50" t="s">
        <v>26</v>
      </c>
      <c r="L44" s="50" t="s">
        <v>519</v>
      </c>
      <c r="M44" s="56" t="s">
        <v>12</v>
      </c>
      <c r="N44" s="122" t="s">
        <v>612</v>
      </c>
      <c r="O44" s="57">
        <v>2</v>
      </c>
      <c r="P44" s="45">
        <v>26460</v>
      </c>
      <c r="Q44" s="58">
        <f t="shared" si="5"/>
        <v>52920</v>
      </c>
      <c r="R44" s="129" t="s">
        <v>684</v>
      </c>
      <c r="S44" s="19"/>
      <c r="T44" s="32"/>
      <c r="U44" s="32"/>
      <c r="V44" s="51">
        <f t="shared" si="1"/>
        <v>30693.599999999999</v>
      </c>
      <c r="W44" s="51">
        <f t="shared" si="2"/>
        <v>61387.199999999997</v>
      </c>
      <c r="X44" s="52">
        <f t="shared" si="3"/>
        <v>20.65</v>
      </c>
      <c r="Y44" s="53">
        <f t="shared" si="4"/>
        <v>41.3</v>
      </c>
      <c r="Z44" s="54"/>
      <c r="AA44" s="71"/>
      <c r="AB44" s="71"/>
      <c r="AC44" s="128"/>
      <c r="AD44" s="33"/>
      <c r="AE44" s="55"/>
    </row>
    <row r="45" spans="2:31" ht="20.100000000000001" customHeight="1">
      <c r="B45" s="48">
        <v>45</v>
      </c>
      <c r="C45" s="121" t="s">
        <v>981</v>
      </c>
      <c r="D45" s="120" t="s">
        <v>349</v>
      </c>
      <c r="E45" s="120">
        <v>2603</v>
      </c>
      <c r="F45" s="120" t="s">
        <v>700</v>
      </c>
      <c r="G45" s="120" t="s">
        <v>699</v>
      </c>
      <c r="H45" s="49">
        <v>1</v>
      </c>
      <c r="I45" s="50" t="s">
        <v>27</v>
      </c>
      <c r="J45" s="124" t="s">
        <v>960</v>
      </c>
      <c r="K45" s="50" t="s">
        <v>26</v>
      </c>
      <c r="L45" s="50" t="s">
        <v>519</v>
      </c>
      <c r="M45" s="56" t="s">
        <v>12</v>
      </c>
      <c r="N45" s="122" t="s">
        <v>612</v>
      </c>
      <c r="O45" s="57">
        <v>1</v>
      </c>
      <c r="P45" s="45">
        <v>50700</v>
      </c>
      <c r="Q45" s="58">
        <f t="shared" si="5"/>
        <v>50700</v>
      </c>
      <c r="R45" s="129" t="s">
        <v>684</v>
      </c>
      <c r="S45" s="19"/>
      <c r="T45" s="32"/>
      <c r="U45" s="32"/>
      <c r="V45" s="51">
        <f t="shared" si="1"/>
        <v>58811.999999999993</v>
      </c>
      <c r="W45" s="51">
        <f t="shared" si="2"/>
        <v>58811.999999999993</v>
      </c>
      <c r="X45" s="52">
        <f t="shared" si="3"/>
        <v>39.56</v>
      </c>
      <c r="Y45" s="53">
        <f t="shared" si="4"/>
        <v>39.56</v>
      </c>
      <c r="Z45" s="54"/>
      <c r="AA45" s="71"/>
      <c r="AB45" s="71"/>
      <c r="AC45" s="128"/>
      <c r="AD45" s="33"/>
      <c r="AE45" s="55"/>
    </row>
    <row r="46" spans="2:31" ht="20.100000000000001" customHeight="1">
      <c r="B46" s="48">
        <v>46</v>
      </c>
      <c r="C46" s="121" t="s">
        <v>981</v>
      </c>
      <c r="D46" s="120" t="s">
        <v>349</v>
      </c>
      <c r="E46" s="120">
        <v>2603</v>
      </c>
      <c r="F46" s="120" t="s">
        <v>700</v>
      </c>
      <c r="G46" s="120" t="s">
        <v>699</v>
      </c>
      <c r="H46" s="49">
        <v>1</v>
      </c>
      <c r="I46" s="50" t="s">
        <v>33</v>
      </c>
      <c r="J46" s="124" t="s">
        <v>143</v>
      </c>
      <c r="K46" s="50" t="s">
        <v>26</v>
      </c>
      <c r="L46" s="50" t="s">
        <v>519</v>
      </c>
      <c r="M46" s="56" t="s">
        <v>12</v>
      </c>
      <c r="N46" s="122" t="s">
        <v>612</v>
      </c>
      <c r="O46" s="57">
        <v>4</v>
      </c>
      <c r="P46" s="45">
        <v>5040</v>
      </c>
      <c r="Q46" s="58">
        <f t="shared" si="5"/>
        <v>20160</v>
      </c>
      <c r="R46" s="129" t="s">
        <v>684</v>
      </c>
      <c r="S46" s="19"/>
      <c r="T46" s="32"/>
      <c r="U46" s="32"/>
      <c r="V46" s="51">
        <f t="shared" si="1"/>
        <v>5846.4</v>
      </c>
      <c r="W46" s="51">
        <f t="shared" si="2"/>
        <v>23385.599999999999</v>
      </c>
      <c r="X46" s="52">
        <f t="shared" si="3"/>
        <v>3.93</v>
      </c>
      <c r="Y46" s="53">
        <f t="shared" si="4"/>
        <v>15.72</v>
      </c>
      <c r="Z46" s="54"/>
      <c r="AA46" s="71"/>
      <c r="AB46" s="71"/>
      <c r="AC46" s="128"/>
      <c r="AD46" s="33"/>
      <c r="AE46" s="55"/>
    </row>
    <row r="47" spans="2:31" ht="20.100000000000001" customHeight="1">
      <c r="B47" s="48">
        <v>47</v>
      </c>
      <c r="C47" s="121" t="s">
        <v>981</v>
      </c>
      <c r="D47" s="120" t="s">
        <v>349</v>
      </c>
      <c r="E47" s="120">
        <v>2603</v>
      </c>
      <c r="F47" s="120" t="s">
        <v>700</v>
      </c>
      <c r="G47" s="120" t="s">
        <v>699</v>
      </c>
      <c r="H47" s="49">
        <v>1</v>
      </c>
      <c r="I47" s="50" t="s">
        <v>27</v>
      </c>
      <c r="J47" s="124" t="s">
        <v>959</v>
      </c>
      <c r="K47" s="50" t="s">
        <v>26</v>
      </c>
      <c r="L47" s="50" t="s">
        <v>519</v>
      </c>
      <c r="M47" s="56" t="s">
        <v>12</v>
      </c>
      <c r="N47" s="122" t="s">
        <v>612</v>
      </c>
      <c r="O47" s="57">
        <v>1</v>
      </c>
      <c r="P47" s="45">
        <v>206900</v>
      </c>
      <c r="Q47" s="58">
        <f t="shared" si="5"/>
        <v>206900</v>
      </c>
      <c r="R47" s="129" t="s">
        <v>684</v>
      </c>
      <c r="S47" s="19"/>
      <c r="T47" s="32"/>
      <c r="U47" s="32"/>
      <c r="V47" s="51">
        <f t="shared" si="1"/>
        <v>240003.99999999997</v>
      </c>
      <c r="W47" s="51">
        <f t="shared" si="2"/>
        <v>240003.99999999997</v>
      </c>
      <c r="X47" s="52">
        <f t="shared" si="3"/>
        <v>161.44</v>
      </c>
      <c r="Y47" s="53">
        <f t="shared" si="4"/>
        <v>161.44</v>
      </c>
      <c r="Z47" s="54"/>
      <c r="AA47" s="71"/>
      <c r="AB47" s="71"/>
      <c r="AC47" s="128"/>
      <c r="AD47" s="33"/>
      <c r="AE47" s="55"/>
    </row>
    <row r="48" spans="2:31" ht="20.100000000000001" customHeight="1">
      <c r="B48" s="48">
        <v>48</v>
      </c>
      <c r="C48" s="121" t="s">
        <v>981</v>
      </c>
      <c r="D48" s="120" t="s">
        <v>349</v>
      </c>
      <c r="E48" s="120">
        <v>2603</v>
      </c>
      <c r="F48" s="120" t="s">
        <v>700</v>
      </c>
      <c r="G48" s="120" t="s">
        <v>699</v>
      </c>
      <c r="H48" s="49">
        <v>1</v>
      </c>
      <c r="I48" s="50" t="s">
        <v>27</v>
      </c>
      <c r="J48" s="124" t="s">
        <v>958</v>
      </c>
      <c r="K48" s="50" t="s">
        <v>26</v>
      </c>
      <c r="L48" s="50" t="s">
        <v>519</v>
      </c>
      <c r="M48" s="56" t="s">
        <v>12</v>
      </c>
      <c r="N48" s="122" t="s">
        <v>612</v>
      </c>
      <c r="O48" s="57">
        <v>1</v>
      </c>
      <c r="P48" s="45">
        <v>192610</v>
      </c>
      <c r="Q48" s="58">
        <f t="shared" si="5"/>
        <v>192610</v>
      </c>
      <c r="R48" s="129" t="s">
        <v>684</v>
      </c>
      <c r="S48" s="19"/>
      <c r="T48" s="32"/>
      <c r="U48" s="32"/>
      <c r="V48" s="51">
        <f t="shared" si="1"/>
        <v>223427.59999999998</v>
      </c>
      <c r="W48" s="51">
        <f t="shared" si="2"/>
        <v>223427.59999999998</v>
      </c>
      <c r="X48" s="52">
        <f t="shared" si="3"/>
        <v>150.29</v>
      </c>
      <c r="Y48" s="53">
        <f t="shared" si="4"/>
        <v>150.29</v>
      </c>
      <c r="Z48" s="54"/>
      <c r="AA48" s="71"/>
      <c r="AB48" s="71"/>
      <c r="AC48" s="128"/>
      <c r="AD48" s="33"/>
      <c r="AE48" s="55"/>
    </row>
    <row r="49" spans="2:31" ht="20.100000000000001" customHeight="1">
      <c r="B49" s="48">
        <v>49</v>
      </c>
      <c r="C49" s="121" t="s">
        <v>981</v>
      </c>
      <c r="D49" s="120" t="s">
        <v>349</v>
      </c>
      <c r="E49" s="120">
        <v>2603</v>
      </c>
      <c r="F49" s="120" t="s">
        <v>700</v>
      </c>
      <c r="G49" s="120" t="s">
        <v>699</v>
      </c>
      <c r="H49" s="49">
        <v>1</v>
      </c>
      <c r="I49" s="50" t="s">
        <v>33</v>
      </c>
      <c r="J49" s="124" t="s">
        <v>188</v>
      </c>
      <c r="K49" s="50" t="s">
        <v>26</v>
      </c>
      <c r="L49" s="50" t="s">
        <v>519</v>
      </c>
      <c r="M49" s="56" t="s">
        <v>12</v>
      </c>
      <c r="N49" s="122" t="s">
        <v>612</v>
      </c>
      <c r="O49" s="57">
        <v>2</v>
      </c>
      <c r="P49" s="45">
        <v>7740</v>
      </c>
      <c r="Q49" s="58">
        <f t="shared" si="5"/>
        <v>15480</v>
      </c>
      <c r="R49" s="129" t="s">
        <v>684</v>
      </c>
      <c r="S49" s="19"/>
      <c r="T49" s="32"/>
      <c r="U49" s="32"/>
      <c r="V49" s="51">
        <f t="shared" si="1"/>
        <v>8978.4</v>
      </c>
      <c r="W49" s="51">
        <f t="shared" si="2"/>
        <v>17956.8</v>
      </c>
      <c r="X49" s="52">
        <f t="shared" si="3"/>
        <v>6.04</v>
      </c>
      <c r="Y49" s="53">
        <f t="shared" si="4"/>
        <v>12.08</v>
      </c>
      <c r="Z49" s="54"/>
      <c r="AA49" s="71"/>
      <c r="AB49" s="71"/>
      <c r="AC49" s="128"/>
      <c r="AD49" s="33"/>
      <c r="AE49" s="55"/>
    </row>
    <row r="50" spans="2:31" ht="20.100000000000001" customHeight="1">
      <c r="B50" s="48">
        <v>50</v>
      </c>
      <c r="C50" s="121" t="s">
        <v>981</v>
      </c>
      <c r="D50" s="120" t="s">
        <v>349</v>
      </c>
      <c r="E50" s="120">
        <v>2603</v>
      </c>
      <c r="F50" s="120" t="s">
        <v>700</v>
      </c>
      <c r="G50" s="120" t="s">
        <v>699</v>
      </c>
      <c r="H50" s="49">
        <v>1</v>
      </c>
      <c r="I50" s="50" t="s">
        <v>957</v>
      </c>
      <c r="J50" s="124" t="s">
        <v>956</v>
      </c>
      <c r="K50" s="50" t="s">
        <v>26</v>
      </c>
      <c r="L50" s="50" t="s">
        <v>519</v>
      </c>
      <c r="M50" s="56" t="s">
        <v>12</v>
      </c>
      <c r="N50" s="122" t="s">
        <v>612</v>
      </c>
      <c r="O50" s="57">
        <v>6</v>
      </c>
      <c r="P50" s="45">
        <v>19980</v>
      </c>
      <c r="Q50" s="58">
        <f t="shared" si="5"/>
        <v>119880</v>
      </c>
      <c r="R50" s="129" t="s">
        <v>663</v>
      </c>
      <c r="S50" s="19"/>
      <c r="T50" s="32"/>
      <c r="U50" s="32"/>
      <c r="V50" s="51">
        <f t="shared" si="1"/>
        <v>23176.799999999999</v>
      </c>
      <c r="W50" s="51">
        <f t="shared" si="2"/>
        <v>139060.79999999999</v>
      </c>
      <c r="X50" s="52">
        <f t="shared" si="3"/>
        <v>15.59</v>
      </c>
      <c r="Y50" s="53">
        <f t="shared" si="4"/>
        <v>93.539999999999992</v>
      </c>
      <c r="Z50" s="54"/>
      <c r="AA50" s="71"/>
      <c r="AB50" s="71"/>
      <c r="AC50" s="128"/>
      <c r="AD50" s="33"/>
      <c r="AE50" s="55"/>
    </row>
    <row r="51" spans="2:31" ht="20.100000000000001" customHeight="1">
      <c r="B51" s="48">
        <v>51</v>
      </c>
      <c r="C51" s="121" t="s">
        <v>981</v>
      </c>
      <c r="D51" s="120" t="s">
        <v>349</v>
      </c>
      <c r="E51" s="120">
        <v>2603</v>
      </c>
      <c r="F51" s="120" t="s">
        <v>700</v>
      </c>
      <c r="G51" s="120" t="s">
        <v>699</v>
      </c>
      <c r="H51" s="49"/>
      <c r="I51" s="50" t="s">
        <v>182</v>
      </c>
      <c r="J51" s="124" t="s">
        <v>185</v>
      </c>
      <c r="K51" s="50" t="s">
        <v>181</v>
      </c>
      <c r="L51" s="50" t="s">
        <v>521</v>
      </c>
      <c r="M51" s="56" t="s">
        <v>12</v>
      </c>
      <c r="N51" s="122" t="s">
        <v>665</v>
      </c>
      <c r="O51" s="57">
        <v>2</v>
      </c>
      <c r="P51" s="45">
        <v>34900</v>
      </c>
      <c r="Q51" s="58">
        <f t="shared" si="5"/>
        <v>69800</v>
      </c>
      <c r="R51" s="129" t="s">
        <v>684</v>
      </c>
      <c r="S51" s="19"/>
      <c r="T51" s="32"/>
      <c r="U51" s="32"/>
      <c r="V51" s="51">
        <f t="shared" si="1"/>
        <v>40484</v>
      </c>
      <c r="W51" s="51">
        <f t="shared" si="2"/>
        <v>80968</v>
      </c>
      <c r="X51" s="52">
        <f t="shared" si="3"/>
        <v>27.23</v>
      </c>
      <c r="Y51" s="53">
        <f t="shared" si="4"/>
        <v>54.46</v>
      </c>
      <c r="Z51" s="54"/>
      <c r="AA51" s="71"/>
      <c r="AB51" s="71"/>
      <c r="AC51" s="128"/>
      <c r="AD51" s="33"/>
      <c r="AE51" s="55"/>
    </row>
    <row r="52" spans="2:31" ht="20.100000000000001" customHeight="1">
      <c r="B52" s="48">
        <v>52</v>
      </c>
      <c r="C52" s="121" t="s">
        <v>981</v>
      </c>
      <c r="D52" s="120" t="s">
        <v>349</v>
      </c>
      <c r="E52" s="120">
        <v>2603</v>
      </c>
      <c r="F52" s="120" t="s">
        <v>700</v>
      </c>
      <c r="G52" s="120" t="s">
        <v>699</v>
      </c>
      <c r="H52" s="49"/>
      <c r="I52" s="50" t="s">
        <v>891</v>
      </c>
      <c r="J52" s="124" t="s">
        <v>184</v>
      </c>
      <c r="K52" s="50" t="s">
        <v>181</v>
      </c>
      <c r="L52" s="50" t="s">
        <v>521</v>
      </c>
      <c r="M52" s="56" t="s">
        <v>12</v>
      </c>
      <c r="N52" s="122" t="s">
        <v>665</v>
      </c>
      <c r="O52" s="57">
        <v>2</v>
      </c>
      <c r="P52" s="45">
        <v>8700</v>
      </c>
      <c r="Q52" s="58">
        <f t="shared" si="5"/>
        <v>17400</v>
      </c>
      <c r="R52" s="129" t="s">
        <v>684</v>
      </c>
      <c r="S52" s="19"/>
      <c r="T52" s="32"/>
      <c r="U52" s="32"/>
      <c r="V52" s="51">
        <f t="shared" si="1"/>
        <v>10092</v>
      </c>
      <c r="W52" s="51">
        <f t="shared" si="2"/>
        <v>20184</v>
      </c>
      <c r="X52" s="52">
        <f t="shared" si="3"/>
        <v>6.79</v>
      </c>
      <c r="Y52" s="53">
        <f t="shared" si="4"/>
        <v>13.58</v>
      </c>
      <c r="Z52" s="54"/>
      <c r="AA52" s="71"/>
      <c r="AB52" s="71"/>
      <c r="AC52" s="128"/>
      <c r="AD52" s="33"/>
      <c r="AE52" s="55"/>
    </row>
    <row r="53" spans="2:31" ht="20.100000000000001" customHeight="1">
      <c r="B53" s="48">
        <v>55</v>
      </c>
      <c r="C53" s="121" t="s">
        <v>981</v>
      </c>
      <c r="D53" s="120" t="s">
        <v>349</v>
      </c>
      <c r="E53" s="120">
        <v>2603</v>
      </c>
      <c r="F53" s="120" t="s">
        <v>700</v>
      </c>
      <c r="G53" s="120" t="s">
        <v>699</v>
      </c>
      <c r="H53" s="49">
        <v>1</v>
      </c>
      <c r="I53" s="50" t="s">
        <v>42</v>
      </c>
      <c r="J53" s="124" t="s">
        <v>644</v>
      </c>
      <c r="K53" s="50" t="s">
        <v>417</v>
      </c>
      <c r="L53" s="50" t="s">
        <v>606</v>
      </c>
      <c r="M53" s="56" t="s">
        <v>12</v>
      </c>
      <c r="N53" s="122" t="s">
        <v>665</v>
      </c>
      <c r="O53" s="57">
        <v>12</v>
      </c>
      <c r="P53" s="45">
        <v>850</v>
      </c>
      <c r="Q53" s="58">
        <f t="shared" si="5"/>
        <v>10200</v>
      </c>
      <c r="R53" s="129" t="s">
        <v>663</v>
      </c>
      <c r="S53" s="19"/>
      <c r="T53" s="32"/>
      <c r="U53" s="32"/>
      <c r="V53" s="51">
        <f t="shared" si="1"/>
        <v>985.99999999999989</v>
      </c>
      <c r="W53" s="51">
        <f t="shared" si="2"/>
        <v>11831.999999999998</v>
      </c>
      <c r="X53" s="52">
        <f t="shared" si="3"/>
        <v>0.66</v>
      </c>
      <c r="Y53" s="53">
        <f t="shared" si="4"/>
        <v>7.92</v>
      </c>
      <c r="Z53" s="54"/>
      <c r="AA53" s="71"/>
      <c r="AB53" s="71"/>
      <c r="AC53" s="128"/>
      <c r="AD53" s="33"/>
      <c r="AE53" s="55"/>
    </row>
    <row r="54" spans="2:31" ht="20.100000000000001" customHeight="1">
      <c r="B54" s="48">
        <v>103</v>
      </c>
      <c r="C54" s="121" t="s">
        <v>981</v>
      </c>
      <c r="D54" s="120" t="s">
        <v>349</v>
      </c>
      <c r="E54" s="120">
        <v>2603</v>
      </c>
      <c r="F54" s="120" t="s">
        <v>700</v>
      </c>
      <c r="G54" s="120" t="s">
        <v>699</v>
      </c>
      <c r="H54" s="49">
        <v>1</v>
      </c>
      <c r="I54" s="50" t="s">
        <v>46</v>
      </c>
      <c r="J54" s="124" t="s">
        <v>864</v>
      </c>
      <c r="K54" s="50" t="s">
        <v>123</v>
      </c>
      <c r="L54" s="50" t="s">
        <v>608</v>
      </c>
      <c r="M54" s="56" t="s">
        <v>12</v>
      </c>
      <c r="N54" s="122" t="s">
        <v>665</v>
      </c>
      <c r="O54" s="57">
        <v>4</v>
      </c>
      <c r="P54" s="45">
        <v>15438</v>
      </c>
      <c r="Q54" s="58">
        <f t="shared" si="5"/>
        <v>61752</v>
      </c>
      <c r="R54" s="129" t="s">
        <v>663</v>
      </c>
      <c r="S54" s="19"/>
      <c r="T54" s="32"/>
      <c r="U54" s="32"/>
      <c r="V54" s="51">
        <f t="shared" si="1"/>
        <v>17908.079999999998</v>
      </c>
      <c r="W54" s="51">
        <f t="shared" si="2"/>
        <v>71632.319999999992</v>
      </c>
      <c r="X54" s="52">
        <f t="shared" si="3"/>
        <v>12.05</v>
      </c>
      <c r="Y54" s="53">
        <f t="shared" si="4"/>
        <v>48.2</v>
      </c>
      <c r="Z54" s="54"/>
      <c r="AA54" s="71"/>
      <c r="AB54" s="71"/>
      <c r="AC54" s="128"/>
      <c r="AD54" s="33"/>
      <c r="AE54" s="55"/>
    </row>
    <row r="55" spans="2:31" ht="20.100000000000001" customHeight="1">
      <c r="B55" s="48">
        <v>104</v>
      </c>
      <c r="C55" s="121" t="s">
        <v>981</v>
      </c>
      <c r="D55" s="120" t="s">
        <v>349</v>
      </c>
      <c r="E55" s="120">
        <v>2603</v>
      </c>
      <c r="F55" s="120" t="s">
        <v>700</v>
      </c>
      <c r="G55" s="120" t="s">
        <v>699</v>
      </c>
      <c r="H55" s="49">
        <v>1</v>
      </c>
      <c r="I55" s="50" t="s">
        <v>982</v>
      </c>
      <c r="J55" s="124" t="s">
        <v>863</v>
      </c>
      <c r="K55" s="50" t="s">
        <v>48</v>
      </c>
      <c r="L55" s="50" t="s">
        <v>608</v>
      </c>
      <c r="M55" s="56" t="s">
        <v>12</v>
      </c>
      <c r="N55" s="122" t="s">
        <v>609</v>
      </c>
      <c r="O55" s="57">
        <v>1</v>
      </c>
      <c r="P55" s="45">
        <v>15485</v>
      </c>
      <c r="Q55" s="58">
        <f t="shared" si="5"/>
        <v>15485</v>
      </c>
      <c r="R55" s="129" t="s">
        <v>663</v>
      </c>
      <c r="S55" s="19"/>
      <c r="T55" s="32"/>
      <c r="U55" s="32"/>
      <c r="V55" s="51">
        <f t="shared" si="1"/>
        <v>17962.599999999999</v>
      </c>
      <c r="W55" s="51">
        <f t="shared" si="2"/>
        <v>17962.599999999999</v>
      </c>
      <c r="X55" s="52">
        <f t="shared" si="3"/>
        <v>12.08</v>
      </c>
      <c r="Y55" s="53">
        <f t="shared" si="4"/>
        <v>12.08</v>
      </c>
      <c r="Z55" s="54"/>
      <c r="AA55" s="71"/>
      <c r="AB55" s="71"/>
      <c r="AC55" s="128"/>
      <c r="AD55" s="33"/>
      <c r="AE55" s="55"/>
    </row>
    <row r="56" spans="2:31" ht="20.100000000000001" customHeight="1">
      <c r="B56" s="48">
        <v>106</v>
      </c>
      <c r="C56" s="121" t="s">
        <v>981</v>
      </c>
      <c r="D56" s="120" t="s">
        <v>349</v>
      </c>
      <c r="E56" s="120">
        <v>2603</v>
      </c>
      <c r="F56" s="120" t="s">
        <v>700</v>
      </c>
      <c r="G56" s="120" t="s">
        <v>699</v>
      </c>
      <c r="H56" s="49">
        <v>1</v>
      </c>
      <c r="I56" s="50" t="s">
        <v>862</v>
      </c>
      <c r="J56" s="124" t="s">
        <v>714</v>
      </c>
      <c r="K56" s="50" t="s">
        <v>48</v>
      </c>
      <c r="L56" s="50" t="s">
        <v>608</v>
      </c>
      <c r="M56" s="56" t="s">
        <v>12</v>
      </c>
      <c r="N56" s="122" t="s">
        <v>609</v>
      </c>
      <c r="O56" s="57">
        <v>1</v>
      </c>
      <c r="P56" s="45">
        <v>1815</v>
      </c>
      <c r="Q56" s="58">
        <f t="shared" si="5"/>
        <v>1815</v>
      </c>
      <c r="R56" s="129" t="s">
        <v>684</v>
      </c>
      <c r="S56" s="19"/>
      <c r="T56" s="32"/>
      <c r="U56" s="32"/>
      <c r="V56" s="51">
        <f t="shared" si="1"/>
        <v>2105.3999999999996</v>
      </c>
      <c r="W56" s="51">
        <f t="shared" si="2"/>
        <v>2105.3999999999996</v>
      </c>
      <c r="X56" s="52">
        <f t="shared" si="3"/>
        <v>1.42</v>
      </c>
      <c r="Y56" s="53">
        <f t="shared" si="4"/>
        <v>1.42</v>
      </c>
      <c r="Z56" s="54"/>
      <c r="AA56" s="71"/>
      <c r="AB56" s="71"/>
      <c r="AC56" s="128"/>
      <c r="AD56" s="33"/>
      <c r="AE56" s="55"/>
    </row>
    <row r="57" spans="2:31" ht="20.100000000000001" customHeight="1">
      <c r="B57" s="48">
        <v>107</v>
      </c>
      <c r="C57" s="121" t="s">
        <v>981</v>
      </c>
      <c r="D57" s="120" t="s">
        <v>349</v>
      </c>
      <c r="E57" s="120">
        <v>2603</v>
      </c>
      <c r="F57" s="120" t="s">
        <v>700</v>
      </c>
      <c r="G57" s="120" t="s">
        <v>699</v>
      </c>
      <c r="H57" s="49">
        <v>1</v>
      </c>
      <c r="I57" s="50" t="s">
        <v>861</v>
      </c>
      <c r="J57" s="124" t="s">
        <v>647</v>
      </c>
      <c r="K57" s="50" t="s">
        <v>48</v>
      </c>
      <c r="L57" s="50" t="s">
        <v>608</v>
      </c>
      <c r="M57" s="56" t="s">
        <v>12</v>
      </c>
      <c r="N57" s="122" t="s">
        <v>609</v>
      </c>
      <c r="O57" s="57">
        <v>2</v>
      </c>
      <c r="P57" s="45">
        <v>4608</v>
      </c>
      <c r="Q57" s="58">
        <f t="shared" si="5"/>
        <v>9216</v>
      </c>
      <c r="R57" s="129" t="s">
        <v>684</v>
      </c>
      <c r="S57" s="19"/>
      <c r="T57" s="32"/>
      <c r="U57" s="32"/>
      <c r="V57" s="51">
        <f t="shared" si="1"/>
        <v>5345.28</v>
      </c>
      <c r="W57" s="51">
        <f t="shared" si="2"/>
        <v>10690.56</v>
      </c>
      <c r="X57" s="52">
        <f t="shared" si="3"/>
        <v>3.6</v>
      </c>
      <c r="Y57" s="53">
        <f t="shared" si="4"/>
        <v>7.2</v>
      </c>
      <c r="Z57" s="54"/>
      <c r="AA57" s="71"/>
      <c r="AB57" s="71"/>
      <c r="AC57" s="128"/>
      <c r="AD57" s="33"/>
      <c r="AE57" s="55"/>
    </row>
    <row r="58" spans="2:31" ht="20.100000000000001" customHeight="1">
      <c r="B58" s="48">
        <v>108</v>
      </c>
      <c r="C58" s="121" t="s">
        <v>981</v>
      </c>
      <c r="D58" s="120" t="s">
        <v>349</v>
      </c>
      <c r="E58" s="120">
        <v>2603</v>
      </c>
      <c r="F58" s="120" t="s">
        <v>700</v>
      </c>
      <c r="G58" s="120" t="s">
        <v>699</v>
      </c>
      <c r="H58" s="49">
        <v>1</v>
      </c>
      <c r="I58" s="50" t="s">
        <v>712</v>
      </c>
      <c r="J58" s="124" t="s">
        <v>986</v>
      </c>
      <c r="K58" s="50" t="s">
        <v>48</v>
      </c>
      <c r="L58" s="50" t="s">
        <v>608</v>
      </c>
      <c r="M58" s="56" t="s">
        <v>12</v>
      </c>
      <c r="N58" s="122" t="s">
        <v>609</v>
      </c>
      <c r="O58" s="57">
        <v>1</v>
      </c>
      <c r="P58" s="45">
        <v>12160</v>
      </c>
      <c r="Q58" s="58">
        <f t="shared" si="5"/>
        <v>12160</v>
      </c>
      <c r="R58" s="129" t="s">
        <v>684</v>
      </c>
      <c r="S58" s="19"/>
      <c r="T58" s="32"/>
      <c r="U58" s="32"/>
      <c r="V58" s="51">
        <f t="shared" si="1"/>
        <v>14105.599999999999</v>
      </c>
      <c r="W58" s="51">
        <f t="shared" si="2"/>
        <v>14105.599999999999</v>
      </c>
      <c r="X58" s="52">
        <f t="shared" si="3"/>
        <v>9.49</v>
      </c>
      <c r="Y58" s="53">
        <f t="shared" si="4"/>
        <v>9.49</v>
      </c>
      <c r="Z58" s="54"/>
      <c r="AA58" s="71"/>
      <c r="AB58" s="71"/>
      <c r="AC58" s="128"/>
      <c r="AD58" s="33"/>
      <c r="AE58" s="55"/>
    </row>
    <row r="59" spans="2:31" ht="20.100000000000001" customHeight="1">
      <c r="B59" s="48">
        <v>109</v>
      </c>
      <c r="C59" s="121" t="s">
        <v>981</v>
      </c>
      <c r="D59" s="120" t="s">
        <v>349</v>
      </c>
      <c r="E59" s="120">
        <v>2603</v>
      </c>
      <c r="F59" s="120" t="s">
        <v>700</v>
      </c>
      <c r="G59" s="120" t="s">
        <v>699</v>
      </c>
      <c r="H59" s="49">
        <v>1</v>
      </c>
      <c r="I59" s="50" t="s">
        <v>712</v>
      </c>
      <c r="J59" s="124" t="s">
        <v>985</v>
      </c>
      <c r="K59" s="50" t="s">
        <v>48</v>
      </c>
      <c r="L59" s="50" t="s">
        <v>608</v>
      </c>
      <c r="M59" s="56" t="s">
        <v>12</v>
      </c>
      <c r="N59" s="122" t="s">
        <v>609</v>
      </c>
      <c r="O59" s="57">
        <v>1</v>
      </c>
      <c r="P59" s="45">
        <v>12065</v>
      </c>
      <c r="Q59" s="58">
        <f t="shared" si="5"/>
        <v>12065</v>
      </c>
      <c r="R59" s="129" t="s">
        <v>684</v>
      </c>
      <c r="S59" s="19"/>
      <c r="T59" s="32"/>
      <c r="U59" s="32"/>
      <c r="V59" s="51">
        <f t="shared" si="1"/>
        <v>13995.4</v>
      </c>
      <c r="W59" s="51">
        <f t="shared" si="2"/>
        <v>13995.4</v>
      </c>
      <c r="X59" s="52">
        <f t="shared" si="3"/>
        <v>9.41</v>
      </c>
      <c r="Y59" s="53">
        <f t="shared" si="4"/>
        <v>9.41</v>
      </c>
      <c r="Z59" s="54"/>
      <c r="AA59" s="71"/>
      <c r="AB59" s="71"/>
      <c r="AC59" s="128"/>
      <c r="AD59" s="33"/>
      <c r="AE59" s="55"/>
    </row>
    <row r="60" spans="2:31" ht="20.100000000000001" customHeight="1">
      <c r="B60" s="48">
        <v>110</v>
      </c>
      <c r="C60" s="121" t="s">
        <v>981</v>
      </c>
      <c r="D60" s="120" t="s">
        <v>349</v>
      </c>
      <c r="E60" s="120">
        <v>2603</v>
      </c>
      <c r="F60" s="120" t="s">
        <v>700</v>
      </c>
      <c r="G60" s="120" t="s">
        <v>699</v>
      </c>
      <c r="H60" s="49">
        <v>1</v>
      </c>
      <c r="I60" s="50" t="s">
        <v>849</v>
      </c>
      <c r="J60" s="124" t="s">
        <v>709</v>
      </c>
      <c r="K60" s="50" t="s">
        <v>48</v>
      </c>
      <c r="L60" s="50" t="s">
        <v>608</v>
      </c>
      <c r="M60" s="56" t="s">
        <v>12</v>
      </c>
      <c r="N60" s="122" t="s">
        <v>609</v>
      </c>
      <c r="O60" s="57">
        <v>2</v>
      </c>
      <c r="P60" s="45">
        <v>4009</v>
      </c>
      <c r="Q60" s="58">
        <f t="shared" si="5"/>
        <v>8018</v>
      </c>
      <c r="R60" s="129" t="s">
        <v>684</v>
      </c>
      <c r="S60" s="19"/>
      <c r="T60" s="32"/>
      <c r="U60" s="32"/>
      <c r="V60" s="51">
        <f t="shared" si="1"/>
        <v>4650.4399999999996</v>
      </c>
      <c r="W60" s="51">
        <f t="shared" si="2"/>
        <v>9300.8799999999992</v>
      </c>
      <c r="X60" s="52">
        <f t="shared" si="3"/>
        <v>3.13</v>
      </c>
      <c r="Y60" s="53">
        <f t="shared" si="4"/>
        <v>6.26</v>
      </c>
      <c r="Z60" s="54"/>
      <c r="AA60" s="71"/>
      <c r="AB60" s="71"/>
      <c r="AC60" s="128"/>
      <c r="AD60" s="33"/>
      <c r="AE60" s="55"/>
    </row>
    <row r="61" spans="2:31" ht="20.100000000000001" customHeight="1">
      <c r="B61" s="48">
        <v>113</v>
      </c>
      <c r="C61" s="121" t="s">
        <v>981</v>
      </c>
      <c r="D61" s="120" t="s">
        <v>349</v>
      </c>
      <c r="E61" s="120">
        <v>2603</v>
      </c>
      <c r="F61" s="120" t="s">
        <v>700</v>
      </c>
      <c r="G61" s="120" t="s">
        <v>699</v>
      </c>
      <c r="H61" s="49">
        <v>1</v>
      </c>
      <c r="I61" s="50" t="s">
        <v>129</v>
      </c>
      <c r="J61" s="124" t="s">
        <v>860</v>
      </c>
      <c r="K61" s="50" t="s">
        <v>48</v>
      </c>
      <c r="L61" s="50" t="s">
        <v>608</v>
      </c>
      <c r="M61" s="56" t="s">
        <v>12</v>
      </c>
      <c r="N61" s="122" t="s">
        <v>609</v>
      </c>
      <c r="O61" s="57">
        <v>1</v>
      </c>
      <c r="P61" s="45">
        <v>6137</v>
      </c>
      <c r="Q61" s="58">
        <f t="shared" si="5"/>
        <v>6137</v>
      </c>
      <c r="R61" s="129" t="s">
        <v>684</v>
      </c>
      <c r="S61" s="19"/>
      <c r="T61" s="32"/>
      <c r="U61" s="32"/>
      <c r="V61" s="51">
        <f t="shared" si="1"/>
        <v>7118.9199999999992</v>
      </c>
      <c r="W61" s="51">
        <f t="shared" si="2"/>
        <v>7118.9199999999992</v>
      </c>
      <c r="X61" s="52">
        <f t="shared" si="3"/>
        <v>4.79</v>
      </c>
      <c r="Y61" s="53">
        <f t="shared" si="4"/>
        <v>4.79</v>
      </c>
      <c r="Z61" s="54"/>
      <c r="AA61" s="71"/>
      <c r="AB61" s="71"/>
      <c r="AC61" s="128"/>
      <c r="AD61" s="33"/>
      <c r="AE61" s="55"/>
    </row>
    <row r="62" spans="2:31" ht="20.100000000000001" customHeight="1">
      <c r="B62" s="48">
        <v>114</v>
      </c>
      <c r="C62" s="121" t="s">
        <v>981</v>
      </c>
      <c r="D62" s="120" t="s">
        <v>349</v>
      </c>
      <c r="E62" s="120">
        <v>2603</v>
      </c>
      <c r="F62" s="120" t="s">
        <v>700</v>
      </c>
      <c r="G62" s="120" t="s">
        <v>699</v>
      </c>
      <c r="H62" s="49">
        <v>1</v>
      </c>
      <c r="I62" s="50" t="s">
        <v>405</v>
      </c>
      <c r="J62" s="124" t="s">
        <v>859</v>
      </c>
      <c r="K62" s="50" t="s">
        <v>48</v>
      </c>
      <c r="L62" s="50" t="s">
        <v>608</v>
      </c>
      <c r="M62" s="56" t="s">
        <v>12</v>
      </c>
      <c r="N62" s="122" t="s">
        <v>609</v>
      </c>
      <c r="O62" s="57">
        <v>4</v>
      </c>
      <c r="P62" s="45">
        <v>3554</v>
      </c>
      <c r="Q62" s="58">
        <f t="shared" si="5"/>
        <v>14216</v>
      </c>
      <c r="R62" s="129" t="s">
        <v>684</v>
      </c>
      <c r="S62" s="19"/>
      <c r="T62" s="32"/>
      <c r="U62" s="32"/>
      <c r="V62" s="51">
        <f t="shared" si="1"/>
        <v>4122.6399999999994</v>
      </c>
      <c r="W62" s="51">
        <f t="shared" si="2"/>
        <v>16490.559999999998</v>
      </c>
      <c r="X62" s="52">
        <f t="shared" si="3"/>
        <v>2.77</v>
      </c>
      <c r="Y62" s="53">
        <f t="shared" si="4"/>
        <v>11.08</v>
      </c>
      <c r="Z62" s="54"/>
      <c r="AA62" s="71"/>
      <c r="AB62" s="71"/>
      <c r="AC62" s="128"/>
      <c r="AD62" s="33"/>
      <c r="AE62" s="55"/>
    </row>
    <row r="63" spans="2:31" ht="20.100000000000001" customHeight="1">
      <c r="B63" s="48">
        <v>117</v>
      </c>
      <c r="C63" s="121" t="s">
        <v>981</v>
      </c>
      <c r="D63" s="120" t="s">
        <v>349</v>
      </c>
      <c r="E63" s="120">
        <v>2603</v>
      </c>
      <c r="F63" s="120" t="s">
        <v>700</v>
      </c>
      <c r="G63" s="120" t="s">
        <v>699</v>
      </c>
      <c r="H63" s="49">
        <v>1</v>
      </c>
      <c r="I63" s="50" t="s">
        <v>594</v>
      </c>
      <c r="J63" s="124" t="s">
        <v>856</v>
      </c>
      <c r="K63" s="50" t="s">
        <v>48</v>
      </c>
      <c r="L63" s="50" t="s">
        <v>608</v>
      </c>
      <c r="M63" s="56" t="s">
        <v>12</v>
      </c>
      <c r="N63" s="122" t="s">
        <v>609</v>
      </c>
      <c r="O63" s="57">
        <v>4</v>
      </c>
      <c r="P63" s="45">
        <v>10165</v>
      </c>
      <c r="Q63" s="58">
        <f t="shared" si="5"/>
        <v>40660</v>
      </c>
      <c r="R63" s="129" t="s">
        <v>684</v>
      </c>
      <c r="S63" s="19"/>
      <c r="T63" s="32"/>
      <c r="U63" s="32"/>
      <c r="V63" s="51">
        <f t="shared" si="1"/>
        <v>11791.4</v>
      </c>
      <c r="W63" s="51">
        <f t="shared" si="2"/>
        <v>47165.599999999999</v>
      </c>
      <c r="X63" s="52">
        <f t="shared" si="3"/>
        <v>7.93</v>
      </c>
      <c r="Y63" s="53">
        <f t="shared" si="4"/>
        <v>31.72</v>
      </c>
      <c r="Z63" s="54"/>
      <c r="AA63" s="71"/>
      <c r="AB63" s="71"/>
      <c r="AC63" s="128"/>
      <c r="AD63" s="33"/>
      <c r="AE63" s="55"/>
    </row>
    <row r="64" spans="2:31" ht="20.100000000000001" customHeight="1">
      <c r="B64" s="48">
        <v>119</v>
      </c>
      <c r="C64" s="121" t="s">
        <v>981</v>
      </c>
      <c r="D64" s="120" t="s">
        <v>349</v>
      </c>
      <c r="E64" s="120">
        <v>2603</v>
      </c>
      <c r="F64" s="120" t="s">
        <v>700</v>
      </c>
      <c r="G64" s="120" t="s">
        <v>699</v>
      </c>
      <c r="H64" s="49">
        <v>1</v>
      </c>
      <c r="I64" s="50" t="s">
        <v>410</v>
      </c>
      <c r="J64" s="124" t="s">
        <v>853</v>
      </c>
      <c r="K64" s="50" t="s">
        <v>48</v>
      </c>
      <c r="L64" s="50" t="s">
        <v>608</v>
      </c>
      <c r="M64" s="56" t="s">
        <v>12</v>
      </c>
      <c r="N64" s="122" t="s">
        <v>609</v>
      </c>
      <c r="O64" s="57">
        <v>2</v>
      </c>
      <c r="P64" s="45">
        <v>675</v>
      </c>
      <c r="Q64" s="58">
        <f t="shared" si="5"/>
        <v>1350</v>
      </c>
      <c r="R64" s="129" t="s">
        <v>684</v>
      </c>
      <c r="S64" s="19"/>
      <c r="T64" s="32"/>
      <c r="U64" s="32"/>
      <c r="V64" s="51">
        <f t="shared" si="1"/>
        <v>783</v>
      </c>
      <c r="W64" s="51">
        <f t="shared" si="2"/>
        <v>1566</v>
      </c>
      <c r="X64" s="52">
        <f t="shared" si="3"/>
        <v>0.53</v>
      </c>
      <c r="Y64" s="53">
        <f t="shared" si="4"/>
        <v>1.06</v>
      </c>
      <c r="Z64" s="54"/>
      <c r="AA64" s="71"/>
      <c r="AB64" s="71"/>
      <c r="AC64" s="128"/>
      <c r="AD64" s="33"/>
      <c r="AE64" s="55"/>
    </row>
    <row r="65" spans="2:31" ht="20.100000000000001" customHeight="1">
      <c r="B65" s="48">
        <v>120</v>
      </c>
      <c r="C65" s="121" t="s">
        <v>981</v>
      </c>
      <c r="D65" s="120" t="s">
        <v>349</v>
      </c>
      <c r="E65" s="120">
        <v>2603</v>
      </c>
      <c r="F65" s="120" t="s">
        <v>700</v>
      </c>
      <c r="G65" s="120" t="s">
        <v>699</v>
      </c>
      <c r="H65" s="49">
        <v>1</v>
      </c>
      <c r="I65" s="50" t="s">
        <v>852</v>
      </c>
      <c r="J65" s="124" t="s">
        <v>851</v>
      </c>
      <c r="K65" s="50" t="s">
        <v>48</v>
      </c>
      <c r="L65" s="50" t="s">
        <v>608</v>
      </c>
      <c r="M65" s="56" t="s">
        <v>12</v>
      </c>
      <c r="N65" s="122" t="s">
        <v>609</v>
      </c>
      <c r="O65" s="57">
        <v>2</v>
      </c>
      <c r="P65" s="45">
        <v>30066</v>
      </c>
      <c r="Q65" s="58">
        <f t="shared" si="5"/>
        <v>60132</v>
      </c>
      <c r="R65" s="129" t="s">
        <v>684</v>
      </c>
      <c r="S65" s="19"/>
      <c r="T65" s="32"/>
      <c r="U65" s="32"/>
      <c r="V65" s="51">
        <f t="shared" si="1"/>
        <v>34876.559999999998</v>
      </c>
      <c r="W65" s="51">
        <f t="shared" si="2"/>
        <v>69753.119999999995</v>
      </c>
      <c r="X65" s="52">
        <f t="shared" si="3"/>
        <v>23.46</v>
      </c>
      <c r="Y65" s="53">
        <f t="shared" si="4"/>
        <v>46.92</v>
      </c>
      <c r="Z65" s="54"/>
      <c r="AA65" s="71"/>
      <c r="AB65" s="71"/>
      <c r="AC65" s="128"/>
      <c r="AD65" s="33"/>
      <c r="AE65" s="55"/>
    </row>
    <row r="66" spans="2:31" ht="20.100000000000001" customHeight="1">
      <c r="B66" s="48">
        <v>121</v>
      </c>
      <c r="C66" s="121" t="s">
        <v>981</v>
      </c>
      <c r="D66" s="120" t="s">
        <v>349</v>
      </c>
      <c r="E66" s="120">
        <v>2603</v>
      </c>
      <c r="F66" s="120" t="s">
        <v>700</v>
      </c>
      <c r="G66" s="120" t="s">
        <v>699</v>
      </c>
      <c r="H66" s="49">
        <v>1</v>
      </c>
      <c r="I66" s="50" t="s">
        <v>849</v>
      </c>
      <c r="J66" s="124" t="s">
        <v>339</v>
      </c>
      <c r="K66" s="50" t="s">
        <v>48</v>
      </c>
      <c r="L66" s="50" t="s">
        <v>608</v>
      </c>
      <c r="M66" s="56" t="s">
        <v>12</v>
      </c>
      <c r="N66" s="122" t="s">
        <v>609</v>
      </c>
      <c r="O66" s="57">
        <v>3</v>
      </c>
      <c r="P66" s="45">
        <v>4589</v>
      </c>
      <c r="Q66" s="58">
        <f t="shared" si="5"/>
        <v>13767</v>
      </c>
      <c r="R66" s="129" t="s">
        <v>684</v>
      </c>
      <c r="S66" s="19"/>
      <c r="T66" s="32"/>
      <c r="U66" s="32"/>
      <c r="V66" s="51">
        <f t="shared" si="1"/>
        <v>5323.24</v>
      </c>
      <c r="W66" s="51">
        <f t="shared" si="2"/>
        <v>15969.72</v>
      </c>
      <c r="X66" s="52">
        <f t="shared" si="3"/>
        <v>3.58</v>
      </c>
      <c r="Y66" s="53">
        <f t="shared" si="4"/>
        <v>10.74</v>
      </c>
      <c r="Z66" s="54"/>
      <c r="AA66" s="71"/>
      <c r="AB66" s="71"/>
      <c r="AC66" s="128"/>
      <c r="AD66" s="33"/>
      <c r="AE66" s="55"/>
    </row>
    <row r="67" spans="2:31" ht="20.100000000000001" customHeight="1">
      <c r="B67" s="48">
        <v>122</v>
      </c>
      <c r="C67" s="121" t="s">
        <v>981</v>
      </c>
      <c r="D67" s="120" t="s">
        <v>349</v>
      </c>
      <c r="E67" s="120">
        <v>2603</v>
      </c>
      <c r="F67" s="120" t="s">
        <v>700</v>
      </c>
      <c r="G67" s="120" t="s">
        <v>699</v>
      </c>
      <c r="H67" s="49">
        <v>1</v>
      </c>
      <c r="I67" s="50" t="s">
        <v>855</v>
      </c>
      <c r="J67" s="124" t="s">
        <v>854</v>
      </c>
      <c r="K67" s="50" t="s">
        <v>48</v>
      </c>
      <c r="L67" s="50" t="s">
        <v>608</v>
      </c>
      <c r="M67" s="56" t="s">
        <v>12</v>
      </c>
      <c r="N67" s="122" t="s">
        <v>609</v>
      </c>
      <c r="O67" s="57">
        <v>3</v>
      </c>
      <c r="P67" s="45">
        <v>28560</v>
      </c>
      <c r="Q67" s="58">
        <f t="shared" si="5"/>
        <v>85680</v>
      </c>
      <c r="R67" s="129" t="s">
        <v>684</v>
      </c>
      <c r="S67" s="19"/>
      <c r="T67" s="32"/>
      <c r="U67" s="32"/>
      <c r="V67" s="51">
        <f t="shared" si="1"/>
        <v>33129.599999999999</v>
      </c>
      <c r="W67" s="51">
        <f t="shared" si="2"/>
        <v>99388.799999999988</v>
      </c>
      <c r="X67" s="52">
        <f t="shared" si="3"/>
        <v>22.28</v>
      </c>
      <c r="Y67" s="53">
        <f t="shared" si="4"/>
        <v>66.84</v>
      </c>
      <c r="Z67" s="54"/>
      <c r="AA67" s="71"/>
      <c r="AB67" s="71"/>
      <c r="AC67" s="128"/>
      <c r="AD67" s="33"/>
      <c r="AE67" s="55"/>
    </row>
    <row r="68" spans="2:31" ht="20.100000000000001" hidden="1" customHeight="1">
      <c r="B68" s="48">
        <v>13</v>
      </c>
      <c r="C68" s="121" t="s">
        <v>981</v>
      </c>
      <c r="D68" s="120" t="s">
        <v>349</v>
      </c>
      <c r="E68" s="120">
        <v>2603</v>
      </c>
      <c r="F68" s="120" t="s">
        <v>700</v>
      </c>
      <c r="G68" s="120" t="s">
        <v>699</v>
      </c>
      <c r="H68" s="49"/>
      <c r="I68" s="50" t="s">
        <v>135</v>
      </c>
      <c r="J68" s="124" t="s">
        <v>890</v>
      </c>
      <c r="K68" s="50" t="s">
        <v>887</v>
      </c>
      <c r="L68" s="50" t="s">
        <v>886</v>
      </c>
      <c r="M68" s="56" t="s">
        <v>12</v>
      </c>
      <c r="N68" s="122" t="s">
        <v>665</v>
      </c>
      <c r="O68" s="57">
        <v>1</v>
      </c>
      <c r="P68" s="45">
        <v>200000</v>
      </c>
      <c r="Q68" s="58">
        <f t="shared" si="5"/>
        <v>200000</v>
      </c>
      <c r="R68" s="141">
        <v>46121</v>
      </c>
      <c r="S68" s="19"/>
      <c r="T68" s="32"/>
      <c r="U68" s="32"/>
      <c r="V68" s="51">
        <f t="shared" si="1"/>
        <v>231999.99999999997</v>
      </c>
      <c r="W68" s="51">
        <f t="shared" si="2"/>
        <v>231999.99999999997</v>
      </c>
      <c r="X68" s="52">
        <f t="shared" si="3"/>
        <v>156.06</v>
      </c>
      <c r="Y68" s="53">
        <f t="shared" si="4"/>
        <v>156.06</v>
      </c>
      <c r="Z68" s="54"/>
      <c r="AA68" s="71"/>
      <c r="AB68" s="71"/>
      <c r="AC68" s="128"/>
      <c r="AD68" s="33"/>
      <c r="AE68" s="55"/>
    </row>
    <row r="69" spans="2:31" ht="20.100000000000001" hidden="1" customHeight="1">
      <c r="B69" s="48">
        <v>14</v>
      </c>
      <c r="C69" s="121" t="s">
        <v>981</v>
      </c>
      <c r="D69" s="120" t="s">
        <v>349</v>
      </c>
      <c r="E69" s="120">
        <v>2603</v>
      </c>
      <c r="F69" s="120" t="s">
        <v>700</v>
      </c>
      <c r="G69" s="120" t="s">
        <v>699</v>
      </c>
      <c r="H69" s="49"/>
      <c r="I69" s="50" t="s">
        <v>137</v>
      </c>
      <c r="J69" s="124" t="s">
        <v>889</v>
      </c>
      <c r="K69" s="50" t="s">
        <v>887</v>
      </c>
      <c r="L69" s="50" t="s">
        <v>886</v>
      </c>
      <c r="M69" s="56" t="s">
        <v>12</v>
      </c>
      <c r="N69" s="122" t="s">
        <v>665</v>
      </c>
      <c r="O69" s="57">
        <v>1</v>
      </c>
      <c r="P69" s="45">
        <v>220000</v>
      </c>
      <c r="Q69" s="58">
        <f t="shared" ref="Q69:Q100" si="6">O69*P69</f>
        <v>220000</v>
      </c>
      <c r="R69" s="141">
        <v>46121</v>
      </c>
      <c r="S69" s="19"/>
      <c r="T69" s="32"/>
      <c r="U69" s="32"/>
      <c r="V69" s="51">
        <f t="shared" si="1"/>
        <v>255199.99999999997</v>
      </c>
      <c r="W69" s="51">
        <f t="shared" si="2"/>
        <v>255199.99999999997</v>
      </c>
      <c r="X69" s="52">
        <f t="shared" si="3"/>
        <v>171.66</v>
      </c>
      <c r="Y69" s="53">
        <f t="shared" si="4"/>
        <v>171.66</v>
      </c>
      <c r="Z69" s="54"/>
      <c r="AA69" s="71"/>
      <c r="AB69" s="71"/>
      <c r="AC69" s="128"/>
      <c r="AD69" s="33"/>
      <c r="AE69" s="55"/>
    </row>
    <row r="70" spans="2:31" ht="20.100000000000001" hidden="1" customHeight="1">
      <c r="B70" s="48">
        <v>15</v>
      </c>
      <c r="C70" s="121" t="s">
        <v>981</v>
      </c>
      <c r="D70" s="120" t="s">
        <v>349</v>
      </c>
      <c r="E70" s="120">
        <v>2603</v>
      </c>
      <c r="F70" s="120" t="s">
        <v>700</v>
      </c>
      <c r="G70" s="120" t="s">
        <v>699</v>
      </c>
      <c r="H70" s="49"/>
      <c r="I70" s="50" t="s">
        <v>67</v>
      </c>
      <c r="J70" s="124" t="s">
        <v>888</v>
      </c>
      <c r="K70" s="50" t="s">
        <v>887</v>
      </c>
      <c r="L70" s="50" t="s">
        <v>886</v>
      </c>
      <c r="M70" s="56" t="s">
        <v>12</v>
      </c>
      <c r="N70" s="122" t="s">
        <v>665</v>
      </c>
      <c r="O70" s="57">
        <v>1</v>
      </c>
      <c r="P70" s="45">
        <v>900000</v>
      </c>
      <c r="Q70" s="58">
        <f t="shared" si="6"/>
        <v>900000</v>
      </c>
      <c r="R70" s="141">
        <v>46121</v>
      </c>
      <c r="S70" s="19"/>
      <c r="T70" s="32"/>
      <c r="U70" s="32"/>
      <c r="V70" s="51">
        <f t="shared" ref="V70:V128" si="7">++P70*(1+$V$3)</f>
        <v>1043999.9999999999</v>
      </c>
      <c r="W70" s="51">
        <f t="shared" ref="W70:W128" si="8">++O70*V70</f>
        <v>1043999.9999999999</v>
      </c>
      <c r="X70" s="52">
        <f t="shared" ref="X70:X128" si="9">++ROUND(V70/$X$3,2)</f>
        <v>702.25</v>
      </c>
      <c r="Y70" s="53">
        <f t="shared" ref="Y70:Y128" si="10">++O70*X70</f>
        <v>702.25</v>
      </c>
      <c r="Z70" s="54"/>
      <c r="AA70" s="71"/>
      <c r="AB70" s="71"/>
      <c r="AC70" s="128"/>
      <c r="AD70" s="33"/>
      <c r="AE70" s="55"/>
    </row>
    <row r="71" spans="2:31" ht="20.100000000000001" hidden="1" customHeight="1">
      <c r="B71" s="48">
        <v>16</v>
      </c>
      <c r="C71" s="121" t="s">
        <v>981</v>
      </c>
      <c r="D71" s="120" t="s">
        <v>349</v>
      </c>
      <c r="E71" s="120">
        <v>2603</v>
      </c>
      <c r="F71" s="120" t="s">
        <v>700</v>
      </c>
      <c r="G71" s="120" t="s">
        <v>699</v>
      </c>
      <c r="H71" s="49"/>
      <c r="I71" s="50" t="s">
        <v>578</v>
      </c>
      <c r="J71" s="124" t="s">
        <v>62</v>
      </c>
      <c r="K71" s="50" t="s">
        <v>61</v>
      </c>
      <c r="L71" s="50" t="s">
        <v>61</v>
      </c>
      <c r="M71" s="56" t="s">
        <v>12</v>
      </c>
      <c r="N71" s="122" t="s">
        <v>665</v>
      </c>
      <c r="O71" s="57">
        <v>1</v>
      </c>
      <c r="P71" s="45">
        <v>315000</v>
      </c>
      <c r="Q71" s="58">
        <f t="shared" si="6"/>
        <v>315000</v>
      </c>
      <c r="R71" s="141">
        <v>46115</v>
      </c>
      <c r="S71" s="19"/>
      <c r="T71" s="32"/>
      <c r="U71" s="32"/>
      <c r="V71" s="51">
        <f t="shared" si="7"/>
        <v>365400</v>
      </c>
      <c r="W71" s="51">
        <f t="shared" si="8"/>
        <v>365400</v>
      </c>
      <c r="X71" s="52">
        <f t="shared" si="9"/>
        <v>245.79</v>
      </c>
      <c r="Y71" s="53">
        <f t="shared" si="10"/>
        <v>245.79</v>
      </c>
      <c r="Z71" s="54"/>
      <c r="AA71" s="71"/>
      <c r="AB71" s="71"/>
      <c r="AC71" s="128"/>
      <c r="AD71" s="33"/>
      <c r="AE71" s="55"/>
    </row>
    <row r="72" spans="2:31" ht="20.100000000000001" hidden="1" customHeight="1">
      <c r="B72" s="48">
        <v>53</v>
      </c>
      <c r="C72" s="121" t="s">
        <v>981</v>
      </c>
      <c r="D72" s="120" t="s">
        <v>349</v>
      </c>
      <c r="E72" s="120">
        <v>2603</v>
      </c>
      <c r="F72" s="120" t="s">
        <v>700</v>
      </c>
      <c r="G72" s="120" t="s">
        <v>699</v>
      </c>
      <c r="H72" s="49"/>
      <c r="I72" s="50" t="s">
        <v>712</v>
      </c>
      <c r="J72" s="124" t="s">
        <v>1030</v>
      </c>
      <c r="K72" s="50" t="s">
        <v>48</v>
      </c>
      <c r="L72" s="50" t="s">
        <v>604</v>
      </c>
      <c r="M72" s="56" t="s">
        <v>12</v>
      </c>
      <c r="N72" s="122" t="s">
        <v>666</v>
      </c>
      <c r="O72" s="57">
        <v>1</v>
      </c>
      <c r="P72" s="45">
        <v>3200</v>
      </c>
      <c r="Q72" s="58">
        <f t="shared" si="6"/>
        <v>3200</v>
      </c>
      <c r="R72" s="141">
        <v>46122</v>
      </c>
      <c r="S72" s="19"/>
      <c r="T72" s="32"/>
      <c r="U72" s="32"/>
      <c r="V72" s="51">
        <f t="shared" si="7"/>
        <v>3711.9999999999995</v>
      </c>
      <c r="W72" s="51">
        <f t="shared" si="8"/>
        <v>3711.9999999999995</v>
      </c>
      <c r="X72" s="52">
        <f t="shared" si="9"/>
        <v>2.5</v>
      </c>
      <c r="Y72" s="53">
        <f t="shared" si="10"/>
        <v>2.5</v>
      </c>
      <c r="Z72" s="54"/>
      <c r="AA72" s="71"/>
      <c r="AB72" s="71"/>
      <c r="AC72" s="128"/>
      <c r="AD72" s="33"/>
      <c r="AE72" s="55"/>
    </row>
    <row r="73" spans="2:31" ht="20.100000000000001" hidden="1" customHeight="1">
      <c r="B73" s="48">
        <v>54</v>
      </c>
      <c r="C73" s="121" t="s">
        <v>981</v>
      </c>
      <c r="D73" s="120" t="s">
        <v>349</v>
      </c>
      <c r="E73" s="120">
        <v>2603</v>
      </c>
      <c r="F73" s="120" t="s">
        <v>700</v>
      </c>
      <c r="G73" s="120" t="s">
        <v>699</v>
      </c>
      <c r="H73" s="49"/>
      <c r="I73" s="50" t="s">
        <v>982</v>
      </c>
      <c r="J73" s="124" t="s">
        <v>875</v>
      </c>
      <c r="K73" s="50" t="s">
        <v>48</v>
      </c>
      <c r="L73" s="50" t="s">
        <v>604</v>
      </c>
      <c r="M73" s="56" t="s">
        <v>12</v>
      </c>
      <c r="N73" s="122" t="s">
        <v>666</v>
      </c>
      <c r="O73" s="57">
        <v>2</v>
      </c>
      <c r="P73" s="45">
        <v>73000</v>
      </c>
      <c r="Q73" s="58">
        <f t="shared" si="6"/>
        <v>146000</v>
      </c>
      <c r="R73" s="141">
        <v>46122</v>
      </c>
      <c r="S73" s="19"/>
      <c r="T73" s="32"/>
      <c r="U73" s="32"/>
      <c r="V73" s="51">
        <f t="shared" si="7"/>
        <v>84680</v>
      </c>
      <c r="W73" s="51">
        <f t="shared" si="8"/>
        <v>169360</v>
      </c>
      <c r="X73" s="52">
        <f t="shared" si="9"/>
        <v>56.96</v>
      </c>
      <c r="Y73" s="53">
        <f t="shared" si="10"/>
        <v>113.92</v>
      </c>
      <c r="Z73" s="54"/>
      <c r="AA73" s="71"/>
      <c r="AB73" s="71"/>
      <c r="AC73" s="128"/>
      <c r="AD73" s="33"/>
      <c r="AE73" s="55"/>
    </row>
    <row r="74" spans="2:31" ht="20.100000000000001" hidden="1" customHeight="1">
      <c r="B74" s="48">
        <v>56</v>
      </c>
      <c r="C74" s="121" t="s">
        <v>981</v>
      </c>
      <c r="D74" s="120" t="s">
        <v>349</v>
      </c>
      <c r="E74" s="120">
        <v>2603</v>
      </c>
      <c r="F74" s="120" t="s">
        <v>700</v>
      </c>
      <c r="G74" s="120" t="s">
        <v>699</v>
      </c>
      <c r="H74" s="49"/>
      <c r="I74" s="50" t="s">
        <v>72</v>
      </c>
      <c r="J74" s="124" t="s">
        <v>955</v>
      </c>
      <c r="K74" s="50" t="s">
        <v>649</v>
      </c>
      <c r="L74" s="50" t="s">
        <v>519</v>
      </c>
      <c r="M74" s="56" t="s">
        <v>12</v>
      </c>
      <c r="N74" s="122" t="s">
        <v>665</v>
      </c>
      <c r="O74" s="57">
        <v>4</v>
      </c>
      <c r="P74" s="45">
        <v>400</v>
      </c>
      <c r="Q74" s="58">
        <f t="shared" si="6"/>
        <v>1600</v>
      </c>
      <c r="R74" s="141">
        <v>46118</v>
      </c>
      <c r="S74" s="19"/>
      <c r="T74" s="32"/>
      <c r="U74" s="32"/>
      <c r="V74" s="51">
        <f t="shared" si="7"/>
        <v>463.99999999999994</v>
      </c>
      <c r="W74" s="51">
        <f t="shared" si="8"/>
        <v>1855.9999999999998</v>
      </c>
      <c r="X74" s="52">
        <f t="shared" si="9"/>
        <v>0.31</v>
      </c>
      <c r="Y74" s="53">
        <f t="shared" si="10"/>
        <v>1.24</v>
      </c>
      <c r="Z74" s="54"/>
      <c r="AA74" s="71"/>
      <c r="AB74" s="71"/>
      <c r="AC74" s="128"/>
      <c r="AD74" s="33"/>
      <c r="AE74" s="55"/>
    </row>
    <row r="75" spans="2:31" ht="20.100000000000001" hidden="1" customHeight="1">
      <c r="B75" s="48">
        <v>57</v>
      </c>
      <c r="C75" s="121" t="s">
        <v>981</v>
      </c>
      <c r="D75" s="120" t="s">
        <v>349</v>
      </c>
      <c r="E75" s="120">
        <v>2603</v>
      </c>
      <c r="F75" s="120" t="s">
        <v>700</v>
      </c>
      <c r="G75" s="120" t="s">
        <v>699</v>
      </c>
      <c r="H75" s="49"/>
      <c r="I75" s="50" t="s">
        <v>72</v>
      </c>
      <c r="J75" s="124" t="s">
        <v>954</v>
      </c>
      <c r="K75" s="50" t="s">
        <v>649</v>
      </c>
      <c r="L75" s="50" t="s">
        <v>519</v>
      </c>
      <c r="M75" s="56" t="s">
        <v>12</v>
      </c>
      <c r="N75" s="122" t="s">
        <v>665</v>
      </c>
      <c r="O75" s="57">
        <v>4</v>
      </c>
      <c r="P75" s="45">
        <v>800</v>
      </c>
      <c r="Q75" s="58">
        <f t="shared" si="6"/>
        <v>3200</v>
      </c>
      <c r="R75" s="141">
        <v>46118</v>
      </c>
      <c r="S75" s="19"/>
      <c r="T75" s="32"/>
      <c r="U75" s="32"/>
      <c r="V75" s="51">
        <f t="shared" si="7"/>
        <v>927.99999999999989</v>
      </c>
      <c r="W75" s="51">
        <f t="shared" si="8"/>
        <v>3711.9999999999995</v>
      </c>
      <c r="X75" s="52">
        <f t="shared" si="9"/>
        <v>0.62</v>
      </c>
      <c r="Y75" s="53">
        <f t="shared" si="10"/>
        <v>2.48</v>
      </c>
      <c r="Z75" s="54"/>
      <c r="AA75" s="71"/>
      <c r="AB75" s="71"/>
      <c r="AC75" s="128"/>
      <c r="AD75" s="33"/>
      <c r="AE75" s="55"/>
    </row>
    <row r="76" spans="2:31" ht="20.100000000000001" hidden="1" customHeight="1">
      <c r="B76" s="48">
        <v>58</v>
      </c>
      <c r="C76" s="121" t="s">
        <v>981</v>
      </c>
      <c r="D76" s="120" t="s">
        <v>349</v>
      </c>
      <c r="E76" s="120">
        <v>2603</v>
      </c>
      <c r="F76" s="120" t="s">
        <v>700</v>
      </c>
      <c r="G76" s="120" t="s">
        <v>699</v>
      </c>
      <c r="H76" s="49"/>
      <c r="I76" s="50" t="s">
        <v>72</v>
      </c>
      <c r="J76" s="124" t="s">
        <v>953</v>
      </c>
      <c r="K76" s="50" t="s">
        <v>649</v>
      </c>
      <c r="L76" s="50" t="s">
        <v>519</v>
      </c>
      <c r="M76" s="56" t="s">
        <v>12</v>
      </c>
      <c r="N76" s="122" t="s">
        <v>665</v>
      </c>
      <c r="O76" s="57">
        <v>2</v>
      </c>
      <c r="P76" s="45">
        <v>800</v>
      </c>
      <c r="Q76" s="58">
        <f t="shared" si="6"/>
        <v>1600</v>
      </c>
      <c r="R76" s="141">
        <v>46118</v>
      </c>
      <c r="S76" s="19"/>
      <c r="T76" s="32"/>
      <c r="U76" s="32"/>
      <c r="V76" s="51">
        <f t="shared" si="7"/>
        <v>927.99999999999989</v>
      </c>
      <c r="W76" s="51">
        <f t="shared" si="8"/>
        <v>1855.9999999999998</v>
      </c>
      <c r="X76" s="52">
        <f t="shared" si="9"/>
        <v>0.62</v>
      </c>
      <c r="Y76" s="53">
        <f t="shared" si="10"/>
        <v>1.24</v>
      </c>
      <c r="Z76" s="54"/>
      <c r="AA76" s="71"/>
      <c r="AB76" s="71"/>
      <c r="AC76" s="128"/>
      <c r="AD76" s="33"/>
      <c r="AE76" s="55"/>
    </row>
    <row r="77" spans="2:31" ht="20.100000000000001" hidden="1" customHeight="1">
      <c r="B77" s="48">
        <v>59</v>
      </c>
      <c r="C77" s="121" t="s">
        <v>981</v>
      </c>
      <c r="D77" s="120" t="s">
        <v>349</v>
      </c>
      <c r="E77" s="120">
        <v>2603</v>
      </c>
      <c r="F77" s="120" t="s">
        <v>700</v>
      </c>
      <c r="G77" s="120" t="s">
        <v>699</v>
      </c>
      <c r="H77" s="49"/>
      <c r="I77" s="50" t="s">
        <v>350</v>
      </c>
      <c r="J77" s="124" t="s">
        <v>952</v>
      </c>
      <c r="K77" s="50" t="s">
        <v>921</v>
      </c>
      <c r="L77" s="50" t="s">
        <v>519</v>
      </c>
      <c r="M77" s="56" t="s">
        <v>12</v>
      </c>
      <c r="N77" s="122" t="s">
        <v>665</v>
      </c>
      <c r="O77" s="57">
        <v>2</v>
      </c>
      <c r="P77" s="45">
        <v>7800</v>
      </c>
      <c r="Q77" s="58">
        <f t="shared" si="6"/>
        <v>15600</v>
      </c>
      <c r="R77" s="141">
        <v>46118</v>
      </c>
      <c r="S77" s="19"/>
      <c r="T77" s="32"/>
      <c r="U77" s="32"/>
      <c r="V77" s="51">
        <f t="shared" si="7"/>
        <v>9048</v>
      </c>
      <c r="W77" s="51">
        <f t="shared" si="8"/>
        <v>18096</v>
      </c>
      <c r="X77" s="52">
        <f t="shared" si="9"/>
        <v>6.09</v>
      </c>
      <c r="Y77" s="53">
        <f t="shared" si="10"/>
        <v>12.18</v>
      </c>
      <c r="Z77" s="54"/>
      <c r="AA77" s="71"/>
      <c r="AB77" s="71"/>
      <c r="AC77" s="128"/>
      <c r="AD77" s="33"/>
      <c r="AE77" s="55"/>
    </row>
    <row r="78" spans="2:31" ht="20.100000000000001" hidden="1" customHeight="1">
      <c r="B78" s="48">
        <v>60</v>
      </c>
      <c r="C78" s="121" t="s">
        <v>981</v>
      </c>
      <c r="D78" s="120" t="s">
        <v>349</v>
      </c>
      <c r="E78" s="120">
        <v>2603</v>
      </c>
      <c r="F78" s="120" t="s">
        <v>700</v>
      </c>
      <c r="G78" s="120" t="s">
        <v>699</v>
      </c>
      <c r="H78" s="49"/>
      <c r="I78" s="50" t="s">
        <v>795</v>
      </c>
      <c r="J78" s="124" t="s">
        <v>448</v>
      </c>
      <c r="K78" s="50" t="s">
        <v>31</v>
      </c>
      <c r="L78" s="50" t="s">
        <v>519</v>
      </c>
      <c r="M78" s="56" t="s">
        <v>12</v>
      </c>
      <c r="N78" s="122" t="s">
        <v>665</v>
      </c>
      <c r="O78" s="57">
        <v>1</v>
      </c>
      <c r="P78" s="45">
        <v>8600</v>
      </c>
      <c r="Q78" s="58">
        <f t="shared" si="6"/>
        <v>8600</v>
      </c>
      <c r="R78" s="141">
        <v>46118</v>
      </c>
      <c r="S78" s="19"/>
      <c r="T78" s="32"/>
      <c r="U78" s="32"/>
      <c r="V78" s="51">
        <f t="shared" si="7"/>
        <v>9976</v>
      </c>
      <c r="W78" s="51">
        <f t="shared" si="8"/>
        <v>9976</v>
      </c>
      <c r="X78" s="52">
        <f t="shared" si="9"/>
        <v>6.71</v>
      </c>
      <c r="Y78" s="53">
        <f t="shared" si="10"/>
        <v>6.71</v>
      </c>
      <c r="Z78" s="54"/>
      <c r="AA78" s="71"/>
      <c r="AB78" s="71"/>
      <c r="AC78" s="128"/>
      <c r="AD78" s="33"/>
      <c r="AE78" s="55"/>
    </row>
    <row r="79" spans="2:31" ht="20.100000000000001" hidden="1" customHeight="1">
      <c r="B79" s="48">
        <v>61</v>
      </c>
      <c r="C79" s="121" t="s">
        <v>981</v>
      </c>
      <c r="D79" s="120" t="s">
        <v>349</v>
      </c>
      <c r="E79" s="120">
        <v>2603</v>
      </c>
      <c r="F79" s="120" t="s">
        <v>700</v>
      </c>
      <c r="G79" s="120" t="s">
        <v>699</v>
      </c>
      <c r="H79" s="49"/>
      <c r="I79" s="50" t="s">
        <v>951</v>
      </c>
      <c r="J79" s="124" t="s">
        <v>950</v>
      </c>
      <c r="K79" s="50" t="s">
        <v>31</v>
      </c>
      <c r="L79" s="50" t="s">
        <v>519</v>
      </c>
      <c r="M79" s="56" t="s">
        <v>12</v>
      </c>
      <c r="N79" s="122" t="s">
        <v>665</v>
      </c>
      <c r="O79" s="57">
        <v>1</v>
      </c>
      <c r="P79" s="45">
        <v>540</v>
      </c>
      <c r="Q79" s="58">
        <f t="shared" si="6"/>
        <v>540</v>
      </c>
      <c r="R79" s="141">
        <v>46118</v>
      </c>
      <c r="S79" s="19"/>
      <c r="T79" s="32"/>
      <c r="U79" s="32"/>
      <c r="V79" s="51">
        <f t="shared" si="7"/>
        <v>626.4</v>
      </c>
      <c r="W79" s="51">
        <f t="shared" si="8"/>
        <v>626.4</v>
      </c>
      <c r="X79" s="52">
        <f t="shared" si="9"/>
        <v>0.42</v>
      </c>
      <c r="Y79" s="53">
        <f t="shared" si="10"/>
        <v>0.42</v>
      </c>
      <c r="Z79" s="54"/>
      <c r="AA79" s="71"/>
      <c r="AB79" s="71"/>
      <c r="AC79" s="128"/>
      <c r="AD79" s="33"/>
      <c r="AE79" s="55"/>
    </row>
    <row r="80" spans="2:31" ht="20.100000000000001" hidden="1" customHeight="1">
      <c r="B80" s="48">
        <v>62</v>
      </c>
      <c r="C80" s="121" t="s">
        <v>981</v>
      </c>
      <c r="D80" s="120" t="s">
        <v>349</v>
      </c>
      <c r="E80" s="120">
        <v>2603</v>
      </c>
      <c r="F80" s="120" t="s">
        <v>700</v>
      </c>
      <c r="G80" s="120" t="s">
        <v>699</v>
      </c>
      <c r="H80" s="49"/>
      <c r="I80" s="50" t="s">
        <v>949</v>
      </c>
      <c r="J80" s="124" t="s">
        <v>624</v>
      </c>
      <c r="K80" s="50" t="s">
        <v>31</v>
      </c>
      <c r="L80" s="50" t="s">
        <v>519</v>
      </c>
      <c r="M80" s="56" t="s">
        <v>12</v>
      </c>
      <c r="N80" s="122" t="s">
        <v>665</v>
      </c>
      <c r="O80" s="57">
        <v>1</v>
      </c>
      <c r="P80" s="45">
        <v>7300</v>
      </c>
      <c r="Q80" s="58">
        <f t="shared" si="6"/>
        <v>7300</v>
      </c>
      <c r="R80" s="141">
        <v>46118</v>
      </c>
      <c r="S80" s="19"/>
      <c r="T80" s="32"/>
      <c r="U80" s="32"/>
      <c r="V80" s="51">
        <f t="shared" si="7"/>
        <v>8468</v>
      </c>
      <c r="W80" s="51">
        <f t="shared" si="8"/>
        <v>8468</v>
      </c>
      <c r="X80" s="52">
        <f t="shared" si="9"/>
        <v>5.7</v>
      </c>
      <c r="Y80" s="53">
        <f t="shared" si="10"/>
        <v>5.7</v>
      </c>
      <c r="Z80" s="54"/>
      <c r="AA80" s="71"/>
      <c r="AB80" s="71"/>
      <c r="AC80" s="128"/>
      <c r="AD80" s="33"/>
      <c r="AE80" s="55"/>
    </row>
    <row r="81" spans="2:31" ht="20.100000000000001" hidden="1" customHeight="1">
      <c r="B81" s="48">
        <v>63</v>
      </c>
      <c r="C81" s="121" t="s">
        <v>981</v>
      </c>
      <c r="D81" s="120" t="s">
        <v>349</v>
      </c>
      <c r="E81" s="120">
        <v>2603</v>
      </c>
      <c r="F81" s="120" t="s">
        <v>700</v>
      </c>
      <c r="G81" s="120" t="s">
        <v>699</v>
      </c>
      <c r="H81" s="49"/>
      <c r="I81" s="50" t="s">
        <v>948</v>
      </c>
      <c r="J81" s="124" t="s">
        <v>80</v>
      </c>
      <c r="K81" s="50" t="s">
        <v>31</v>
      </c>
      <c r="L81" s="50" t="s">
        <v>519</v>
      </c>
      <c r="M81" s="56" t="s">
        <v>12</v>
      </c>
      <c r="N81" s="122" t="s">
        <v>665</v>
      </c>
      <c r="O81" s="57">
        <v>1</v>
      </c>
      <c r="P81" s="45">
        <v>6700</v>
      </c>
      <c r="Q81" s="58">
        <f t="shared" si="6"/>
        <v>6700</v>
      </c>
      <c r="R81" s="141">
        <v>46118</v>
      </c>
      <c r="S81" s="19"/>
      <c r="T81" s="32"/>
      <c r="U81" s="32"/>
      <c r="V81" s="51">
        <f t="shared" si="7"/>
        <v>7771.9999999999991</v>
      </c>
      <c r="W81" s="51">
        <f t="shared" si="8"/>
        <v>7771.9999999999991</v>
      </c>
      <c r="X81" s="52">
        <f t="shared" si="9"/>
        <v>5.23</v>
      </c>
      <c r="Y81" s="53">
        <f t="shared" si="10"/>
        <v>5.23</v>
      </c>
      <c r="Z81" s="54"/>
      <c r="AA81" s="71"/>
      <c r="AB81" s="71"/>
      <c r="AC81" s="128"/>
      <c r="AD81" s="33"/>
      <c r="AE81" s="55"/>
    </row>
    <row r="82" spans="2:31" ht="20.100000000000001" hidden="1" customHeight="1">
      <c r="B82" s="48">
        <v>64</v>
      </c>
      <c r="C82" s="121" t="s">
        <v>981</v>
      </c>
      <c r="D82" s="120" t="s">
        <v>349</v>
      </c>
      <c r="E82" s="120">
        <v>2603</v>
      </c>
      <c r="F82" s="120" t="s">
        <v>700</v>
      </c>
      <c r="G82" s="120" t="s">
        <v>699</v>
      </c>
      <c r="H82" s="49"/>
      <c r="I82" s="50" t="s">
        <v>947</v>
      </c>
      <c r="J82" s="124" t="s">
        <v>81</v>
      </c>
      <c r="K82" s="50" t="s">
        <v>31</v>
      </c>
      <c r="L82" s="50" t="s">
        <v>519</v>
      </c>
      <c r="M82" s="56" t="s">
        <v>12</v>
      </c>
      <c r="N82" s="122" t="s">
        <v>665</v>
      </c>
      <c r="O82" s="57">
        <v>1</v>
      </c>
      <c r="P82" s="45">
        <v>6700</v>
      </c>
      <c r="Q82" s="58">
        <f t="shared" si="6"/>
        <v>6700</v>
      </c>
      <c r="R82" s="141">
        <v>46118</v>
      </c>
      <c r="S82" s="19"/>
      <c r="T82" s="32"/>
      <c r="U82" s="32"/>
      <c r="V82" s="51">
        <f t="shared" si="7"/>
        <v>7771.9999999999991</v>
      </c>
      <c r="W82" s="51">
        <f t="shared" si="8"/>
        <v>7771.9999999999991</v>
      </c>
      <c r="X82" s="52">
        <f t="shared" si="9"/>
        <v>5.23</v>
      </c>
      <c r="Y82" s="53">
        <f t="shared" si="10"/>
        <v>5.23</v>
      </c>
      <c r="Z82" s="54"/>
      <c r="AA82" s="71"/>
      <c r="AB82" s="71"/>
      <c r="AC82" s="128"/>
      <c r="AD82" s="33"/>
      <c r="AE82" s="55"/>
    </row>
    <row r="83" spans="2:31" ht="20.100000000000001" hidden="1" customHeight="1">
      <c r="B83" s="48">
        <v>65</v>
      </c>
      <c r="C83" s="121" t="s">
        <v>981</v>
      </c>
      <c r="D83" s="120" t="s">
        <v>349</v>
      </c>
      <c r="E83" s="120">
        <v>2603</v>
      </c>
      <c r="F83" s="120" t="s">
        <v>700</v>
      </c>
      <c r="G83" s="120" t="s">
        <v>699</v>
      </c>
      <c r="H83" s="49"/>
      <c r="I83" s="50" t="s">
        <v>946</v>
      </c>
      <c r="J83" s="124" t="s">
        <v>447</v>
      </c>
      <c r="K83" s="50" t="s">
        <v>31</v>
      </c>
      <c r="L83" s="50" t="s">
        <v>519</v>
      </c>
      <c r="M83" s="56" t="s">
        <v>12</v>
      </c>
      <c r="N83" s="122" t="s">
        <v>665</v>
      </c>
      <c r="O83" s="57">
        <v>1</v>
      </c>
      <c r="P83" s="45">
        <v>8200</v>
      </c>
      <c r="Q83" s="58">
        <f t="shared" si="6"/>
        <v>8200</v>
      </c>
      <c r="R83" s="141">
        <v>46118</v>
      </c>
      <c r="S83" s="19"/>
      <c r="T83" s="32"/>
      <c r="U83" s="32"/>
      <c r="V83" s="51">
        <f t="shared" si="7"/>
        <v>9512</v>
      </c>
      <c r="W83" s="51">
        <f t="shared" si="8"/>
        <v>9512</v>
      </c>
      <c r="X83" s="52">
        <f t="shared" si="9"/>
        <v>6.4</v>
      </c>
      <c r="Y83" s="53">
        <f t="shared" si="10"/>
        <v>6.4</v>
      </c>
      <c r="Z83" s="54"/>
      <c r="AA83" s="71"/>
      <c r="AB83" s="71"/>
      <c r="AC83" s="128"/>
      <c r="AD83" s="33"/>
      <c r="AE83" s="55"/>
    </row>
    <row r="84" spans="2:31" ht="20.100000000000001" hidden="1" customHeight="1">
      <c r="B84" s="48">
        <v>66</v>
      </c>
      <c r="C84" s="121" t="s">
        <v>981</v>
      </c>
      <c r="D84" s="120" t="s">
        <v>349</v>
      </c>
      <c r="E84" s="120">
        <v>2603</v>
      </c>
      <c r="F84" s="120" t="s">
        <v>700</v>
      </c>
      <c r="G84" s="120" t="s">
        <v>699</v>
      </c>
      <c r="H84" s="49"/>
      <c r="I84" s="50" t="s">
        <v>82</v>
      </c>
      <c r="J84" s="124" t="s">
        <v>84</v>
      </c>
      <c r="K84" s="50" t="s">
        <v>83</v>
      </c>
      <c r="L84" s="50" t="s">
        <v>519</v>
      </c>
      <c r="M84" s="56" t="s">
        <v>12</v>
      </c>
      <c r="N84" s="122" t="s">
        <v>665</v>
      </c>
      <c r="O84" s="57">
        <v>1</v>
      </c>
      <c r="P84" s="45">
        <v>21500</v>
      </c>
      <c r="Q84" s="58">
        <f t="shared" si="6"/>
        <v>21500</v>
      </c>
      <c r="R84" s="141">
        <v>46118</v>
      </c>
      <c r="S84" s="19"/>
      <c r="T84" s="32"/>
      <c r="U84" s="32"/>
      <c r="V84" s="51">
        <f t="shared" si="7"/>
        <v>24940</v>
      </c>
      <c r="W84" s="51">
        <f t="shared" si="8"/>
        <v>24940</v>
      </c>
      <c r="X84" s="52">
        <f t="shared" si="9"/>
        <v>16.78</v>
      </c>
      <c r="Y84" s="53">
        <f t="shared" si="10"/>
        <v>16.78</v>
      </c>
      <c r="Z84" s="54"/>
      <c r="AA84" s="71"/>
      <c r="AB84" s="71"/>
      <c r="AC84" s="128"/>
      <c r="AD84" s="33"/>
      <c r="AE84" s="55"/>
    </row>
    <row r="85" spans="2:31" ht="20.100000000000001" hidden="1" customHeight="1">
      <c r="B85" s="48">
        <v>67</v>
      </c>
      <c r="C85" s="121" t="s">
        <v>981</v>
      </c>
      <c r="D85" s="120" t="s">
        <v>349</v>
      </c>
      <c r="E85" s="120">
        <v>2603</v>
      </c>
      <c r="F85" s="120" t="s">
        <v>700</v>
      </c>
      <c r="G85" s="120" t="s">
        <v>699</v>
      </c>
      <c r="H85" s="49"/>
      <c r="I85" s="50" t="s">
        <v>91</v>
      </c>
      <c r="J85" s="124" t="s">
        <v>945</v>
      </c>
      <c r="K85" s="50" t="s">
        <v>101</v>
      </c>
      <c r="L85" s="50" t="s">
        <v>519</v>
      </c>
      <c r="M85" s="56" t="s">
        <v>12</v>
      </c>
      <c r="N85" s="122" t="s">
        <v>665</v>
      </c>
      <c r="O85" s="57">
        <v>1</v>
      </c>
      <c r="P85" s="45">
        <v>29800</v>
      </c>
      <c r="Q85" s="58">
        <f t="shared" si="6"/>
        <v>29800</v>
      </c>
      <c r="R85" s="141">
        <v>46118</v>
      </c>
      <c r="S85" s="19"/>
      <c r="T85" s="32"/>
      <c r="U85" s="32"/>
      <c r="V85" s="51">
        <f t="shared" si="7"/>
        <v>34568</v>
      </c>
      <c r="W85" s="51">
        <f t="shared" si="8"/>
        <v>34568</v>
      </c>
      <c r="X85" s="52">
        <f t="shared" si="9"/>
        <v>23.25</v>
      </c>
      <c r="Y85" s="53">
        <f t="shared" si="10"/>
        <v>23.25</v>
      </c>
      <c r="Z85" s="54"/>
      <c r="AA85" s="71"/>
      <c r="AB85" s="71"/>
      <c r="AC85" s="128"/>
      <c r="AD85" s="33"/>
      <c r="AE85" s="55"/>
    </row>
    <row r="86" spans="2:31" ht="20.100000000000001" hidden="1" customHeight="1">
      <c r="B86" s="48">
        <v>68</v>
      </c>
      <c r="C86" s="121" t="s">
        <v>981</v>
      </c>
      <c r="D86" s="120" t="s">
        <v>349</v>
      </c>
      <c r="E86" s="120">
        <v>2603</v>
      </c>
      <c r="F86" s="120" t="s">
        <v>700</v>
      </c>
      <c r="G86" s="120" t="s">
        <v>699</v>
      </c>
      <c r="H86" s="49"/>
      <c r="I86" s="50" t="s">
        <v>208</v>
      </c>
      <c r="J86" s="124" t="s">
        <v>943</v>
      </c>
      <c r="K86" s="50" t="s">
        <v>798</v>
      </c>
      <c r="L86" s="50" t="s">
        <v>519</v>
      </c>
      <c r="M86" s="56" t="s">
        <v>12</v>
      </c>
      <c r="N86" s="122" t="s">
        <v>665</v>
      </c>
      <c r="O86" s="57">
        <v>1</v>
      </c>
      <c r="P86" s="45">
        <v>5600</v>
      </c>
      <c r="Q86" s="58">
        <f t="shared" si="6"/>
        <v>5600</v>
      </c>
      <c r="R86" s="141">
        <v>46118</v>
      </c>
      <c r="S86" s="19"/>
      <c r="T86" s="32"/>
      <c r="U86" s="32"/>
      <c r="V86" s="51">
        <f t="shared" si="7"/>
        <v>6496</v>
      </c>
      <c r="W86" s="51">
        <f t="shared" si="8"/>
        <v>6496</v>
      </c>
      <c r="X86" s="52">
        <f t="shared" si="9"/>
        <v>4.37</v>
      </c>
      <c r="Y86" s="53">
        <f t="shared" si="10"/>
        <v>4.37</v>
      </c>
      <c r="Z86" s="54"/>
      <c r="AA86" s="71"/>
      <c r="AB86" s="71"/>
      <c r="AC86" s="128"/>
      <c r="AD86" s="33"/>
      <c r="AE86" s="55"/>
    </row>
    <row r="87" spans="2:31" ht="20.100000000000001" hidden="1" customHeight="1">
      <c r="B87" s="48">
        <v>69</v>
      </c>
      <c r="C87" s="121" t="s">
        <v>981</v>
      </c>
      <c r="D87" s="120" t="s">
        <v>349</v>
      </c>
      <c r="E87" s="120">
        <v>2603</v>
      </c>
      <c r="F87" s="120" t="s">
        <v>700</v>
      </c>
      <c r="G87" s="120" t="s">
        <v>699</v>
      </c>
      <c r="H87" s="49"/>
      <c r="I87" s="50" t="s">
        <v>991</v>
      </c>
      <c r="J87" s="124" t="s">
        <v>941</v>
      </c>
      <c r="K87" s="50" t="s">
        <v>30</v>
      </c>
      <c r="L87" s="50" t="s">
        <v>519</v>
      </c>
      <c r="M87" s="56" t="s">
        <v>12</v>
      </c>
      <c r="N87" s="122" t="s">
        <v>665</v>
      </c>
      <c r="O87" s="57">
        <v>1</v>
      </c>
      <c r="P87" s="45">
        <v>5500</v>
      </c>
      <c r="Q87" s="58">
        <f t="shared" si="6"/>
        <v>5500</v>
      </c>
      <c r="R87" s="141">
        <v>46118</v>
      </c>
      <c r="S87" s="19"/>
      <c r="T87" s="32"/>
      <c r="U87" s="32"/>
      <c r="V87" s="51">
        <f t="shared" si="7"/>
        <v>6380</v>
      </c>
      <c r="W87" s="51">
        <f t="shared" si="8"/>
        <v>6380</v>
      </c>
      <c r="X87" s="52">
        <f t="shared" si="9"/>
        <v>4.29</v>
      </c>
      <c r="Y87" s="53">
        <f t="shared" si="10"/>
        <v>4.29</v>
      </c>
      <c r="Z87" s="54"/>
      <c r="AA87" s="71"/>
      <c r="AB87" s="71"/>
      <c r="AC87" s="128"/>
      <c r="AD87" s="33"/>
      <c r="AE87" s="55"/>
    </row>
    <row r="88" spans="2:31" ht="20.100000000000001" hidden="1" customHeight="1">
      <c r="B88" s="48">
        <v>70</v>
      </c>
      <c r="C88" s="121" t="s">
        <v>981</v>
      </c>
      <c r="D88" s="120" t="s">
        <v>349</v>
      </c>
      <c r="E88" s="120">
        <v>2603</v>
      </c>
      <c r="F88" s="120" t="s">
        <v>700</v>
      </c>
      <c r="G88" s="120" t="s">
        <v>699</v>
      </c>
      <c r="H88" s="49"/>
      <c r="I88" s="50" t="s">
        <v>990</v>
      </c>
      <c r="J88" s="124" t="s">
        <v>939</v>
      </c>
      <c r="K88" s="50" t="s">
        <v>30</v>
      </c>
      <c r="L88" s="50" t="s">
        <v>519</v>
      </c>
      <c r="M88" s="56" t="s">
        <v>12</v>
      </c>
      <c r="N88" s="122" t="s">
        <v>665</v>
      </c>
      <c r="O88" s="57">
        <v>1</v>
      </c>
      <c r="P88" s="45">
        <v>15000</v>
      </c>
      <c r="Q88" s="58">
        <f t="shared" si="6"/>
        <v>15000</v>
      </c>
      <c r="R88" s="141">
        <v>46118</v>
      </c>
      <c r="S88" s="19"/>
      <c r="T88" s="32"/>
      <c r="U88" s="32"/>
      <c r="V88" s="51">
        <f t="shared" si="7"/>
        <v>17400</v>
      </c>
      <c r="W88" s="51">
        <f t="shared" si="8"/>
        <v>17400</v>
      </c>
      <c r="X88" s="52">
        <f t="shared" si="9"/>
        <v>11.7</v>
      </c>
      <c r="Y88" s="53">
        <f t="shared" si="10"/>
        <v>11.7</v>
      </c>
      <c r="Z88" s="54"/>
      <c r="AA88" s="71"/>
      <c r="AB88" s="71"/>
      <c r="AC88" s="128"/>
      <c r="AD88" s="33"/>
      <c r="AE88" s="55"/>
    </row>
    <row r="89" spans="2:31" ht="20.100000000000001" hidden="1" customHeight="1">
      <c r="B89" s="48">
        <v>71</v>
      </c>
      <c r="C89" s="121" t="s">
        <v>981</v>
      </c>
      <c r="D89" s="120" t="s">
        <v>349</v>
      </c>
      <c r="E89" s="120">
        <v>2603</v>
      </c>
      <c r="F89" s="120" t="s">
        <v>700</v>
      </c>
      <c r="G89" s="120" t="s">
        <v>699</v>
      </c>
      <c r="H89" s="49"/>
      <c r="I89" s="50" t="s">
        <v>938</v>
      </c>
      <c r="J89" s="124" t="s">
        <v>99</v>
      </c>
      <c r="K89" s="50" t="s">
        <v>210</v>
      </c>
      <c r="L89" s="50" t="s">
        <v>519</v>
      </c>
      <c r="M89" s="56" t="s">
        <v>12</v>
      </c>
      <c r="N89" s="122" t="s">
        <v>665</v>
      </c>
      <c r="O89" s="57">
        <v>4</v>
      </c>
      <c r="P89" s="45">
        <v>13500</v>
      </c>
      <c r="Q89" s="58">
        <f t="shared" si="6"/>
        <v>54000</v>
      </c>
      <c r="R89" s="141">
        <v>46118</v>
      </c>
      <c r="S89" s="19"/>
      <c r="T89" s="32"/>
      <c r="U89" s="32"/>
      <c r="V89" s="51">
        <f t="shared" si="7"/>
        <v>15659.999999999998</v>
      </c>
      <c r="W89" s="51">
        <f t="shared" si="8"/>
        <v>62639.999999999993</v>
      </c>
      <c r="X89" s="52">
        <f t="shared" si="9"/>
        <v>10.53</v>
      </c>
      <c r="Y89" s="53">
        <f t="shared" si="10"/>
        <v>42.12</v>
      </c>
      <c r="Z89" s="54"/>
      <c r="AA89" s="71"/>
      <c r="AB89" s="71"/>
      <c r="AC89" s="128"/>
      <c r="AD89" s="33"/>
      <c r="AE89" s="55"/>
    </row>
    <row r="90" spans="2:31" ht="20.100000000000001" hidden="1" customHeight="1">
      <c r="B90" s="48">
        <v>72</v>
      </c>
      <c r="C90" s="121" t="s">
        <v>981</v>
      </c>
      <c r="D90" s="120" t="s">
        <v>349</v>
      </c>
      <c r="E90" s="120">
        <v>2603</v>
      </c>
      <c r="F90" s="120" t="s">
        <v>700</v>
      </c>
      <c r="G90" s="120" t="s">
        <v>699</v>
      </c>
      <c r="H90" s="49"/>
      <c r="I90" s="50" t="s">
        <v>36</v>
      </c>
      <c r="J90" s="124" t="s">
        <v>641</v>
      </c>
      <c r="K90" s="50" t="s">
        <v>34</v>
      </c>
      <c r="L90" s="50" t="s">
        <v>519</v>
      </c>
      <c r="M90" s="56" t="s">
        <v>12</v>
      </c>
      <c r="N90" s="122" t="s">
        <v>665</v>
      </c>
      <c r="O90" s="57">
        <v>12</v>
      </c>
      <c r="P90" s="45">
        <v>2800</v>
      </c>
      <c r="Q90" s="58">
        <f t="shared" si="6"/>
        <v>33600</v>
      </c>
      <c r="R90" s="141">
        <v>46118</v>
      </c>
      <c r="S90" s="19"/>
      <c r="T90" s="32"/>
      <c r="U90" s="32"/>
      <c r="V90" s="51">
        <f t="shared" si="7"/>
        <v>3248</v>
      </c>
      <c r="W90" s="51">
        <f t="shared" si="8"/>
        <v>38976</v>
      </c>
      <c r="X90" s="52">
        <f t="shared" si="9"/>
        <v>2.1800000000000002</v>
      </c>
      <c r="Y90" s="53">
        <f t="shared" si="10"/>
        <v>26.160000000000004</v>
      </c>
      <c r="Z90" s="54"/>
      <c r="AA90" s="71"/>
      <c r="AB90" s="71"/>
      <c r="AC90" s="128"/>
      <c r="AD90" s="33"/>
      <c r="AE90" s="55"/>
    </row>
    <row r="91" spans="2:31" ht="20.100000000000001" hidden="1" customHeight="1">
      <c r="B91" s="48">
        <v>73</v>
      </c>
      <c r="C91" s="121" t="s">
        <v>981</v>
      </c>
      <c r="D91" s="120" t="s">
        <v>349</v>
      </c>
      <c r="E91" s="120">
        <v>2603</v>
      </c>
      <c r="F91" s="120" t="s">
        <v>700</v>
      </c>
      <c r="G91" s="120" t="s">
        <v>699</v>
      </c>
      <c r="H91" s="49"/>
      <c r="I91" s="50" t="s">
        <v>76</v>
      </c>
      <c r="J91" s="124" t="s">
        <v>936</v>
      </c>
      <c r="K91" s="50" t="s">
        <v>34</v>
      </c>
      <c r="L91" s="50" t="s">
        <v>519</v>
      </c>
      <c r="M91" s="56" t="s">
        <v>12</v>
      </c>
      <c r="N91" s="122" t="s">
        <v>665</v>
      </c>
      <c r="O91" s="57">
        <v>6</v>
      </c>
      <c r="P91" s="45">
        <v>2800</v>
      </c>
      <c r="Q91" s="58">
        <f t="shared" si="6"/>
        <v>16800</v>
      </c>
      <c r="R91" s="141">
        <v>46118</v>
      </c>
      <c r="S91" s="19"/>
      <c r="T91" s="32"/>
      <c r="U91" s="32"/>
      <c r="V91" s="51">
        <f t="shared" si="7"/>
        <v>3248</v>
      </c>
      <c r="W91" s="51">
        <f t="shared" si="8"/>
        <v>19488</v>
      </c>
      <c r="X91" s="52">
        <f t="shared" si="9"/>
        <v>2.1800000000000002</v>
      </c>
      <c r="Y91" s="53">
        <f t="shared" si="10"/>
        <v>13.080000000000002</v>
      </c>
      <c r="Z91" s="54"/>
      <c r="AA91" s="71"/>
      <c r="AB91" s="71"/>
      <c r="AC91" s="128"/>
      <c r="AD91" s="33"/>
      <c r="AE91" s="55"/>
    </row>
    <row r="92" spans="2:31" ht="20.100000000000001" hidden="1" customHeight="1">
      <c r="B92" s="48">
        <v>74</v>
      </c>
      <c r="C92" s="121" t="s">
        <v>981</v>
      </c>
      <c r="D92" s="120" t="s">
        <v>349</v>
      </c>
      <c r="E92" s="120">
        <v>2603</v>
      </c>
      <c r="F92" s="120" t="s">
        <v>700</v>
      </c>
      <c r="G92" s="120" t="s">
        <v>699</v>
      </c>
      <c r="H92" s="49"/>
      <c r="I92" s="50" t="s">
        <v>35</v>
      </c>
      <c r="J92" s="124" t="s">
        <v>77</v>
      </c>
      <c r="K92" s="50" t="s">
        <v>34</v>
      </c>
      <c r="L92" s="50" t="s">
        <v>519</v>
      </c>
      <c r="M92" s="56" t="s">
        <v>12</v>
      </c>
      <c r="N92" s="122" t="s">
        <v>665</v>
      </c>
      <c r="O92" s="57">
        <v>12</v>
      </c>
      <c r="P92" s="45">
        <v>3300</v>
      </c>
      <c r="Q92" s="58">
        <f t="shared" si="6"/>
        <v>39600</v>
      </c>
      <c r="R92" s="141">
        <v>46118</v>
      </c>
      <c r="S92" s="19"/>
      <c r="T92" s="32"/>
      <c r="U92" s="32"/>
      <c r="V92" s="51">
        <f t="shared" si="7"/>
        <v>3827.9999999999995</v>
      </c>
      <c r="W92" s="51">
        <f t="shared" si="8"/>
        <v>45935.999999999993</v>
      </c>
      <c r="X92" s="52">
        <f t="shared" si="9"/>
        <v>2.57</v>
      </c>
      <c r="Y92" s="53">
        <f t="shared" si="10"/>
        <v>30.839999999999996</v>
      </c>
      <c r="Z92" s="54"/>
      <c r="AA92" s="71"/>
      <c r="AB92" s="71"/>
      <c r="AC92" s="128"/>
      <c r="AD92" s="33"/>
      <c r="AE92" s="55"/>
    </row>
    <row r="93" spans="2:31" ht="20.100000000000001" hidden="1" customHeight="1">
      <c r="B93" s="48">
        <v>75</v>
      </c>
      <c r="C93" s="121" t="s">
        <v>981</v>
      </c>
      <c r="D93" s="120" t="s">
        <v>349</v>
      </c>
      <c r="E93" s="120">
        <v>2603</v>
      </c>
      <c r="F93" s="120" t="s">
        <v>700</v>
      </c>
      <c r="G93" s="120" t="s">
        <v>699</v>
      </c>
      <c r="H93" s="49"/>
      <c r="I93" s="50" t="s">
        <v>392</v>
      </c>
      <c r="J93" s="124" t="s">
        <v>78</v>
      </c>
      <c r="K93" s="50" t="s">
        <v>34</v>
      </c>
      <c r="L93" s="50" t="s">
        <v>519</v>
      </c>
      <c r="M93" s="56" t="s">
        <v>12</v>
      </c>
      <c r="N93" s="122" t="s">
        <v>665</v>
      </c>
      <c r="O93" s="57">
        <v>4</v>
      </c>
      <c r="P93" s="45">
        <v>7000</v>
      </c>
      <c r="Q93" s="58">
        <f t="shared" si="6"/>
        <v>28000</v>
      </c>
      <c r="R93" s="141">
        <v>46118</v>
      </c>
      <c r="S93" s="19"/>
      <c r="T93" s="32"/>
      <c r="U93" s="32"/>
      <c r="V93" s="51">
        <f t="shared" si="7"/>
        <v>8119.9999999999991</v>
      </c>
      <c r="W93" s="51">
        <f t="shared" si="8"/>
        <v>32479.999999999996</v>
      </c>
      <c r="X93" s="52">
        <f t="shared" si="9"/>
        <v>5.46</v>
      </c>
      <c r="Y93" s="53">
        <f t="shared" si="10"/>
        <v>21.84</v>
      </c>
      <c r="Z93" s="54"/>
      <c r="AA93" s="71"/>
      <c r="AB93" s="71"/>
      <c r="AC93" s="128"/>
      <c r="AD93" s="33"/>
      <c r="AE93" s="55"/>
    </row>
    <row r="94" spans="2:31" ht="20.100000000000001" hidden="1" customHeight="1">
      <c r="B94" s="48">
        <v>76</v>
      </c>
      <c r="C94" s="121" t="s">
        <v>981</v>
      </c>
      <c r="D94" s="120" t="s">
        <v>349</v>
      </c>
      <c r="E94" s="120">
        <v>2603</v>
      </c>
      <c r="F94" s="120" t="s">
        <v>700</v>
      </c>
      <c r="G94" s="120" t="s">
        <v>699</v>
      </c>
      <c r="H94" s="49"/>
      <c r="I94" s="50" t="s">
        <v>935</v>
      </c>
      <c r="J94" s="124" t="s">
        <v>934</v>
      </c>
      <c r="K94" s="50" t="s">
        <v>30</v>
      </c>
      <c r="L94" s="50" t="s">
        <v>519</v>
      </c>
      <c r="M94" s="56" t="s">
        <v>12</v>
      </c>
      <c r="N94" s="122" t="s">
        <v>665</v>
      </c>
      <c r="O94" s="57">
        <v>2</v>
      </c>
      <c r="P94" s="45">
        <v>230</v>
      </c>
      <c r="Q94" s="58">
        <f t="shared" si="6"/>
        <v>460</v>
      </c>
      <c r="R94" s="141">
        <v>46118</v>
      </c>
      <c r="S94" s="19"/>
      <c r="T94" s="32"/>
      <c r="U94" s="32"/>
      <c r="V94" s="51">
        <f t="shared" si="7"/>
        <v>266.79999999999995</v>
      </c>
      <c r="W94" s="51">
        <f t="shared" si="8"/>
        <v>533.59999999999991</v>
      </c>
      <c r="X94" s="52">
        <f t="shared" si="9"/>
        <v>0.18</v>
      </c>
      <c r="Y94" s="53">
        <f t="shared" si="10"/>
        <v>0.36</v>
      </c>
      <c r="Z94" s="54"/>
      <c r="AA94" s="71"/>
      <c r="AB94" s="71"/>
      <c r="AC94" s="128"/>
      <c r="AD94" s="33"/>
      <c r="AE94" s="55"/>
    </row>
    <row r="95" spans="2:31" ht="20.100000000000001" hidden="1" customHeight="1">
      <c r="B95" s="48">
        <v>77</v>
      </c>
      <c r="C95" s="121" t="s">
        <v>981</v>
      </c>
      <c r="D95" s="120" t="s">
        <v>349</v>
      </c>
      <c r="E95" s="120">
        <v>2603</v>
      </c>
      <c r="F95" s="120" t="s">
        <v>700</v>
      </c>
      <c r="G95" s="120" t="s">
        <v>699</v>
      </c>
      <c r="H95" s="49"/>
      <c r="I95" s="50" t="s">
        <v>927</v>
      </c>
      <c r="J95" s="124" t="s">
        <v>933</v>
      </c>
      <c r="K95" s="50" t="s">
        <v>923</v>
      </c>
      <c r="L95" s="50" t="s">
        <v>519</v>
      </c>
      <c r="M95" s="56" t="s">
        <v>12</v>
      </c>
      <c r="N95" s="122" t="s">
        <v>665</v>
      </c>
      <c r="O95" s="57">
        <v>1</v>
      </c>
      <c r="P95" s="45">
        <v>20000</v>
      </c>
      <c r="Q95" s="58">
        <f t="shared" si="6"/>
        <v>20000</v>
      </c>
      <c r="R95" s="141">
        <v>46118</v>
      </c>
      <c r="S95" s="19"/>
      <c r="T95" s="32"/>
      <c r="U95" s="32"/>
      <c r="V95" s="51">
        <f t="shared" si="7"/>
        <v>23200</v>
      </c>
      <c r="W95" s="51">
        <f t="shared" si="8"/>
        <v>23200</v>
      </c>
      <c r="X95" s="52">
        <f t="shared" si="9"/>
        <v>15.61</v>
      </c>
      <c r="Y95" s="53">
        <f t="shared" si="10"/>
        <v>15.61</v>
      </c>
      <c r="Z95" s="54"/>
      <c r="AA95" s="71"/>
      <c r="AB95" s="71"/>
      <c r="AC95" s="128"/>
      <c r="AD95" s="33"/>
      <c r="AE95" s="55"/>
    </row>
    <row r="96" spans="2:31" ht="20.100000000000001" hidden="1" customHeight="1">
      <c r="B96" s="48">
        <v>78</v>
      </c>
      <c r="C96" s="121" t="s">
        <v>981</v>
      </c>
      <c r="D96" s="120" t="s">
        <v>349</v>
      </c>
      <c r="E96" s="120">
        <v>2603</v>
      </c>
      <c r="F96" s="120" t="s">
        <v>700</v>
      </c>
      <c r="G96" s="120" t="s">
        <v>699</v>
      </c>
      <c r="H96" s="49"/>
      <c r="I96" s="50" t="s">
        <v>925</v>
      </c>
      <c r="J96" s="124" t="s">
        <v>932</v>
      </c>
      <c r="K96" s="50" t="s">
        <v>923</v>
      </c>
      <c r="L96" s="50" t="s">
        <v>519</v>
      </c>
      <c r="M96" s="56" t="s">
        <v>12</v>
      </c>
      <c r="N96" s="122" t="s">
        <v>847</v>
      </c>
      <c r="O96" s="57">
        <v>1</v>
      </c>
      <c r="P96" s="45">
        <v>2650</v>
      </c>
      <c r="Q96" s="58">
        <f t="shared" si="6"/>
        <v>2650</v>
      </c>
      <c r="R96" s="141">
        <v>46118</v>
      </c>
      <c r="S96" s="19"/>
      <c r="T96" s="32"/>
      <c r="U96" s="32"/>
      <c r="V96" s="51">
        <f t="shared" si="7"/>
        <v>3074</v>
      </c>
      <c r="W96" s="51">
        <f t="shared" si="8"/>
        <v>3074</v>
      </c>
      <c r="X96" s="52">
        <f t="shared" si="9"/>
        <v>2.0699999999999998</v>
      </c>
      <c r="Y96" s="53">
        <f t="shared" si="10"/>
        <v>2.0699999999999998</v>
      </c>
      <c r="Z96" s="54"/>
      <c r="AA96" s="71"/>
      <c r="AB96" s="71"/>
      <c r="AC96" s="128"/>
      <c r="AD96" s="33"/>
      <c r="AE96" s="55"/>
    </row>
    <row r="97" spans="2:31" ht="20.100000000000001" hidden="1" customHeight="1">
      <c r="B97" s="48">
        <v>79</v>
      </c>
      <c r="C97" s="121" t="s">
        <v>981</v>
      </c>
      <c r="D97" s="120" t="s">
        <v>349</v>
      </c>
      <c r="E97" s="120">
        <v>2603</v>
      </c>
      <c r="F97" s="120" t="s">
        <v>700</v>
      </c>
      <c r="G97" s="120" t="s">
        <v>699</v>
      </c>
      <c r="H97" s="49"/>
      <c r="I97" s="50" t="s">
        <v>927</v>
      </c>
      <c r="J97" s="124" t="s">
        <v>931</v>
      </c>
      <c r="K97" s="50" t="s">
        <v>923</v>
      </c>
      <c r="L97" s="50" t="s">
        <v>519</v>
      </c>
      <c r="M97" s="56" t="s">
        <v>12</v>
      </c>
      <c r="N97" s="122" t="s">
        <v>847</v>
      </c>
      <c r="O97" s="57">
        <v>1</v>
      </c>
      <c r="P97" s="45">
        <v>18500</v>
      </c>
      <c r="Q97" s="58">
        <f t="shared" si="6"/>
        <v>18500</v>
      </c>
      <c r="R97" s="141">
        <v>46118</v>
      </c>
      <c r="S97" s="19"/>
      <c r="T97" s="32"/>
      <c r="U97" s="32"/>
      <c r="V97" s="51">
        <f t="shared" si="7"/>
        <v>21460</v>
      </c>
      <c r="W97" s="51">
        <f t="shared" si="8"/>
        <v>21460</v>
      </c>
      <c r="X97" s="52">
        <f t="shared" si="9"/>
        <v>14.44</v>
      </c>
      <c r="Y97" s="53">
        <f t="shared" si="10"/>
        <v>14.44</v>
      </c>
      <c r="Z97" s="54"/>
      <c r="AA97" s="71"/>
      <c r="AB97" s="71"/>
      <c r="AC97" s="128"/>
      <c r="AD97" s="33"/>
      <c r="AE97" s="55"/>
    </row>
    <row r="98" spans="2:31" ht="20.100000000000001" hidden="1" customHeight="1">
      <c r="B98" s="48">
        <v>80</v>
      </c>
      <c r="C98" s="121" t="s">
        <v>981</v>
      </c>
      <c r="D98" s="120" t="s">
        <v>349</v>
      </c>
      <c r="E98" s="120">
        <v>2603</v>
      </c>
      <c r="F98" s="120" t="s">
        <v>700</v>
      </c>
      <c r="G98" s="120" t="s">
        <v>699</v>
      </c>
      <c r="H98" s="49"/>
      <c r="I98" s="50" t="s">
        <v>925</v>
      </c>
      <c r="J98" s="124" t="s">
        <v>930</v>
      </c>
      <c r="K98" s="50" t="s">
        <v>923</v>
      </c>
      <c r="L98" s="50" t="s">
        <v>519</v>
      </c>
      <c r="M98" s="56" t="s">
        <v>12</v>
      </c>
      <c r="N98" s="122" t="s">
        <v>847</v>
      </c>
      <c r="O98" s="57">
        <v>1</v>
      </c>
      <c r="P98" s="45">
        <v>2650</v>
      </c>
      <c r="Q98" s="58">
        <f t="shared" si="6"/>
        <v>2650</v>
      </c>
      <c r="R98" s="141">
        <v>46118</v>
      </c>
      <c r="S98" s="19"/>
      <c r="T98" s="32"/>
      <c r="U98" s="32"/>
      <c r="V98" s="51">
        <f t="shared" si="7"/>
        <v>3074</v>
      </c>
      <c r="W98" s="51">
        <f t="shared" si="8"/>
        <v>3074</v>
      </c>
      <c r="X98" s="52">
        <f t="shared" si="9"/>
        <v>2.0699999999999998</v>
      </c>
      <c r="Y98" s="53">
        <f t="shared" si="10"/>
        <v>2.0699999999999998</v>
      </c>
      <c r="Z98" s="54"/>
      <c r="AA98" s="71"/>
      <c r="AB98" s="71"/>
      <c r="AC98" s="128"/>
      <c r="AD98" s="33"/>
      <c r="AE98" s="55"/>
    </row>
    <row r="99" spans="2:31" ht="20.100000000000001" hidden="1" customHeight="1">
      <c r="B99" s="48">
        <v>81</v>
      </c>
      <c r="C99" s="121" t="s">
        <v>981</v>
      </c>
      <c r="D99" s="120" t="s">
        <v>349</v>
      </c>
      <c r="E99" s="120">
        <v>2603</v>
      </c>
      <c r="F99" s="120" t="s">
        <v>700</v>
      </c>
      <c r="G99" s="120" t="s">
        <v>699</v>
      </c>
      <c r="H99" s="49"/>
      <c r="I99" s="50" t="s">
        <v>927</v>
      </c>
      <c r="J99" s="124" t="s">
        <v>929</v>
      </c>
      <c r="K99" s="50" t="s">
        <v>923</v>
      </c>
      <c r="L99" s="50" t="s">
        <v>519</v>
      </c>
      <c r="M99" s="56" t="s">
        <v>12</v>
      </c>
      <c r="N99" s="122" t="s">
        <v>847</v>
      </c>
      <c r="O99" s="57">
        <v>1</v>
      </c>
      <c r="P99" s="45">
        <v>18500</v>
      </c>
      <c r="Q99" s="58">
        <f t="shared" si="6"/>
        <v>18500</v>
      </c>
      <c r="R99" s="141">
        <v>46118</v>
      </c>
      <c r="S99" s="19"/>
      <c r="T99" s="32"/>
      <c r="U99" s="32"/>
      <c r="V99" s="51">
        <f t="shared" si="7"/>
        <v>21460</v>
      </c>
      <c r="W99" s="51">
        <f t="shared" si="8"/>
        <v>21460</v>
      </c>
      <c r="X99" s="52">
        <f t="shared" si="9"/>
        <v>14.44</v>
      </c>
      <c r="Y99" s="53">
        <f t="shared" si="10"/>
        <v>14.44</v>
      </c>
      <c r="Z99" s="54"/>
      <c r="AA99" s="71"/>
      <c r="AB99" s="71"/>
      <c r="AC99" s="128"/>
      <c r="AD99" s="33"/>
      <c r="AE99" s="55"/>
    </row>
    <row r="100" spans="2:31" ht="20.100000000000001" hidden="1" customHeight="1">
      <c r="B100" s="48">
        <v>82</v>
      </c>
      <c r="C100" s="121" t="s">
        <v>981</v>
      </c>
      <c r="D100" s="120" t="s">
        <v>349</v>
      </c>
      <c r="E100" s="120">
        <v>2603</v>
      </c>
      <c r="F100" s="120" t="s">
        <v>700</v>
      </c>
      <c r="G100" s="120" t="s">
        <v>699</v>
      </c>
      <c r="H100" s="49"/>
      <c r="I100" s="50" t="s">
        <v>925</v>
      </c>
      <c r="J100" s="124" t="s">
        <v>1031</v>
      </c>
      <c r="K100" s="50" t="s">
        <v>923</v>
      </c>
      <c r="L100" s="50" t="s">
        <v>519</v>
      </c>
      <c r="M100" s="56" t="s">
        <v>12</v>
      </c>
      <c r="N100" s="122" t="s">
        <v>847</v>
      </c>
      <c r="O100" s="57">
        <v>1</v>
      </c>
      <c r="P100" s="45">
        <v>1750</v>
      </c>
      <c r="Q100" s="58">
        <f t="shared" si="6"/>
        <v>1750</v>
      </c>
      <c r="R100" s="141">
        <v>46118</v>
      </c>
      <c r="S100" s="19"/>
      <c r="T100" s="32"/>
      <c r="U100" s="32"/>
      <c r="V100" s="51">
        <f t="shared" si="7"/>
        <v>2029.9999999999998</v>
      </c>
      <c r="W100" s="51">
        <f t="shared" si="8"/>
        <v>2029.9999999999998</v>
      </c>
      <c r="X100" s="52">
        <f t="shared" si="9"/>
        <v>1.37</v>
      </c>
      <c r="Y100" s="53">
        <f t="shared" si="10"/>
        <v>1.37</v>
      </c>
      <c r="Z100" s="54"/>
      <c r="AA100" s="71"/>
      <c r="AB100" s="71"/>
      <c r="AC100" s="128"/>
      <c r="AD100" s="33"/>
      <c r="AE100" s="55"/>
    </row>
    <row r="101" spans="2:31" ht="20.100000000000001" hidden="1" customHeight="1">
      <c r="B101" s="48">
        <v>83</v>
      </c>
      <c r="C101" s="121" t="s">
        <v>981</v>
      </c>
      <c r="D101" s="120" t="s">
        <v>349</v>
      </c>
      <c r="E101" s="120">
        <v>2603</v>
      </c>
      <c r="F101" s="120" t="s">
        <v>700</v>
      </c>
      <c r="G101" s="120" t="s">
        <v>699</v>
      </c>
      <c r="H101" s="49"/>
      <c r="I101" s="50" t="s">
        <v>927</v>
      </c>
      <c r="J101" s="124" t="s">
        <v>926</v>
      </c>
      <c r="K101" s="50" t="s">
        <v>923</v>
      </c>
      <c r="L101" s="50" t="s">
        <v>519</v>
      </c>
      <c r="M101" s="56" t="s">
        <v>12</v>
      </c>
      <c r="N101" s="122" t="s">
        <v>847</v>
      </c>
      <c r="O101" s="57">
        <v>1</v>
      </c>
      <c r="P101" s="45">
        <v>20500</v>
      </c>
      <c r="Q101" s="58">
        <f t="shared" ref="Q101:Q128" si="11">O101*P101</f>
        <v>20500</v>
      </c>
      <c r="R101" s="141">
        <v>46118</v>
      </c>
      <c r="S101" s="19"/>
      <c r="T101" s="32"/>
      <c r="U101" s="32"/>
      <c r="V101" s="51">
        <f t="shared" si="7"/>
        <v>23780</v>
      </c>
      <c r="W101" s="51">
        <f t="shared" si="8"/>
        <v>23780</v>
      </c>
      <c r="X101" s="52">
        <f t="shared" si="9"/>
        <v>16</v>
      </c>
      <c r="Y101" s="53">
        <f t="shared" si="10"/>
        <v>16</v>
      </c>
      <c r="Z101" s="54"/>
      <c r="AA101" s="71"/>
      <c r="AB101" s="71"/>
      <c r="AC101" s="128"/>
      <c r="AD101" s="33"/>
      <c r="AE101" s="55"/>
    </row>
    <row r="102" spans="2:31" ht="20.100000000000001" hidden="1" customHeight="1">
      <c r="B102" s="48">
        <v>84</v>
      </c>
      <c r="C102" s="121" t="s">
        <v>981</v>
      </c>
      <c r="D102" s="120" t="s">
        <v>349</v>
      </c>
      <c r="E102" s="120">
        <v>2603</v>
      </c>
      <c r="F102" s="120" t="s">
        <v>700</v>
      </c>
      <c r="G102" s="120" t="s">
        <v>699</v>
      </c>
      <c r="H102" s="49"/>
      <c r="I102" s="50" t="s">
        <v>925</v>
      </c>
      <c r="J102" s="124" t="s">
        <v>924</v>
      </c>
      <c r="K102" s="50" t="s">
        <v>923</v>
      </c>
      <c r="L102" s="50" t="s">
        <v>519</v>
      </c>
      <c r="M102" s="56" t="s">
        <v>12</v>
      </c>
      <c r="N102" s="122" t="s">
        <v>847</v>
      </c>
      <c r="O102" s="57">
        <v>2</v>
      </c>
      <c r="P102" s="45">
        <v>2150</v>
      </c>
      <c r="Q102" s="58">
        <f t="shared" si="11"/>
        <v>4300</v>
      </c>
      <c r="R102" s="141">
        <v>46118</v>
      </c>
      <c r="S102" s="19"/>
      <c r="T102" s="32"/>
      <c r="U102" s="32"/>
      <c r="V102" s="51">
        <f t="shared" si="7"/>
        <v>2494</v>
      </c>
      <c r="W102" s="51">
        <f t="shared" si="8"/>
        <v>4988</v>
      </c>
      <c r="X102" s="52">
        <f t="shared" si="9"/>
        <v>1.68</v>
      </c>
      <c r="Y102" s="53">
        <f t="shared" si="10"/>
        <v>3.36</v>
      </c>
      <c r="Z102" s="54"/>
      <c r="AA102" s="71"/>
      <c r="AB102" s="71"/>
      <c r="AC102" s="128"/>
      <c r="AD102" s="33"/>
      <c r="AE102" s="55"/>
    </row>
    <row r="103" spans="2:31" ht="20.100000000000001" hidden="1" customHeight="1">
      <c r="B103" s="48">
        <v>85</v>
      </c>
      <c r="C103" s="121" t="s">
        <v>981</v>
      </c>
      <c r="D103" s="120" t="s">
        <v>349</v>
      </c>
      <c r="E103" s="120">
        <v>2603</v>
      </c>
      <c r="F103" s="120" t="s">
        <v>700</v>
      </c>
      <c r="G103" s="120" t="s">
        <v>699</v>
      </c>
      <c r="H103" s="49"/>
      <c r="I103" s="50" t="s">
        <v>63</v>
      </c>
      <c r="J103" s="124" t="s">
        <v>922</v>
      </c>
      <c r="K103" s="50" t="s">
        <v>921</v>
      </c>
      <c r="L103" s="50" t="s">
        <v>519</v>
      </c>
      <c r="M103" s="56" t="s">
        <v>12</v>
      </c>
      <c r="N103" s="122" t="s">
        <v>847</v>
      </c>
      <c r="O103" s="57">
        <v>1</v>
      </c>
      <c r="P103" s="45">
        <v>7200</v>
      </c>
      <c r="Q103" s="58">
        <f t="shared" si="11"/>
        <v>7200</v>
      </c>
      <c r="R103" s="141">
        <v>46118</v>
      </c>
      <c r="S103" s="19"/>
      <c r="T103" s="32"/>
      <c r="U103" s="32"/>
      <c r="V103" s="51">
        <f t="shared" si="7"/>
        <v>8352</v>
      </c>
      <c r="W103" s="51">
        <f t="shared" si="8"/>
        <v>8352</v>
      </c>
      <c r="X103" s="52">
        <f t="shared" si="9"/>
        <v>5.62</v>
      </c>
      <c r="Y103" s="53">
        <f t="shared" si="10"/>
        <v>5.62</v>
      </c>
      <c r="Z103" s="54"/>
      <c r="AA103" s="71"/>
      <c r="AB103" s="71"/>
      <c r="AC103" s="128"/>
      <c r="AD103" s="33"/>
      <c r="AE103" s="55"/>
    </row>
    <row r="104" spans="2:31" ht="20.100000000000001" hidden="1" customHeight="1">
      <c r="B104" s="48">
        <v>86</v>
      </c>
      <c r="C104" s="121" t="s">
        <v>981</v>
      </c>
      <c r="D104" s="120" t="s">
        <v>349</v>
      </c>
      <c r="E104" s="120">
        <v>2603</v>
      </c>
      <c r="F104" s="120" t="s">
        <v>700</v>
      </c>
      <c r="G104" s="120" t="s">
        <v>699</v>
      </c>
      <c r="H104" s="49"/>
      <c r="I104" s="50" t="s">
        <v>149</v>
      </c>
      <c r="J104" s="124" t="s">
        <v>920</v>
      </c>
      <c r="K104" s="50" t="s">
        <v>88</v>
      </c>
      <c r="L104" s="50" t="s">
        <v>519</v>
      </c>
      <c r="M104" s="56" t="s">
        <v>12</v>
      </c>
      <c r="N104" s="122" t="s">
        <v>666</v>
      </c>
      <c r="O104" s="57">
        <v>1</v>
      </c>
      <c r="P104" s="45">
        <v>15500</v>
      </c>
      <c r="Q104" s="58">
        <f t="shared" si="11"/>
        <v>15500</v>
      </c>
      <c r="R104" s="141">
        <v>46118</v>
      </c>
      <c r="S104" s="19"/>
      <c r="T104" s="32"/>
      <c r="U104" s="32"/>
      <c r="V104" s="51">
        <f t="shared" si="7"/>
        <v>17980</v>
      </c>
      <c r="W104" s="51">
        <f t="shared" si="8"/>
        <v>17980</v>
      </c>
      <c r="X104" s="52">
        <f t="shared" si="9"/>
        <v>12.09</v>
      </c>
      <c r="Y104" s="53">
        <f t="shared" si="10"/>
        <v>12.09</v>
      </c>
      <c r="Z104" s="54"/>
      <c r="AA104" s="71"/>
      <c r="AB104" s="71"/>
      <c r="AC104" s="128"/>
      <c r="AD104" s="33"/>
      <c r="AE104" s="55"/>
    </row>
    <row r="105" spans="2:31" ht="20.100000000000001" hidden="1" customHeight="1">
      <c r="B105" s="48">
        <v>87</v>
      </c>
      <c r="C105" s="121" t="s">
        <v>981</v>
      </c>
      <c r="D105" s="120" t="s">
        <v>349</v>
      </c>
      <c r="E105" s="120">
        <v>2603</v>
      </c>
      <c r="F105" s="120" t="s">
        <v>700</v>
      </c>
      <c r="G105" s="120" t="s">
        <v>699</v>
      </c>
      <c r="H105" s="49"/>
      <c r="I105" s="50" t="s">
        <v>149</v>
      </c>
      <c r="J105" s="124" t="s">
        <v>919</v>
      </c>
      <c r="K105" s="50" t="s">
        <v>88</v>
      </c>
      <c r="L105" s="50" t="s">
        <v>519</v>
      </c>
      <c r="M105" s="56" t="s">
        <v>12</v>
      </c>
      <c r="N105" s="122" t="s">
        <v>666</v>
      </c>
      <c r="O105" s="57">
        <v>5</v>
      </c>
      <c r="P105" s="45">
        <v>15500</v>
      </c>
      <c r="Q105" s="58">
        <f t="shared" si="11"/>
        <v>77500</v>
      </c>
      <c r="R105" s="141">
        <v>46118</v>
      </c>
      <c r="S105" s="19"/>
      <c r="T105" s="32"/>
      <c r="U105" s="32"/>
      <c r="V105" s="51">
        <f t="shared" si="7"/>
        <v>17980</v>
      </c>
      <c r="W105" s="51">
        <f t="shared" si="8"/>
        <v>89900</v>
      </c>
      <c r="X105" s="52">
        <f t="shared" si="9"/>
        <v>12.09</v>
      </c>
      <c r="Y105" s="53">
        <f t="shared" si="10"/>
        <v>60.45</v>
      </c>
      <c r="Z105" s="54"/>
      <c r="AA105" s="71"/>
      <c r="AB105" s="71"/>
      <c r="AC105" s="128"/>
      <c r="AD105" s="33"/>
      <c r="AE105" s="55"/>
    </row>
    <row r="106" spans="2:31" ht="20.100000000000001" hidden="1" customHeight="1">
      <c r="B106" s="48">
        <v>88</v>
      </c>
      <c r="C106" s="121" t="s">
        <v>981</v>
      </c>
      <c r="D106" s="120" t="s">
        <v>349</v>
      </c>
      <c r="E106" s="120">
        <v>2603</v>
      </c>
      <c r="F106" s="120" t="s">
        <v>700</v>
      </c>
      <c r="G106" s="120" t="s">
        <v>699</v>
      </c>
      <c r="H106" s="49"/>
      <c r="I106" s="50" t="s">
        <v>149</v>
      </c>
      <c r="J106" s="124" t="s">
        <v>918</v>
      </c>
      <c r="K106" s="50" t="s">
        <v>88</v>
      </c>
      <c r="L106" s="50" t="s">
        <v>519</v>
      </c>
      <c r="M106" s="56" t="s">
        <v>12</v>
      </c>
      <c r="N106" s="122" t="s">
        <v>666</v>
      </c>
      <c r="O106" s="57">
        <v>1</v>
      </c>
      <c r="P106" s="45">
        <v>15500</v>
      </c>
      <c r="Q106" s="58">
        <f t="shared" si="11"/>
        <v>15500</v>
      </c>
      <c r="R106" s="141">
        <v>46118</v>
      </c>
      <c r="S106" s="19"/>
      <c r="T106" s="32"/>
      <c r="U106" s="32"/>
      <c r="V106" s="51">
        <f t="shared" si="7"/>
        <v>17980</v>
      </c>
      <c r="W106" s="51">
        <f t="shared" si="8"/>
        <v>17980</v>
      </c>
      <c r="X106" s="52">
        <f t="shared" si="9"/>
        <v>12.09</v>
      </c>
      <c r="Y106" s="53">
        <f t="shared" si="10"/>
        <v>12.09</v>
      </c>
      <c r="Z106" s="54"/>
      <c r="AA106" s="71"/>
      <c r="AB106" s="71"/>
      <c r="AC106" s="128"/>
      <c r="AD106" s="33"/>
      <c r="AE106" s="55"/>
    </row>
    <row r="107" spans="2:31" ht="20.100000000000001" hidden="1" customHeight="1">
      <c r="B107" s="48">
        <v>89</v>
      </c>
      <c r="C107" s="121" t="s">
        <v>981</v>
      </c>
      <c r="D107" s="120" t="s">
        <v>349</v>
      </c>
      <c r="E107" s="120">
        <v>2603</v>
      </c>
      <c r="F107" s="120" t="s">
        <v>700</v>
      </c>
      <c r="G107" s="120" t="s">
        <v>699</v>
      </c>
      <c r="H107" s="49"/>
      <c r="I107" s="50" t="s">
        <v>917</v>
      </c>
      <c r="J107" s="124" t="s">
        <v>87</v>
      </c>
      <c r="K107" s="50" t="s">
        <v>88</v>
      </c>
      <c r="L107" s="50" t="s">
        <v>519</v>
      </c>
      <c r="M107" s="56" t="s">
        <v>12</v>
      </c>
      <c r="N107" s="122" t="s">
        <v>666</v>
      </c>
      <c r="O107" s="57">
        <v>8</v>
      </c>
      <c r="P107" s="45">
        <v>2600</v>
      </c>
      <c r="Q107" s="58">
        <f t="shared" si="11"/>
        <v>20800</v>
      </c>
      <c r="R107" s="141">
        <v>46118</v>
      </c>
      <c r="S107" s="19"/>
      <c r="T107" s="32"/>
      <c r="U107" s="32"/>
      <c r="V107" s="51">
        <f t="shared" si="7"/>
        <v>3016</v>
      </c>
      <c r="W107" s="51">
        <f t="shared" si="8"/>
        <v>24128</v>
      </c>
      <c r="X107" s="52">
        <f t="shared" si="9"/>
        <v>2.0299999999999998</v>
      </c>
      <c r="Y107" s="53">
        <f t="shared" si="10"/>
        <v>16.239999999999998</v>
      </c>
      <c r="Z107" s="54"/>
      <c r="AA107" s="71"/>
      <c r="AB107" s="71"/>
      <c r="AC107" s="128"/>
      <c r="AD107" s="33"/>
      <c r="AE107" s="55"/>
    </row>
    <row r="108" spans="2:31" ht="20.100000000000001" hidden="1" customHeight="1">
      <c r="B108" s="48">
        <v>90</v>
      </c>
      <c r="C108" s="121" t="s">
        <v>981</v>
      </c>
      <c r="D108" s="120" t="s">
        <v>349</v>
      </c>
      <c r="E108" s="120">
        <v>2603</v>
      </c>
      <c r="F108" s="120" t="s">
        <v>700</v>
      </c>
      <c r="G108" s="120" t="s">
        <v>699</v>
      </c>
      <c r="H108" s="49"/>
      <c r="I108" s="50" t="s">
        <v>158</v>
      </c>
      <c r="J108" s="124" t="s">
        <v>916</v>
      </c>
      <c r="K108" s="50" t="s">
        <v>83</v>
      </c>
      <c r="L108" s="50" t="s">
        <v>519</v>
      </c>
      <c r="M108" s="56" t="s">
        <v>12</v>
      </c>
      <c r="N108" s="122" t="s">
        <v>665</v>
      </c>
      <c r="O108" s="57">
        <v>2</v>
      </c>
      <c r="P108" s="45">
        <v>2300</v>
      </c>
      <c r="Q108" s="58">
        <f t="shared" si="11"/>
        <v>4600</v>
      </c>
      <c r="R108" s="141">
        <v>46118</v>
      </c>
      <c r="S108" s="19"/>
      <c r="T108" s="32"/>
      <c r="U108" s="32"/>
      <c r="V108" s="51">
        <f t="shared" si="7"/>
        <v>2668</v>
      </c>
      <c r="W108" s="51">
        <f t="shared" si="8"/>
        <v>5336</v>
      </c>
      <c r="X108" s="52">
        <f t="shared" si="9"/>
        <v>1.79</v>
      </c>
      <c r="Y108" s="53">
        <f t="shared" si="10"/>
        <v>3.58</v>
      </c>
      <c r="Z108" s="54"/>
      <c r="AA108" s="71"/>
      <c r="AB108" s="71"/>
      <c r="AC108" s="128"/>
      <c r="AD108" s="33"/>
      <c r="AE108" s="55"/>
    </row>
    <row r="109" spans="2:31" ht="20.100000000000001" hidden="1" customHeight="1">
      <c r="B109" s="48">
        <v>91</v>
      </c>
      <c r="C109" s="121" t="s">
        <v>981</v>
      </c>
      <c r="D109" s="120" t="s">
        <v>349</v>
      </c>
      <c r="E109" s="120">
        <v>2603</v>
      </c>
      <c r="F109" s="120" t="s">
        <v>700</v>
      </c>
      <c r="G109" s="120" t="s">
        <v>699</v>
      </c>
      <c r="H109" s="49"/>
      <c r="I109" s="50" t="s">
        <v>915</v>
      </c>
      <c r="J109" s="124" t="s">
        <v>914</v>
      </c>
      <c r="K109" s="50" t="s">
        <v>913</v>
      </c>
      <c r="L109" s="50" t="s">
        <v>519</v>
      </c>
      <c r="M109" s="56" t="s">
        <v>12</v>
      </c>
      <c r="N109" s="122" t="s">
        <v>665</v>
      </c>
      <c r="O109" s="57">
        <v>1</v>
      </c>
      <c r="P109" s="45">
        <v>13400</v>
      </c>
      <c r="Q109" s="58">
        <f t="shared" si="11"/>
        <v>13400</v>
      </c>
      <c r="R109" s="141">
        <v>46118</v>
      </c>
      <c r="S109" s="19"/>
      <c r="T109" s="32"/>
      <c r="U109" s="32"/>
      <c r="V109" s="51">
        <f t="shared" si="7"/>
        <v>15543.999999999998</v>
      </c>
      <c r="W109" s="51">
        <f t="shared" si="8"/>
        <v>15543.999999999998</v>
      </c>
      <c r="X109" s="52">
        <f t="shared" si="9"/>
        <v>10.46</v>
      </c>
      <c r="Y109" s="53">
        <f t="shared" si="10"/>
        <v>10.46</v>
      </c>
      <c r="Z109" s="54"/>
      <c r="AA109" s="71"/>
      <c r="AB109" s="71"/>
      <c r="AC109" s="128"/>
      <c r="AD109" s="33"/>
      <c r="AE109" s="55"/>
    </row>
    <row r="110" spans="2:31" ht="20.100000000000001" hidden="1" customHeight="1">
      <c r="B110" s="48">
        <v>92</v>
      </c>
      <c r="C110" s="121" t="s">
        <v>981</v>
      </c>
      <c r="D110" s="120" t="s">
        <v>349</v>
      </c>
      <c r="E110" s="120">
        <v>2603</v>
      </c>
      <c r="F110" s="120" t="s">
        <v>700</v>
      </c>
      <c r="G110" s="120" t="s">
        <v>699</v>
      </c>
      <c r="H110" s="49"/>
      <c r="I110" s="50" t="s">
        <v>97</v>
      </c>
      <c r="J110" s="124" t="s">
        <v>106</v>
      </c>
      <c r="K110" s="50" t="s">
        <v>98</v>
      </c>
      <c r="L110" s="50" t="s">
        <v>519</v>
      </c>
      <c r="M110" s="56" t="s">
        <v>12</v>
      </c>
      <c r="N110" s="122" t="s">
        <v>665</v>
      </c>
      <c r="O110" s="57">
        <v>9</v>
      </c>
      <c r="P110" s="45">
        <v>160</v>
      </c>
      <c r="Q110" s="58">
        <f t="shared" si="11"/>
        <v>1440</v>
      </c>
      <c r="R110" s="141">
        <v>46118</v>
      </c>
      <c r="S110" s="19"/>
      <c r="T110" s="32"/>
      <c r="U110" s="32"/>
      <c r="V110" s="51">
        <f t="shared" si="7"/>
        <v>185.6</v>
      </c>
      <c r="W110" s="51">
        <f t="shared" si="8"/>
        <v>1670.3999999999999</v>
      </c>
      <c r="X110" s="52">
        <f t="shared" si="9"/>
        <v>0.12</v>
      </c>
      <c r="Y110" s="53">
        <f t="shared" si="10"/>
        <v>1.08</v>
      </c>
      <c r="Z110" s="54"/>
      <c r="AA110" s="71"/>
      <c r="AB110" s="71"/>
      <c r="AC110" s="128"/>
      <c r="AD110" s="33"/>
      <c r="AE110" s="55"/>
    </row>
    <row r="111" spans="2:31" ht="20.100000000000001" hidden="1" customHeight="1">
      <c r="B111" s="48">
        <v>93</v>
      </c>
      <c r="C111" s="121" t="s">
        <v>981</v>
      </c>
      <c r="D111" s="120" t="s">
        <v>349</v>
      </c>
      <c r="E111" s="120">
        <v>2603</v>
      </c>
      <c r="F111" s="120" t="s">
        <v>700</v>
      </c>
      <c r="G111" s="120" t="s">
        <v>699</v>
      </c>
      <c r="H111" s="49"/>
      <c r="I111" s="50" t="s">
        <v>912</v>
      </c>
      <c r="J111" s="124" t="s">
        <v>911</v>
      </c>
      <c r="K111" s="50" t="s">
        <v>98</v>
      </c>
      <c r="L111" s="50" t="s">
        <v>519</v>
      </c>
      <c r="M111" s="56" t="s">
        <v>12</v>
      </c>
      <c r="N111" s="122" t="s">
        <v>665</v>
      </c>
      <c r="O111" s="57">
        <v>2</v>
      </c>
      <c r="P111" s="45">
        <v>1900</v>
      </c>
      <c r="Q111" s="58">
        <f t="shared" si="11"/>
        <v>3800</v>
      </c>
      <c r="R111" s="141">
        <v>46118</v>
      </c>
      <c r="S111" s="19"/>
      <c r="T111" s="32"/>
      <c r="U111" s="32"/>
      <c r="V111" s="51">
        <f t="shared" si="7"/>
        <v>2204</v>
      </c>
      <c r="W111" s="51">
        <f t="shared" si="8"/>
        <v>4408</v>
      </c>
      <c r="X111" s="52">
        <f t="shared" si="9"/>
        <v>1.48</v>
      </c>
      <c r="Y111" s="53">
        <f t="shared" si="10"/>
        <v>2.96</v>
      </c>
      <c r="Z111" s="54"/>
      <c r="AA111" s="71"/>
      <c r="AB111" s="71"/>
      <c r="AC111" s="128"/>
      <c r="AD111" s="33"/>
      <c r="AE111" s="55"/>
    </row>
    <row r="112" spans="2:31" ht="20.100000000000001" hidden="1" customHeight="1">
      <c r="B112" s="48">
        <v>94</v>
      </c>
      <c r="C112" s="121" t="s">
        <v>981</v>
      </c>
      <c r="D112" s="120" t="s">
        <v>349</v>
      </c>
      <c r="E112" s="120">
        <v>2603</v>
      </c>
      <c r="F112" s="120" t="s">
        <v>700</v>
      </c>
      <c r="G112" s="120" t="s">
        <v>699</v>
      </c>
      <c r="H112" s="49"/>
      <c r="I112" s="50" t="s">
        <v>85</v>
      </c>
      <c r="J112" s="124" t="s">
        <v>910</v>
      </c>
      <c r="K112" s="50" t="s">
        <v>88</v>
      </c>
      <c r="L112" s="50" t="s">
        <v>519</v>
      </c>
      <c r="M112" s="56" t="s">
        <v>12</v>
      </c>
      <c r="N112" s="122" t="s">
        <v>666</v>
      </c>
      <c r="O112" s="57">
        <v>1</v>
      </c>
      <c r="P112" s="45">
        <v>37000</v>
      </c>
      <c r="Q112" s="58">
        <f t="shared" si="11"/>
        <v>37000</v>
      </c>
      <c r="R112" s="141">
        <v>46118</v>
      </c>
      <c r="S112" s="19"/>
      <c r="T112" s="32"/>
      <c r="U112" s="32"/>
      <c r="V112" s="51">
        <f t="shared" si="7"/>
        <v>42920</v>
      </c>
      <c r="W112" s="51">
        <f t="shared" si="8"/>
        <v>42920</v>
      </c>
      <c r="X112" s="52">
        <f t="shared" si="9"/>
        <v>28.87</v>
      </c>
      <c r="Y112" s="53">
        <f t="shared" si="10"/>
        <v>28.87</v>
      </c>
      <c r="Z112" s="54"/>
      <c r="AA112" s="71"/>
      <c r="AB112" s="71"/>
      <c r="AC112" s="128"/>
      <c r="AD112" s="33"/>
      <c r="AE112" s="55"/>
    </row>
    <row r="113" spans="2:31" ht="20.100000000000001" hidden="1" customHeight="1">
      <c r="B113" s="48">
        <v>95</v>
      </c>
      <c r="C113" s="121" t="s">
        <v>981</v>
      </c>
      <c r="D113" s="120" t="s">
        <v>349</v>
      </c>
      <c r="E113" s="120">
        <v>2603</v>
      </c>
      <c r="F113" s="120" t="s">
        <v>700</v>
      </c>
      <c r="G113" s="120" t="s">
        <v>699</v>
      </c>
      <c r="H113" s="49"/>
      <c r="I113" s="50" t="s">
        <v>909</v>
      </c>
      <c r="J113" s="124" t="s">
        <v>989</v>
      </c>
      <c r="K113" s="50" t="s">
        <v>907</v>
      </c>
      <c r="L113" s="50" t="s">
        <v>519</v>
      </c>
      <c r="M113" s="56" t="s">
        <v>12</v>
      </c>
      <c r="N113" s="122" t="s">
        <v>665</v>
      </c>
      <c r="O113" s="57">
        <v>1</v>
      </c>
      <c r="P113" s="45">
        <v>38000</v>
      </c>
      <c r="Q113" s="58">
        <f t="shared" si="11"/>
        <v>38000</v>
      </c>
      <c r="R113" s="141">
        <v>46118</v>
      </c>
      <c r="S113" s="19"/>
      <c r="T113" s="32"/>
      <c r="U113" s="32"/>
      <c r="V113" s="51">
        <f t="shared" si="7"/>
        <v>44080</v>
      </c>
      <c r="W113" s="51">
        <f t="shared" si="8"/>
        <v>44080</v>
      </c>
      <c r="X113" s="52">
        <f t="shared" si="9"/>
        <v>29.65</v>
      </c>
      <c r="Y113" s="53">
        <f t="shared" si="10"/>
        <v>29.65</v>
      </c>
      <c r="Z113" s="54"/>
      <c r="AA113" s="71"/>
      <c r="AB113" s="71"/>
      <c r="AC113" s="128"/>
      <c r="AD113" s="33"/>
      <c r="AE113" s="55"/>
    </row>
    <row r="114" spans="2:31" ht="20.100000000000001" hidden="1" customHeight="1">
      <c r="B114" s="48">
        <v>96</v>
      </c>
      <c r="C114" s="121" t="s">
        <v>981</v>
      </c>
      <c r="D114" s="120" t="s">
        <v>349</v>
      </c>
      <c r="E114" s="120">
        <v>2603</v>
      </c>
      <c r="F114" s="120" t="s">
        <v>700</v>
      </c>
      <c r="G114" s="120" t="s">
        <v>699</v>
      </c>
      <c r="H114" s="49"/>
      <c r="I114" s="50" t="s">
        <v>873</v>
      </c>
      <c r="J114" s="124" t="s">
        <v>874</v>
      </c>
      <c r="K114" s="50" t="s">
        <v>47</v>
      </c>
      <c r="L114" s="50" t="s">
        <v>607</v>
      </c>
      <c r="M114" s="56" t="s">
        <v>12</v>
      </c>
      <c r="N114" s="122" t="s">
        <v>666</v>
      </c>
      <c r="O114" s="57">
        <v>2</v>
      </c>
      <c r="P114" s="45">
        <v>195000</v>
      </c>
      <c r="Q114" s="58">
        <f t="shared" si="11"/>
        <v>390000</v>
      </c>
      <c r="R114" s="141">
        <v>46115</v>
      </c>
      <c r="S114" s="19"/>
      <c r="T114" s="32"/>
      <c r="U114" s="32"/>
      <c r="V114" s="51">
        <f t="shared" si="7"/>
        <v>226199.99999999997</v>
      </c>
      <c r="W114" s="51">
        <f t="shared" si="8"/>
        <v>452399.99999999994</v>
      </c>
      <c r="X114" s="52">
        <f t="shared" si="9"/>
        <v>152.16</v>
      </c>
      <c r="Y114" s="53">
        <f t="shared" si="10"/>
        <v>304.32</v>
      </c>
      <c r="Z114" s="54"/>
      <c r="AA114" s="71"/>
      <c r="AB114" s="71"/>
      <c r="AC114" s="128"/>
      <c r="AD114" s="33"/>
      <c r="AE114" s="55"/>
    </row>
    <row r="115" spans="2:31" ht="20.100000000000001" hidden="1" customHeight="1">
      <c r="B115" s="48">
        <v>97</v>
      </c>
      <c r="C115" s="121" t="s">
        <v>981</v>
      </c>
      <c r="D115" s="120" t="s">
        <v>349</v>
      </c>
      <c r="E115" s="120">
        <v>2603</v>
      </c>
      <c r="F115" s="120" t="s">
        <v>700</v>
      </c>
      <c r="G115" s="120" t="s">
        <v>699</v>
      </c>
      <c r="H115" s="49"/>
      <c r="I115" s="50" t="s">
        <v>871</v>
      </c>
      <c r="J115" s="124" t="s">
        <v>108</v>
      </c>
      <c r="K115" s="50" t="s">
        <v>47</v>
      </c>
      <c r="L115" s="50" t="s">
        <v>607</v>
      </c>
      <c r="M115" s="56" t="s">
        <v>12</v>
      </c>
      <c r="N115" s="122" t="s">
        <v>666</v>
      </c>
      <c r="O115" s="57">
        <v>2</v>
      </c>
      <c r="P115" s="45">
        <v>146000</v>
      </c>
      <c r="Q115" s="58">
        <f t="shared" si="11"/>
        <v>292000</v>
      </c>
      <c r="R115" s="141">
        <v>46115</v>
      </c>
      <c r="S115" s="19"/>
      <c r="T115" s="32"/>
      <c r="U115" s="32"/>
      <c r="V115" s="51">
        <f t="shared" si="7"/>
        <v>169360</v>
      </c>
      <c r="W115" s="51">
        <f t="shared" si="8"/>
        <v>338720</v>
      </c>
      <c r="X115" s="52">
        <f t="shared" si="9"/>
        <v>113.92</v>
      </c>
      <c r="Y115" s="53">
        <f t="shared" si="10"/>
        <v>227.84</v>
      </c>
      <c r="Z115" s="54"/>
      <c r="AA115" s="71"/>
      <c r="AB115" s="71"/>
      <c r="AC115" s="128"/>
      <c r="AD115" s="33"/>
      <c r="AE115" s="55"/>
    </row>
    <row r="116" spans="2:31" ht="20.100000000000001" hidden="1" customHeight="1">
      <c r="B116" s="48">
        <v>98</v>
      </c>
      <c r="C116" s="121" t="s">
        <v>981</v>
      </c>
      <c r="D116" s="120" t="s">
        <v>349</v>
      </c>
      <c r="E116" s="120">
        <v>2603</v>
      </c>
      <c r="F116" s="120" t="s">
        <v>700</v>
      </c>
      <c r="G116" s="120" t="s">
        <v>699</v>
      </c>
      <c r="H116" s="49"/>
      <c r="I116" s="50" t="s">
        <v>873</v>
      </c>
      <c r="J116" s="124" t="s">
        <v>872</v>
      </c>
      <c r="K116" s="50" t="s">
        <v>47</v>
      </c>
      <c r="L116" s="50" t="s">
        <v>607</v>
      </c>
      <c r="M116" s="56" t="s">
        <v>12</v>
      </c>
      <c r="N116" s="122" t="s">
        <v>666</v>
      </c>
      <c r="O116" s="57">
        <v>1</v>
      </c>
      <c r="P116" s="45">
        <v>196000</v>
      </c>
      <c r="Q116" s="58">
        <f t="shared" si="11"/>
        <v>196000</v>
      </c>
      <c r="R116" s="141">
        <v>46115</v>
      </c>
      <c r="S116" s="19"/>
      <c r="T116" s="32"/>
      <c r="U116" s="32"/>
      <c r="V116" s="51">
        <f t="shared" si="7"/>
        <v>227359.99999999997</v>
      </c>
      <c r="W116" s="51">
        <f t="shared" si="8"/>
        <v>227359.99999999997</v>
      </c>
      <c r="X116" s="52">
        <f t="shared" si="9"/>
        <v>152.94</v>
      </c>
      <c r="Y116" s="53">
        <f t="shared" si="10"/>
        <v>152.94</v>
      </c>
      <c r="Z116" s="54"/>
      <c r="AA116" s="71"/>
      <c r="AB116" s="71"/>
      <c r="AC116" s="128"/>
      <c r="AD116" s="33"/>
      <c r="AE116" s="55"/>
    </row>
    <row r="117" spans="2:31" ht="20.100000000000001" hidden="1" customHeight="1">
      <c r="B117" s="48">
        <v>99</v>
      </c>
      <c r="C117" s="121" t="s">
        <v>981</v>
      </c>
      <c r="D117" s="120" t="s">
        <v>349</v>
      </c>
      <c r="E117" s="120">
        <v>2603</v>
      </c>
      <c r="F117" s="120" t="s">
        <v>700</v>
      </c>
      <c r="G117" s="120" t="s">
        <v>699</v>
      </c>
      <c r="H117" s="49"/>
      <c r="I117" s="50" t="s">
        <v>871</v>
      </c>
      <c r="J117" s="124" t="s">
        <v>110</v>
      </c>
      <c r="K117" s="50" t="s">
        <v>47</v>
      </c>
      <c r="L117" s="50" t="s">
        <v>607</v>
      </c>
      <c r="M117" s="56" t="s">
        <v>12</v>
      </c>
      <c r="N117" s="122" t="s">
        <v>666</v>
      </c>
      <c r="O117" s="57">
        <v>1</v>
      </c>
      <c r="P117" s="45">
        <v>258000</v>
      </c>
      <c r="Q117" s="58">
        <f t="shared" si="11"/>
        <v>258000</v>
      </c>
      <c r="R117" s="141">
        <v>46115</v>
      </c>
      <c r="S117" s="19"/>
      <c r="T117" s="32"/>
      <c r="U117" s="32"/>
      <c r="V117" s="51">
        <f t="shared" si="7"/>
        <v>299280</v>
      </c>
      <c r="W117" s="51">
        <f t="shared" si="8"/>
        <v>299280</v>
      </c>
      <c r="X117" s="52">
        <f t="shared" si="9"/>
        <v>201.31</v>
      </c>
      <c r="Y117" s="53">
        <f t="shared" si="10"/>
        <v>201.31</v>
      </c>
      <c r="Z117" s="54"/>
      <c r="AA117" s="71"/>
      <c r="AB117" s="71"/>
      <c r="AC117" s="128"/>
      <c r="AD117" s="33"/>
      <c r="AE117" s="55"/>
    </row>
    <row r="118" spans="2:31" ht="20.100000000000001" hidden="1" customHeight="1">
      <c r="B118" s="48">
        <v>100</v>
      </c>
      <c r="C118" s="121" t="s">
        <v>981</v>
      </c>
      <c r="D118" s="120" t="s">
        <v>349</v>
      </c>
      <c r="E118" s="120">
        <v>2603</v>
      </c>
      <c r="F118" s="120" t="s">
        <v>700</v>
      </c>
      <c r="G118" s="120" t="s">
        <v>699</v>
      </c>
      <c r="H118" s="49"/>
      <c r="I118" s="50" t="s">
        <v>24</v>
      </c>
      <c r="J118" s="124" t="s">
        <v>621</v>
      </c>
      <c r="K118" s="50" t="s">
        <v>47</v>
      </c>
      <c r="L118" s="50" t="s">
        <v>607</v>
      </c>
      <c r="M118" s="56" t="s">
        <v>12</v>
      </c>
      <c r="N118" s="122" t="s">
        <v>666</v>
      </c>
      <c r="O118" s="57">
        <v>3</v>
      </c>
      <c r="P118" s="45">
        <v>4500</v>
      </c>
      <c r="Q118" s="58">
        <f t="shared" si="11"/>
        <v>13500</v>
      </c>
      <c r="R118" s="141">
        <v>46115</v>
      </c>
      <c r="S118" s="19"/>
      <c r="T118" s="32"/>
      <c r="U118" s="32"/>
      <c r="V118" s="51">
        <f t="shared" si="7"/>
        <v>5220</v>
      </c>
      <c r="W118" s="51">
        <f t="shared" si="8"/>
        <v>15660</v>
      </c>
      <c r="X118" s="52">
        <f t="shared" si="9"/>
        <v>3.51</v>
      </c>
      <c r="Y118" s="53">
        <f t="shared" si="10"/>
        <v>10.53</v>
      </c>
      <c r="Z118" s="54"/>
      <c r="AA118" s="71"/>
      <c r="AB118" s="71"/>
      <c r="AC118" s="128"/>
      <c r="AD118" s="33"/>
      <c r="AE118" s="55"/>
    </row>
    <row r="119" spans="2:31" ht="20.100000000000001" hidden="1" customHeight="1">
      <c r="B119" s="48">
        <v>101</v>
      </c>
      <c r="C119" s="121" t="s">
        <v>981</v>
      </c>
      <c r="D119" s="120" t="s">
        <v>349</v>
      </c>
      <c r="E119" s="120">
        <v>2603</v>
      </c>
      <c r="F119" s="120" t="s">
        <v>700</v>
      </c>
      <c r="G119" s="120" t="s">
        <v>699</v>
      </c>
      <c r="H119" s="49"/>
      <c r="I119" s="50" t="s">
        <v>530</v>
      </c>
      <c r="J119" s="124" t="s">
        <v>870</v>
      </c>
      <c r="K119" s="50" t="s">
        <v>47</v>
      </c>
      <c r="L119" s="50" t="s">
        <v>607</v>
      </c>
      <c r="M119" s="56" t="s">
        <v>12</v>
      </c>
      <c r="N119" s="122" t="s">
        <v>666</v>
      </c>
      <c r="O119" s="57">
        <v>1</v>
      </c>
      <c r="P119" s="45">
        <v>3600</v>
      </c>
      <c r="Q119" s="58">
        <f t="shared" si="11"/>
        <v>3600</v>
      </c>
      <c r="R119" s="141">
        <v>46115</v>
      </c>
      <c r="S119" s="19"/>
      <c r="T119" s="32"/>
      <c r="U119" s="32"/>
      <c r="V119" s="51">
        <f t="shared" si="7"/>
        <v>4176</v>
      </c>
      <c r="W119" s="51">
        <f t="shared" si="8"/>
        <v>4176</v>
      </c>
      <c r="X119" s="52">
        <f t="shared" si="9"/>
        <v>2.81</v>
      </c>
      <c r="Y119" s="53">
        <f t="shared" si="10"/>
        <v>2.81</v>
      </c>
      <c r="Z119" s="54"/>
      <c r="AA119" s="71"/>
      <c r="AB119" s="71"/>
      <c r="AC119" s="128"/>
      <c r="AD119" s="33"/>
      <c r="AE119" s="55"/>
    </row>
    <row r="120" spans="2:31" ht="20.100000000000001" hidden="1" customHeight="1">
      <c r="B120" s="48">
        <v>102</v>
      </c>
      <c r="C120" s="121" t="s">
        <v>981</v>
      </c>
      <c r="D120" s="120" t="s">
        <v>349</v>
      </c>
      <c r="E120" s="120">
        <v>2603</v>
      </c>
      <c r="F120" s="120" t="s">
        <v>700</v>
      </c>
      <c r="G120" s="120" t="s">
        <v>699</v>
      </c>
      <c r="H120" s="49"/>
      <c r="I120" s="50" t="s">
        <v>869</v>
      </c>
      <c r="J120" s="124" t="s">
        <v>868</v>
      </c>
      <c r="K120" s="50" t="s">
        <v>47</v>
      </c>
      <c r="L120" s="50" t="s">
        <v>607</v>
      </c>
      <c r="M120" s="56" t="s">
        <v>12</v>
      </c>
      <c r="N120" s="122" t="s">
        <v>666</v>
      </c>
      <c r="O120" s="57">
        <v>1</v>
      </c>
      <c r="P120" s="45">
        <v>3500</v>
      </c>
      <c r="Q120" s="58">
        <f t="shared" si="11"/>
        <v>3500</v>
      </c>
      <c r="R120" s="141">
        <v>46115</v>
      </c>
      <c r="S120" s="19"/>
      <c r="T120" s="32"/>
      <c r="U120" s="32"/>
      <c r="V120" s="51">
        <f t="shared" si="7"/>
        <v>4059.9999999999995</v>
      </c>
      <c r="W120" s="51">
        <f t="shared" si="8"/>
        <v>4059.9999999999995</v>
      </c>
      <c r="X120" s="52">
        <f t="shared" si="9"/>
        <v>2.73</v>
      </c>
      <c r="Y120" s="53">
        <f t="shared" si="10"/>
        <v>2.73</v>
      </c>
      <c r="Z120" s="54"/>
      <c r="AA120" s="71"/>
      <c r="AB120" s="71"/>
      <c r="AC120" s="128"/>
      <c r="AD120" s="33"/>
      <c r="AE120" s="55"/>
    </row>
    <row r="121" spans="2:31" ht="20.100000000000001" hidden="1" customHeight="1">
      <c r="B121" s="48">
        <v>105</v>
      </c>
      <c r="C121" s="121" t="s">
        <v>981</v>
      </c>
      <c r="D121" s="120" t="s">
        <v>349</v>
      </c>
      <c r="E121" s="120">
        <v>2603</v>
      </c>
      <c r="F121" s="120" t="s">
        <v>700</v>
      </c>
      <c r="G121" s="120" t="s">
        <v>699</v>
      </c>
      <c r="H121" s="49"/>
      <c r="I121" s="50" t="s">
        <v>25</v>
      </c>
      <c r="J121" s="124" t="s">
        <v>987</v>
      </c>
      <c r="K121" s="50" t="s">
        <v>422</v>
      </c>
      <c r="L121" s="50" t="s">
        <v>608</v>
      </c>
      <c r="M121" s="56" t="s">
        <v>12</v>
      </c>
      <c r="N121" s="122" t="s">
        <v>609</v>
      </c>
      <c r="O121" s="57">
        <v>2</v>
      </c>
      <c r="P121" s="45">
        <v>38876</v>
      </c>
      <c r="Q121" s="58">
        <f t="shared" si="11"/>
        <v>77752</v>
      </c>
      <c r="R121" s="141">
        <v>46133</v>
      </c>
      <c r="S121" s="19"/>
      <c r="T121" s="32"/>
      <c r="U121" s="32"/>
      <c r="V121" s="51">
        <f t="shared" si="7"/>
        <v>45096.159999999996</v>
      </c>
      <c r="W121" s="51">
        <f t="shared" si="8"/>
        <v>90192.319999999992</v>
      </c>
      <c r="X121" s="52">
        <f t="shared" si="9"/>
        <v>30.33</v>
      </c>
      <c r="Y121" s="53">
        <f t="shared" si="10"/>
        <v>60.66</v>
      </c>
      <c r="Z121" s="54"/>
      <c r="AA121" s="71"/>
      <c r="AB121" s="71"/>
      <c r="AC121" s="128"/>
      <c r="AD121" s="33"/>
      <c r="AE121" s="55"/>
    </row>
    <row r="122" spans="2:31" ht="20.100000000000001" hidden="1" customHeight="1">
      <c r="B122" s="48">
        <v>111</v>
      </c>
      <c r="C122" s="121" t="s">
        <v>981</v>
      </c>
      <c r="D122" s="120" t="s">
        <v>349</v>
      </c>
      <c r="E122" s="120">
        <v>2603</v>
      </c>
      <c r="F122" s="120" t="s">
        <v>700</v>
      </c>
      <c r="G122" s="120" t="s">
        <v>699</v>
      </c>
      <c r="H122" s="49"/>
      <c r="I122" s="50" t="s">
        <v>25</v>
      </c>
      <c r="J122" s="124" t="s">
        <v>984</v>
      </c>
      <c r="K122" s="50" t="s">
        <v>422</v>
      </c>
      <c r="L122" s="50" t="s">
        <v>608</v>
      </c>
      <c r="M122" s="56" t="s">
        <v>12</v>
      </c>
      <c r="N122" s="122" t="s">
        <v>609</v>
      </c>
      <c r="O122" s="57">
        <v>1</v>
      </c>
      <c r="P122" s="45">
        <v>44681</v>
      </c>
      <c r="Q122" s="58">
        <f t="shared" si="11"/>
        <v>44681</v>
      </c>
      <c r="R122" s="141">
        <v>46133</v>
      </c>
      <c r="S122" s="19"/>
      <c r="T122" s="32"/>
      <c r="U122" s="32"/>
      <c r="V122" s="51">
        <f t="shared" si="7"/>
        <v>51829.96</v>
      </c>
      <c r="W122" s="51">
        <f t="shared" si="8"/>
        <v>51829.96</v>
      </c>
      <c r="X122" s="52">
        <f t="shared" si="9"/>
        <v>34.86</v>
      </c>
      <c r="Y122" s="53">
        <f t="shared" si="10"/>
        <v>34.86</v>
      </c>
      <c r="Z122" s="54"/>
      <c r="AA122" s="71"/>
      <c r="AB122" s="71"/>
      <c r="AC122" s="128"/>
      <c r="AD122" s="33"/>
      <c r="AE122" s="55"/>
    </row>
    <row r="123" spans="2:31" ht="20.100000000000001" hidden="1" customHeight="1">
      <c r="B123" s="48">
        <v>112</v>
      </c>
      <c r="C123" s="121" t="s">
        <v>981</v>
      </c>
      <c r="D123" s="120" t="s">
        <v>349</v>
      </c>
      <c r="E123" s="120">
        <v>2603</v>
      </c>
      <c r="F123" s="120" t="s">
        <v>700</v>
      </c>
      <c r="G123" s="120" t="s">
        <v>699</v>
      </c>
      <c r="H123" s="49"/>
      <c r="I123" s="50" t="s">
        <v>25</v>
      </c>
      <c r="J123" s="124" t="s">
        <v>983</v>
      </c>
      <c r="K123" s="50" t="s">
        <v>422</v>
      </c>
      <c r="L123" s="50" t="s">
        <v>608</v>
      </c>
      <c r="M123" s="56" t="s">
        <v>12</v>
      </c>
      <c r="N123" s="122" t="s">
        <v>609</v>
      </c>
      <c r="O123" s="57">
        <v>1</v>
      </c>
      <c r="P123" s="45">
        <v>46862</v>
      </c>
      <c r="Q123" s="58">
        <f t="shared" si="11"/>
        <v>46862</v>
      </c>
      <c r="R123" s="141">
        <v>46120</v>
      </c>
      <c r="S123" s="19"/>
      <c r="T123" s="32"/>
      <c r="U123" s="32"/>
      <c r="V123" s="51">
        <f t="shared" si="7"/>
        <v>54359.92</v>
      </c>
      <c r="W123" s="51">
        <f t="shared" si="8"/>
        <v>54359.92</v>
      </c>
      <c r="X123" s="52">
        <f t="shared" si="9"/>
        <v>36.57</v>
      </c>
      <c r="Y123" s="53">
        <f t="shared" si="10"/>
        <v>36.57</v>
      </c>
      <c r="Z123" s="54"/>
      <c r="AA123" s="71"/>
      <c r="AB123" s="71"/>
      <c r="AC123" s="128"/>
      <c r="AD123" s="33"/>
      <c r="AE123" s="55"/>
    </row>
    <row r="124" spans="2:31" ht="20.100000000000001" hidden="1" customHeight="1">
      <c r="B124" s="48">
        <v>115</v>
      </c>
      <c r="C124" s="121" t="s">
        <v>981</v>
      </c>
      <c r="D124" s="120" t="s">
        <v>349</v>
      </c>
      <c r="E124" s="120">
        <v>2603</v>
      </c>
      <c r="F124" s="120" t="s">
        <v>700</v>
      </c>
      <c r="G124" s="120" t="s">
        <v>699</v>
      </c>
      <c r="H124" s="49"/>
      <c r="I124" s="50" t="s">
        <v>982</v>
      </c>
      <c r="J124" s="124" t="s">
        <v>865</v>
      </c>
      <c r="K124" s="50" t="s">
        <v>48</v>
      </c>
      <c r="L124" s="50" t="s">
        <v>608</v>
      </c>
      <c r="M124" s="56" t="s">
        <v>12</v>
      </c>
      <c r="N124" s="122" t="s">
        <v>609</v>
      </c>
      <c r="O124" s="57">
        <v>2</v>
      </c>
      <c r="P124" s="45">
        <v>13300</v>
      </c>
      <c r="Q124" s="58">
        <f t="shared" si="11"/>
        <v>26600</v>
      </c>
      <c r="R124" s="141">
        <v>46119</v>
      </c>
      <c r="S124" s="19"/>
      <c r="T124" s="32"/>
      <c r="U124" s="32"/>
      <c r="V124" s="51">
        <f t="shared" si="7"/>
        <v>15427.999999999998</v>
      </c>
      <c r="W124" s="51">
        <f t="shared" si="8"/>
        <v>30855.999999999996</v>
      </c>
      <c r="X124" s="52">
        <f t="shared" si="9"/>
        <v>10.38</v>
      </c>
      <c r="Y124" s="53">
        <f t="shared" si="10"/>
        <v>20.76</v>
      </c>
      <c r="Z124" s="54"/>
      <c r="AA124" s="71"/>
      <c r="AB124" s="71"/>
      <c r="AC124" s="128"/>
      <c r="AD124" s="33"/>
      <c r="AE124" s="55"/>
    </row>
    <row r="125" spans="2:31" ht="20.100000000000001" hidden="1" customHeight="1">
      <c r="B125" s="48">
        <v>116</v>
      </c>
      <c r="C125" s="121" t="s">
        <v>981</v>
      </c>
      <c r="D125" s="120" t="s">
        <v>349</v>
      </c>
      <c r="E125" s="120">
        <v>2603</v>
      </c>
      <c r="F125" s="120" t="s">
        <v>700</v>
      </c>
      <c r="G125" s="120" t="s">
        <v>699</v>
      </c>
      <c r="H125" s="49"/>
      <c r="I125" s="50" t="s">
        <v>129</v>
      </c>
      <c r="J125" s="124" t="s">
        <v>857</v>
      </c>
      <c r="K125" s="50" t="s">
        <v>48</v>
      </c>
      <c r="L125" s="50" t="s">
        <v>608</v>
      </c>
      <c r="M125" s="56" t="s">
        <v>12</v>
      </c>
      <c r="N125" s="122" t="s">
        <v>609</v>
      </c>
      <c r="O125" s="57">
        <v>2</v>
      </c>
      <c r="P125" s="45">
        <v>12284</v>
      </c>
      <c r="Q125" s="58">
        <f t="shared" si="11"/>
        <v>24568</v>
      </c>
      <c r="R125" s="141">
        <v>46115</v>
      </c>
      <c r="S125" s="19"/>
      <c r="T125" s="32"/>
      <c r="U125" s="32"/>
      <c r="V125" s="51">
        <f t="shared" si="7"/>
        <v>14249.439999999999</v>
      </c>
      <c r="W125" s="51">
        <f t="shared" si="8"/>
        <v>28498.879999999997</v>
      </c>
      <c r="X125" s="52">
        <f t="shared" si="9"/>
        <v>9.58</v>
      </c>
      <c r="Y125" s="53">
        <f t="shared" si="10"/>
        <v>19.16</v>
      </c>
      <c r="Z125" s="54"/>
      <c r="AA125" s="71"/>
      <c r="AB125" s="71"/>
      <c r="AC125" s="128"/>
      <c r="AD125" s="33"/>
      <c r="AE125" s="55"/>
    </row>
    <row r="126" spans="2:31" ht="20.100000000000001" hidden="1" customHeight="1">
      <c r="B126" s="48">
        <v>118</v>
      </c>
      <c r="C126" s="121" t="s">
        <v>981</v>
      </c>
      <c r="D126" s="120" t="s">
        <v>349</v>
      </c>
      <c r="E126" s="120">
        <v>2603</v>
      </c>
      <c r="F126" s="120" t="s">
        <v>700</v>
      </c>
      <c r="G126" s="120" t="s">
        <v>699</v>
      </c>
      <c r="H126" s="49"/>
      <c r="I126" s="50" t="s">
        <v>982</v>
      </c>
      <c r="J126" s="124" t="s">
        <v>858</v>
      </c>
      <c r="K126" s="50" t="s">
        <v>48</v>
      </c>
      <c r="L126" s="50" t="s">
        <v>608</v>
      </c>
      <c r="M126" s="56" t="s">
        <v>12</v>
      </c>
      <c r="N126" s="122" t="s">
        <v>609</v>
      </c>
      <c r="O126" s="57">
        <v>1</v>
      </c>
      <c r="P126" s="45">
        <v>8066</v>
      </c>
      <c r="Q126" s="58">
        <f t="shared" si="11"/>
        <v>8066</v>
      </c>
      <c r="R126" s="141">
        <v>46119</v>
      </c>
      <c r="S126" s="19"/>
      <c r="T126" s="32"/>
      <c r="U126" s="32"/>
      <c r="V126" s="51">
        <f t="shared" si="7"/>
        <v>9356.56</v>
      </c>
      <c r="W126" s="51">
        <f t="shared" si="8"/>
        <v>9356.56</v>
      </c>
      <c r="X126" s="52">
        <f t="shared" si="9"/>
        <v>6.29</v>
      </c>
      <c r="Y126" s="53">
        <f t="shared" si="10"/>
        <v>6.29</v>
      </c>
      <c r="Z126" s="54"/>
      <c r="AA126" s="71"/>
      <c r="AB126" s="71"/>
      <c r="AC126" s="128"/>
      <c r="AD126" s="33"/>
      <c r="AE126" s="55"/>
    </row>
    <row r="127" spans="2:31" ht="20.100000000000001" customHeight="1">
      <c r="B127" s="48"/>
      <c r="C127" s="121"/>
      <c r="D127" s="120"/>
      <c r="E127" s="120"/>
      <c r="F127" s="120"/>
      <c r="G127" s="120"/>
      <c r="H127" s="49"/>
      <c r="I127" s="50"/>
      <c r="J127" s="124"/>
      <c r="K127" s="50"/>
      <c r="L127" s="50"/>
      <c r="M127" s="56" t="s">
        <v>12</v>
      </c>
      <c r="N127" s="122"/>
      <c r="O127" s="57"/>
      <c r="P127" s="45"/>
      <c r="Q127" s="58">
        <f t="shared" si="11"/>
        <v>0</v>
      </c>
      <c r="R127" s="129"/>
      <c r="S127" s="19"/>
      <c r="T127" s="32"/>
      <c r="U127" s="32"/>
      <c r="V127" s="51">
        <f t="shared" si="7"/>
        <v>0</v>
      </c>
      <c r="W127" s="51">
        <f t="shared" si="8"/>
        <v>0</v>
      </c>
      <c r="X127" s="52">
        <f t="shared" si="9"/>
        <v>0</v>
      </c>
      <c r="Y127" s="53">
        <f t="shared" si="10"/>
        <v>0</v>
      </c>
      <c r="Z127" s="54"/>
      <c r="AA127" s="71"/>
      <c r="AB127" s="71"/>
      <c r="AC127" s="128"/>
      <c r="AD127" s="33"/>
      <c r="AE127" s="55"/>
    </row>
    <row r="128" spans="2:31" ht="20.100000000000001" customHeight="1">
      <c r="B128" s="48"/>
      <c r="C128" s="121"/>
      <c r="D128" s="120"/>
      <c r="E128" s="120"/>
      <c r="F128" s="120"/>
      <c r="G128" s="120"/>
      <c r="H128" s="49"/>
      <c r="I128" s="50"/>
      <c r="J128" s="124"/>
      <c r="K128" s="50"/>
      <c r="L128" s="50"/>
      <c r="M128" s="56" t="s">
        <v>12</v>
      </c>
      <c r="N128" s="122"/>
      <c r="O128" s="57"/>
      <c r="P128" s="45"/>
      <c r="Q128" s="58">
        <f t="shared" si="11"/>
        <v>0</v>
      </c>
      <c r="R128" s="129"/>
      <c r="S128" s="19"/>
      <c r="T128" s="32"/>
      <c r="U128" s="32"/>
      <c r="V128" s="51">
        <f t="shared" si="7"/>
        <v>0</v>
      </c>
      <c r="W128" s="51">
        <f t="shared" si="8"/>
        <v>0</v>
      </c>
      <c r="X128" s="52">
        <f t="shared" si="9"/>
        <v>0</v>
      </c>
      <c r="Y128" s="53">
        <f t="shared" si="10"/>
        <v>0</v>
      </c>
      <c r="Z128" s="54"/>
      <c r="AA128" s="71"/>
      <c r="AB128" s="71"/>
      <c r="AC128" s="128"/>
      <c r="AD128" s="33"/>
      <c r="AE128" s="55"/>
    </row>
    <row r="129" spans="2:32" ht="30.75" customHeight="1" thickBot="1">
      <c r="B129" s="36"/>
      <c r="C129" s="119"/>
      <c r="D129" s="37"/>
      <c r="E129" s="37"/>
      <c r="F129" s="37"/>
      <c r="G129" s="37"/>
      <c r="H129" s="37"/>
      <c r="I129" s="37"/>
      <c r="J129" s="127"/>
      <c r="K129" s="37"/>
      <c r="L129" s="37"/>
      <c r="M129" s="37"/>
      <c r="N129" s="123" t="s">
        <v>1</v>
      </c>
      <c r="O129" s="38">
        <f>SUBTOTAL(9,O5:O128)</f>
        <v>127</v>
      </c>
      <c r="P129" s="38"/>
      <c r="Q129" s="38">
        <f>SUBTOTAL(9,Q7:Q128)</f>
        <v>5607073</v>
      </c>
      <c r="R129" s="70"/>
      <c r="S129" s="67"/>
      <c r="T129" s="39"/>
      <c r="U129" s="39"/>
      <c r="V129" s="38"/>
      <c r="W129" s="38">
        <f>SUBTOTAL(9,W7:W128)</f>
        <v>6504204.6799999969</v>
      </c>
      <c r="X129" s="29"/>
      <c r="Y129" s="30">
        <f>++SUBTOTAL(9,Y7:Y128)</f>
        <v>4375.0300000000007</v>
      </c>
      <c r="Z129" s="44" t="e">
        <f>++SUBTOTAL(9,#REF!)</f>
        <v>#REF!</v>
      </c>
      <c r="AA129" s="40" t="e">
        <f>++SUBTOTAL(9,#REF!)</f>
        <v>#REF!</v>
      </c>
      <c r="AB129" s="40" t="e">
        <f>++SUBTOTAL(9,#REF!)</f>
        <v>#REF!</v>
      </c>
      <c r="AC129" s="41"/>
      <c r="AD129" s="6"/>
      <c r="AE129" s="14">
        <f>SUM(AE4:AE128)+6</f>
        <v>6</v>
      </c>
      <c r="AF129" s="43"/>
    </row>
    <row r="130" spans="2:32" ht="15.75" thickTop="1">
      <c r="O130" s="9"/>
      <c r="P130" s="3"/>
      <c r="Q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17"/>
      <c r="AD130" s="3"/>
      <c r="AE130" s="9"/>
    </row>
    <row r="131" spans="2:32">
      <c r="O131" s="9"/>
      <c r="P131" s="3"/>
      <c r="Q131" s="3"/>
      <c r="S131" s="3"/>
      <c r="T131" s="3"/>
      <c r="U131" s="3"/>
      <c r="V131" s="42" t="s">
        <v>54</v>
      </c>
      <c r="W131" s="47">
        <f>++W129/Q129</f>
        <v>1.1599999999999995</v>
      </c>
      <c r="X131" s="3"/>
      <c r="Y131" s="3"/>
      <c r="Z131" s="3"/>
      <c r="AA131" s="3"/>
      <c r="AB131" s="3"/>
      <c r="AC131" s="17"/>
      <c r="AD131" s="3"/>
      <c r="AE131" s="9"/>
    </row>
    <row r="132" spans="2:32">
      <c r="O132" s="9"/>
      <c r="P132" s="3"/>
      <c r="Q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17"/>
      <c r="AD132" s="3"/>
      <c r="AE132" s="9"/>
    </row>
    <row r="133" spans="2:32">
      <c r="O133" s="9"/>
      <c r="P133" s="3"/>
      <c r="Q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17"/>
      <c r="AD133" s="3"/>
      <c r="AE133" s="9"/>
    </row>
    <row r="134" spans="2:32">
      <c r="O134" s="9"/>
      <c r="P134" s="3"/>
      <c r="Q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17"/>
      <c r="AD134" s="3"/>
      <c r="AE134" s="9"/>
    </row>
    <row r="135" spans="2:32">
      <c r="O135" s="9"/>
      <c r="P135" s="3"/>
      <c r="Q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17"/>
      <c r="AD135" s="3"/>
      <c r="AE135" s="9"/>
    </row>
    <row r="136" spans="2:32">
      <c r="O136" s="9"/>
      <c r="P136" s="3"/>
      <c r="Q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17"/>
      <c r="AD136" s="3"/>
      <c r="AE136" s="9"/>
    </row>
    <row r="137" spans="2:32">
      <c r="O137" s="9"/>
      <c r="P137" s="3"/>
      <c r="Q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17"/>
      <c r="AD137" s="3"/>
      <c r="AE137" s="9"/>
    </row>
    <row r="138" spans="2:32">
      <c r="O138" s="9"/>
      <c r="P138" s="3"/>
      <c r="Q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17"/>
      <c r="AD138" s="3"/>
      <c r="AE138" s="9"/>
    </row>
    <row r="139" spans="2:32">
      <c r="O139" s="9"/>
      <c r="P139" s="3"/>
      <c r="Q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17"/>
      <c r="AD139" s="3"/>
      <c r="AE139" s="9"/>
    </row>
    <row r="140" spans="2:32">
      <c r="O140" s="9"/>
      <c r="P140" s="3"/>
      <c r="Q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17"/>
      <c r="AD140" s="3"/>
      <c r="AE140" s="9"/>
    </row>
    <row r="141" spans="2:32">
      <c r="O141" s="9"/>
      <c r="P141" s="3"/>
      <c r="Q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17"/>
      <c r="AD141" s="3"/>
      <c r="AE141" s="9"/>
    </row>
    <row r="142" spans="2:32">
      <c r="O142" s="9"/>
      <c r="P142" s="3"/>
      <c r="Q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17"/>
      <c r="AD142" s="3"/>
      <c r="AE142" s="9"/>
    </row>
    <row r="143" spans="2:32">
      <c r="O143" s="9"/>
      <c r="P143" s="3"/>
      <c r="Q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17"/>
      <c r="AD143" s="3"/>
      <c r="AE143" s="9"/>
    </row>
  </sheetData>
  <autoFilter ref="B4:AE128" xr:uid="{00000000-0009-0000-0000-000000000000}">
    <filterColumn colId="16">
      <filters blank="1">
        <filter val="사내 재고"/>
        <filter val="입고 완료"/>
      </filters>
    </filterColumn>
    <sortState xmlns:xlrd2="http://schemas.microsoft.com/office/spreadsheetml/2017/richdata2" ref="B5:AE128">
      <sortCondition ref="B4:B128"/>
    </sortState>
  </autoFilter>
  <mergeCells count="3">
    <mergeCell ref="B2:AE2"/>
    <mergeCell ref="C4:E4"/>
    <mergeCell ref="Z4:AA4"/>
  </mergeCells>
  <phoneticPr fontId="1" type="noConversion"/>
  <conditionalFormatting sqref="J1:J1048576">
    <cfRule type="duplicateValues" dxfId="2" priority="1"/>
  </conditionalFormatting>
  <pageMargins left="0.70866141732283472" right="0.70866141732283472" top="0.74803149606299213" bottom="0.74803149606299213" header="0.31496062992125984" footer="0.31496062992125984"/>
  <pageSetup paperSize="9" scale="62" fitToHeight="0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1A4BA-DC74-473B-ABB0-10EF89832F19}">
  <sheetPr filterMode="1">
    <pageSetUpPr fitToPage="1"/>
  </sheetPr>
  <dimension ref="B1:AF130"/>
  <sheetViews>
    <sheetView topLeftCell="J1" zoomScaleNormal="100" zoomScaleSheetLayoutView="100" workbookViewId="0">
      <pane ySplit="4" topLeftCell="A92" activePane="bottomLeft" state="frozen"/>
      <selection activeCell="X4" sqref="X4"/>
      <selection pane="bottomLeft" activeCell="Q85" sqref="Q85"/>
    </sheetView>
  </sheetViews>
  <sheetFormatPr defaultRowHeight="15"/>
  <cols>
    <col min="1" max="1" width="1" customWidth="1"/>
    <col min="2" max="2" width="5.33203125" style="1" customWidth="1"/>
    <col min="3" max="3" width="4" style="118" customWidth="1"/>
    <col min="4" max="4" width="2.77734375" style="1" customWidth="1"/>
    <col min="5" max="5" width="4.77734375" style="1" customWidth="1"/>
    <col min="6" max="6" width="5.88671875" style="1" customWidth="1"/>
    <col min="7" max="8" width="5.6640625" style="1" customWidth="1"/>
    <col min="9" max="9" width="17.21875" style="2" customWidth="1"/>
    <col min="10" max="10" width="32.88671875" style="125" customWidth="1"/>
    <col min="11" max="11" width="11.44140625" style="2" bestFit="1" customWidth="1"/>
    <col min="12" max="12" width="13.44140625" style="2" customWidth="1"/>
    <col min="13" max="13" width="4.21875" style="2" customWidth="1"/>
    <col min="14" max="14" width="10.44140625" style="2" customWidth="1"/>
    <col min="15" max="15" width="7.77734375" style="8" bestFit="1" customWidth="1"/>
    <col min="16" max="17" width="11.88671875" style="1" customWidth="1"/>
    <col min="18" max="18" width="10.21875" style="22" customWidth="1"/>
    <col min="19" max="19" width="10.5546875" style="1" hidden="1" customWidth="1"/>
    <col min="20" max="20" width="6.6640625" style="1" hidden="1" customWidth="1"/>
    <col min="21" max="21" width="6.109375" style="1" hidden="1" customWidth="1"/>
    <col min="22" max="25" width="11.77734375" style="1" customWidth="1"/>
    <col min="26" max="27" width="11.77734375" style="1" hidden="1" customWidth="1"/>
    <col min="28" max="28" width="1.33203125" style="1" hidden="1" customWidth="1"/>
    <col min="29" max="29" width="17.21875" style="16" bestFit="1" customWidth="1"/>
    <col min="30" max="30" width="16.44140625" style="1" hidden="1" customWidth="1"/>
    <col min="31" max="31" width="10.44140625" style="8" hidden="1" customWidth="1"/>
    <col min="32" max="32" width="12.6640625" bestFit="1" customWidth="1"/>
  </cols>
  <sheetData>
    <row r="1" spans="2:31" ht="4.5" customHeight="1"/>
    <row r="2" spans="2:31" ht="38.25" customHeight="1">
      <c r="B2" s="144" t="s">
        <v>4</v>
      </c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5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  <c r="AA2" s="144"/>
      <c r="AB2" s="144"/>
      <c r="AC2" s="144"/>
      <c r="AD2" s="144"/>
      <c r="AE2" s="144"/>
    </row>
    <row r="3" spans="2:31" ht="4.5" customHeight="1" thickBot="1">
      <c r="V3" s="31">
        <v>0.16</v>
      </c>
      <c r="X3" s="46">
        <v>1486.64</v>
      </c>
    </row>
    <row r="4" spans="2:31" ht="45" customHeight="1" thickTop="1" thickBot="1">
      <c r="B4" s="24" t="s">
        <v>13</v>
      </c>
      <c r="C4" s="148" t="s">
        <v>14</v>
      </c>
      <c r="D4" s="149"/>
      <c r="E4" s="150"/>
      <c r="F4" s="25" t="s">
        <v>194</v>
      </c>
      <c r="G4" s="25" t="s">
        <v>197</v>
      </c>
      <c r="H4" s="25" t="s">
        <v>195</v>
      </c>
      <c r="I4" s="26" t="s">
        <v>3</v>
      </c>
      <c r="J4" s="126" t="s">
        <v>0</v>
      </c>
      <c r="K4" s="26" t="s">
        <v>6</v>
      </c>
      <c r="L4" s="26" t="s">
        <v>5</v>
      </c>
      <c r="M4" s="25" t="s">
        <v>10</v>
      </c>
      <c r="N4" s="25" t="s">
        <v>20</v>
      </c>
      <c r="O4" s="25" t="s">
        <v>7</v>
      </c>
      <c r="P4" s="25" t="s">
        <v>8</v>
      </c>
      <c r="Q4" s="25" t="s">
        <v>9</v>
      </c>
      <c r="R4" s="68" t="s">
        <v>29</v>
      </c>
      <c r="S4" s="66" t="s">
        <v>50</v>
      </c>
      <c r="T4" s="25" t="s">
        <v>52</v>
      </c>
      <c r="U4" s="25" t="s">
        <v>53</v>
      </c>
      <c r="V4" s="25" t="s">
        <v>16</v>
      </c>
      <c r="W4" s="25" t="s">
        <v>17</v>
      </c>
      <c r="X4" s="27" t="s">
        <v>18</v>
      </c>
      <c r="Y4" s="28" t="s">
        <v>19</v>
      </c>
      <c r="Z4" s="146" t="s">
        <v>55</v>
      </c>
      <c r="AA4" s="147"/>
      <c r="AB4" s="35" t="s">
        <v>51</v>
      </c>
      <c r="AC4" s="23" t="s">
        <v>15</v>
      </c>
      <c r="AD4" s="20" t="s">
        <v>37</v>
      </c>
      <c r="AE4" s="21" t="s">
        <v>2</v>
      </c>
    </row>
    <row r="5" spans="2:31" ht="20.100000000000001" customHeight="1" thickTop="1">
      <c r="B5" s="48">
        <v>1</v>
      </c>
      <c r="C5" s="121" t="s">
        <v>993</v>
      </c>
      <c r="D5" s="120" t="s">
        <v>349</v>
      </c>
      <c r="E5" s="120">
        <v>2603</v>
      </c>
      <c r="F5" s="120" t="s">
        <v>700</v>
      </c>
      <c r="G5" s="120" t="s">
        <v>699</v>
      </c>
      <c r="H5" s="49">
        <v>2</v>
      </c>
      <c r="I5" s="50" t="s">
        <v>350</v>
      </c>
      <c r="J5" s="124" t="s">
        <v>225</v>
      </c>
      <c r="K5" s="50" t="s">
        <v>1004</v>
      </c>
      <c r="L5" s="50" t="s">
        <v>518</v>
      </c>
      <c r="M5" s="56" t="s">
        <v>12</v>
      </c>
      <c r="N5" s="122" t="s">
        <v>722</v>
      </c>
      <c r="O5" s="57">
        <v>2</v>
      </c>
      <c r="P5" s="45">
        <v>16200</v>
      </c>
      <c r="Q5" s="58">
        <f t="shared" ref="Q5:Q36" si="0">O5*P5</f>
        <v>32400</v>
      </c>
      <c r="R5" s="129" t="s">
        <v>663</v>
      </c>
      <c r="S5" s="19"/>
      <c r="T5" s="32"/>
      <c r="U5" s="32"/>
      <c r="V5" s="51">
        <f>++P5*(1+$V$3)</f>
        <v>18792</v>
      </c>
      <c r="W5" s="51">
        <f>++O5*V5</f>
        <v>37584</v>
      </c>
      <c r="X5" s="52">
        <f>++ROUND(V5/$X$3,2)</f>
        <v>12.64</v>
      </c>
      <c r="Y5" s="53">
        <f>++O5*X5</f>
        <v>25.28</v>
      </c>
      <c r="Z5" s="54"/>
      <c r="AA5" s="71"/>
      <c r="AB5" s="71"/>
      <c r="AC5" s="128"/>
      <c r="AD5" s="33"/>
      <c r="AE5" s="55"/>
    </row>
    <row r="6" spans="2:31" ht="20.100000000000001" customHeight="1">
      <c r="B6" s="48">
        <v>2</v>
      </c>
      <c r="C6" s="121" t="s">
        <v>993</v>
      </c>
      <c r="D6" s="120" t="s">
        <v>349</v>
      </c>
      <c r="E6" s="120">
        <v>2603</v>
      </c>
      <c r="F6" s="120" t="s">
        <v>700</v>
      </c>
      <c r="G6" s="120" t="s">
        <v>699</v>
      </c>
      <c r="H6" s="49">
        <v>2</v>
      </c>
      <c r="I6" s="50" t="s">
        <v>351</v>
      </c>
      <c r="J6" s="124" t="s">
        <v>206</v>
      </c>
      <c r="K6" s="50" t="s">
        <v>30</v>
      </c>
      <c r="L6" s="50" t="s">
        <v>518</v>
      </c>
      <c r="M6" s="56" t="s">
        <v>12</v>
      </c>
      <c r="N6" s="122" t="s">
        <v>665</v>
      </c>
      <c r="O6" s="57">
        <v>2</v>
      </c>
      <c r="P6" s="45">
        <v>2250</v>
      </c>
      <c r="Q6" s="58">
        <f t="shared" si="0"/>
        <v>4500</v>
      </c>
      <c r="R6" s="129" t="s">
        <v>684</v>
      </c>
      <c r="S6" s="19"/>
      <c r="T6" s="32"/>
      <c r="U6" s="32"/>
      <c r="V6" s="51">
        <f t="shared" ref="V6:V69" si="1">++P6*(1+$V$3)</f>
        <v>2610</v>
      </c>
      <c r="W6" s="51">
        <f t="shared" ref="W6:W69" si="2">++O6*V6</f>
        <v>5220</v>
      </c>
      <c r="X6" s="52">
        <f t="shared" ref="X6:X69" si="3">++ROUND(V6/$X$3,2)</f>
        <v>1.76</v>
      </c>
      <c r="Y6" s="53">
        <f t="shared" ref="Y6:Y69" si="4">++O6*X6</f>
        <v>3.52</v>
      </c>
      <c r="Z6" s="54"/>
      <c r="AA6" s="71"/>
      <c r="AB6" s="71"/>
      <c r="AC6" s="128"/>
      <c r="AD6" s="33"/>
      <c r="AE6" s="55"/>
    </row>
    <row r="7" spans="2:31" ht="20.100000000000001" customHeight="1">
      <c r="B7" s="48">
        <v>3</v>
      </c>
      <c r="C7" s="121" t="s">
        <v>993</v>
      </c>
      <c r="D7" s="120" t="s">
        <v>349</v>
      </c>
      <c r="E7" s="120">
        <v>2603</v>
      </c>
      <c r="F7" s="120" t="s">
        <v>700</v>
      </c>
      <c r="G7" s="120" t="s">
        <v>699</v>
      </c>
      <c r="H7" s="49">
        <v>2</v>
      </c>
      <c r="I7" s="50" t="s">
        <v>352</v>
      </c>
      <c r="J7" s="124" t="s">
        <v>415</v>
      </c>
      <c r="K7" s="50" t="s">
        <v>30</v>
      </c>
      <c r="L7" s="50" t="s">
        <v>518</v>
      </c>
      <c r="M7" s="56" t="s">
        <v>12</v>
      </c>
      <c r="N7" s="122" t="s">
        <v>665</v>
      </c>
      <c r="O7" s="57">
        <v>2</v>
      </c>
      <c r="P7" s="45">
        <v>400</v>
      </c>
      <c r="Q7" s="58">
        <f t="shared" si="0"/>
        <v>800</v>
      </c>
      <c r="R7" s="129" t="s">
        <v>684</v>
      </c>
      <c r="S7" s="19"/>
      <c r="T7" s="32"/>
      <c r="U7" s="32"/>
      <c r="V7" s="51">
        <f t="shared" si="1"/>
        <v>463.99999999999994</v>
      </c>
      <c r="W7" s="51">
        <f t="shared" si="2"/>
        <v>927.99999999999989</v>
      </c>
      <c r="X7" s="52">
        <f t="shared" si="3"/>
        <v>0.31</v>
      </c>
      <c r="Y7" s="53">
        <f t="shared" si="4"/>
        <v>0.62</v>
      </c>
      <c r="Z7" s="54"/>
      <c r="AA7" s="71"/>
      <c r="AB7" s="71"/>
      <c r="AC7" s="128"/>
      <c r="AD7" s="33"/>
      <c r="AE7" s="55"/>
    </row>
    <row r="8" spans="2:31" ht="20.100000000000001" customHeight="1">
      <c r="B8" s="48">
        <v>4</v>
      </c>
      <c r="C8" s="121" t="s">
        <v>993</v>
      </c>
      <c r="D8" s="120" t="s">
        <v>349</v>
      </c>
      <c r="E8" s="120">
        <v>2603</v>
      </c>
      <c r="F8" s="120" t="s">
        <v>700</v>
      </c>
      <c r="G8" s="120" t="s">
        <v>699</v>
      </c>
      <c r="H8" s="49">
        <v>2</v>
      </c>
      <c r="I8" s="50" t="s">
        <v>24</v>
      </c>
      <c r="J8" s="124" t="s">
        <v>57</v>
      </c>
      <c r="K8" s="50" t="s">
        <v>23</v>
      </c>
      <c r="L8" s="50" t="s">
        <v>518</v>
      </c>
      <c r="M8" s="56" t="s">
        <v>12</v>
      </c>
      <c r="N8" s="122" t="s">
        <v>666</v>
      </c>
      <c r="O8" s="57">
        <v>4</v>
      </c>
      <c r="P8" s="45">
        <v>33000</v>
      </c>
      <c r="Q8" s="58">
        <f t="shared" si="0"/>
        <v>132000</v>
      </c>
      <c r="R8" s="129" t="s">
        <v>684</v>
      </c>
      <c r="S8" s="19"/>
      <c r="T8" s="32"/>
      <c r="U8" s="32"/>
      <c r="V8" s="51">
        <f t="shared" si="1"/>
        <v>38280</v>
      </c>
      <c r="W8" s="51">
        <f t="shared" si="2"/>
        <v>153120</v>
      </c>
      <c r="X8" s="52">
        <f t="shared" si="3"/>
        <v>25.75</v>
      </c>
      <c r="Y8" s="53">
        <f t="shared" si="4"/>
        <v>103</v>
      </c>
      <c r="Z8" s="54"/>
      <c r="AA8" s="71"/>
      <c r="AB8" s="71"/>
      <c r="AC8" s="128"/>
      <c r="AD8" s="33"/>
      <c r="AE8" s="55"/>
    </row>
    <row r="9" spans="2:31" ht="20.100000000000001" customHeight="1">
      <c r="B9" s="48">
        <v>5</v>
      </c>
      <c r="C9" s="121" t="s">
        <v>993</v>
      </c>
      <c r="D9" s="120" t="s">
        <v>349</v>
      </c>
      <c r="E9" s="120">
        <v>2603</v>
      </c>
      <c r="F9" s="120" t="s">
        <v>700</v>
      </c>
      <c r="G9" s="120" t="s">
        <v>699</v>
      </c>
      <c r="H9" s="49">
        <v>2</v>
      </c>
      <c r="I9" s="50" t="s">
        <v>144</v>
      </c>
      <c r="J9" s="124" t="s">
        <v>145</v>
      </c>
      <c r="K9" s="50" t="s">
        <v>22</v>
      </c>
      <c r="L9" s="50" t="s">
        <v>518</v>
      </c>
      <c r="M9" s="56" t="s">
        <v>12</v>
      </c>
      <c r="N9" s="122" t="s">
        <v>665</v>
      </c>
      <c r="O9" s="57">
        <v>2</v>
      </c>
      <c r="P9" s="45">
        <v>12600</v>
      </c>
      <c r="Q9" s="58">
        <f t="shared" si="0"/>
        <v>25200</v>
      </c>
      <c r="R9" s="129" t="s">
        <v>684</v>
      </c>
      <c r="S9" s="19"/>
      <c r="T9" s="32"/>
      <c r="U9" s="32"/>
      <c r="V9" s="51">
        <f t="shared" si="1"/>
        <v>14615.999999999998</v>
      </c>
      <c r="W9" s="51">
        <f t="shared" si="2"/>
        <v>29231.999999999996</v>
      </c>
      <c r="X9" s="52">
        <f t="shared" si="3"/>
        <v>9.83</v>
      </c>
      <c r="Y9" s="53">
        <f t="shared" si="4"/>
        <v>19.66</v>
      </c>
      <c r="Z9" s="54"/>
      <c r="AA9" s="71"/>
      <c r="AB9" s="71"/>
      <c r="AC9" s="128"/>
      <c r="AD9" s="33"/>
      <c r="AE9" s="55"/>
    </row>
    <row r="10" spans="2:31" ht="20.100000000000001" customHeight="1">
      <c r="B10" s="48">
        <v>6</v>
      </c>
      <c r="C10" s="121" t="s">
        <v>993</v>
      </c>
      <c r="D10" s="120" t="s">
        <v>349</v>
      </c>
      <c r="E10" s="120">
        <v>2603</v>
      </c>
      <c r="F10" s="120" t="s">
        <v>700</v>
      </c>
      <c r="G10" s="120" t="s">
        <v>699</v>
      </c>
      <c r="H10" s="49">
        <v>2</v>
      </c>
      <c r="I10" s="50" t="s">
        <v>149</v>
      </c>
      <c r="J10" s="124" t="s">
        <v>354</v>
      </c>
      <c r="K10" s="50" t="s">
        <v>150</v>
      </c>
      <c r="L10" s="50" t="s">
        <v>518</v>
      </c>
      <c r="M10" s="56" t="s">
        <v>12</v>
      </c>
      <c r="N10" s="122" t="s">
        <v>665</v>
      </c>
      <c r="O10" s="57">
        <v>1</v>
      </c>
      <c r="P10" s="45">
        <v>17700</v>
      </c>
      <c r="Q10" s="58">
        <f t="shared" si="0"/>
        <v>17700</v>
      </c>
      <c r="R10" s="129" t="s">
        <v>684</v>
      </c>
      <c r="S10" s="19"/>
      <c r="T10" s="32"/>
      <c r="U10" s="32"/>
      <c r="V10" s="51">
        <f t="shared" si="1"/>
        <v>20532</v>
      </c>
      <c r="W10" s="51">
        <f t="shared" si="2"/>
        <v>20532</v>
      </c>
      <c r="X10" s="52">
        <f t="shared" si="3"/>
        <v>13.81</v>
      </c>
      <c r="Y10" s="53">
        <f t="shared" si="4"/>
        <v>13.81</v>
      </c>
      <c r="Z10" s="54"/>
      <c r="AA10" s="71"/>
      <c r="AB10" s="71"/>
      <c r="AC10" s="128"/>
      <c r="AD10" s="33"/>
      <c r="AE10" s="55"/>
    </row>
    <row r="11" spans="2:31" ht="20.100000000000001" customHeight="1">
      <c r="B11" s="48">
        <v>7</v>
      </c>
      <c r="C11" s="121" t="s">
        <v>993</v>
      </c>
      <c r="D11" s="120" t="s">
        <v>349</v>
      </c>
      <c r="E11" s="120">
        <v>2603</v>
      </c>
      <c r="F11" s="120" t="s">
        <v>700</v>
      </c>
      <c r="G11" s="120" t="s">
        <v>699</v>
      </c>
      <c r="H11" s="49">
        <v>2</v>
      </c>
      <c r="I11" s="50" t="s">
        <v>353</v>
      </c>
      <c r="J11" s="124" t="s">
        <v>355</v>
      </c>
      <c r="K11" s="50" t="s">
        <v>83</v>
      </c>
      <c r="L11" s="50" t="s">
        <v>518</v>
      </c>
      <c r="M11" s="56" t="s">
        <v>12</v>
      </c>
      <c r="N11" s="122" t="s">
        <v>665</v>
      </c>
      <c r="O11" s="57">
        <v>1</v>
      </c>
      <c r="P11" s="45">
        <v>12200</v>
      </c>
      <c r="Q11" s="58">
        <f t="shared" si="0"/>
        <v>12200</v>
      </c>
      <c r="R11" s="129" t="s">
        <v>684</v>
      </c>
      <c r="S11" s="19"/>
      <c r="T11" s="32"/>
      <c r="U11" s="32"/>
      <c r="V11" s="51">
        <f t="shared" si="1"/>
        <v>14151.999999999998</v>
      </c>
      <c r="W11" s="51">
        <f t="shared" si="2"/>
        <v>14151.999999999998</v>
      </c>
      <c r="X11" s="52">
        <f t="shared" si="3"/>
        <v>9.52</v>
      </c>
      <c r="Y11" s="53">
        <f t="shared" si="4"/>
        <v>9.52</v>
      </c>
      <c r="Z11" s="54"/>
      <c r="AA11" s="71"/>
      <c r="AB11" s="71"/>
      <c r="AC11" s="128"/>
      <c r="AD11" s="33"/>
      <c r="AE11" s="55"/>
    </row>
    <row r="12" spans="2:31" ht="20.100000000000001" customHeight="1">
      <c r="B12" s="48">
        <v>8</v>
      </c>
      <c r="C12" s="121" t="s">
        <v>993</v>
      </c>
      <c r="D12" s="120" t="s">
        <v>349</v>
      </c>
      <c r="E12" s="120">
        <v>2603</v>
      </c>
      <c r="F12" s="120" t="s">
        <v>700</v>
      </c>
      <c r="G12" s="120" t="s">
        <v>699</v>
      </c>
      <c r="H12" s="49">
        <v>2</v>
      </c>
      <c r="I12" s="50" t="s">
        <v>353</v>
      </c>
      <c r="J12" s="124" t="s">
        <v>356</v>
      </c>
      <c r="K12" s="50" t="s">
        <v>83</v>
      </c>
      <c r="L12" s="50" t="s">
        <v>518</v>
      </c>
      <c r="M12" s="56" t="s">
        <v>12</v>
      </c>
      <c r="N12" s="122" t="s">
        <v>665</v>
      </c>
      <c r="O12" s="57">
        <v>2</v>
      </c>
      <c r="P12" s="45">
        <v>12200</v>
      </c>
      <c r="Q12" s="58">
        <f t="shared" si="0"/>
        <v>24400</v>
      </c>
      <c r="R12" s="129" t="s">
        <v>684</v>
      </c>
      <c r="S12" s="19"/>
      <c r="T12" s="32"/>
      <c r="U12" s="32"/>
      <c r="V12" s="51">
        <f t="shared" si="1"/>
        <v>14151.999999999998</v>
      </c>
      <c r="W12" s="51">
        <f t="shared" si="2"/>
        <v>28303.999999999996</v>
      </c>
      <c r="X12" s="52">
        <f t="shared" si="3"/>
        <v>9.52</v>
      </c>
      <c r="Y12" s="53">
        <f t="shared" si="4"/>
        <v>19.04</v>
      </c>
      <c r="Z12" s="54"/>
      <c r="AA12" s="71"/>
      <c r="AB12" s="71"/>
      <c r="AC12" s="128"/>
      <c r="AD12" s="33"/>
      <c r="AE12" s="55"/>
    </row>
    <row r="13" spans="2:31" ht="20.100000000000001" customHeight="1">
      <c r="B13" s="48">
        <v>9</v>
      </c>
      <c r="C13" s="121" t="s">
        <v>993</v>
      </c>
      <c r="D13" s="120" t="s">
        <v>349</v>
      </c>
      <c r="E13" s="120">
        <v>2603</v>
      </c>
      <c r="F13" s="120" t="s">
        <v>700</v>
      </c>
      <c r="G13" s="120" t="s">
        <v>699</v>
      </c>
      <c r="H13" s="49">
        <v>2</v>
      </c>
      <c r="I13" s="50" t="s">
        <v>353</v>
      </c>
      <c r="J13" s="124" t="s">
        <v>357</v>
      </c>
      <c r="K13" s="50" t="s">
        <v>83</v>
      </c>
      <c r="L13" s="50" t="s">
        <v>518</v>
      </c>
      <c r="M13" s="56" t="s">
        <v>12</v>
      </c>
      <c r="N13" s="122" t="s">
        <v>665</v>
      </c>
      <c r="O13" s="57">
        <v>1</v>
      </c>
      <c r="P13" s="45">
        <v>12200</v>
      </c>
      <c r="Q13" s="58">
        <f t="shared" si="0"/>
        <v>12200</v>
      </c>
      <c r="R13" s="129" t="s">
        <v>684</v>
      </c>
      <c r="S13" s="19"/>
      <c r="T13" s="32"/>
      <c r="U13" s="32"/>
      <c r="V13" s="51">
        <f t="shared" si="1"/>
        <v>14151.999999999998</v>
      </c>
      <c r="W13" s="51">
        <f t="shared" si="2"/>
        <v>14151.999999999998</v>
      </c>
      <c r="X13" s="52">
        <f t="shared" si="3"/>
        <v>9.52</v>
      </c>
      <c r="Y13" s="53">
        <f t="shared" si="4"/>
        <v>9.52</v>
      </c>
      <c r="Z13" s="54"/>
      <c r="AA13" s="71"/>
      <c r="AB13" s="71"/>
      <c r="AC13" s="128"/>
      <c r="AD13" s="33"/>
      <c r="AE13" s="55"/>
    </row>
    <row r="14" spans="2:31" ht="20.100000000000001" customHeight="1">
      <c r="B14" s="48">
        <v>10</v>
      </c>
      <c r="C14" s="121" t="s">
        <v>993</v>
      </c>
      <c r="D14" s="120" t="s">
        <v>349</v>
      </c>
      <c r="E14" s="120">
        <v>2603</v>
      </c>
      <c r="F14" s="120" t="s">
        <v>700</v>
      </c>
      <c r="G14" s="120" t="s">
        <v>699</v>
      </c>
      <c r="H14" s="49">
        <v>2</v>
      </c>
      <c r="I14" s="50" t="s">
        <v>155</v>
      </c>
      <c r="J14" s="124" t="s">
        <v>159</v>
      </c>
      <c r="K14" s="50" t="s">
        <v>23</v>
      </c>
      <c r="L14" s="50" t="s">
        <v>518</v>
      </c>
      <c r="M14" s="56" t="s">
        <v>12</v>
      </c>
      <c r="N14" s="122" t="s">
        <v>666</v>
      </c>
      <c r="O14" s="57">
        <v>2</v>
      </c>
      <c r="P14" s="45">
        <v>10500</v>
      </c>
      <c r="Q14" s="58">
        <f t="shared" si="0"/>
        <v>21000</v>
      </c>
      <c r="R14" s="129" t="s">
        <v>684</v>
      </c>
      <c r="S14" s="19"/>
      <c r="T14" s="32"/>
      <c r="U14" s="32"/>
      <c r="V14" s="51">
        <f t="shared" si="1"/>
        <v>12180</v>
      </c>
      <c r="W14" s="51">
        <f t="shared" si="2"/>
        <v>24360</v>
      </c>
      <c r="X14" s="52">
        <f t="shared" si="3"/>
        <v>8.19</v>
      </c>
      <c r="Y14" s="53">
        <f t="shared" si="4"/>
        <v>16.38</v>
      </c>
      <c r="Z14" s="54"/>
      <c r="AA14" s="71"/>
      <c r="AB14" s="71"/>
      <c r="AC14" s="128"/>
      <c r="AD14" s="33"/>
      <c r="AE14" s="55"/>
    </row>
    <row r="15" spans="2:31" ht="20.100000000000001" customHeight="1">
      <c r="B15" s="48">
        <v>11</v>
      </c>
      <c r="C15" s="121" t="s">
        <v>993</v>
      </c>
      <c r="D15" s="120" t="s">
        <v>349</v>
      </c>
      <c r="E15" s="120">
        <v>2603</v>
      </c>
      <c r="F15" s="120" t="s">
        <v>700</v>
      </c>
      <c r="G15" s="120" t="s">
        <v>699</v>
      </c>
      <c r="H15" s="49">
        <v>2</v>
      </c>
      <c r="I15" s="50" t="s">
        <v>157</v>
      </c>
      <c r="J15" s="124" t="s">
        <v>161</v>
      </c>
      <c r="K15" s="50" t="s">
        <v>23</v>
      </c>
      <c r="L15" s="50" t="s">
        <v>518</v>
      </c>
      <c r="M15" s="56" t="s">
        <v>12</v>
      </c>
      <c r="N15" s="122" t="s">
        <v>666</v>
      </c>
      <c r="O15" s="57">
        <v>1</v>
      </c>
      <c r="P15" s="45">
        <v>368000</v>
      </c>
      <c r="Q15" s="58">
        <f t="shared" si="0"/>
        <v>368000</v>
      </c>
      <c r="R15" s="129" t="s">
        <v>684</v>
      </c>
      <c r="S15" s="19"/>
      <c r="T15" s="32"/>
      <c r="U15" s="32"/>
      <c r="V15" s="51">
        <f t="shared" si="1"/>
        <v>426879.99999999994</v>
      </c>
      <c r="W15" s="51">
        <f t="shared" si="2"/>
        <v>426879.99999999994</v>
      </c>
      <c r="X15" s="52">
        <f t="shared" si="3"/>
        <v>287.14</v>
      </c>
      <c r="Y15" s="53">
        <f t="shared" si="4"/>
        <v>287.14</v>
      </c>
      <c r="Z15" s="54"/>
      <c r="AA15" s="71"/>
      <c r="AB15" s="71"/>
      <c r="AC15" s="128"/>
      <c r="AD15" s="33"/>
      <c r="AE15" s="55"/>
    </row>
    <row r="16" spans="2:31" ht="20.100000000000001" customHeight="1">
      <c r="B16" s="48">
        <v>12</v>
      </c>
      <c r="C16" s="121" t="s">
        <v>993</v>
      </c>
      <c r="D16" s="120" t="s">
        <v>349</v>
      </c>
      <c r="E16" s="120">
        <v>2603</v>
      </c>
      <c r="F16" s="120" t="s">
        <v>700</v>
      </c>
      <c r="G16" s="120" t="s">
        <v>699</v>
      </c>
      <c r="H16" s="49">
        <v>2</v>
      </c>
      <c r="I16" s="50" t="s">
        <v>156</v>
      </c>
      <c r="J16" s="124" t="s">
        <v>160</v>
      </c>
      <c r="K16" s="50" t="s">
        <v>23</v>
      </c>
      <c r="L16" s="50" t="s">
        <v>518</v>
      </c>
      <c r="M16" s="56" t="s">
        <v>12</v>
      </c>
      <c r="N16" s="122" t="s">
        <v>666</v>
      </c>
      <c r="O16" s="57">
        <v>2</v>
      </c>
      <c r="P16" s="45">
        <v>10600</v>
      </c>
      <c r="Q16" s="58">
        <f t="shared" si="0"/>
        <v>21200</v>
      </c>
      <c r="R16" s="129" t="s">
        <v>684</v>
      </c>
      <c r="S16" s="19"/>
      <c r="T16" s="32"/>
      <c r="U16" s="32"/>
      <c r="V16" s="51">
        <f t="shared" si="1"/>
        <v>12296</v>
      </c>
      <c r="W16" s="51">
        <f t="shared" si="2"/>
        <v>24592</v>
      </c>
      <c r="X16" s="52">
        <f t="shared" si="3"/>
        <v>8.27</v>
      </c>
      <c r="Y16" s="53">
        <f t="shared" si="4"/>
        <v>16.54</v>
      </c>
      <c r="Z16" s="54"/>
      <c r="AA16" s="71"/>
      <c r="AB16" s="71"/>
      <c r="AC16" s="128"/>
      <c r="AD16" s="33"/>
      <c r="AE16" s="55"/>
    </row>
    <row r="17" spans="2:31" ht="20.100000000000001" customHeight="1">
      <c r="B17" s="48">
        <v>13</v>
      </c>
      <c r="C17" s="121" t="s">
        <v>993</v>
      </c>
      <c r="D17" s="120" t="s">
        <v>349</v>
      </c>
      <c r="E17" s="120">
        <v>2603</v>
      </c>
      <c r="F17" s="120" t="s">
        <v>700</v>
      </c>
      <c r="G17" s="120" t="s">
        <v>699</v>
      </c>
      <c r="H17" s="49">
        <v>2</v>
      </c>
      <c r="I17" s="50" t="s">
        <v>165</v>
      </c>
      <c r="J17" s="124" t="s">
        <v>169</v>
      </c>
      <c r="K17" s="50" t="s">
        <v>164</v>
      </c>
      <c r="L17" s="50" t="s">
        <v>518</v>
      </c>
      <c r="M17" s="56" t="s">
        <v>12</v>
      </c>
      <c r="N17" s="122" t="s">
        <v>820</v>
      </c>
      <c r="O17" s="57">
        <v>2</v>
      </c>
      <c r="P17" s="45">
        <v>24000</v>
      </c>
      <c r="Q17" s="58">
        <f t="shared" si="0"/>
        <v>48000</v>
      </c>
      <c r="R17" s="129" t="s">
        <v>684</v>
      </c>
      <c r="S17" s="19"/>
      <c r="T17" s="32"/>
      <c r="U17" s="32"/>
      <c r="V17" s="51">
        <f t="shared" si="1"/>
        <v>27839.999999999996</v>
      </c>
      <c r="W17" s="51">
        <f t="shared" si="2"/>
        <v>55679.999999999993</v>
      </c>
      <c r="X17" s="52">
        <f t="shared" si="3"/>
        <v>18.73</v>
      </c>
      <c r="Y17" s="53">
        <f t="shared" si="4"/>
        <v>37.46</v>
      </c>
      <c r="Z17" s="54"/>
      <c r="AA17" s="71"/>
      <c r="AB17" s="71"/>
      <c r="AC17" s="128"/>
      <c r="AD17" s="33"/>
      <c r="AE17" s="55"/>
    </row>
    <row r="18" spans="2:31" ht="20.100000000000001" customHeight="1">
      <c r="B18" s="48">
        <v>14</v>
      </c>
      <c r="C18" s="121" t="s">
        <v>993</v>
      </c>
      <c r="D18" s="120" t="s">
        <v>349</v>
      </c>
      <c r="E18" s="120">
        <v>2603</v>
      </c>
      <c r="F18" s="120" t="s">
        <v>700</v>
      </c>
      <c r="G18" s="120" t="s">
        <v>699</v>
      </c>
      <c r="H18" s="49">
        <v>2</v>
      </c>
      <c r="I18" s="50" t="s">
        <v>163</v>
      </c>
      <c r="J18" s="124" t="s">
        <v>168</v>
      </c>
      <c r="K18" s="50" t="s">
        <v>164</v>
      </c>
      <c r="L18" s="50" t="s">
        <v>518</v>
      </c>
      <c r="M18" s="56" t="s">
        <v>12</v>
      </c>
      <c r="N18" s="122" t="s">
        <v>820</v>
      </c>
      <c r="O18" s="57">
        <v>1</v>
      </c>
      <c r="P18" s="45">
        <v>26000</v>
      </c>
      <c r="Q18" s="58">
        <f t="shared" si="0"/>
        <v>26000</v>
      </c>
      <c r="R18" s="129" t="s">
        <v>684</v>
      </c>
      <c r="S18" s="19"/>
      <c r="T18" s="32"/>
      <c r="U18" s="32"/>
      <c r="V18" s="51">
        <f t="shared" si="1"/>
        <v>30159.999999999996</v>
      </c>
      <c r="W18" s="51">
        <f t="shared" si="2"/>
        <v>30159.999999999996</v>
      </c>
      <c r="X18" s="52">
        <f t="shared" si="3"/>
        <v>20.29</v>
      </c>
      <c r="Y18" s="53">
        <f t="shared" si="4"/>
        <v>20.29</v>
      </c>
      <c r="Z18" s="54"/>
      <c r="AA18" s="71"/>
      <c r="AB18" s="71"/>
      <c r="AC18" s="128"/>
      <c r="AD18" s="33"/>
      <c r="AE18" s="55"/>
    </row>
    <row r="19" spans="2:31" ht="20.100000000000001" customHeight="1">
      <c r="B19" s="48">
        <v>15</v>
      </c>
      <c r="C19" s="121" t="s">
        <v>993</v>
      </c>
      <c r="D19" s="120" t="s">
        <v>349</v>
      </c>
      <c r="E19" s="120">
        <v>2603</v>
      </c>
      <c r="F19" s="120" t="s">
        <v>700</v>
      </c>
      <c r="G19" s="120" t="s">
        <v>699</v>
      </c>
      <c r="H19" s="49">
        <v>2</v>
      </c>
      <c r="I19" s="50" t="s">
        <v>163</v>
      </c>
      <c r="J19" s="124" t="s">
        <v>358</v>
      </c>
      <c r="K19" s="50" t="s">
        <v>164</v>
      </c>
      <c r="L19" s="50" t="s">
        <v>518</v>
      </c>
      <c r="M19" s="56" t="s">
        <v>12</v>
      </c>
      <c r="N19" s="122" t="s">
        <v>820</v>
      </c>
      <c r="O19" s="57">
        <v>1</v>
      </c>
      <c r="P19" s="45">
        <v>15000</v>
      </c>
      <c r="Q19" s="58">
        <f t="shared" si="0"/>
        <v>15000</v>
      </c>
      <c r="R19" s="129" t="s">
        <v>684</v>
      </c>
      <c r="S19" s="19"/>
      <c r="T19" s="32"/>
      <c r="U19" s="32"/>
      <c r="V19" s="51">
        <f t="shared" si="1"/>
        <v>17400</v>
      </c>
      <c r="W19" s="51">
        <f t="shared" si="2"/>
        <v>17400</v>
      </c>
      <c r="X19" s="52">
        <f t="shared" si="3"/>
        <v>11.7</v>
      </c>
      <c r="Y19" s="53">
        <f t="shared" si="4"/>
        <v>11.7</v>
      </c>
      <c r="Z19" s="54"/>
      <c r="AA19" s="71"/>
      <c r="AB19" s="71"/>
      <c r="AC19" s="128"/>
      <c r="AD19" s="33"/>
      <c r="AE19" s="55"/>
    </row>
    <row r="20" spans="2:31" ht="20.100000000000001" customHeight="1">
      <c r="B20" s="48">
        <v>16</v>
      </c>
      <c r="C20" s="121" t="s">
        <v>993</v>
      </c>
      <c r="D20" s="120" t="s">
        <v>349</v>
      </c>
      <c r="E20" s="120">
        <v>2603</v>
      </c>
      <c r="F20" s="120" t="s">
        <v>700</v>
      </c>
      <c r="G20" s="120" t="s">
        <v>699</v>
      </c>
      <c r="H20" s="49">
        <v>2</v>
      </c>
      <c r="I20" s="50" t="s">
        <v>172</v>
      </c>
      <c r="J20" s="124" t="s">
        <v>175</v>
      </c>
      <c r="K20" s="50" t="s">
        <v>174</v>
      </c>
      <c r="L20" s="50" t="s">
        <v>518</v>
      </c>
      <c r="M20" s="56" t="s">
        <v>12</v>
      </c>
      <c r="N20" s="122" t="s">
        <v>665</v>
      </c>
      <c r="O20" s="57">
        <v>1</v>
      </c>
      <c r="P20" s="45">
        <v>6050</v>
      </c>
      <c r="Q20" s="58">
        <f t="shared" si="0"/>
        <v>6050</v>
      </c>
      <c r="R20" s="129" t="s">
        <v>684</v>
      </c>
      <c r="S20" s="19"/>
      <c r="T20" s="32"/>
      <c r="U20" s="32"/>
      <c r="V20" s="51">
        <f t="shared" si="1"/>
        <v>7017.9999999999991</v>
      </c>
      <c r="W20" s="51">
        <f t="shared" si="2"/>
        <v>7017.9999999999991</v>
      </c>
      <c r="X20" s="52">
        <f t="shared" si="3"/>
        <v>4.72</v>
      </c>
      <c r="Y20" s="53">
        <f t="shared" si="4"/>
        <v>4.72</v>
      </c>
      <c r="Z20" s="54"/>
      <c r="AA20" s="71"/>
      <c r="AB20" s="71"/>
      <c r="AC20" s="128"/>
      <c r="AD20" s="33"/>
      <c r="AE20" s="55"/>
    </row>
    <row r="21" spans="2:31" ht="20.100000000000001" customHeight="1">
      <c r="B21" s="48">
        <v>17</v>
      </c>
      <c r="C21" s="121" t="s">
        <v>993</v>
      </c>
      <c r="D21" s="120" t="s">
        <v>349</v>
      </c>
      <c r="E21" s="120">
        <v>2603</v>
      </c>
      <c r="F21" s="120" t="s">
        <v>700</v>
      </c>
      <c r="G21" s="120" t="s">
        <v>699</v>
      </c>
      <c r="H21" s="49">
        <v>2</v>
      </c>
      <c r="I21" s="50" t="s">
        <v>172</v>
      </c>
      <c r="J21" s="124" t="s">
        <v>176</v>
      </c>
      <c r="K21" s="50" t="s">
        <v>174</v>
      </c>
      <c r="L21" s="50" t="s">
        <v>518</v>
      </c>
      <c r="M21" s="56" t="s">
        <v>12</v>
      </c>
      <c r="N21" s="122" t="s">
        <v>665</v>
      </c>
      <c r="O21" s="57">
        <v>2</v>
      </c>
      <c r="P21" s="45">
        <v>19800</v>
      </c>
      <c r="Q21" s="58">
        <f t="shared" si="0"/>
        <v>39600</v>
      </c>
      <c r="R21" s="129" t="s">
        <v>684</v>
      </c>
      <c r="S21" s="19"/>
      <c r="T21" s="32"/>
      <c r="U21" s="32"/>
      <c r="V21" s="51">
        <f t="shared" si="1"/>
        <v>22968</v>
      </c>
      <c r="W21" s="51">
        <f t="shared" si="2"/>
        <v>45936</v>
      </c>
      <c r="X21" s="52">
        <f t="shared" si="3"/>
        <v>15.45</v>
      </c>
      <c r="Y21" s="53">
        <f t="shared" si="4"/>
        <v>30.9</v>
      </c>
      <c r="Z21" s="54"/>
      <c r="AA21" s="71"/>
      <c r="AB21" s="71"/>
      <c r="AC21" s="128"/>
      <c r="AD21" s="33"/>
      <c r="AE21" s="55"/>
    </row>
    <row r="22" spans="2:31" ht="20.100000000000001" customHeight="1">
      <c r="B22" s="48">
        <v>18</v>
      </c>
      <c r="C22" s="121" t="s">
        <v>993</v>
      </c>
      <c r="D22" s="120" t="s">
        <v>349</v>
      </c>
      <c r="E22" s="120">
        <v>2603</v>
      </c>
      <c r="F22" s="120" t="s">
        <v>700</v>
      </c>
      <c r="G22" s="120" t="s">
        <v>699</v>
      </c>
      <c r="H22" s="49">
        <v>2</v>
      </c>
      <c r="I22" s="50" t="s">
        <v>166</v>
      </c>
      <c r="J22" s="124" t="s">
        <v>170</v>
      </c>
      <c r="K22" s="50" t="s">
        <v>164</v>
      </c>
      <c r="L22" s="50" t="s">
        <v>518</v>
      </c>
      <c r="M22" s="56" t="s">
        <v>12</v>
      </c>
      <c r="N22" s="122" t="s">
        <v>820</v>
      </c>
      <c r="O22" s="57">
        <v>2</v>
      </c>
      <c r="P22" s="45">
        <v>9000</v>
      </c>
      <c r="Q22" s="58">
        <f t="shared" si="0"/>
        <v>18000</v>
      </c>
      <c r="R22" s="129" t="s">
        <v>684</v>
      </c>
      <c r="S22" s="19"/>
      <c r="T22" s="32"/>
      <c r="U22" s="32"/>
      <c r="V22" s="51">
        <f t="shared" si="1"/>
        <v>10440</v>
      </c>
      <c r="W22" s="51">
        <f t="shared" si="2"/>
        <v>20880</v>
      </c>
      <c r="X22" s="52">
        <f t="shared" si="3"/>
        <v>7.02</v>
      </c>
      <c r="Y22" s="53">
        <f t="shared" si="4"/>
        <v>14.04</v>
      </c>
      <c r="Z22" s="54"/>
      <c r="AA22" s="71"/>
      <c r="AB22" s="71"/>
      <c r="AC22" s="128"/>
      <c r="AD22" s="33"/>
      <c r="AE22" s="55"/>
    </row>
    <row r="23" spans="2:31" ht="20.100000000000001" customHeight="1">
      <c r="B23" s="48">
        <v>19</v>
      </c>
      <c r="C23" s="121" t="s">
        <v>993</v>
      </c>
      <c r="D23" s="120" t="s">
        <v>349</v>
      </c>
      <c r="E23" s="120">
        <v>2603</v>
      </c>
      <c r="F23" s="120" t="s">
        <v>700</v>
      </c>
      <c r="G23" s="120" t="s">
        <v>699</v>
      </c>
      <c r="H23" s="49">
        <v>2</v>
      </c>
      <c r="I23" s="50" t="s">
        <v>219</v>
      </c>
      <c r="J23" s="124" t="s">
        <v>59</v>
      </c>
      <c r="K23" s="50" t="s">
        <v>60</v>
      </c>
      <c r="L23" s="50" t="s">
        <v>518</v>
      </c>
      <c r="M23" s="56" t="s">
        <v>12</v>
      </c>
      <c r="N23" s="122" t="s">
        <v>665</v>
      </c>
      <c r="O23" s="57">
        <v>1</v>
      </c>
      <c r="P23" s="45">
        <v>39800</v>
      </c>
      <c r="Q23" s="58">
        <f t="shared" si="0"/>
        <v>39800</v>
      </c>
      <c r="R23" s="129" t="s">
        <v>684</v>
      </c>
      <c r="S23" s="19"/>
      <c r="T23" s="32"/>
      <c r="U23" s="32"/>
      <c r="V23" s="51">
        <f t="shared" si="1"/>
        <v>46168</v>
      </c>
      <c r="W23" s="51">
        <f t="shared" si="2"/>
        <v>46168</v>
      </c>
      <c r="X23" s="52">
        <f t="shared" si="3"/>
        <v>31.06</v>
      </c>
      <c r="Y23" s="53">
        <f t="shared" si="4"/>
        <v>31.06</v>
      </c>
      <c r="Z23" s="54"/>
      <c r="AA23" s="71"/>
      <c r="AB23" s="71"/>
      <c r="AC23" s="128"/>
      <c r="AD23" s="33"/>
      <c r="AE23" s="55"/>
    </row>
    <row r="24" spans="2:31" ht="20.100000000000001" customHeight="1">
      <c r="B24" s="48">
        <v>20</v>
      </c>
      <c r="C24" s="121" t="s">
        <v>993</v>
      </c>
      <c r="D24" s="120" t="s">
        <v>349</v>
      </c>
      <c r="E24" s="120">
        <v>2603</v>
      </c>
      <c r="F24" s="120" t="s">
        <v>700</v>
      </c>
      <c r="G24" s="120" t="s">
        <v>699</v>
      </c>
      <c r="H24" s="49">
        <v>2</v>
      </c>
      <c r="I24" s="50" t="s">
        <v>220</v>
      </c>
      <c r="J24" s="124" t="s">
        <v>224</v>
      </c>
      <c r="K24" s="50" t="s">
        <v>60</v>
      </c>
      <c r="L24" s="50" t="s">
        <v>518</v>
      </c>
      <c r="M24" s="56" t="s">
        <v>12</v>
      </c>
      <c r="N24" s="122" t="s">
        <v>665</v>
      </c>
      <c r="O24" s="57">
        <v>1</v>
      </c>
      <c r="P24" s="45">
        <v>54800</v>
      </c>
      <c r="Q24" s="58">
        <f t="shared" si="0"/>
        <v>54800</v>
      </c>
      <c r="R24" s="129" t="s">
        <v>684</v>
      </c>
      <c r="S24" s="19"/>
      <c r="T24" s="32"/>
      <c r="U24" s="32"/>
      <c r="V24" s="51">
        <f t="shared" si="1"/>
        <v>63567.999999999993</v>
      </c>
      <c r="W24" s="51">
        <f t="shared" si="2"/>
        <v>63567.999999999993</v>
      </c>
      <c r="X24" s="52">
        <f t="shared" si="3"/>
        <v>42.76</v>
      </c>
      <c r="Y24" s="53">
        <f t="shared" si="4"/>
        <v>42.76</v>
      </c>
      <c r="Z24" s="54"/>
      <c r="AA24" s="71"/>
      <c r="AB24" s="71"/>
      <c r="AC24" s="128"/>
      <c r="AD24" s="33"/>
      <c r="AE24" s="55"/>
    </row>
    <row r="25" spans="2:31" ht="20.100000000000001" customHeight="1">
      <c r="B25" s="48">
        <v>21</v>
      </c>
      <c r="C25" s="121" t="s">
        <v>993</v>
      </c>
      <c r="D25" s="120" t="s">
        <v>349</v>
      </c>
      <c r="E25" s="120">
        <v>2603</v>
      </c>
      <c r="F25" s="120" t="s">
        <v>700</v>
      </c>
      <c r="G25" s="120" t="s">
        <v>699</v>
      </c>
      <c r="H25" s="49">
        <v>1</v>
      </c>
      <c r="I25" s="50" t="s">
        <v>209</v>
      </c>
      <c r="J25" s="124" t="s">
        <v>71</v>
      </c>
      <c r="K25" s="50" t="s">
        <v>973</v>
      </c>
      <c r="L25" s="50" t="s">
        <v>599</v>
      </c>
      <c r="M25" s="56" t="s">
        <v>12</v>
      </c>
      <c r="N25" s="122" t="s">
        <v>972</v>
      </c>
      <c r="O25" s="57">
        <v>1</v>
      </c>
      <c r="P25" s="45">
        <v>60000</v>
      </c>
      <c r="Q25" s="58">
        <f t="shared" si="0"/>
        <v>60000</v>
      </c>
      <c r="R25" s="129" t="s">
        <v>684</v>
      </c>
      <c r="S25" s="19"/>
      <c r="T25" s="32"/>
      <c r="U25" s="32"/>
      <c r="V25" s="51">
        <f t="shared" si="1"/>
        <v>69600</v>
      </c>
      <c r="W25" s="51">
        <f t="shared" si="2"/>
        <v>69600</v>
      </c>
      <c r="X25" s="52">
        <f t="shared" si="3"/>
        <v>46.82</v>
      </c>
      <c r="Y25" s="53">
        <f t="shared" si="4"/>
        <v>46.82</v>
      </c>
      <c r="Z25" s="54"/>
      <c r="AA25" s="71"/>
      <c r="AB25" s="71"/>
      <c r="AC25" s="128"/>
      <c r="AD25" s="33"/>
      <c r="AE25" s="55"/>
    </row>
    <row r="26" spans="2:31" ht="20.100000000000001" customHeight="1">
      <c r="B26" s="48">
        <v>22</v>
      </c>
      <c r="C26" s="121" t="s">
        <v>1003</v>
      </c>
      <c r="D26" s="120" t="s">
        <v>349</v>
      </c>
      <c r="E26" s="120">
        <v>2603</v>
      </c>
      <c r="F26" s="120" t="s">
        <v>832</v>
      </c>
      <c r="G26" s="120" t="s">
        <v>689</v>
      </c>
      <c r="H26" s="49">
        <v>2</v>
      </c>
      <c r="I26" s="50" t="s">
        <v>371</v>
      </c>
      <c r="J26" s="124" t="s">
        <v>373</v>
      </c>
      <c r="K26" s="50" t="s">
        <v>26</v>
      </c>
      <c r="L26" s="50" t="s">
        <v>519</v>
      </c>
      <c r="M26" s="56" t="s">
        <v>12</v>
      </c>
      <c r="N26" s="122" t="s">
        <v>666</v>
      </c>
      <c r="O26" s="57">
        <v>3</v>
      </c>
      <c r="P26" s="45">
        <v>280130</v>
      </c>
      <c r="Q26" s="58">
        <f t="shared" si="0"/>
        <v>840390</v>
      </c>
      <c r="R26" s="129" t="s">
        <v>1017</v>
      </c>
      <c r="S26" s="19"/>
      <c r="T26" s="32"/>
      <c r="U26" s="32"/>
      <c r="V26" s="51">
        <f t="shared" si="1"/>
        <v>324950.8</v>
      </c>
      <c r="W26" s="51">
        <f t="shared" si="2"/>
        <v>974852.39999999991</v>
      </c>
      <c r="X26" s="52">
        <f t="shared" si="3"/>
        <v>218.58</v>
      </c>
      <c r="Y26" s="53">
        <f t="shared" si="4"/>
        <v>655.74</v>
      </c>
      <c r="Z26" s="54"/>
      <c r="AA26" s="71"/>
      <c r="AB26" s="71"/>
      <c r="AC26" s="128"/>
      <c r="AD26" s="33"/>
      <c r="AE26" s="55"/>
    </row>
    <row r="27" spans="2:31" ht="20.100000000000001" customHeight="1">
      <c r="B27" s="48">
        <v>23</v>
      </c>
      <c r="C27" s="121" t="s">
        <v>993</v>
      </c>
      <c r="D27" s="120" t="s">
        <v>349</v>
      </c>
      <c r="E27" s="120">
        <v>2603</v>
      </c>
      <c r="F27" s="120" t="s">
        <v>700</v>
      </c>
      <c r="G27" s="120" t="s">
        <v>699</v>
      </c>
      <c r="H27" s="49">
        <v>2</v>
      </c>
      <c r="I27" s="50" t="s">
        <v>205</v>
      </c>
      <c r="J27" s="124" t="s">
        <v>1002</v>
      </c>
      <c r="K27" s="50" t="s">
        <v>798</v>
      </c>
      <c r="L27" s="50" t="s">
        <v>519</v>
      </c>
      <c r="M27" s="56" t="s">
        <v>12</v>
      </c>
      <c r="N27" s="122" t="s">
        <v>665</v>
      </c>
      <c r="O27" s="57">
        <v>2</v>
      </c>
      <c r="P27" s="45">
        <v>5600</v>
      </c>
      <c r="Q27" s="58">
        <f t="shared" si="0"/>
        <v>11200</v>
      </c>
      <c r="R27" s="129" t="s">
        <v>684</v>
      </c>
      <c r="S27" s="19"/>
      <c r="T27" s="32"/>
      <c r="U27" s="32"/>
      <c r="V27" s="51">
        <f t="shared" si="1"/>
        <v>6496</v>
      </c>
      <c r="W27" s="51">
        <f t="shared" si="2"/>
        <v>12992</v>
      </c>
      <c r="X27" s="52">
        <f t="shared" si="3"/>
        <v>4.37</v>
      </c>
      <c r="Y27" s="53">
        <f t="shared" si="4"/>
        <v>8.74</v>
      </c>
      <c r="Z27" s="54"/>
      <c r="AA27" s="71"/>
      <c r="AB27" s="71"/>
      <c r="AC27" s="128"/>
      <c r="AD27" s="33"/>
      <c r="AE27" s="55"/>
    </row>
    <row r="28" spans="2:31" ht="20.100000000000001" customHeight="1">
      <c r="B28" s="48">
        <v>24</v>
      </c>
      <c r="C28" s="121" t="s">
        <v>993</v>
      </c>
      <c r="D28" s="120" t="s">
        <v>349</v>
      </c>
      <c r="E28" s="120">
        <v>2603</v>
      </c>
      <c r="F28" s="120" t="s">
        <v>700</v>
      </c>
      <c r="G28" s="120" t="s">
        <v>699</v>
      </c>
      <c r="H28" s="49">
        <v>2</v>
      </c>
      <c r="I28" s="50" t="s">
        <v>360</v>
      </c>
      <c r="J28" s="124" t="s">
        <v>361</v>
      </c>
      <c r="K28" s="50" t="s">
        <v>30</v>
      </c>
      <c r="L28" s="50" t="s">
        <v>519</v>
      </c>
      <c r="M28" s="56" t="s">
        <v>12</v>
      </c>
      <c r="N28" s="122" t="s">
        <v>665</v>
      </c>
      <c r="O28" s="57">
        <v>12</v>
      </c>
      <c r="P28" s="45">
        <v>100</v>
      </c>
      <c r="Q28" s="58">
        <f t="shared" si="0"/>
        <v>1200</v>
      </c>
      <c r="R28" s="129" t="s">
        <v>684</v>
      </c>
      <c r="S28" s="19"/>
      <c r="T28" s="32"/>
      <c r="U28" s="32"/>
      <c r="V28" s="51">
        <f t="shared" si="1"/>
        <v>115.99999999999999</v>
      </c>
      <c r="W28" s="51">
        <f t="shared" si="2"/>
        <v>1391.9999999999998</v>
      </c>
      <c r="X28" s="52">
        <f t="shared" si="3"/>
        <v>0.08</v>
      </c>
      <c r="Y28" s="53">
        <f t="shared" si="4"/>
        <v>0.96</v>
      </c>
      <c r="Z28" s="54"/>
      <c r="AA28" s="71"/>
      <c r="AB28" s="71"/>
      <c r="AC28" s="128"/>
      <c r="AD28" s="33"/>
      <c r="AE28" s="55"/>
    </row>
    <row r="29" spans="2:31" ht="20.100000000000001" customHeight="1">
      <c r="B29" s="48">
        <v>25</v>
      </c>
      <c r="C29" s="121" t="s">
        <v>993</v>
      </c>
      <c r="D29" s="120" t="s">
        <v>349</v>
      </c>
      <c r="E29" s="120">
        <v>2603</v>
      </c>
      <c r="F29" s="120" t="s">
        <v>700</v>
      </c>
      <c r="G29" s="120" t="s">
        <v>699</v>
      </c>
      <c r="H29" s="49">
        <v>2</v>
      </c>
      <c r="I29" s="50" t="s">
        <v>359</v>
      </c>
      <c r="J29" s="124" t="s">
        <v>362</v>
      </c>
      <c r="K29" s="50" t="s">
        <v>30</v>
      </c>
      <c r="L29" s="50" t="s">
        <v>519</v>
      </c>
      <c r="M29" s="56" t="s">
        <v>12</v>
      </c>
      <c r="N29" s="122" t="s">
        <v>665</v>
      </c>
      <c r="O29" s="57">
        <v>12</v>
      </c>
      <c r="P29" s="45">
        <v>100</v>
      </c>
      <c r="Q29" s="58">
        <f t="shared" si="0"/>
        <v>1200</v>
      </c>
      <c r="R29" s="129" t="s">
        <v>684</v>
      </c>
      <c r="S29" s="19"/>
      <c r="T29" s="32"/>
      <c r="U29" s="32"/>
      <c r="V29" s="51">
        <f t="shared" si="1"/>
        <v>115.99999999999999</v>
      </c>
      <c r="W29" s="51">
        <f t="shared" si="2"/>
        <v>1391.9999999999998</v>
      </c>
      <c r="X29" s="52">
        <f t="shared" si="3"/>
        <v>0.08</v>
      </c>
      <c r="Y29" s="53">
        <f t="shared" si="4"/>
        <v>0.96</v>
      </c>
      <c r="Z29" s="54"/>
      <c r="AA29" s="71"/>
      <c r="AB29" s="71"/>
      <c r="AC29" s="128"/>
      <c r="AD29" s="33"/>
      <c r="AE29" s="55"/>
    </row>
    <row r="30" spans="2:31" ht="20.100000000000001" customHeight="1">
      <c r="B30" s="48">
        <v>26</v>
      </c>
      <c r="C30" s="121" t="s">
        <v>993</v>
      </c>
      <c r="D30" s="120" t="s">
        <v>349</v>
      </c>
      <c r="E30" s="120">
        <v>2603</v>
      </c>
      <c r="F30" s="120" t="s">
        <v>700</v>
      </c>
      <c r="G30" s="120" t="s">
        <v>699</v>
      </c>
      <c r="H30" s="49">
        <v>1</v>
      </c>
      <c r="I30" s="50" t="s">
        <v>382</v>
      </c>
      <c r="J30" s="124" t="s">
        <v>758</v>
      </c>
      <c r="K30" s="50" t="s">
        <v>26</v>
      </c>
      <c r="L30" s="50" t="s">
        <v>519</v>
      </c>
      <c r="M30" s="56" t="s">
        <v>12</v>
      </c>
      <c r="N30" s="122" t="s">
        <v>666</v>
      </c>
      <c r="O30" s="57">
        <v>6</v>
      </c>
      <c r="P30" s="45">
        <v>6770</v>
      </c>
      <c r="Q30" s="58">
        <f t="shared" si="0"/>
        <v>40620</v>
      </c>
      <c r="R30" s="129" t="s">
        <v>684</v>
      </c>
      <c r="S30" s="19"/>
      <c r="T30" s="32"/>
      <c r="U30" s="32"/>
      <c r="V30" s="51">
        <f t="shared" si="1"/>
        <v>7853.2</v>
      </c>
      <c r="W30" s="51">
        <f t="shared" si="2"/>
        <v>47119.199999999997</v>
      </c>
      <c r="X30" s="52">
        <f t="shared" si="3"/>
        <v>5.28</v>
      </c>
      <c r="Y30" s="53">
        <f t="shared" si="4"/>
        <v>31.68</v>
      </c>
      <c r="Z30" s="54"/>
      <c r="AA30" s="71"/>
      <c r="AB30" s="71"/>
      <c r="AC30" s="128"/>
      <c r="AD30" s="33"/>
      <c r="AE30" s="55"/>
    </row>
    <row r="31" spans="2:31" ht="20.100000000000001" customHeight="1">
      <c r="B31" s="48">
        <v>27</v>
      </c>
      <c r="C31" s="121" t="s">
        <v>993</v>
      </c>
      <c r="D31" s="120" t="s">
        <v>349</v>
      </c>
      <c r="E31" s="120">
        <v>2603</v>
      </c>
      <c r="F31" s="120" t="s">
        <v>700</v>
      </c>
      <c r="G31" s="120" t="s">
        <v>699</v>
      </c>
      <c r="H31" s="49">
        <v>2</v>
      </c>
      <c r="I31" s="50" t="s">
        <v>383</v>
      </c>
      <c r="J31" s="124" t="s">
        <v>387</v>
      </c>
      <c r="K31" s="50" t="s">
        <v>26</v>
      </c>
      <c r="L31" s="50" t="s">
        <v>519</v>
      </c>
      <c r="M31" s="56" t="s">
        <v>12</v>
      </c>
      <c r="N31" s="122" t="s">
        <v>666</v>
      </c>
      <c r="O31" s="57">
        <v>3</v>
      </c>
      <c r="P31" s="45">
        <v>333000</v>
      </c>
      <c r="Q31" s="58">
        <f t="shared" si="0"/>
        <v>999000</v>
      </c>
      <c r="R31" s="129" t="s">
        <v>684</v>
      </c>
      <c r="S31" s="19"/>
      <c r="T31" s="32"/>
      <c r="U31" s="32"/>
      <c r="V31" s="51">
        <f t="shared" si="1"/>
        <v>386280</v>
      </c>
      <c r="W31" s="51">
        <f t="shared" si="2"/>
        <v>1158840</v>
      </c>
      <c r="X31" s="52">
        <f t="shared" si="3"/>
        <v>259.83</v>
      </c>
      <c r="Y31" s="53">
        <f t="shared" si="4"/>
        <v>779.49</v>
      </c>
      <c r="Z31" s="54"/>
      <c r="AA31" s="71"/>
      <c r="AB31" s="71"/>
      <c r="AC31" s="128"/>
      <c r="AD31" s="33"/>
      <c r="AE31" s="55"/>
    </row>
    <row r="32" spans="2:31" ht="20.100000000000001" customHeight="1">
      <c r="B32" s="48">
        <v>28</v>
      </c>
      <c r="C32" s="121" t="s">
        <v>993</v>
      </c>
      <c r="D32" s="120" t="s">
        <v>349</v>
      </c>
      <c r="E32" s="120">
        <v>2603</v>
      </c>
      <c r="F32" s="120" t="s">
        <v>700</v>
      </c>
      <c r="G32" s="120" t="s">
        <v>699</v>
      </c>
      <c r="H32" s="49">
        <v>1</v>
      </c>
      <c r="I32" s="50" t="s">
        <v>382</v>
      </c>
      <c r="J32" s="124" t="s">
        <v>143</v>
      </c>
      <c r="K32" s="50" t="s">
        <v>26</v>
      </c>
      <c r="L32" s="50" t="s">
        <v>519</v>
      </c>
      <c r="M32" s="56" t="s">
        <v>12</v>
      </c>
      <c r="N32" s="122" t="s">
        <v>666</v>
      </c>
      <c r="O32" s="57">
        <v>20</v>
      </c>
      <c r="P32" s="45">
        <v>5040</v>
      </c>
      <c r="Q32" s="58">
        <f t="shared" si="0"/>
        <v>100800</v>
      </c>
      <c r="R32" s="129" t="s">
        <v>684</v>
      </c>
      <c r="S32" s="19"/>
      <c r="T32" s="32"/>
      <c r="U32" s="32"/>
      <c r="V32" s="51">
        <f t="shared" si="1"/>
        <v>5846.4</v>
      </c>
      <c r="W32" s="51">
        <f t="shared" si="2"/>
        <v>116928</v>
      </c>
      <c r="X32" s="52">
        <f t="shared" si="3"/>
        <v>3.93</v>
      </c>
      <c r="Y32" s="53">
        <f t="shared" si="4"/>
        <v>78.600000000000009</v>
      </c>
      <c r="Z32" s="54"/>
      <c r="AA32" s="71"/>
      <c r="AB32" s="71"/>
      <c r="AC32" s="128"/>
      <c r="AD32" s="33"/>
      <c r="AE32" s="55"/>
    </row>
    <row r="33" spans="2:31" ht="20.100000000000001" customHeight="1">
      <c r="B33" s="48">
        <v>29</v>
      </c>
      <c r="C33" s="121" t="s">
        <v>993</v>
      </c>
      <c r="D33" s="120" t="s">
        <v>349</v>
      </c>
      <c r="E33" s="120">
        <v>2603</v>
      </c>
      <c r="F33" s="120" t="s">
        <v>700</v>
      </c>
      <c r="G33" s="120" t="s">
        <v>699</v>
      </c>
      <c r="H33" s="49">
        <v>1</v>
      </c>
      <c r="I33" s="50" t="s">
        <v>27</v>
      </c>
      <c r="J33" s="124" t="s">
        <v>388</v>
      </c>
      <c r="K33" s="50" t="s">
        <v>26</v>
      </c>
      <c r="L33" s="50" t="s">
        <v>519</v>
      </c>
      <c r="M33" s="56" t="s">
        <v>12</v>
      </c>
      <c r="N33" s="122" t="s">
        <v>666</v>
      </c>
      <c r="O33" s="57">
        <v>6</v>
      </c>
      <c r="P33" s="45">
        <v>45370</v>
      </c>
      <c r="Q33" s="58">
        <f t="shared" si="0"/>
        <v>272220</v>
      </c>
      <c r="R33" s="129" t="s">
        <v>684</v>
      </c>
      <c r="S33" s="19"/>
      <c r="T33" s="32"/>
      <c r="U33" s="32"/>
      <c r="V33" s="51">
        <f t="shared" si="1"/>
        <v>52629.2</v>
      </c>
      <c r="W33" s="51">
        <f t="shared" si="2"/>
        <v>315775.19999999995</v>
      </c>
      <c r="X33" s="52">
        <f t="shared" si="3"/>
        <v>35.4</v>
      </c>
      <c r="Y33" s="53">
        <f t="shared" si="4"/>
        <v>212.39999999999998</v>
      </c>
      <c r="Z33" s="54"/>
      <c r="AA33" s="71"/>
      <c r="AB33" s="71"/>
      <c r="AC33" s="128"/>
      <c r="AD33" s="33"/>
      <c r="AE33" s="55"/>
    </row>
    <row r="34" spans="2:31" ht="20.100000000000001" customHeight="1">
      <c r="B34" s="48">
        <v>30</v>
      </c>
      <c r="C34" s="121" t="s">
        <v>993</v>
      </c>
      <c r="D34" s="120" t="s">
        <v>349</v>
      </c>
      <c r="E34" s="120">
        <v>2603</v>
      </c>
      <c r="F34" s="120" t="s">
        <v>700</v>
      </c>
      <c r="G34" s="120" t="s">
        <v>699</v>
      </c>
      <c r="H34" s="49">
        <v>1</v>
      </c>
      <c r="I34" s="50" t="s">
        <v>382</v>
      </c>
      <c r="J34" s="124" t="s">
        <v>389</v>
      </c>
      <c r="K34" s="50" t="s">
        <v>26</v>
      </c>
      <c r="L34" s="50" t="s">
        <v>519</v>
      </c>
      <c r="M34" s="56" t="s">
        <v>12</v>
      </c>
      <c r="N34" s="122" t="s">
        <v>666</v>
      </c>
      <c r="O34" s="57">
        <v>6</v>
      </c>
      <c r="P34" s="45">
        <v>7270</v>
      </c>
      <c r="Q34" s="58">
        <f t="shared" si="0"/>
        <v>43620</v>
      </c>
      <c r="R34" s="129" t="s">
        <v>684</v>
      </c>
      <c r="S34" s="19"/>
      <c r="T34" s="32"/>
      <c r="U34" s="32"/>
      <c r="V34" s="51">
        <f t="shared" si="1"/>
        <v>8433.1999999999989</v>
      </c>
      <c r="W34" s="51">
        <f t="shared" si="2"/>
        <v>50599.199999999997</v>
      </c>
      <c r="X34" s="52">
        <f t="shared" si="3"/>
        <v>5.67</v>
      </c>
      <c r="Y34" s="53">
        <f t="shared" si="4"/>
        <v>34.019999999999996</v>
      </c>
      <c r="Z34" s="54"/>
      <c r="AA34" s="71"/>
      <c r="AB34" s="71"/>
      <c r="AC34" s="128"/>
      <c r="AD34" s="33"/>
      <c r="AE34" s="55"/>
    </row>
    <row r="35" spans="2:31" ht="20.100000000000001" customHeight="1">
      <c r="B35" s="48">
        <v>31</v>
      </c>
      <c r="C35" s="121" t="s">
        <v>993</v>
      </c>
      <c r="D35" s="120" t="s">
        <v>349</v>
      </c>
      <c r="E35" s="120">
        <v>2603</v>
      </c>
      <c r="F35" s="120" t="s">
        <v>700</v>
      </c>
      <c r="G35" s="120" t="s">
        <v>699</v>
      </c>
      <c r="H35" s="49">
        <v>1</v>
      </c>
      <c r="I35" s="50" t="s">
        <v>27</v>
      </c>
      <c r="J35" s="124" t="s">
        <v>390</v>
      </c>
      <c r="K35" s="50" t="s">
        <v>26</v>
      </c>
      <c r="L35" s="50" t="s">
        <v>519</v>
      </c>
      <c r="M35" s="56" t="s">
        <v>12</v>
      </c>
      <c r="N35" s="122" t="s">
        <v>666</v>
      </c>
      <c r="O35" s="57">
        <v>3</v>
      </c>
      <c r="P35" s="45">
        <v>83830</v>
      </c>
      <c r="Q35" s="58">
        <f t="shared" si="0"/>
        <v>251490</v>
      </c>
      <c r="R35" s="129" t="s">
        <v>684</v>
      </c>
      <c r="S35" s="19"/>
      <c r="T35" s="32"/>
      <c r="U35" s="32"/>
      <c r="V35" s="51">
        <f t="shared" si="1"/>
        <v>97242.799999999988</v>
      </c>
      <c r="W35" s="51">
        <f t="shared" si="2"/>
        <v>291728.39999999997</v>
      </c>
      <c r="X35" s="52">
        <f t="shared" si="3"/>
        <v>65.41</v>
      </c>
      <c r="Y35" s="53">
        <f t="shared" si="4"/>
        <v>196.23</v>
      </c>
      <c r="Z35" s="54"/>
      <c r="AA35" s="71"/>
      <c r="AB35" s="71"/>
      <c r="AC35" s="128"/>
      <c r="AD35" s="33"/>
      <c r="AE35" s="55"/>
    </row>
    <row r="36" spans="2:31" ht="20.100000000000001" customHeight="1">
      <c r="B36" s="48">
        <v>32</v>
      </c>
      <c r="C36" s="121" t="s">
        <v>993</v>
      </c>
      <c r="D36" s="120" t="s">
        <v>349</v>
      </c>
      <c r="E36" s="120">
        <v>2603</v>
      </c>
      <c r="F36" s="120" t="s">
        <v>700</v>
      </c>
      <c r="G36" s="120" t="s">
        <v>699</v>
      </c>
      <c r="H36" s="49">
        <v>1</v>
      </c>
      <c r="I36" s="50" t="s">
        <v>347</v>
      </c>
      <c r="J36" s="124" t="s">
        <v>196</v>
      </c>
      <c r="K36" s="50" t="s">
        <v>26</v>
      </c>
      <c r="L36" s="50" t="s">
        <v>519</v>
      </c>
      <c r="M36" s="56" t="s">
        <v>12</v>
      </c>
      <c r="N36" s="122" t="s">
        <v>666</v>
      </c>
      <c r="O36" s="57">
        <v>13</v>
      </c>
      <c r="P36" s="45">
        <v>5160</v>
      </c>
      <c r="Q36" s="58">
        <f t="shared" si="0"/>
        <v>67080</v>
      </c>
      <c r="R36" s="129" t="s">
        <v>684</v>
      </c>
      <c r="S36" s="19"/>
      <c r="T36" s="32"/>
      <c r="U36" s="32"/>
      <c r="V36" s="51">
        <f t="shared" si="1"/>
        <v>5985.5999999999995</v>
      </c>
      <c r="W36" s="51">
        <f t="shared" si="2"/>
        <v>77812.799999999988</v>
      </c>
      <c r="X36" s="52">
        <f t="shared" si="3"/>
        <v>4.03</v>
      </c>
      <c r="Y36" s="53">
        <f t="shared" si="4"/>
        <v>52.39</v>
      </c>
      <c r="Z36" s="54"/>
      <c r="AA36" s="71"/>
      <c r="AB36" s="71"/>
      <c r="AC36" s="128"/>
      <c r="AD36" s="33"/>
      <c r="AE36" s="55"/>
    </row>
    <row r="37" spans="2:31" ht="20.100000000000001" customHeight="1">
      <c r="B37" s="48">
        <v>33</v>
      </c>
      <c r="C37" s="121" t="s">
        <v>993</v>
      </c>
      <c r="D37" s="120" t="s">
        <v>349</v>
      </c>
      <c r="E37" s="120">
        <v>2603</v>
      </c>
      <c r="F37" s="120" t="s">
        <v>700</v>
      </c>
      <c r="G37" s="120" t="s">
        <v>699</v>
      </c>
      <c r="H37" s="49">
        <v>2</v>
      </c>
      <c r="I37" s="50" t="s">
        <v>76</v>
      </c>
      <c r="J37" s="124" t="s">
        <v>936</v>
      </c>
      <c r="K37" s="50" t="s">
        <v>34</v>
      </c>
      <c r="L37" s="50" t="s">
        <v>519</v>
      </c>
      <c r="M37" s="56" t="s">
        <v>12</v>
      </c>
      <c r="N37" s="122" t="s">
        <v>665</v>
      </c>
      <c r="O37" s="57">
        <v>8</v>
      </c>
      <c r="P37" s="45">
        <v>2800</v>
      </c>
      <c r="Q37" s="58">
        <f t="shared" ref="Q37:Q68" si="5">O37*P37</f>
        <v>22400</v>
      </c>
      <c r="R37" s="129" t="s">
        <v>684</v>
      </c>
      <c r="S37" s="19"/>
      <c r="T37" s="32"/>
      <c r="U37" s="32"/>
      <c r="V37" s="51">
        <f t="shared" si="1"/>
        <v>3248</v>
      </c>
      <c r="W37" s="51">
        <f t="shared" si="2"/>
        <v>25984</v>
      </c>
      <c r="X37" s="52">
        <f t="shared" si="3"/>
        <v>2.1800000000000002</v>
      </c>
      <c r="Y37" s="53">
        <f t="shared" si="4"/>
        <v>17.440000000000001</v>
      </c>
      <c r="Z37" s="54"/>
      <c r="AA37" s="71"/>
      <c r="AB37" s="71"/>
      <c r="AC37" s="128"/>
      <c r="AD37" s="33"/>
      <c r="AE37" s="55"/>
    </row>
    <row r="38" spans="2:31" ht="20.100000000000001" customHeight="1">
      <c r="B38" s="48">
        <v>34</v>
      </c>
      <c r="C38" s="121" t="s">
        <v>993</v>
      </c>
      <c r="D38" s="120" t="s">
        <v>349</v>
      </c>
      <c r="E38" s="120">
        <v>2603</v>
      </c>
      <c r="F38" s="120" t="s">
        <v>700</v>
      </c>
      <c r="G38" s="120" t="s">
        <v>699</v>
      </c>
      <c r="H38" s="49">
        <v>1</v>
      </c>
      <c r="I38" s="50" t="s">
        <v>369</v>
      </c>
      <c r="J38" s="124" t="s">
        <v>372</v>
      </c>
      <c r="K38" s="50" t="s">
        <v>26</v>
      </c>
      <c r="L38" s="50" t="s">
        <v>519</v>
      </c>
      <c r="M38" s="56" t="s">
        <v>12</v>
      </c>
      <c r="N38" s="122" t="s">
        <v>612</v>
      </c>
      <c r="O38" s="57">
        <v>1</v>
      </c>
      <c r="P38" s="45">
        <v>2540</v>
      </c>
      <c r="Q38" s="58">
        <f t="shared" si="5"/>
        <v>2540</v>
      </c>
      <c r="R38" s="129" t="s">
        <v>684</v>
      </c>
      <c r="S38" s="19"/>
      <c r="T38" s="32"/>
      <c r="U38" s="32"/>
      <c r="V38" s="51">
        <f t="shared" si="1"/>
        <v>2946.3999999999996</v>
      </c>
      <c r="W38" s="51">
        <f t="shared" si="2"/>
        <v>2946.3999999999996</v>
      </c>
      <c r="X38" s="52">
        <f t="shared" si="3"/>
        <v>1.98</v>
      </c>
      <c r="Y38" s="53">
        <f t="shared" si="4"/>
        <v>1.98</v>
      </c>
      <c r="Z38" s="54"/>
      <c r="AA38" s="71"/>
      <c r="AB38" s="71"/>
      <c r="AC38" s="128"/>
      <c r="AD38" s="33"/>
      <c r="AE38" s="55"/>
    </row>
    <row r="39" spans="2:31" ht="20.100000000000001" customHeight="1">
      <c r="B39" s="48">
        <v>35</v>
      </c>
      <c r="C39" s="121" t="s">
        <v>993</v>
      </c>
      <c r="D39" s="120" t="s">
        <v>349</v>
      </c>
      <c r="E39" s="120">
        <v>2603</v>
      </c>
      <c r="F39" s="120" t="s">
        <v>700</v>
      </c>
      <c r="G39" s="120" t="s">
        <v>699</v>
      </c>
      <c r="H39" s="49">
        <v>1</v>
      </c>
      <c r="I39" s="50" t="s">
        <v>141</v>
      </c>
      <c r="J39" s="124" t="s">
        <v>200</v>
      </c>
      <c r="K39" s="50" t="s">
        <v>26</v>
      </c>
      <c r="L39" s="50" t="s">
        <v>519</v>
      </c>
      <c r="M39" s="56" t="s">
        <v>12</v>
      </c>
      <c r="N39" s="122" t="s">
        <v>612</v>
      </c>
      <c r="O39" s="57">
        <v>1</v>
      </c>
      <c r="P39" s="45">
        <v>25550</v>
      </c>
      <c r="Q39" s="58">
        <f t="shared" si="5"/>
        <v>25550</v>
      </c>
      <c r="R39" s="129" t="s">
        <v>684</v>
      </c>
      <c r="S39" s="19"/>
      <c r="T39" s="32"/>
      <c r="U39" s="32"/>
      <c r="V39" s="51">
        <f t="shared" si="1"/>
        <v>29637.999999999996</v>
      </c>
      <c r="W39" s="51">
        <f t="shared" si="2"/>
        <v>29637.999999999996</v>
      </c>
      <c r="X39" s="52">
        <f t="shared" si="3"/>
        <v>19.940000000000001</v>
      </c>
      <c r="Y39" s="53">
        <f t="shared" si="4"/>
        <v>19.940000000000001</v>
      </c>
      <c r="Z39" s="54"/>
      <c r="AA39" s="71"/>
      <c r="AB39" s="71"/>
      <c r="AC39" s="128"/>
      <c r="AD39" s="33"/>
      <c r="AE39" s="55"/>
    </row>
    <row r="40" spans="2:31" ht="20.100000000000001" customHeight="1">
      <c r="B40" s="48">
        <v>36</v>
      </c>
      <c r="C40" s="121" t="s">
        <v>993</v>
      </c>
      <c r="D40" s="120" t="s">
        <v>349</v>
      </c>
      <c r="E40" s="120">
        <v>2603</v>
      </c>
      <c r="F40" s="120" t="s">
        <v>700</v>
      </c>
      <c r="G40" s="120" t="s">
        <v>699</v>
      </c>
      <c r="H40" s="49">
        <v>1</v>
      </c>
      <c r="I40" s="50" t="s">
        <v>370</v>
      </c>
      <c r="J40" s="124" t="s">
        <v>201</v>
      </c>
      <c r="K40" s="50" t="s">
        <v>26</v>
      </c>
      <c r="L40" s="50" t="s">
        <v>519</v>
      </c>
      <c r="M40" s="56" t="s">
        <v>12</v>
      </c>
      <c r="N40" s="122" t="s">
        <v>612</v>
      </c>
      <c r="O40" s="57">
        <v>1</v>
      </c>
      <c r="P40" s="45">
        <v>17020</v>
      </c>
      <c r="Q40" s="58">
        <f t="shared" si="5"/>
        <v>17020</v>
      </c>
      <c r="R40" s="129" t="s">
        <v>684</v>
      </c>
      <c r="S40" s="19"/>
      <c r="T40" s="32"/>
      <c r="U40" s="32"/>
      <c r="V40" s="51">
        <f t="shared" si="1"/>
        <v>19743.199999999997</v>
      </c>
      <c r="W40" s="51">
        <f t="shared" si="2"/>
        <v>19743.199999999997</v>
      </c>
      <c r="X40" s="52">
        <f t="shared" si="3"/>
        <v>13.28</v>
      </c>
      <c r="Y40" s="53">
        <f t="shared" si="4"/>
        <v>13.28</v>
      </c>
      <c r="Z40" s="54"/>
      <c r="AA40" s="71"/>
      <c r="AB40" s="71"/>
      <c r="AC40" s="128"/>
      <c r="AD40" s="33"/>
      <c r="AE40" s="55"/>
    </row>
    <row r="41" spans="2:31" ht="20.100000000000001" customHeight="1">
      <c r="B41" s="48">
        <v>37</v>
      </c>
      <c r="C41" s="121" t="s">
        <v>993</v>
      </c>
      <c r="D41" s="120" t="s">
        <v>349</v>
      </c>
      <c r="E41" s="120">
        <v>2603</v>
      </c>
      <c r="F41" s="120" t="s">
        <v>700</v>
      </c>
      <c r="G41" s="120" t="s">
        <v>699</v>
      </c>
      <c r="H41" s="49">
        <v>1</v>
      </c>
      <c r="I41" s="50" t="s">
        <v>141</v>
      </c>
      <c r="J41" s="124" t="s">
        <v>202</v>
      </c>
      <c r="K41" s="50" t="s">
        <v>26</v>
      </c>
      <c r="L41" s="50" t="s">
        <v>519</v>
      </c>
      <c r="M41" s="56" t="s">
        <v>12</v>
      </c>
      <c r="N41" s="122" t="s">
        <v>612</v>
      </c>
      <c r="O41" s="57">
        <v>1</v>
      </c>
      <c r="P41" s="45">
        <v>32040</v>
      </c>
      <c r="Q41" s="58">
        <f t="shared" si="5"/>
        <v>32040</v>
      </c>
      <c r="R41" s="129" t="s">
        <v>684</v>
      </c>
      <c r="S41" s="19"/>
      <c r="T41" s="32"/>
      <c r="U41" s="32"/>
      <c r="V41" s="51">
        <f t="shared" si="1"/>
        <v>37166.399999999994</v>
      </c>
      <c r="W41" s="51">
        <f t="shared" si="2"/>
        <v>37166.399999999994</v>
      </c>
      <c r="X41" s="52">
        <f t="shared" si="3"/>
        <v>25</v>
      </c>
      <c r="Y41" s="53">
        <f t="shared" si="4"/>
        <v>25</v>
      </c>
      <c r="Z41" s="54"/>
      <c r="AA41" s="71"/>
      <c r="AB41" s="71"/>
      <c r="AC41" s="128"/>
      <c r="AD41" s="33"/>
      <c r="AE41" s="55"/>
    </row>
    <row r="42" spans="2:31" ht="20.100000000000001" customHeight="1">
      <c r="B42" s="48">
        <v>38</v>
      </c>
      <c r="C42" s="121" t="s">
        <v>993</v>
      </c>
      <c r="D42" s="120" t="s">
        <v>349</v>
      </c>
      <c r="E42" s="120">
        <v>2603</v>
      </c>
      <c r="F42" s="120" t="s">
        <v>700</v>
      </c>
      <c r="G42" s="120" t="s">
        <v>699</v>
      </c>
      <c r="H42" s="49">
        <v>1</v>
      </c>
      <c r="I42" s="50" t="s">
        <v>140</v>
      </c>
      <c r="J42" s="124" t="s">
        <v>374</v>
      </c>
      <c r="K42" s="50" t="s">
        <v>26</v>
      </c>
      <c r="L42" s="50" t="s">
        <v>519</v>
      </c>
      <c r="M42" s="56" t="s">
        <v>12</v>
      </c>
      <c r="N42" s="122" t="s">
        <v>612</v>
      </c>
      <c r="O42" s="57">
        <v>3</v>
      </c>
      <c r="P42" s="45">
        <v>5160</v>
      </c>
      <c r="Q42" s="58">
        <f t="shared" si="5"/>
        <v>15480</v>
      </c>
      <c r="R42" s="129" t="s">
        <v>684</v>
      </c>
      <c r="S42" s="19"/>
      <c r="T42" s="32"/>
      <c r="U42" s="32"/>
      <c r="V42" s="51">
        <f t="shared" si="1"/>
        <v>5985.5999999999995</v>
      </c>
      <c r="W42" s="51">
        <f t="shared" si="2"/>
        <v>17956.8</v>
      </c>
      <c r="X42" s="52">
        <f t="shared" si="3"/>
        <v>4.03</v>
      </c>
      <c r="Y42" s="53">
        <f t="shared" si="4"/>
        <v>12.09</v>
      </c>
      <c r="Z42" s="54"/>
      <c r="AA42" s="71"/>
      <c r="AB42" s="71"/>
      <c r="AC42" s="128"/>
      <c r="AD42" s="33"/>
      <c r="AE42" s="55"/>
    </row>
    <row r="43" spans="2:31" ht="20.100000000000001" customHeight="1">
      <c r="B43" s="48">
        <v>39</v>
      </c>
      <c r="C43" s="121" t="s">
        <v>993</v>
      </c>
      <c r="D43" s="120" t="s">
        <v>349</v>
      </c>
      <c r="E43" s="120">
        <v>2603</v>
      </c>
      <c r="F43" s="120" t="s">
        <v>700</v>
      </c>
      <c r="G43" s="120" t="s">
        <v>699</v>
      </c>
      <c r="H43" s="49">
        <v>2</v>
      </c>
      <c r="I43" s="50" t="s">
        <v>391</v>
      </c>
      <c r="J43" s="124" t="s">
        <v>77</v>
      </c>
      <c r="K43" s="50" t="s">
        <v>34</v>
      </c>
      <c r="L43" s="50" t="s">
        <v>519</v>
      </c>
      <c r="M43" s="56" t="s">
        <v>12</v>
      </c>
      <c r="N43" s="122" t="s">
        <v>665</v>
      </c>
      <c r="O43" s="57">
        <v>16</v>
      </c>
      <c r="P43" s="45">
        <v>3300</v>
      </c>
      <c r="Q43" s="58">
        <f t="shared" si="5"/>
        <v>52800</v>
      </c>
      <c r="R43" s="129" t="s">
        <v>684</v>
      </c>
      <c r="S43" s="19"/>
      <c r="T43" s="32"/>
      <c r="U43" s="32"/>
      <c r="V43" s="51">
        <f t="shared" si="1"/>
        <v>3827.9999999999995</v>
      </c>
      <c r="W43" s="51">
        <f t="shared" si="2"/>
        <v>61247.999999999993</v>
      </c>
      <c r="X43" s="52">
        <f t="shared" si="3"/>
        <v>2.57</v>
      </c>
      <c r="Y43" s="53">
        <f t="shared" si="4"/>
        <v>41.12</v>
      </c>
      <c r="Z43" s="54"/>
      <c r="AA43" s="71"/>
      <c r="AB43" s="71"/>
      <c r="AC43" s="128"/>
      <c r="AD43" s="33"/>
      <c r="AE43" s="55"/>
    </row>
    <row r="44" spans="2:31" ht="20.100000000000001" customHeight="1">
      <c r="B44" s="48">
        <v>40</v>
      </c>
      <c r="C44" s="121" t="s">
        <v>993</v>
      </c>
      <c r="D44" s="120" t="s">
        <v>349</v>
      </c>
      <c r="E44" s="120">
        <v>2603</v>
      </c>
      <c r="F44" s="120" t="s">
        <v>700</v>
      </c>
      <c r="G44" s="120" t="s">
        <v>699</v>
      </c>
      <c r="H44" s="49">
        <v>1</v>
      </c>
      <c r="I44" s="50" t="s">
        <v>41</v>
      </c>
      <c r="J44" s="124" t="s">
        <v>378</v>
      </c>
      <c r="K44" s="50" t="s">
        <v>26</v>
      </c>
      <c r="L44" s="50" t="s">
        <v>519</v>
      </c>
      <c r="M44" s="56" t="s">
        <v>12</v>
      </c>
      <c r="N44" s="122" t="s">
        <v>612</v>
      </c>
      <c r="O44" s="57">
        <v>2</v>
      </c>
      <c r="P44" s="45">
        <v>24640</v>
      </c>
      <c r="Q44" s="58">
        <f t="shared" si="5"/>
        <v>49280</v>
      </c>
      <c r="R44" s="129" t="s">
        <v>684</v>
      </c>
      <c r="S44" s="19"/>
      <c r="T44" s="32"/>
      <c r="U44" s="32"/>
      <c r="V44" s="51">
        <f t="shared" si="1"/>
        <v>28582.399999999998</v>
      </c>
      <c r="W44" s="51">
        <f t="shared" si="2"/>
        <v>57164.799999999996</v>
      </c>
      <c r="X44" s="52">
        <f t="shared" si="3"/>
        <v>19.23</v>
      </c>
      <c r="Y44" s="53">
        <f t="shared" si="4"/>
        <v>38.46</v>
      </c>
      <c r="Z44" s="54"/>
      <c r="AA44" s="71"/>
      <c r="AB44" s="71"/>
      <c r="AC44" s="128"/>
      <c r="AD44" s="33"/>
      <c r="AE44" s="55"/>
    </row>
    <row r="45" spans="2:31" ht="20.100000000000001" customHeight="1">
      <c r="B45" s="48">
        <v>41</v>
      </c>
      <c r="C45" s="121" t="s">
        <v>993</v>
      </c>
      <c r="D45" s="120" t="s">
        <v>349</v>
      </c>
      <c r="E45" s="120">
        <v>2603</v>
      </c>
      <c r="F45" s="120" t="s">
        <v>700</v>
      </c>
      <c r="G45" s="120" t="s">
        <v>699</v>
      </c>
      <c r="H45" s="49">
        <v>1</v>
      </c>
      <c r="I45" s="50" t="s">
        <v>616</v>
      </c>
      <c r="J45" s="124" t="s">
        <v>376</v>
      </c>
      <c r="K45" s="50" t="s">
        <v>26</v>
      </c>
      <c r="L45" s="50" t="s">
        <v>519</v>
      </c>
      <c r="M45" s="56" t="s">
        <v>12</v>
      </c>
      <c r="N45" s="122" t="s">
        <v>612</v>
      </c>
      <c r="O45" s="57">
        <v>9</v>
      </c>
      <c r="P45" s="45">
        <v>37630</v>
      </c>
      <c r="Q45" s="58">
        <f t="shared" si="5"/>
        <v>338670</v>
      </c>
      <c r="R45" s="129" t="s">
        <v>684</v>
      </c>
      <c r="S45" s="19"/>
      <c r="T45" s="32"/>
      <c r="U45" s="32"/>
      <c r="V45" s="51">
        <f t="shared" si="1"/>
        <v>43650.799999999996</v>
      </c>
      <c r="W45" s="51">
        <f t="shared" si="2"/>
        <v>392857.19999999995</v>
      </c>
      <c r="X45" s="52">
        <f t="shared" si="3"/>
        <v>29.36</v>
      </c>
      <c r="Y45" s="53">
        <f t="shared" si="4"/>
        <v>264.24</v>
      </c>
      <c r="Z45" s="54"/>
      <c r="AA45" s="71"/>
      <c r="AB45" s="71"/>
      <c r="AC45" s="128"/>
      <c r="AD45" s="33"/>
      <c r="AE45" s="55"/>
    </row>
    <row r="46" spans="2:31" ht="20.100000000000001" customHeight="1">
      <c r="B46" s="48">
        <v>42</v>
      </c>
      <c r="C46" s="121" t="s">
        <v>993</v>
      </c>
      <c r="D46" s="120" t="s">
        <v>349</v>
      </c>
      <c r="E46" s="120">
        <v>2603</v>
      </c>
      <c r="F46" s="120" t="s">
        <v>700</v>
      </c>
      <c r="G46" s="120" t="s">
        <v>699</v>
      </c>
      <c r="H46" s="49">
        <v>1</v>
      </c>
      <c r="I46" s="50" t="s">
        <v>41</v>
      </c>
      <c r="J46" s="124" t="s">
        <v>377</v>
      </c>
      <c r="K46" s="50" t="s">
        <v>26</v>
      </c>
      <c r="L46" s="50" t="s">
        <v>519</v>
      </c>
      <c r="M46" s="56" t="s">
        <v>12</v>
      </c>
      <c r="N46" s="122" t="s">
        <v>612</v>
      </c>
      <c r="O46" s="57">
        <v>1</v>
      </c>
      <c r="P46" s="45">
        <v>13040</v>
      </c>
      <c r="Q46" s="58">
        <f t="shared" si="5"/>
        <v>13040</v>
      </c>
      <c r="R46" s="129" t="s">
        <v>684</v>
      </c>
      <c r="S46" s="19"/>
      <c r="T46" s="32"/>
      <c r="U46" s="32"/>
      <c r="V46" s="51">
        <f t="shared" si="1"/>
        <v>15126.4</v>
      </c>
      <c r="W46" s="51">
        <f t="shared" si="2"/>
        <v>15126.4</v>
      </c>
      <c r="X46" s="52">
        <f t="shared" si="3"/>
        <v>10.17</v>
      </c>
      <c r="Y46" s="53">
        <f t="shared" si="4"/>
        <v>10.17</v>
      </c>
      <c r="Z46" s="54"/>
      <c r="AA46" s="71"/>
      <c r="AB46" s="71"/>
      <c r="AC46" s="128"/>
      <c r="AD46" s="33"/>
      <c r="AE46" s="55"/>
    </row>
    <row r="47" spans="2:31" ht="20.100000000000001" customHeight="1">
      <c r="B47" s="48">
        <v>43</v>
      </c>
      <c r="C47" s="121" t="s">
        <v>993</v>
      </c>
      <c r="D47" s="120" t="s">
        <v>349</v>
      </c>
      <c r="E47" s="120">
        <v>2603</v>
      </c>
      <c r="F47" s="120" t="s">
        <v>700</v>
      </c>
      <c r="G47" s="120" t="s">
        <v>699</v>
      </c>
      <c r="H47" s="49">
        <v>1</v>
      </c>
      <c r="I47" s="50" t="s">
        <v>379</v>
      </c>
      <c r="J47" s="124" t="s">
        <v>380</v>
      </c>
      <c r="K47" s="50" t="s">
        <v>26</v>
      </c>
      <c r="L47" s="50" t="s">
        <v>519</v>
      </c>
      <c r="M47" s="56" t="s">
        <v>12</v>
      </c>
      <c r="N47" s="122" t="s">
        <v>612</v>
      </c>
      <c r="O47" s="57">
        <v>4</v>
      </c>
      <c r="P47" s="45">
        <v>2240</v>
      </c>
      <c r="Q47" s="58">
        <f t="shared" si="5"/>
        <v>8960</v>
      </c>
      <c r="R47" s="129" t="s">
        <v>684</v>
      </c>
      <c r="S47" s="19"/>
      <c r="T47" s="32"/>
      <c r="U47" s="32"/>
      <c r="V47" s="51">
        <f t="shared" si="1"/>
        <v>2598.3999999999996</v>
      </c>
      <c r="W47" s="51">
        <f t="shared" si="2"/>
        <v>10393.599999999999</v>
      </c>
      <c r="X47" s="52">
        <f t="shared" si="3"/>
        <v>1.75</v>
      </c>
      <c r="Y47" s="53">
        <f t="shared" si="4"/>
        <v>7</v>
      </c>
      <c r="Z47" s="54"/>
      <c r="AA47" s="71"/>
      <c r="AB47" s="71"/>
      <c r="AC47" s="128"/>
      <c r="AD47" s="33"/>
      <c r="AE47" s="55"/>
    </row>
    <row r="48" spans="2:31" ht="20.100000000000001" customHeight="1">
      <c r="B48" s="48">
        <v>44</v>
      </c>
      <c r="C48" s="121" t="s">
        <v>993</v>
      </c>
      <c r="D48" s="120" t="s">
        <v>349</v>
      </c>
      <c r="E48" s="120">
        <v>2603</v>
      </c>
      <c r="F48" s="120" t="s">
        <v>700</v>
      </c>
      <c r="G48" s="120" t="s">
        <v>699</v>
      </c>
      <c r="H48" s="49">
        <v>1</v>
      </c>
      <c r="I48" s="50" t="s">
        <v>616</v>
      </c>
      <c r="J48" s="124" t="s">
        <v>381</v>
      </c>
      <c r="K48" s="50" t="s">
        <v>26</v>
      </c>
      <c r="L48" s="50" t="s">
        <v>519</v>
      </c>
      <c r="M48" s="56" t="s">
        <v>12</v>
      </c>
      <c r="N48" s="122" t="s">
        <v>612</v>
      </c>
      <c r="O48" s="57">
        <v>3</v>
      </c>
      <c r="P48" s="45">
        <v>37630</v>
      </c>
      <c r="Q48" s="58">
        <f t="shared" si="5"/>
        <v>112890</v>
      </c>
      <c r="R48" s="129" t="s">
        <v>684</v>
      </c>
      <c r="S48" s="19"/>
      <c r="T48" s="32"/>
      <c r="U48" s="32"/>
      <c r="V48" s="51">
        <f t="shared" si="1"/>
        <v>43650.799999999996</v>
      </c>
      <c r="W48" s="51">
        <f t="shared" si="2"/>
        <v>130952.4</v>
      </c>
      <c r="X48" s="52">
        <f t="shared" si="3"/>
        <v>29.36</v>
      </c>
      <c r="Y48" s="53">
        <f t="shared" si="4"/>
        <v>88.08</v>
      </c>
      <c r="Z48" s="54"/>
      <c r="AA48" s="71"/>
      <c r="AB48" s="71"/>
      <c r="AC48" s="128"/>
      <c r="AD48" s="33"/>
      <c r="AE48" s="55"/>
    </row>
    <row r="49" spans="2:31" ht="20.100000000000001" customHeight="1">
      <c r="B49" s="48">
        <v>45</v>
      </c>
      <c r="C49" s="121" t="s">
        <v>993</v>
      </c>
      <c r="D49" s="120" t="s">
        <v>349</v>
      </c>
      <c r="E49" s="120">
        <v>2603</v>
      </c>
      <c r="F49" s="120" t="s">
        <v>700</v>
      </c>
      <c r="G49" s="120" t="s">
        <v>699</v>
      </c>
      <c r="H49" s="49">
        <v>1</v>
      </c>
      <c r="I49" s="50" t="s">
        <v>616</v>
      </c>
      <c r="J49" s="124" t="s">
        <v>384</v>
      </c>
      <c r="K49" s="50" t="s">
        <v>26</v>
      </c>
      <c r="L49" s="50" t="s">
        <v>519</v>
      </c>
      <c r="M49" s="56" t="s">
        <v>12</v>
      </c>
      <c r="N49" s="122" t="s">
        <v>612</v>
      </c>
      <c r="O49" s="57">
        <v>3</v>
      </c>
      <c r="P49" s="45">
        <v>40570</v>
      </c>
      <c r="Q49" s="58">
        <f t="shared" si="5"/>
        <v>121710</v>
      </c>
      <c r="R49" s="129" t="s">
        <v>684</v>
      </c>
      <c r="S49" s="19"/>
      <c r="T49" s="32"/>
      <c r="U49" s="32"/>
      <c r="V49" s="51">
        <f t="shared" si="1"/>
        <v>47061.2</v>
      </c>
      <c r="W49" s="51">
        <f t="shared" si="2"/>
        <v>141183.59999999998</v>
      </c>
      <c r="X49" s="52">
        <f t="shared" si="3"/>
        <v>31.66</v>
      </c>
      <c r="Y49" s="53">
        <f t="shared" si="4"/>
        <v>94.98</v>
      </c>
      <c r="Z49" s="54"/>
      <c r="AA49" s="71"/>
      <c r="AB49" s="71"/>
      <c r="AC49" s="128"/>
      <c r="AD49" s="33"/>
      <c r="AE49" s="55"/>
    </row>
    <row r="50" spans="2:31" ht="20.100000000000001" customHeight="1">
      <c r="B50" s="48">
        <v>46</v>
      </c>
      <c r="C50" s="121" t="s">
        <v>993</v>
      </c>
      <c r="D50" s="120" t="s">
        <v>349</v>
      </c>
      <c r="E50" s="120">
        <v>2603</v>
      </c>
      <c r="F50" s="120" t="s">
        <v>700</v>
      </c>
      <c r="G50" s="120" t="s">
        <v>699</v>
      </c>
      <c r="H50" s="49">
        <v>1</v>
      </c>
      <c r="I50" s="50" t="s">
        <v>382</v>
      </c>
      <c r="J50" s="124" t="s">
        <v>188</v>
      </c>
      <c r="K50" s="50" t="s">
        <v>26</v>
      </c>
      <c r="L50" s="50" t="s">
        <v>519</v>
      </c>
      <c r="M50" s="56" t="s">
        <v>12</v>
      </c>
      <c r="N50" s="122" t="s">
        <v>612</v>
      </c>
      <c r="O50" s="57">
        <v>4</v>
      </c>
      <c r="P50" s="45">
        <v>7740</v>
      </c>
      <c r="Q50" s="58">
        <f t="shared" si="5"/>
        <v>30960</v>
      </c>
      <c r="R50" s="129" t="s">
        <v>684</v>
      </c>
      <c r="S50" s="19"/>
      <c r="T50" s="32"/>
      <c r="U50" s="32"/>
      <c r="V50" s="51">
        <f t="shared" si="1"/>
        <v>8978.4</v>
      </c>
      <c r="W50" s="51">
        <f t="shared" si="2"/>
        <v>35913.599999999999</v>
      </c>
      <c r="X50" s="52">
        <f t="shared" si="3"/>
        <v>6.04</v>
      </c>
      <c r="Y50" s="53">
        <f t="shared" si="4"/>
        <v>24.16</v>
      </c>
      <c r="Z50" s="54"/>
      <c r="AA50" s="71"/>
      <c r="AB50" s="71"/>
      <c r="AC50" s="128"/>
      <c r="AD50" s="33"/>
      <c r="AE50" s="55"/>
    </row>
    <row r="51" spans="2:31" ht="20.100000000000001" customHeight="1">
      <c r="B51" s="48">
        <v>47</v>
      </c>
      <c r="C51" s="121" t="s">
        <v>993</v>
      </c>
      <c r="D51" s="120" t="s">
        <v>349</v>
      </c>
      <c r="E51" s="120">
        <v>2603</v>
      </c>
      <c r="F51" s="120" t="s">
        <v>700</v>
      </c>
      <c r="G51" s="120" t="s">
        <v>699</v>
      </c>
      <c r="H51" s="49">
        <v>1</v>
      </c>
      <c r="I51" s="50" t="s">
        <v>27</v>
      </c>
      <c r="J51" s="124" t="s">
        <v>203</v>
      </c>
      <c r="K51" s="50" t="s">
        <v>26</v>
      </c>
      <c r="L51" s="50" t="s">
        <v>519</v>
      </c>
      <c r="M51" s="56" t="s">
        <v>12</v>
      </c>
      <c r="N51" s="122" t="s">
        <v>612</v>
      </c>
      <c r="O51" s="57">
        <v>2</v>
      </c>
      <c r="P51" s="45">
        <v>216130</v>
      </c>
      <c r="Q51" s="58">
        <f t="shared" si="5"/>
        <v>432260</v>
      </c>
      <c r="R51" s="129" t="s">
        <v>684</v>
      </c>
      <c r="S51" s="19"/>
      <c r="T51" s="32"/>
      <c r="U51" s="32"/>
      <c r="V51" s="51">
        <f t="shared" si="1"/>
        <v>250710.8</v>
      </c>
      <c r="W51" s="51">
        <f t="shared" si="2"/>
        <v>501421.6</v>
      </c>
      <c r="X51" s="52">
        <f t="shared" si="3"/>
        <v>168.64</v>
      </c>
      <c r="Y51" s="53">
        <f t="shared" si="4"/>
        <v>337.28</v>
      </c>
      <c r="Z51" s="54"/>
      <c r="AA51" s="71"/>
      <c r="AB51" s="71"/>
      <c r="AC51" s="128"/>
      <c r="AD51" s="33"/>
      <c r="AE51" s="55"/>
    </row>
    <row r="52" spans="2:31" ht="20.100000000000001" customHeight="1">
      <c r="B52" s="48">
        <v>48</v>
      </c>
      <c r="C52" s="121" t="s">
        <v>993</v>
      </c>
      <c r="D52" s="120" t="s">
        <v>349</v>
      </c>
      <c r="E52" s="120">
        <v>2603</v>
      </c>
      <c r="F52" s="120" t="s">
        <v>700</v>
      </c>
      <c r="G52" s="120" t="s">
        <v>699</v>
      </c>
      <c r="H52" s="49">
        <v>1</v>
      </c>
      <c r="I52" s="50" t="s">
        <v>27</v>
      </c>
      <c r="J52" s="124" t="s">
        <v>204</v>
      </c>
      <c r="K52" s="50" t="s">
        <v>26</v>
      </c>
      <c r="L52" s="50" t="s">
        <v>519</v>
      </c>
      <c r="M52" s="56" t="s">
        <v>12</v>
      </c>
      <c r="N52" s="122" t="s">
        <v>612</v>
      </c>
      <c r="O52" s="57">
        <v>2</v>
      </c>
      <c r="P52" s="45">
        <v>218480</v>
      </c>
      <c r="Q52" s="58">
        <f t="shared" si="5"/>
        <v>436960</v>
      </c>
      <c r="R52" s="129" t="s">
        <v>684</v>
      </c>
      <c r="S52" s="19"/>
      <c r="T52" s="32"/>
      <c r="U52" s="32"/>
      <c r="V52" s="51">
        <f t="shared" si="1"/>
        <v>253436.79999999999</v>
      </c>
      <c r="W52" s="51">
        <f t="shared" si="2"/>
        <v>506873.59999999998</v>
      </c>
      <c r="X52" s="52">
        <f t="shared" si="3"/>
        <v>170.48</v>
      </c>
      <c r="Y52" s="53">
        <f t="shared" si="4"/>
        <v>340.96</v>
      </c>
      <c r="Z52" s="54"/>
      <c r="AA52" s="71"/>
      <c r="AB52" s="71"/>
      <c r="AC52" s="128"/>
      <c r="AD52" s="33"/>
      <c r="AE52" s="55"/>
    </row>
    <row r="53" spans="2:31" ht="20.100000000000001" customHeight="1">
      <c r="B53" s="48">
        <v>49</v>
      </c>
      <c r="C53" s="121" t="s">
        <v>993</v>
      </c>
      <c r="D53" s="120" t="s">
        <v>349</v>
      </c>
      <c r="E53" s="120">
        <v>2603</v>
      </c>
      <c r="F53" s="120" t="s">
        <v>700</v>
      </c>
      <c r="G53" s="120" t="s">
        <v>699</v>
      </c>
      <c r="H53" s="49">
        <v>1</v>
      </c>
      <c r="I53" s="50" t="s">
        <v>27</v>
      </c>
      <c r="J53" s="124" t="s">
        <v>385</v>
      </c>
      <c r="K53" s="50" t="s">
        <v>26</v>
      </c>
      <c r="L53" s="50" t="s">
        <v>519</v>
      </c>
      <c r="M53" s="56" t="s">
        <v>12</v>
      </c>
      <c r="N53" s="122" t="s">
        <v>612</v>
      </c>
      <c r="O53" s="57">
        <v>1</v>
      </c>
      <c r="P53" s="45">
        <v>264270</v>
      </c>
      <c r="Q53" s="58">
        <f t="shared" si="5"/>
        <v>264270</v>
      </c>
      <c r="R53" s="129" t="s">
        <v>684</v>
      </c>
      <c r="S53" s="19"/>
      <c r="T53" s="32"/>
      <c r="U53" s="32"/>
      <c r="V53" s="51">
        <f t="shared" si="1"/>
        <v>306553.19999999995</v>
      </c>
      <c r="W53" s="51">
        <f t="shared" si="2"/>
        <v>306553.19999999995</v>
      </c>
      <c r="X53" s="52">
        <f t="shared" si="3"/>
        <v>206.21</v>
      </c>
      <c r="Y53" s="53">
        <f t="shared" si="4"/>
        <v>206.21</v>
      </c>
      <c r="Z53" s="54"/>
      <c r="AA53" s="71"/>
      <c r="AB53" s="71"/>
      <c r="AC53" s="128"/>
      <c r="AD53" s="33"/>
      <c r="AE53" s="55"/>
    </row>
    <row r="54" spans="2:31" ht="20.100000000000001" customHeight="1">
      <c r="B54" s="48">
        <v>50</v>
      </c>
      <c r="C54" s="121" t="s">
        <v>993</v>
      </c>
      <c r="D54" s="120" t="s">
        <v>349</v>
      </c>
      <c r="E54" s="120">
        <v>2603</v>
      </c>
      <c r="F54" s="120" t="s">
        <v>700</v>
      </c>
      <c r="G54" s="120" t="s">
        <v>699</v>
      </c>
      <c r="H54" s="49">
        <v>2</v>
      </c>
      <c r="I54" s="50" t="s">
        <v>36</v>
      </c>
      <c r="J54" s="124" t="s">
        <v>641</v>
      </c>
      <c r="K54" s="50" t="s">
        <v>34</v>
      </c>
      <c r="L54" s="50" t="s">
        <v>519</v>
      </c>
      <c r="M54" s="56" t="s">
        <v>12</v>
      </c>
      <c r="N54" s="122" t="s">
        <v>665</v>
      </c>
      <c r="O54" s="57">
        <v>17</v>
      </c>
      <c r="P54" s="45">
        <v>2800</v>
      </c>
      <c r="Q54" s="58">
        <f t="shared" si="5"/>
        <v>47600</v>
      </c>
      <c r="R54" s="129" t="s">
        <v>684</v>
      </c>
      <c r="S54" s="19"/>
      <c r="T54" s="32"/>
      <c r="U54" s="32"/>
      <c r="V54" s="51">
        <f t="shared" si="1"/>
        <v>3248</v>
      </c>
      <c r="W54" s="51">
        <f t="shared" si="2"/>
        <v>55216</v>
      </c>
      <c r="X54" s="52">
        <f t="shared" si="3"/>
        <v>2.1800000000000002</v>
      </c>
      <c r="Y54" s="53">
        <f t="shared" si="4"/>
        <v>37.06</v>
      </c>
      <c r="Z54" s="54"/>
      <c r="AA54" s="71"/>
      <c r="AB54" s="71"/>
      <c r="AC54" s="128"/>
      <c r="AD54" s="33"/>
      <c r="AE54" s="55"/>
    </row>
    <row r="55" spans="2:31" ht="20.100000000000001" customHeight="1">
      <c r="B55" s="48">
        <v>51</v>
      </c>
      <c r="C55" s="121" t="s">
        <v>993</v>
      </c>
      <c r="D55" s="120" t="s">
        <v>349</v>
      </c>
      <c r="E55" s="120">
        <v>2603</v>
      </c>
      <c r="F55" s="120" t="s">
        <v>700</v>
      </c>
      <c r="G55" s="120" t="s">
        <v>699</v>
      </c>
      <c r="H55" s="49">
        <v>2</v>
      </c>
      <c r="I55" s="50" t="s">
        <v>392</v>
      </c>
      <c r="J55" s="124" t="s">
        <v>78</v>
      </c>
      <c r="K55" s="50" t="s">
        <v>34</v>
      </c>
      <c r="L55" s="50" t="s">
        <v>519</v>
      </c>
      <c r="M55" s="56" t="s">
        <v>12</v>
      </c>
      <c r="N55" s="122" t="s">
        <v>665</v>
      </c>
      <c r="O55" s="57">
        <v>4</v>
      </c>
      <c r="P55" s="45">
        <v>7000</v>
      </c>
      <c r="Q55" s="58">
        <f t="shared" si="5"/>
        <v>28000</v>
      </c>
      <c r="R55" s="129" t="s">
        <v>684</v>
      </c>
      <c r="S55" s="19"/>
      <c r="T55" s="32"/>
      <c r="U55" s="32"/>
      <c r="V55" s="51">
        <f t="shared" si="1"/>
        <v>8119.9999999999991</v>
      </c>
      <c r="W55" s="51">
        <f t="shared" si="2"/>
        <v>32479.999999999996</v>
      </c>
      <c r="X55" s="52">
        <f t="shared" si="3"/>
        <v>5.46</v>
      </c>
      <c r="Y55" s="53">
        <f t="shared" si="4"/>
        <v>21.84</v>
      </c>
      <c r="Z55" s="54"/>
      <c r="AA55" s="71"/>
      <c r="AB55" s="71"/>
      <c r="AC55" s="128"/>
      <c r="AD55" s="33"/>
      <c r="AE55" s="55"/>
    </row>
    <row r="56" spans="2:31" ht="20.100000000000001" customHeight="1">
      <c r="B56" s="48">
        <v>52</v>
      </c>
      <c r="C56" s="121" t="s">
        <v>993</v>
      </c>
      <c r="D56" s="120" t="s">
        <v>349</v>
      </c>
      <c r="E56" s="120">
        <v>2603</v>
      </c>
      <c r="F56" s="120" t="s">
        <v>700</v>
      </c>
      <c r="G56" s="120" t="s">
        <v>699</v>
      </c>
      <c r="H56" s="49">
        <v>2</v>
      </c>
      <c r="I56" s="50" t="s">
        <v>935</v>
      </c>
      <c r="J56" s="124" t="s">
        <v>213</v>
      </c>
      <c r="K56" s="50" t="s">
        <v>30</v>
      </c>
      <c r="L56" s="50" t="s">
        <v>519</v>
      </c>
      <c r="M56" s="56" t="s">
        <v>12</v>
      </c>
      <c r="N56" s="122" t="s">
        <v>665</v>
      </c>
      <c r="O56" s="57">
        <v>1</v>
      </c>
      <c r="P56" s="45">
        <v>230</v>
      </c>
      <c r="Q56" s="58">
        <f t="shared" si="5"/>
        <v>230</v>
      </c>
      <c r="R56" s="129" t="s">
        <v>684</v>
      </c>
      <c r="S56" s="19"/>
      <c r="T56" s="32"/>
      <c r="U56" s="32"/>
      <c r="V56" s="51">
        <f t="shared" si="1"/>
        <v>266.79999999999995</v>
      </c>
      <c r="W56" s="51">
        <f t="shared" si="2"/>
        <v>266.79999999999995</v>
      </c>
      <c r="X56" s="52">
        <f t="shared" si="3"/>
        <v>0.18</v>
      </c>
      <c r="Y56" s="53">
        <f t="shared" si="4"/>
        <v>0.18</v>
      </c>
      <c r="Z56" s="54"/>
      <c r="AA56" s="71"/>
      <c r="AB56" s="71"/>
      <c r="AC56" s="128"/>
      <c r="AD56" s="33"/>
      <c r="AE56" s="55"/>
    </row>
    <row r="57" spans="2:31" ht="20.100000000000001" customHeight="1">
      <c r="B57" s="48">
        <v>53</v>
      </c>
      <c r="C57" s="121" t="s">
        <v>993</v>
      </c>
      <c r="D57" s="120" t="s">
        <v>349</v>
      </c>
      <c r="E57" s="120">
        <v>2603</v>
      </c>
      <c r="F57" s="120" t="s">
        <v>700</v>
      </c>
      <c r="G57" s="120" t="s">
        <v>699</v>
      </c>
      <c r="H57" s="49">
        <v>2</v>
      </c>
      <c r="I57" s="50" t="s">
        <v>938</v>
      </c>
      <c r="J57" s="124" t="s">
        <v>99</v>
      </c>
      <c r="K57" s="50" t="s">
        <v>210</v>
      </c>
      <c r="L57" s="50" t="s">
        <v>519</v>
      </c>
      <c r="M57" s="56" t="s">
        <v>12</v>
      </c>
      <c r="N57" s="122" t="s">
        <v>665</v>
      </c>
      <c r="O57" s="57">
        <v>4</v>
      </c>
      <c r="P57" s="45">
        <v>13500</v>
      </c>
      <c r="Q57" s="58">
        <f t="shared" si="5"/>
        <v>54000</v>
      </c>
      <c r="R57" s="129" t="s">
        <v>684</v>
      </c>
      <c r="S57" s="19"/>
      <c r="T57" s="32"/>
      <c r="U57" s="32"/>
      <c r="V57" s="51">
        <f t="shared" si="1"/>
        <v>15659.999999999998</v>
      </c>
      <c r="W57" s="51">
        <f t="shared" si="2"/>
        <v>62639.999999999993</v>
      </c>
      <c r="X57" s="52">
        <f t="shared" si="3"/>
        <v>10.53</v>
      </c>
      <c r="Y57" s="53">
        <f t="shared" si="4"/>
        <v>42.12</v>
      </c>
      <c r="Z57" s="54"/>
      <c r="AA57" s="71"/>
      <c r="AB57" s="71"/>
      <c r="AC57" s="128"/>
      <c r="AD57" s="33"/>
      <c r="AE57" s="55"/>
    </row>
    <row r="58" spans="2:31" ht="20.100000000000001" customHeight="1">
      <c r="B58" s="48">
        <v>54</v>
      </c>
      <c r="C58" s="121" t="s">
        <v>993</v>
      </c>
      <c r="D58" s="120" t="s">
        <v>349</v>
      </c>
      <c r="E58" s="120">
        <v>2603</v>
      </c>
      <c r="F58" s="120" t="s">
        <v>700</v>
      </c>
      <c r="G58" s="120" t="s">
        <v>699</v>
      </c>
      <c r="H58" s="49">
        <v>2</v>
      </c>
      <c r="I58" s="50" t="s">
        <v>72</v>
      </c>
      <c r="J58" s="124" t="s">
        <v>640</v>
      </c>
      <c r="K58" s="50" t="s">
        <v>649</v>
      </c>
      <c r="L58" s="50" t="s">
        <v>519</v>
      </c>
      <c r="M58" s="56" t="s">
        <v>12</v>
      </c>
      <c r="N58" s="122" t="s">
        <v>665</v>
      </c>
      <c r="O58" s="57">
        <v>4</v>
      </c>
      <c r="P58" s="45">
        <v>300</v>
      </c>
      <c r="Q58" s="58">
        <f t="shared" si="5"/>
        <v>1200</v>
      </c>
      <c r="R58" s="129" t="s">
        <v>684</v>
      </c>
      <c r="S58" s="19"/>
      <c r="T58" s="32"/>
      <c r="U58" s="32"/>
      <c r="V58" s="51">
        <f t="shared" si="1"/>
        <v>348</v>
      </c>
      <c r="W58" s="51">
        <f t="shared" si="2"/>
        <v>1392</v>
      </c>
      <c r="X58" s="52">
        <f t="shared" si="3"/>
        <v>0.23</v>
      </c>
      <c r="Y58" s="53">
        <f t="shared" si="4"/>
        <v>0.92</v>
      </c>
      <c r="Z58" s="54"/>
      <c r="AA58" s="71"/>
      <c r="AB58" s="71"/>
      <c r="AC58" s="128"/>
      <c r="AD58" s="33"/>
      <c r="AE58" s="55"/>
    </row>
    <row r="59" spans="2:31" ht="20.100000000000001" customHeight="1">
      <c r="B59" s="48">
        <v>55</v>
      </c>
      <c r="C59" s="121" t="s">
        <v>993</v>
      </c>
      <c r="D59" s="120" t="s">
        <v>349</v>
      </c>
      <c r="E59" s="120">
        <v>2603</v>
      </c>
      <c r="F59" s="120" t="s">
        <v>700</v>
      </c>
      <c r="G59" s="120" t="s">
        <v>699</v>
      </c>
      <c r="H59" s="49">
        <v>1</v>
      </c>
      <c r="I59" s="50" t="s">
        <v>27</v>
      </c>
      <c r="J59" s="124" t="s">
        <v>386</v>
      </c>
      <c r="K59" s="50" t="s">
        <v>26</v>
      </c>
      <c r="L59" s="50" t="s">
        <v>519</v>
      </c>
      <c r="M59" s="56" t="s">
        <v>12</v>
      </c>
      <c r="N59" s="122" t="s">
        <v>666</v>
      </c>
      <c r="O59" s="57">
        <v>1</v>
      </c>
      <c r="P59" s="45">
        <v>266450</v>
      </c>
      <c r="Q59" s="58">
        <f t="shared" si="5"/>
        <v>266450</v>
      </c>
      <c r="R59" s="129" t="s">
        <v>684</v>
      </c>
      <c r="S59" s="19"/>
      <c r="T59" s="32"/>
      <c r="U59" s="32"/>
      <c r="V59" s="51">
        <f t="shared" si="1"/>
        <v>309082</v>
      </c>
      <c r="W59" s="51">
        <f t="shared" si="2"/>
        <v>309082</v>
      </c>
      <c r="X59" s="52">
        <f t="shared" si="3"/>
        <v>207.91</v>
      </c>
      <c r="Y59" s="53">
        <f t="shared" si="4"/>
        <v>207.91</v>
      </c>
      <c r="Z59" s="54"/>
      <c r="AA59" s="71"/>
      <c r="AB59" s="71"/>
      <c r="AC59" s="128"/>
      <c r="AD59" s="33"/>
      <c r="AE59" s="55"/>
    </row>
    <row r="60" spans="2:31" ht="20.100000000000001" customHeight="1">
      <c r="B60" s="48">
        <v>56</v>
      </c>
      <c r="C60" s="121" t="s">
        <v>993</v>
      </c>
      <c r="D60" s="120" t="s">
        <v>349</v>
      </c>
      <c r="E60" s="120">
        <v>2603</v>
      </c>
      <c r="F60" s="120" t="s">
        <v>700</v>
      </c>
      <c r="G60" s="120" t="s">
        <v>699</v>
      </c>
      <c r="H60" s="49">
        <v>1</v>
      </c>
      <c r="I60" s="50" t="s">
        <v>199</v>
      </c>
      <c r="J60" s="124" t="s">
        <v>364</v>
      </c>
      <c r="K60" s="50" t="s">
        <v>363</v>
      </c>
      <c r="L60" s="50" t="s">
        <v>519</v>
      </c>
      <c r="M60" s="56" t="s">
        <v>12</v>
      </c>
      <c r="N60" s="122" t="s">
        <v>665</v>
      </c>
      <c r="O60" s="57">
        <v>1</v>
      </c>
      <c r="P60" s="45">
        <v>6070</v>
      </c>
      <c r="Q60" s="58">
        <f t="shared" si="5"/>
        <v>6070</v>
      </c>
      <c r="R60" s="129" t="s">
        <v>684</v>
      </c>
      <c r="S60" s="19"/>
      <c r="T60" s="32"/>
      <c r="U60" s="32"/>
      <c r="V60" s="51">
        <f t="shared" si="1"/>
        <v>7041.2</v>
      </c>
      <c r="W60" s="51">
        <f t="shared" si="2"/>
        <v>7041.2</v>
      </c>
      <c r="X60" s="52">
        <f t="shared" si="3"/>
        <v>4.74</v>
      </c>
      <c r="Y60" s="53">
        <f t="shared" si="4"/>
        <v>4.74</v>
      </c>
      <c r="Z60" s="54"/>
      <c r="AA60" s="71"/>
      <c r="AB60" s="71"/>
      <c r="AC60" s="128"/>
      <c r="AD60" s="33"/>
      <c r="AE60" s="55"/>
    </row>
    <row r="61" spans="2:31" ht="20.100000000000001" customHeight="1">
      <c r="B61" s="48">
        <v>57</v>
      </c>
      <c r="C61" s="121" t="s">
        <v>993</v>
      </c>
      <c r="D61" s="120" t="s">
        <v>349</v>
      </c>
      <c r="E61" s="120">
        <v>2603</v>
      </c>
      <c r="F61" s="120" t="s">
        <v>700</v>
      </c>
      <c r="G61" s="120" t="s">
        <v>699</v>
      </c>
      <c r="H61" s="49">
        <v>1</v>
      </c>
      <c r="I61" s="50" t="s">
        <v>28</v>
      </c>
      <c r="J61" s="124" t="s">
        <v>365</v>
      </c>
      <c r="K61" s="50" t="s">
        <v>363</v>
      </c>
      <c r="L61" s="50" t="s">
        <v>519</v>
      </c>
      <c r="M61" s="56" t="s">
        <v>12</v>
      </c>
      <c r="N61" s="122" t="s">
        <v>665</v>
      </c>
      <c r="O61" s="57">
        <v>1</v>
      </c>
      <c r="P61" s="45">
        <v>790</v>
      </c>
      <c r="Q61" s="58">
        <f t="shared" si="5"/>
        <v>790</v>
      </c>
      <c r="R61" s="129" t="s">
        <v>684</v>
      </c>
      <c r="S61" s="19"/>
      <c r="T61" s="32"/>
      <c r="U61" s="32"/>
      <c r="V61" s="51">
        <f t="shared" si="1"/>
        <v>916.4</v>
      </c>
      <c r="W61" s="51">
        <f t="shared" si="2"/>
        <v>916.4</v>
      </c>
      <c r="X61" s="52">
        <f t="shared" si="3"/>
        <v>0.62</v>
      </c>
      <c r="Y61" s="53">
        <f t="shared" si="4"/>
        <v>0.62</v>
      </c>
      <c r="Z61" s="54"/>
      <c r="AA61" s="71"/>
      <c r="AB61" s="71"/>
      <c r="AC61" s="128"/>
      <c r="AD61" s="33"/>
      <c r="AE61" s="55"/>
    </row>
    <row r="62" spans="2:31" ht="20.100000000000001" customHeight="1">
      <c r="B62" s="48">
        <v>58</v>
      </c>
      <c r="C62" s="121" t="s">
        <v>993</v>
      </c>
      <c r="D62" s="120" t="s">
        <v>349</v>
      </c>
      <c r="E62" s="120">
        <v>2603</v>
      </c>
      <c r="F62" s="120" t="s">
        <v>700</v>
      </c>
      <c r="G62" s="120" t="s">
        <v>699</v>
      </c>
      <c r="H62" s="49">
        <v>1</v>
      </c>
      <c r="I62" s="50" t="s">
        <v>28</v>
      </c>
      <c r="J62" s="124" t="s">
        <v>366</v>
      </c>
      <c r="K62" s="50" t="s">
        <v>363</v>
      </c>
      <c r="L62" s="50" t="s">
        <v>519</v>
      </c>
      <c r="M62" s="56" t="s">
        <v>12</v>
      </c>
      <c r="N62" s="122" t="s">
        <v>665</v>
      </c>
      <c r="O62" s="57">
        <v>1</v>
      </c>
      <c r="P62" s="45">
        <v>5700</v>
      </c>
      <c r="Q62" s="58">
        <f t="shared" si="5"/>
        <v>5700</v>
      </c>
      <c r="R62" s="129" t="s">
        <v>684</v>
      </c>
      <c r="S62" s="19"/>
      <c r="T62" s="32"/>
      <c r="U62" s="32"/>
      <c r="V62" s="51">
        <f t="shared" si="1"/>
        <v>6611.9999999999991</v>
      </c>
      <c r="W62" s="51">
        <f t="shared" si="2"/>
        <v>6611.9999999999991</v>
      </c>
      <c r="X62" s="52">
        <f t="shared" si="3"/>
        <v>4.45</v>
      </c>
      <c r="Y62" s="53">
        <f t="shared" si="4"/>
        <v>4.45</v>
      </c>
      <c r="Z62" s="54"/>
      <c r="AA62" s="71"/>
      <c r="AB62" s="71"/>
      <c r="AC62" s="128"/>
      <c r="AD62" s="33"/>
      <c r="AE62" s="55"/>
    </row>
    <row r="63" spans="2:31" ht="20.100000000000001" customHeight="1">
      <c r="B63" s="48">
        <v>59</v>
      </c>
      <c r="C63" s="121" t="s">
        <v>993</v>
      </c>
      <c r="D63" s="120" t="s">
        <v>349</v>
      </c>
      <c r="E63" s="120">
        <v>2603</v>
      </c>
      <c r="F63" s="120" t="s">
        <v>700</v>
      </c>
      <c r="G63" s="120" t="s">
        <v>699</v>
      </c>
      <c r="H63" s="49">
        <v>1</v>
      </c>
      <c r="I63" s="50" t="s">
        <v>28</v>
      </c>
      <c r="J63" s="124" t="s">
        <v>367</v>
      </c>
      <c r="K63" s="50" t="s">
        <v>363</v>
      </c>
      <c r="L63" s="50" t="s">
        <v>519</v>
      </c>
      <c r="M63" s="56" t="s">
        <v>12</v>
      </c>
      <c r="N63" s="122" t="s">
        <v>665</v>
      </c>
      <c r="O63" s="57">
        <v>14</v>
      </c>
      <c r="P63" s="45">
        <v>620</v>
      </c>
      <c r="Q63" s="58">
        <f t="shared" si="5"/>
        <v>8680</v>
      </c>
      <c r="R63" s="129" t="s">
        <v>684</v>
      </c>
      <c r="S63" s="19"/>
      <c r="T63" s="32"/>
      <c r="U63" s="32"/>
      <c r="V63" s="51">
        <f t="shared" si="1"/>
        <v>719.19999999999993</v>
      </c>
      <c r="W63" s="51">
        <f t="shared" si="2"/>
        <v>10068.799999999999</v>
      </c>
      <c r="X63" s="52">
        <f t="shared" si="3"/>
        <v>0.48</v>
      </c>
      <c r="Y63" s="53">
        <f t="shared" si="4"/>
        <v>6.72</v>
      </c>
      <c r="Z63" s="54"/>
      <c r="AA63" s="71"/>
      <c r="AB63" s="71"/>
      <c r="AC63" s="128"/>
      <c r="AD63" s="33"/>
      <c r="AE63" s="55"/>
    </row>
    <row r="64" spans="2:31" ht="20.100000000000001" customHeight="1">
      <c r="B64" s="48">
        <v>60</v>
      </c>
      <c r="C64" s="121" t="s">
        <v>993</v>
      </c>
      <c r="D64" s="120" t="s">
        <v>349</v>
      </c>
      <c r="E64" s="120">
        <v>2603</v>
      </c>
      <c r="F64" s="120" t="s">
        <v>700</v>
      </c>
      <c r="G64" s="120" t="s">
        <v>699</v>
      </c>
      <c r="H64" s="49">
        <v>1</v>
      </c>
      <c r="I64" s="50" t="s">
        <v>28</v>
      </c>
      <c r="J64" s="124" t="s">
        <v>368</v>
      </c>
      <c r="K64" s="50" t="s">
        <v>363</v>
      </c>
      <c r="L64" s="50" t="s">
        <v>519</v>
      </c>
      <c r="M64" s="56" t="s">
        <v>12</v>
      </c>
      <c r="N64" s="122" t="s">
        <v>665</v>
      </c>
      <c r="O64" s="57">
        <v>6</v>
      </c>
      <c r="P64" s="45">
        <v>530</v>
      </c>
      <c r="Q64" s="58">
        <f t="shared" si="5"/>
        <v>3180</v>
      </c>
      <c r="R64" s="129" t="s">
        <v>684</v>
      </c>
      <c r="S64" s="19"/>
      <c r="T64" s="32"/>
      <c r="U64" s="32"/>
      <c r="V64" s="51">
        <f t="shared" si="1"/>
        <v>614.79999999999995</v>
      </c>
      <c r="W64" s="51">
        <f t="shared" si="2"/>
        <v>3688.7999999999997</v>
      </c>
      <c r="X64" s="52">
        <f t="shared" si="3"/>
        <v>0.41</v>
      </c>
      <c r="Y64" s="53">
        <f t="shared" si="4"/>
        <v>2.46</v>
      </c>
      <c r="Z64" s="54"/>
      <c r="AA64" s="71"/>
      <c r="AB64" s="71"/>
      <c r="AC64" s="128"/>
      <c r="AD64" s="33"/>
      <c r="AE64" s="55"/>
    </row>
    <row r="65" spans="2:31" ht="20.100000000000001" customHeight="1">
      <c r="B65" s="48">
        <v>61</v>
      </c>
      <c r="C65" s="121" t="s">
        <v>993</v>
      </c>
      <c r="D65" s="120" t="s">
        <v>349</v>
      </c>
      <c r="E65" s="120">
        <v>2603</v>
      </c>
      <c r="F65" s="120" t="s">
        <v>700</v>
      </c>
      <c r="G65" s="120" t="s">
        <v>699</v>
      </c>
      <c r="H65" s="49">
        <v>2</v>
      </c>
      <c r="I65" s="50" t="s">
        <v>393</v>
      </c>
      <c r="J65" s="124" t="s">
        <v>221</v>
      </c>
      <c r="K65" s="50" t="s">
        <v>31</v>
      </c>
      <c r="L65" s="50" t="s">
        <v>519</v>
      </c>
      <c r="M65" s="56" t="s">
        <v>12</v>
      </c>
      <c r="N65" s="122" t="s">
        <v>665</v>
      </c>
      <c r="O65" s="57">
        <v>2</v>
      </c>
      <c r="P65" s="45">
        <v>7300</v>
      </c>
      <c r="Q65" s="58">
        <f t="shared" si="5"/>
        <v>14600</v>
      </c>
      <c r="R65" s="129" t="s">
        <v>684</v>
      </c>
      <c r="S65" s="19"/>
      <c r="T65" s="32"/>
      <c r="U65" s="32"/>
      <c r="V65" s="51">
        <f t="shared" si="1"/>
        <v>8468</v>
      </c>
      <c r="W65" s="51">
        <f t="shared" si="2"/>
        <v>16936</v>
      </c>
      <c r="X65" s="52">
        <f t="shared" si="3"/>
        <v>5.7</v>
      </c>
      <c r="Y65" s="53">
        <f t="shared" si="4"/>
        <v>11.4</v>
      </c>
      <c r="Z65" s="54"/>
      <c r="AA65" s="71"/>
      <c r="AB65" s="71"/>
      <c r="AC65" s="128"/>
      <c r="AD65" s="33"/>
      <c r="AE65" s="55"/>
    </row>
    <row r="66" spans="2:31" ht="20.100000000000001" customHeight="1">
      <c r="B66" s="48">
        <v>62</v>
      </c>
      <c r="C66" s="121" t="s">
        <v>993</v>
      </c>
      <c r="D66" s="120" t="s">
        <v>349</v>
      </c>
      <c r="E66" s="120">
        <v>2603</v>
      </c>
      <c r="F66" s="120" t="s">
        <v>700</v>
      </c>
      <c r="G66" s="120" t="s">
        <v>699</v>
      </c>
      <c r="H66" s="49">
        <v>2</v>
      </c>
      <c r="I66" s="50" t="s">
        <v>394</v>
      </c>
      <c r="J66" s="124" t="s">
        <v>81</v>
      </c>
      <c r="K66" s="50" t="s">
        <v>31</v>
      </c>
      <c r="L66" s="50" t="s">
        <v>519</v>
      </c>
      <c r="M66" s="56" t="s">
        <v>12</v>
      </c>
      <c r="N66" s="122" t="s">
        <v>665</v>
      </c>
      <c r="O66" s="57">
        <v>2</v>
      </c>
      <c r="P66" s="45">
        <v>6700</v>
      </c>
      <c r="Q66" s="58">
        <f t="shared" si="5"/>
        <v>13400</v>
      </c>
      <c r="R66" s="129" t="s">
        <v>684</v>
      </c>
      <c r="S66" s="19"/>
      <c r="T66" s="32"/>
      <c r="U66" s="32"/>
      <c r="V66" s="51">
        <f t="shared" si="1"/>
        <v>7771.9999999999991</v>
      </c>
      <c r="W66" s="51">
        <f t="shared" si="2"/>
        <v>15543.999999999998</v>
      </c>
      <c r="X66" s="52">
        <f t="shared" si="3"/>
        <v>5.23</v>
      </c>
      <c r="Y66" s="53">
        <f t="shared" si="4"/>
        <v>10.46</v>
      </c>
      <c r="Z66" s="54"/>
      <c r="AA66" s="71"/>
      <c r="AB66" s="71"/>
      <c r="AC66" s="128"/>
      <c r="AD66" s="33"/>
      <c r="AE66" s="55"/>
    </row>
    <row r="67" spans="2:31" ht="20.100000000000001" customHeight="1">
      <c r="B67" s="48">
        <v>63</v>
      </c>
      <c r="C67" s="121" t="s">
        <v>993</v>
      </c>
      <c r="D67" s="120" t="s">
        <v>349</v>
      </c>
      <c r="E67" s="120">
        <v>2603</v>
      </c>
      <c r="F67" s="120" t="s">
        <v>700</v>
      </c>
      <c r="G67" s="120" t="s">
        <v>699</v>
      </c>
      <c r="H67" s="49">
        <v>2</v>
      </c>
      <c r="I67" s="50" t="s">
        <v>394</v>
      </c>
      <c r="J67" s="124" t="s">
        <v>80</v>
      </c>
      <c r="K67" s="50" t="s">
        <v>31</v>
      </c>
      <c r="L67" s="50" t="s">
        <v>519</v>
      </c>
      <c r="M67" s="56" t="s">
        <v>12</v>
      </c>
      <c r="N67" s="122" t="s">
        <v>665</v>
      </c>
      <c r="O67" s="57">
        <v>2</v>
      </c>
      <c r="P67" s="45">
        <v>6700</v>
      </c>
      <c r="Q67" s="58">
        <f t="shared" si="5"/>
        <v>13400</v>
      </c>
      <c r="R67" s="129" t="s">
        <v>684</v>
      </c>
      <c r="S67" s="19"/>
      <c r="T67" s="32"/>
      <c r="U67" s="32"/>
      <c r="V67" s="51">
        <f t="shared" si="1"/>
        <v>7771.9999999999991</v>
      </c>
      <c r="W67" s="51">
        <f t="shared" si="2"/>
        <v>15543.999999999998</v>
      </c>
      <c r="X67" s="52">
        <f t="shared" si="3"/>
        <v>5.23</v>
      </c>
      <c r="Y67" s="53">
        <f t="shared" si="4"/>
        <v>10.46</v>
      </c>
      <c r="Z67" s="54"/>
      <c r="AA67" s="71"/>
      <c r="AB67" s="71"/>
      <c r="AC67" s="128"/>
      <c r="AD67" s="33"/>
      <c r="AE67" s="55"/>
    </row>
    <row r="68" spans="2:31" ht="20.100000000000001" customHeight="1">
      <c r="B68" s="48">
        <v>64</v>
      </c>
      <c r="C68" s="121" t="s">
        <v>993</v>
      </c>
      <c r="D68" s="120" t="s">
        <v>349</v>
      </c>
      <c r="E68" s="120">
        <v>2603</v>
      </c>
      <c r="F68" s="120" t="s">
        <v>700</v>
      </c>
      <c r="G68" s="120" t="s">
        <v>699</v>
      </c>
      <c r="H68" s="49">
        <v>2</v>
      </c>
      <c r="I68" s="50" t="s">
        <v>394</v>
      </c>
      <c r="J68" s="124" t="s">
        <v>223</v>
      </c>
      <c r="K68" s="50" t="s">
        <v>31</v>
      </c>
      <c r="L68" s="50" t="s">
        <v>519</v>
      </c>
      <c r="M68" s="56" t="s">
        <v>12</v>
      </c>
      <c r="N68" s="122" t="s">
        <v>665</v>
      </c>
      <c r="O68" s="57">
        <v>2</v>
      </c>
      <c r="P68" s="45">
        <v>7400</v>
      </c>
      <c r="Q68" s="58">
        <f t="shared" si="5"/>
        <v>14800</v>
      </c>
      <c r="R68" s="129" t="s">
        <v>684</v>
      </c>
      <c r="S68" s="19"/>
      <c r="T68" s="32"/>
      <c r="U68" s="32"/>
      <c r="V68" s="51">
        <f t="shared" si="1"/>
        <v>8584</v>
      </c>
      <c r="W68" s="51">
        <f t="shared" si="2"/>
        <v>17168</v>
      </c>
      <c r="X68" s="52">
        <f t="shared" si="3"/>
        <v>5.77</v>
      </c>
      <c r="Y68" s="53">
        <f t="shared" si="4"/>
        <v>11.54</v>
      </c>
      <c r="Z68" s="54"/>
      <c r="AA68" s="71"/>
      <c r="AB68" s="71"/>
      <c r="AC68" s="128"/>
      <c r="AD68" s="33"/>
      <c r="AE68" s="55"/>
    </row>
    <row r="69" spans="2:31" ht="20.100000000000001" customHeight="1">
      <c r="B69" s="48">
        <v>66</v>
      </c>
      <c r="C69" s="121" t="s">
        <v>993</v>
      </c>
      <c r="D69" s="120" t="s">
        <v>349</v>
      </c>
      <c r="E69" s="120">
        <v>2603</v>
      </c>
      <c r="F69" s="120" t="s">
        <v>700</v>
      </c>
      <c r="G69" s="120" t="s">
        <v>699</v>
      </c>
      <c r="H69" s="49">
        <v>2</v>
      </c>
      <c r="I69" s="50" t="s">
        <v>396</v>
      </c>
      <c r="J69" s="124" t="s">
        <v>84</v>
      </c>
      <c r="K69" s="50" t="s">
        <v>83</v>
      </c>
      <c r="L69" s="50" t="s">
        <v>519</v>
      </c>
      <c r="M69" s="56" t="s">
        <v>12</v>
      </c>
      <c r="N69" s="122" t="s">
        <v>665</v>
      </c>
      <c r="O69" s="57">
        <v>1</v>
      </c>
      <c r="P69" s="45">
        <v>21500</v>
      </c>
      <c r="Q69" s="58">
        <f t="shared" ref="Q69:Q100" si="6">O69*P69</f>
        <v>21500</v>
      </c>
      <c r="R69" s="129" t="s">
        <v>684</v>
      </c>
      <c r="S69" s="19"/>
      <c r="T69" s="32"/>
      <c r="U69" s="32"/>
      <c r="V69" s="51">
        <f t="shared" si="1"/>
        <v>24940</v>
      </c>
      <c r="W69" s="51">
        <f t="shared" si="2"/>
        <v>24940</v>
      </c>
      <c r="X69" s="52">
        <f t="shared" si="3"/>
        <v>16.78</v>
      </c>
      <c r="Y69" s="53">
        <f t="shared" si="4"/>
        <v>16.78</v>
      </c>
      <c r="Z69" s="54"/>
      <c r="AA69" s="71"/>
      <c r="AB69" s="71"/>
      <c r="AC69" s="128"/>
      <c r="AD69" s="33"/>
      <c r="AE69" s="55"/>
    </row>
    <row r="70" spans="2:31" ht="20.100000000000001" customHeight="1">
      <c r="B70" s="48">
        <v>67</v>
      </c>
      <c r="C70" s="121" t="s">
        <v>993</v>
      </c>
      <c r="D70" s="120" t="s">
        <v>349</v>
      </c>
      <c r="E70" s="120">
        <v>2603</v>
      </c>
      <c r="F70" s="120" t="s">
        <v>700</v>
      </c>
      <c r="G70" s="120" t="s">
        <v>699</v>
      </c>
      <c r="H70" s="49">
        <v>2</v>
      </c>
      <c r="I70" s="50" t="s">
        <v>91</v>
      </c>
      <c r="J70" s="124" t="s">
        <v>100</v>
      </c>
      <c r="K70" s="50" t="s">
        <v>101</v>
      </c>
      <c r="L70" s="50" t="s">
        <v>519</v>
      </c>
      <c r="M70" s="56" t="s">
        <v>12</v>
      </c>
      <c r="N70" s="122" t="s">
        <v>665</v>
      </c>
      <c r="O70" s="57">
        <v>1</v>
      </c>
      <c r="P70" s="45">
        <v>29800</v>
      </c>
      <c r="Q70" s="58">
        <f t="shared" si="6"/>
        <v>29800</v>
      </c>
      <c r="R70" s="129" t="s">
        <v>684</v>
      </c>
      <c r="S70" s="19"/>
      <c r="T70" s="32"/>
      <c r="U70" s="32"/>
      <c r="V70" s="51">
        <f t="shared" ref="V70:V115" si="7">++P70*(1+$V$3)</f>
        <v>34568</v>
      </c>
      <c r="W70" s="51">
        <f t="shared" ref="W70:W115" si="8">++O70*V70</f>
        <v>34568</v>
      </c>
      <c r="X70" s="52">
        <f t="shared" ref="X70:X115" si="9">++ROUND(V70/$X$3,2)</f>
        <v>23.25</v>
      </c>
      <c r="Y70" s="53">
        <f t="shared" ref="Y70:Y115" si="10">++O70*X70</f>
        <v>23.25</v>
      </c>
      <c r="Z70" s="54"/>
      <c r="AA70" s="71"/>
      <c r="AB70" s="71"/>
      <c r="AC70" s="128"/>
      <c r="AD70" s="33"/>
      <c r="AE70" s="55"/>
    </row>
    <row r="71" spans="2:31" ht="20.100000000000001" customHeight="1">
      <c r="B71" s="48">
        <v>68</v>
      </c>
      <c r="C71" s="121" t="s">
        <v>993</v>
      </c>
      <c r="D71" s="120" t="s">
        <v>349</v>
      </c>
      <c r="E71" s="120">
        <v>2603</v>
      </c>
      <c r="F71" s="120" t="s">
        <v>700</v>
      </c>
      <c r="G71" s="120" t="s">
        <v>699</v>
      </c>
      <c r="H71" s="49">
        <v>2</v>
      </c>
      <c r="I71" s="50" t="s">
        <v>802</v>
      </c>
      <c r="J71" s="124" t="s">
        <v>1001</v>
      </c>
      <c r="K71" s="50" t="s">
        <v>30</v>
      </c>
      <c r="L71" s="50" t="s">
        <v>519</v>
      </c>
      <c r="M71" s="56" t="s">
        <v>12</v>
      </c>
      <c r="N71" s="122" t="s">
        <v>665</v>
      </c>
      <c r="O71" s="57">
        <v>1</v>
      </c>
      <c r="P71" s="45">
        <v>7400</v>
      </c>
      <c r="Q71" s="58">
        <f t="shared" si="6"/>
        <v>7400</v>
      </c>
      <c r="R71" s="129" t="s">
        <v>684</v>
      </c>
      <c r="S71" s="19"/>
      <c r="T71" s="32"/>
      <c r="U71" s="32"/>
      <c r="V71" s="51">
        <f t="shared" si="7"/>
        <v>8584</v>
      </c>
      <c r="W71" s="51">
        <f t="shared" si="8"/>
        <v>8584</v>
      </c>
      <c r="X71" s="52">
        <f t="shared" si="9"/>
        <v>5.77</v>
      </c>
      <c r="Y71" s="53">
        <f t="shared" si="10"/>
        <v>5.77</v>
      </c>
      <c r="Z71" s="54"/>
      <c r="AA71" s="71"/>
      <c r="AB71" s="71"/>
      <c r="AC71" s="128"/>
      <c r="AD71" s="33"/>
      <c r="AE71" s="55"/>
    </row>
    <row r="72" spans="2:31" ht="20.100000000000001" customHeight="1">
      <c r="B72" s="48">
        <v>69</v>
      </c>
      <c r="C72" s="121" t="s">
        <v>993</v>
      </c>
      <c r="D72" s="120" t="s">
        <v>349</v>
      </c>
      <c r="E72" s="120">
        <v>2603</v>
      </c>
      <c r="F72" s="120" t="s">
        <v>700</v>
      </c>
      <c r="G72" s="120" t="s">
        <v>699</v>
      </c>
      <c r="H72" s="49">
        <v>2</v>
      </c>
      <c r="I72" s="50" t="s">
        <v>508</v>
      </c>
      <c r="J72" s="124" t="s">
        <v>509</v>
      </c>
      <c r="K72" s="50" t="s">
        <v>30</v>
      </c>
      <c r="L72" s="50" t="s">
        <v>519</v>
      </c>
      <c r="M72" s="56" t="s">
        <v>12</v>
      </c>
      <c r="N72" s="122" t="s">
        <v>665</v>
      </c>
      <c r="O72" s="57">
        <v>1</v>
      </c>
      <c r="P72" s="45">
        <v>6500</v>
      </c>
      <c r="Q72" s="58">
        <f t="shared" si="6"/>
        <v>6500</v>
      </c>
      <c r="R72" s="129" t="s">
        <v>684</v>
      </c>
      <c r="S72" s="19"/>
      <c r="T72" s="32"/>
      <c r="U72" s="32"/>
      <c r="V72" s="51">
        <f t="shared" si="7"/>
        <v>7539.9999999999991</v>
      </c>
      <c r="W72" s="51">
        <f t="shared" si="8"/>
        <v>7539.9999999999991</v>
      </c>
      <c r="X72" s="52">
        <f t="shared" si="9"/>
        <v>5.07</v>
      </c>
      <c r="Y72" s="53">
        <f t="shared" si="10"/>
        <v>5.07</v>
      </c>
      <c r="Z72" s="54"/>
      <c r="AA72" s="71"/>
      <c r="AB72" s="71"/>
      <c r="AC72" s="128"/>
      <c r="AD72" s="33"/>
      <c r="AE72" s="55"/>
    </row>
    <row r="73" spans="2:31" ht="20.100000000000001" customHeight="1">
      <c r="B73" s="48">
        <v>70</v>
      </c>
      <c r="C73" s="121" t="s">
        <v>993</v>
      </c>
      <c r="D73" s="120" t="s">
        <v>349</v>
      </c>
      <c r="E73" s="120">
        <v>2603</v>
      </c>
      <c r="F73" s="120" t="s">
        <v>700</v>
      </c>
      <c r="G73" s="120" t="s">
        <v>699</v>
      </c>
      <c r="H73" s="49">
        <v>2</v>
      </c>
      <c r="I73" s="50" t="s">
        <v>506</v>
      </c>
      <c r="J73" s="124" t="s">
        <v>507</v>
      </c>
      <c r="K73" s="50" t="s">
        <v>30</v>
      </c>
      <c r="L73" s="50" t="s">
        <v>519</v>
      </c>
      <c r="M73" s="56" t="s">
        <v>12</v>
      </c>
      <c r="N73" s="122" t="s">
        <v>665</v>
      </c>
      <c r="O73" s="57">
        <v>1</v>
      </c>
      <c r="P73" s="45">
        <v>230</v>
      </c>
      <c r="Q73" s="58">
        <f t="shared" si="6"/>
        <v>230</v>
      </c>
      <c r="R73" s="129" t="s">
        <v>684</v>
      </c>
      <c r="S73" s="19"/>
      <c r="T73" s="32"/>
      <c r="U73" s="32"/>
      <c r="V73" s="51">
        <f t="shared" si="7"/>
        <v>266.79999999999995</v>
      </c>
      <c r="W73" s="51">
        <f t="shared" si="8"/>
        <v>266.79999999999995</v>
      </c>
      <c r="X73" s="52">
        <f t="shared" si="9"/>
        <v>0.18</v>
      </c>
      <c r="Y73" s="53">
        <f t="shared" si="10"/>
        <v>0.18</v>
      </c>
      <c r="Z73" s="54"/>
      <c r="AA73" s="71"/>
      <c r="AB73" s="71"/>
      <c r="AC73" s="128"/>
      <c r="AD73" s="33"/>
      <c r="AE73" s="55"/>
    </row>
    <row r="74" spans="2:31" ht="20.100000000000001" customHeight="1">
      <c r="B74" s="48">
        <v>71</v>
      </c>
      <c r="C74" s="121" t="s">
        <v>993</v>
      </c>
      <c r="D74" s="120" t="s">
        <v>349</v>
      </c>
      <c r="E74" s="120">
        <v>2603</v>
      </c>
      <c r="F74" s="120" t="s">
        <v>700</v>
      </c>
      <c r="G74" s="120" t="s">
        <v>699</v>
      </c>
      <c r="H74" s="49">
        <v>2</v>
      </c>
      <c r="I74" s="50" t="s">
        <v>96</v>
      </c>
      <c r="J74" s="124" t="s">
        <v>1000</v>
      </c>
      <c r="K74" s="50" t="s">
        <v>105</v>
      </c>
      <c r="L74" s="50" t="s">
        <v>519</v>
      </c>
      <c r="M74" s="56" t="s">
        <v>12</v>
      </c>
      <c r="N74" s="122" t="s">
        <v>665</v>
      </c>
      <c r="O74" s="57">
        <v>1</v>
      </c>
      <c r="P74" s="45">
        <v>32000</v>
      </c>
      <c r="Q74" s="58">
        <f t="shared" si="6"/>
        <v>32000</v>
      </c>
      <c r="R74" s="129" t="s">
        <v>684</v>
      </c>
      <c r="S74" s="19"/>
      <c r="T74" s="32"/>
      <c r="U74" s="32"/>
      <c r="V74" s="51">
        <f t="shared" si="7"/>
        <v>37120</v>
      </c>
      <c r="W74" s="51">
        <f t="shared" si="8"/>
        <v>37120</v>
      </c>
      <c r="X74" s="52">
        <f t="shared" si="9"/>
        <v>24.97</v>
      </c>
      <c r="Y74" s="53">
        <f t="shared" si="10"/>
        <v>24.97</v>
      </c>
      <c r="Z74" s="54"/>
      <c r="AA74" s="71"/>
      <c r="AB74" s="71"/>
      <c r="AC74" s="128"/>
      <c r="AD74" s="33"/>
      <c r="AE74" s="55"/>
    </row>
    <row r="75" spans="2:31" ht="20.100000000000001" customHeight="1">
      <c r="B75" s="48">
        <v>72</v>
      </c>
      <c r="C75" s="121" t="s">
        <v>993</v>
      </c>
      <c r="D75" s="120" t="s">
        <v>349</v>
      </c>
      <c r="E75" s="120">
        <v>2603</v>
      </c>
      <c r="F75" s="120" t="s">
        <v>700</v>
      </c>
      <c r="G75" s="120" t="s">
        <v>699</v>
      </c>
      <c r="H75" s="49">
        <v>2</v>
      </c>
      <c r="I75" s="50" t="s">
        <v>97</v>
      </c>
      <c r="J75" s="124" t="s">
        <v>106</v>
      </c>
      <c r="K75" s="50" t="s">
        <v>98</v>
      </c>
      <c r="L75" s="50" t="s">
        <v>519</v>
      </c>
      <c r="M75" s="56" t="s">
        <v>12</v>
      </c>
      <c r="N75" s="122" t="s">
        <v>665</v>
      </c>
      <c r="O75" s="57">
        <v>10</v>
      </c>
      <c r="P75" s="45">
        <v>160</v>
      </c>
      <c r="Q75" s="58">
        <f t="shared" si="6"/>
        <v>1600</v>
      </c>
      <c r="R75" s="129" t="s">
        <v>684</v>
      </c>
      <c r="S75" s="19"/>
      <c r="T75" s="32"/>
      <c r="U75" s="32"/>
      <c r="V75" s="51">
        <f t="shared" si="7"/>
        <v>185.6</v>
      </c>
      <c r="W75" s="51">
        <f t="shared" si="8"/>
        <v>1856</v>
      </c>
      <c r="X75" s="52">
        <f t="shared" si="9"/>
        <v>0.12</v>
      </c>
      <c r="Y75" s="53">
        <f t="shared" si="10"/>
        <v>1.2</v>
      </c>
      <c r="Z75" s="54"/>
      <c r="AA75" s="71"/>
      <c r="AB75" s="71"/>
      <c r="AC75" s="128"/>
      <c r="AD75" s="33"/>
      <c r="AE75" s="55"/>
    </row>
    <row r="76" spans="2:31" ht="20.100000000000001" customHeight="1">
      <c r="B76" s="48">
        <v>73</v>
      </c>
      <c r="C76" s="121" t="s">
        <v>993</v>
      </c>
      <c r="D76" s="120" t="s">
        <v>349</v>
      </c>
      <c r="E76" s="120">
        <v>2603</v>
      </c>
      <c r="F76" s="120" t="s">
        <v>700</v>
      </c>
      <c r="G76" s="120" t="s">
        <v>699</v>
      </c>
      <c r="H76" s="49">
        <v>2</v>
      </c>
      <c r="I76" s="50" t="s">
        <v>158</v>
      </c>
      <c r="J76" s="124" t="s">
        <v>397</v>
      </c>
      <c r="K76" s="50" t="s">
        <v>83</v>
      </c>
      <c r="L76" s="50" t="s">
        <v>519</v>
      </c>
      <c r="M76" s="56" t="s">
        <v>12</v>
      </c>
      <c r="N76" s="122" t="s">
        <v>665</v>
      </c>
      <c r="O76" s="57">
        <v>2</v>
      </c>
      <c r="P76" s="45">
        <v>2500</v>
      </c>
      <c r="Q76" s="58">
        <f t="shared" si="6"/>
        <v>5000</v>
      </c>
      <c r="R76" s="129" t="s">
        <v>684</v>
      </c>
      <c r="S76" s="19"/>
      <c r="T76" s="32"/>
      <c r="U76" s="32"/>
      <c r="V76" s="51">
        <f t="shared" si="7"/>
        <v>2900</v>
      </c>
      <c r="W76" s="51">
        <f t="shared" si="8"/>
        <v>5800</v>
      </c>
      <c r="X76" s="52">
        <f t="shared" si="9"/>
        <v>1.95</v>
      </c>
      <c r="Y76" s="53">
        <f t="shared" si="10"/>
        <v>3.9</v>
      </c>
      <c r="Z76" s="54"/>
      <c r="AA76" s="71"/>
      <c r="AB76" s="71"/>
      <c r="AC76" s="128"/>
      <c r="AD76" s="33"/>
      <c r="AE76" s="55"/>
    </row>
    <row r="77" spans="2:31" ht="20.100000000000001" customHeight="1">
      <c r="B77" s="48">
        <v>74</v>
      </c>
      <c r="C77" s="121" t="s">
        <v>993</v>
      </c>
      <c r="D77" s="120" t="s">
        <v>349</v>
      </c>
      <c r="E77" s="120">
        <v>2603</v>
      </c>
      <c r="F77" s="120" t="s">
        <v>700</v>
      </c>
      <c r="G77" s="120" t="s">
        <v>699</v>
      </c>
      <c r="H77" s="49">
        <v>2</v>
      </c>
      <c r="I77" s="50" t="s">
        <v>94</v>
      </c>
      <c r="J77" s="124" t="s">
        <v>103</v>
      </c>
      <c r="K77" s="50" t="s">
        <v>95</v>
      </c>
      <c r="L77" s="50" t="s">
        <v>519</v>
      </c>
      <c r="M77" s="56" t="s">
        <v>12</v>
      </c>
      <c r="N77" s="122" t="s">
        <v>609</v>
      </c>
      <c r="O77" s="57">
        <v>1</v>
      </c>
      <c r="P77" s="45">
        <v>2000</v>
      </c>
      <c r="Q77" s="58">
        <f t="shared" si="6"/>
        <v>2000</v>
      </c>
      <c r="R77" s="129" t="s">
        <v>684</v>
      </c>
      <c r="S77" s="19"/>
      <c r="T77" s="32"/>
      <c r="U77" s="32"/>
      <c r="V77" s="51">
        <f t="shared" si="7"/>
        <v>2320</v>
      </c>
      <c r="W77" s="51">
        <f t="shared" si="8"/>
        <v>2320</v>
      </c>
      <c r="X77" s="52">
        <f t="shared" si="9"/>
        <v>1.56</v>
      </c>
      <c r="Y77" s="53">
        <f t="shared" si="10"/>
        <v>1.56</v>
      </c>
      <c r="Z77" s="54"/>
      <c r="AA77" s="71"/>
      <c r="AB77" s="71"/>
      <c r="AC77" s="128"/>
      <c r="AD77" s="33"/>
      <c r="AE77" s="55"/>
    </row>
    <row r="78" spans="2:31" ht="20.100000000000001" customHeight="1">
      <c r="B78" s="48">
        <v>75</v>
      </c>
      <c r="C78" s="121" t="s">
        <v>993</v>
      </c>
      <c r="D78" s="120" t="s">
        <v>349</v>
      </c>
      <c r="E78" s="120">
        <v>2603</v>
      </c>
      <c r="F78" s="120" t="s">
        <v>700</v>
      </c>
      <c r="G78" s="120" t="s">
        <v>699</v>
      </c>
      <c r="H78" s="49">
        <v>2</v>
      </c>
      <c r="I78" s="50" t="s">
        <v>92</v>
      </c>
      <c r="J78" s="124" t="s">
        <v>102</v>
      </c>
      <c r="K78" s="50" t="s">
        <v>93</v>
      </c>
      <c r="L78" s="50" t="s">
        <v>519</v>
      </c>
      <c r="M78" s="56" t="s">
        <v>12</v>
      </c>
      <c r="N78" s="122" t="s">
        <v>667</v>
      </c>
      <c r="O78" s="57">
        <v>1</v>
      </c>
      <c r="P78" s="45">
        <v>10000</v>
      </c>
      <c r="Q78" s="58">
        <f t="shared" si="6"/>
        <v>10000</v>
      </c>
      <c r="R78" s="129" t="s">
        <v>684</v>
      </c>
      <c r="S78" s="19"/>
      <c r="T78" s="32"/>
      <c r="U78" s="32"/>
      <c r="V78" s="51">
        <f t="shared" si="7"/>
        <v>11600</v>
      </c>
      <c r="W78" s="51">
        <f t="shared" si="8"/>
        <v>11600</v>
      </c>
      <c r="X78" s="52">
        <f t="shared" si="9"/>
        <v>7.8</v>
      </c>
      <c r="Y78" s="53">
        <f t="shared" si="10"/>
        <v>7.8</v>
      </c>
      <c r="Z78" s="54"/>
      <c r="AA78" s="71"/>
      <c r="AB78" s="71"/>
      <c r="AC78" s="128"/>
      <c r="AD78" s="33"/>
      <c r="AE78" s="55"/>
    </row>
    <row r="79" spans="2:31" ht="20.100000000000001" customHeight="1">
      <c r="B79" s="48">
        <v>76</v>
      </c>
      <c r="C79" s="121" t="s">
        <v>993</v>
      </c>
      <c r="D79" s="120" t="s">
        <v>349</v>
      </c>
      <c r="E79" s="120">
        <v>2603</v>
      </c>
      <c r="F79" s="120" t="s">
        <v>700</v>
      </c>
      <c r="G79" s="120" t="s">
        <v>699</v>
      </c>
      <c r="H79" s="49">
        <v>1</v>
      </c>
      <c r="I79" s="50" t="s">
        <v>133</v>
      </c>
      <c r="J79" s="124" t="s">
        <v>134</v>
      </c>
      <c r="K79" s="50" t="s">
        <v>139</v>
      </c>
      <c r="L79" s="50" t="s">
        <v>751</v>
      </c>
      <c r="M79" s="56" t="s">
        <v>12</v>
      </c>
      <c r="N79" s="122" t="s">
        <v>665</v>
      </c>
      <c r="O79" s="57">
        <v>1</v>
      </c>
      <c r="P79" s="45">
        <v>78000</v>
      </c>
      <c r="Q79" s="58">
        <f t="shared" si="6"/>
        <v>78000</v>
      </c>
      <c r="R79" s="129" t="s">
        <v>1017</v>
      </c>
      <c r="S79" s="19"/>
      <c r="T79" s="32"/>
      <c r="U79" s="32"/>
      <c r="V79" s="51">
        <f t="shared" si="7"/>
        <v>90480</v>
      </c>
      <c r="W79" s="51">
        <f t="shared" si="8"/>
        <v>90480</v>
      </c>
      <c r="X79" s="52">
        <f t="shared" si="9"/>
        <v>60.86</v>
      </c>
      <c r="Y79" s="53">
        <f t="shared" si="10"/>
        <v>60.86</v>
      </c>
      <c r="Z79" s="54"/>
      <c r="AA79" s="71"/>
      <c r="AB79" s="71"/>
      <c r="AC79" s="128"/>
      <c r="AD79" s="33"/>
      <c r="AE79" s="55"/>
    </row>
    <row r="80" spans="2:31" ht="20.100000000000001" customHeight="1">
      <c r="B80" s="48">
        <v>77</v>
      </c>
      <c r="C80" s="121" t="s">
        <v>993</v>
      </c>
      <c r="D80" s="120" t="s">
        <v>349</v>
      </c>
      <c r="E80" s="120">
        <v>2603</v>
      </c>
      <c r="F80" s="120" t="s">
        <v>700</v>
      </c>
      <c r="G80" s="120" t="s">
        <v>699</v>
      </c>
      <c r="H80" s="49">
        <v>1</v>
      </c>
      <c r="I80" s="50" t="s">
        <v>135</v>
      </c>
      <c r="J80" s="124" t="s">
        <v>136</v>
      </c>
      <c r="K80" s="50" t="s">
        <v>139</v>
      </c>
      <c r="L80" s="50" t="s">
        <v>751</v>
      </c>
      <c r="M80" s="56" t="s">
        <v>12</v>
      </c>
      <c r="N80" s="122" t="s">
        <v>665</v>
      </c>
      <c r="O80" s="57">
        <v>5</v>
      </c>
      <c r="P80" s="45">
        <v>53000</v>
      </c>
      <c r="Q80" s="58">
        <f t="shared" si="6"/>
        <v>265000</v>
      </c>
      <c r="R80" s="129" t="s">
        <v>1017</v>
      </c>
      <c r="S80" s="19"/>
      <c r="T80" s="32"/>
      <c r="U80" s="32"/>
      <c r="V80" s="51">
        <f t="shared" si="7"/>
        <v>61479.999999999993</v>
      </c>
      <c r="W80" s="51">
        <f t="shared" si="8"/>
        <v>307399.99999999994</v>
      </c>
      <c r="X80" s="52">
        <f t="shared" si="9"/>
        <v>41.36</v>
      </c>
      <c r="Y80" s="53">
        <f t="shared" si="10"/>
        <v>206.8</v>
      </c>
      <c r="Z80" s="54"/>
      <c r="AA80" s="71"/>
      <c r="AB80" s="71"/>
      <c r="AC80" s="128"/>
      <c r="AD80" s="33"/>
      <c r="AE80" s="55"/>
    </row>
    <row r="81" spans="2:31" ht="20.100000000000001" customHeight="1">
      <c r="B81" s="48">
        <v>78</v>
      </c>
      <c r="C81" s="121" t="s">
        <v>993</v>
      </c>
      <c r="D81" s="120" t="s">
        <v>349</v>
      </c>
      <c r="E81" s="120">
        <v>2603</v>
      </c>
      <c r="F81" s="120" t="s">
        <v>700</v>
      </c>
      <c r="G81" s="120" t="s">
        <v>699</v>
      </c>
      <c r="H81" s="49">
        <v>1</v>
      </c>
      <c r="I81" s="50" t="s">
        <v>137</v>
      </c>
      <c r="J81" s="124" t="s">
        <v>138</v>
      </c>
      <c r="K81" s="50" t="s">
        <v>139</v>
      </c>
      <c r="L81" s="50" t="s">
        <v>751</v>
      </c>
      <c r="M81" s="56" t="s">
        <v>12</v>
      </c>
      <c r="N81" s="122" t="s">
        <v>665</v>
      </c>
      <c r="O81" s="57">
        <v>5</v>
      </c>
      <c r="P81" s="45">
        <v>59000</v>
      </c>
      <c r="Q81" s="58">
        <f t="shared" si="6"/>
        <v>295000</v>
      </c>
      <c r="R81" s="129" t="s">
        <v>1017</v>
      </c>
      <c r="S81" s="19"/>
      <c r="T81" s="32"/>
      <c r="U81" s="32"/>
      <c r="V81" s="51">
        <f t="shared" si="7"/>
        <v>68440</v>
      </c>
      <c r="W81" s="51">
        <f t="shared" si="8"/>
        <v>342200</v>
      </c>
      <c r="X81" s="52">
        <f t="shared" si="9"/>
        <v>46.04</v>
      </c>
      <c r="Y81" s="53">
        <f t="shared" si="10"/>
        <v>230.2</v>
      </c>
      <c r="Z81" s="54"/>
      <c r="AA81" s="71"/>
      <c r="AB81" s="71"/>
      <c r="AC81" s="128"/>
      <c r="AD81" s="33"/>
      <c r="AE81" s="55"/>
    </row>
    <row r="82" spans="2:31" ht="20.100000000000001" customHeight="1">
      <c r="B82" s="48">
        <v>79</v>
      </c>
      <c r="C82" s="121" t="s">
        <v>993</v>
      </c>
      <c r="D82" s="120" t="s">
        <v>349</v>
      </c>
      <c r="E82" s="120">
        <v>2603</v>
      </c>
      <c r="F82" s="120" t="s">
        <v>700</v>
      </c>
      <c r="G82" s="120" t="s">
        <v>699</v>
      </c>
      <c r="H82" s="49">
        <v>2</v>
      </c>
      <c r="I82" s="50" t="s">
        <v>24</v>
      </c>
      <c r="J82" s="124" t="s">
        <v>66</v>
      </c>
      <c r="K82" s="50" t="s">
        <v>47</v>
      </c>
      <c r="L82" s="50" t="s">
        <v>521</v>
      </c>
      <c r="M82" s="56" t="s">
        <v>12</v>
      </c>
      <c r="N82" s="122" t="s">
        <v>666</v>
      </c>
      <c r="O82" s="57">
        <v>8</v>
      </c>
      <c r="P82" s="45">
        <v>34000</v>
      </c>
      <c r="Q82" s="58">
        <f t="shared" si="6"/>
        <v>272000</v>
      </c>
      <c r="R82" s="129" t="s">
        <v>1025</v>
      </c>
      <c r="S82" s="19"/>
      <c r="T82" s="32"/>
      <c r="U82" s="32"/>
      <c r="V82" s="51">
        <f t="shared" si="7"/>
        <v>39440</v>
      </c>
      <c r="W82" s="51">
        <f t="shared" si="8"/>
        <v>315520</v>
      </c>
      <c r="X82" s="52">
        <f t="shared" si="9"/>
        <v>26.53</v>
      </c>
      <c r="Y82" s="53">
        <f t="shared" si="10"/>
        <v>212.24</v>
      </c>
      <c r="Z82" s="54"/>
      <c r="AA82" s="71"/>
      <c r="AB82" s="71"/>
      <c r="AC82" s="128"/>
      <c r="AD82" s="33"/>
      <c r="AE82" s="55"/>
    </row>
    <row r="83" spans="2:31" ht="20.100000000000001" customHeight="1">
      <c r="B83" s="48">
        <v>80</v>
      </c>
      <c r="C83" s="121" t="s">
        <v>993</v>
      </c>
      <c r="D83" s="120" t="s">
        <v>349</v>
      </c>
      <c r="E83" s="120">
        <v>2603</v>
      </c>
      <c r="F83" s="120" t="s">
        <v>700</v>
      </c>
      <c r="G83" s="120" t="s">
        <v>699</v>
      </c>
      <c r="H83" s="49">
        <v>2</v>
      </c>
      <c r="I83" s="50" t="s">
        <v>180</v>
      </c>
      <c r="J83" s="124" t="s">
        <v>184</v>
      </c>
      <c r="K83" s="50" t="s">
        <v>181</v>
      </c>
      <c r="L83" s="50" t="s">
        <v>521</v>
      </c>
      <c r="M83" s="56" t="s">
        <v>12</v>
      </c>
      <c r="N83" s="122" t="s">
        <v>665</v>
      </c>
      <c r="O83" s="57">
        <v>5</v>
      </c>
      <c r="P83" s="45">
        <v>8700</v>
      </c>
      <c r="Q83" s="58">
        <f t="shared" si="6"/>
        <v>43500</v>
      </c>
      <c r="R83" s="129" t="s">
        <v>1025</v>
      </c>
      <c r="S83" s="19"/>
      <c r="T83" s="32"/>
      <c r="U83" s="32"/>
      <c r="V83" s="51">
        <f t="shared" si="7"/>
        <v>10092</v>
      </c>
      <c r="W83" s="51">
        <f t="shared" si="8"/>
        <v>50460</v>
      </c>
      <c r="X83" s="52">
        <f t="shared" si="9"/>
        <v>6.79</v>
      </c>
      <c r="Y83" s="53">
        <f t="shared" si="10"/>
        <v>33.950000000000003</v>
      </c>
      <c r="Z83" s="54"/>
      <c r="AA83" s="71"/>
      <c r="AB83" s="71"/>
      <c r="AC83" s="128"/>
      <c r="AD83" s="33"/>
      <c r="AE83" s="55"/>
    </row>
    <row r="84" spans="2:31" ht="20.100000000000001" customHeight="1">
      <c r="B84" s="48">
        <v>81</v>
      </c>
      <c r="C84" s="121" t="s">
        <v>993</v>
      </c>
      <c r="D84" s="120" t="s">
        <v>349</v>
      </c>
      <c r="E84" s="120">
        <v>2603</v>
      </c>
      <c r="F84" s="120" t="s">
        <v>700</v>
      </c>
      <c r="G84" s="120" t="s">
        <v>699</v>
      </c>
      <c r="H84" s="49">
        <v>2</v>
      </c>
      <c r="I84" s="50" t="s">
        <v>182</v>
      </c>
      <c r="J84" s="124" t="s">
        <v>185</v>
      </c>
      <c r="K84" s="50" t="s">
        <v>181</v>
      </c>
      <c r="L84" s="50" t="s">
        <v>521</v>
      </c>
      <c r="M84" s="56" t="s">
        <v>12</v>
      </c>
      <c r="N84" s="122" t="s">
        <v>665</v>
      </c>
      <c r="O84" s="57">
        <v>3</v>
      </c>
      <c r="P84" s="45">
        <v>34900</v>
      </c>
      <c r="Q84" s="58">
        <f t="shared" si="6"/>
        <v>104700</v>
      </c>
      <c r="R84" s="129" t="s">
        <v>1025</v>
      </c>
      <c r="S84" s="19"/>
      <c r="T84" s="32"/>
      <c r="U84" s="32"/>
      <c r="V84" s="51">
        <f t="shared" si="7"/>
        <v>40484</v>
      </c>
      <c r="W84" s="51">
        <f t="shared" si="8"/>
        <v>121452</v>
      </c>
      <c r="X84" s="52">
        <f t="shared" si="9"/>
        <v>27.23</v>
      </c>
      <c r="Y84" s="53">
        <f t="shared" si="10"/>
        <v>81.69</v>
      </c>
      <c r="Z84" s="54"/>
      <c r="AA84" s="71"/>
      <c r="AB84" s="71"/>
      <c r="AC84" s="128"/>
      <c r="AD84" s="33"/>
      <c r="AE84" s="55"/>
    </row>
    <row r="85" spans="2:31" ht="20.100000000000001" customHeight="1">
      <c r="B85" s="48">
        <v>82</v>
      </c>
      <c r="C85" s="121" t="s">
        <v>993</v>
      </c>
      <c r="D85" s="120" t="s">
        <v>349</v>
      </c>
      <c r="E85" s="120">
        <v>2603</v>
      </c>
      <c r="F85" s="120" t="s">
        <v>700</v>
      </c>
      <c r="G85" s="120" t="s">
        <v>699</v>
      </c>
      <c r="H85" s="49">
        <v>2</v>
      </c>
      <c r="I85" s="50" t="s">
        <v>183</v>
      </c>
      <c r="J85" s="124" t="s">
        <v>186</v>
      </c>
      <c r="K85" s="50" t="s">
        <v>181</v>
      </c>
      <c r="L85" s="50" t="s">
        <v>521</v>
      </c>
      <c r="M85" s="56" t="s">
        <v>12</v>
      </c>
      <c r="N85" s="122" t="s">
        <v>665</v>
      </c>
      <c r="O85" s="57">
        <v>2</v>
      </c>
      <c r="P85" s="45">
        <v>20600</v>
      </c>
      <c r="Q85" s="58">
        <f t="shared" si="6"/>
        <v>41200</v>
      </c>
      <c r="R85" s="129" t="s">
        <v>1025</v>
      </c>
      <c r="S85" s="19"/>
      <c r="T85" s="32"/>
      <c r="U85" s="32"/>
      <c r="V85" s="51">
        <f t="shared" si="7"/>
        <v>23896</v>
      </c>
      <c r="W85" s="51">
        <f t="shared" si="8"/>
        <v>47792</v>
      </c>
      <c r="X85" s="52">
        <f t="shared" si="9"/>
        <v>16.07</v>
      </c>
      <c r="Y85" s="53">
        <f t="shared" si="10"/>
        <v>32.14</v>
      </c>
      <c r="Z85" s="54"/>
      <c r="AA85" s="71"/>
      <c r="AB85" s="71"/>
      <c r="AC85" s="128"/>
      <c r="AD85" s="33"/>
      <c r="AE85" s="55"/>
    </row>
    <row r="86" spans="2:31" ht="20.100000000000001" customHeight="1">
      <c r="B86" s="48">
        <v>86</v>
      </c>
      <c r="C86" s="121" t="s">
        <v>993</v>
      </c>
      <c r="D86" s="120" t="s">
        <v>349</v>
      </c>
      <c r="E86" s="120">
        <v>2603</v>
      </c>
      <c r="F86" s="120" t="s">
        <v>700</v>
      </c>
      <c r="G86" s="120" t="s">
        <v>699</v>
      </c>
      <c r="H86" s="49">
        <v>2</v>
      </c>
      <c r="I86" s="50" t="s">
        <v>570</v>
      </c>
      <c r="J86" s="124" t="s">
        <v>416</v>
      </c>
      <c r="K86" s="50" t="s">
        <v>118</v>
      </c>
      <c r="L86" s="50" t="s">
        <v>601</v>
      </c>
      <c r="M86" s="56" t="s">
        <v>12</v>
      </c>
      <c r="N86" s="122" t="s">
        <v>665</v>
      </c>
      <c r="O86" s="57">
        <v>2</v>
      </c>
      <c r="P86" s="45">
        <v>76000</v>
      </c>
      <c r="Q86" s="58">
        <f t="shared" si="6"/>
        <v>152000</v>
      </c>
      <c r="R86" s="129" t="s">
        <v>1020</v>
      </c>
      <c r="S86" s="19"/>
      <c r="T86" s="32"/>
      <c r="U86" s="32"/>
      <c r="V86" s="51">
        <f t="shared" si="7"/>
        <v>88160</v>
      </c>
      <c r="W86" s="51">
        <f t="shared" si="8"/>
        <v>176320</v>
      </c>
      <c r="X86" s="52">
        <f t="shared" si="9"/>
        <v>59.3</v>
      </c>
      <c r="Y86" s="53">
        <f t="shared" si="10"/>
        <v>118.6</v>
      </c>
      <c r="Z86" s="54"/>
      <c r="AA86" s="71"/>
      <c r="AB86" s="71"/>
      <c r="AC86" s="128"/>
      <c r="AD86" s="33"/>
      <c r="AE86" s="55"/>
    </row>
    <row r="87" spans="2:31" ht="20.100000000000001" customHeight="1">
      <c r="B87" s="48">
        <v>87</v>
      </c>
      <c r="C87" s="121" t="s">
        <v>993</v>
      </c>
      <c r="D87" s="120" t="s">
        <v>349</v>
      </c>
      <c r="E87" s="120">
        <v>2603</v>
      </c>
      <c r="F87" s="120" t="s">
        <v>700</v>
      </c>
      <c r="G87" s="120" t="s">
        <v>699</v>
      </c>
      <c r="H87" s="49">
        <v>1</v>
      </c>
      <c r="I87" s="50" t="s">
        <v>228</v>
      </c>
      <c r="J87" s="124" t="s">
        <v>300</v>
      </c>
      <c r="K87" s="50" t="s">
        <v>229</v>
      </c>
      <c r="L87" s="50" t="s">
        <v>614</v>
      </c>
      <c r="M87" s="56" t="s">
        <v>12</v>
      </c>
      <c r="N87" s="122" t="s">
        <v>665</v>
      </c>
      <c r="O87" s="57">
        <v>1</v>
      </c>
      <c r="P87" s="45">
        <v>2280000</v>
      </c>
      <c r="Q87" s="58">
        <f t="shared" si="6"/>
        <v>2280000</v>
      </c>
      <c r="R87" s="69" t="s">
        <v>735</v>
      </c>
      <c r="S87" s="19"/>
      <c r="T87" s="32"/>
      <c r="U87" s="32"/>
      <c r="V87" s="51">
        <f t="shared" si="7"/>
        <v>2644800</v>
      </c>
      <c r="W87" s="51">
        <f t="shared" si="8"/>
        <v>2644800</v>
      </c>
      <c r="X87" s="52">
        <f t="shared" si="9"/>
        <v>1779.05</v>
      </c>
      <c r="Y87" s="53">
        <f t="shared" si="10"/>
        <v>1779.05</v>
      </c>
      <c r="Z87" s="54"/>
      <c r="AA87" s="71"/>
      <c r="AB87" s="71"/>
      <c r="AC87" s="128"/>
      <c r="AD87" s="33"/>
      <c r="AE87" s="55"/>
    </row>
    <row r="88" spans="2:31" ht="20.100000000000001" customHeight="1">
      <c r="B88" s="48">
        <v>89</v>
      </c>
      <c r="C88" s="121" t="s">
        <v>993</v>
      </c>
      <c r="D88" s="120" t="s">
        <v>349</v>
      </c>
      <c r="E88" s="120">
        <v>2603</v>
      </c>
      <c r="F88" s="120" t="s">
        <v>700</v>
      </c>
      <c r="G88" s="120" t="s">
        <v>699</v>
      </c>
      <c r="H88" s="49">
        <v>1</v>
      </c>
      <c r="I88" s="50" t="s">
        <v>63</v>
      </c>
      <c r="J88" s="124" t="s">
        <v>179</v>
      </c>
      <c r="K88" s="50" t="s">
        <v>178</v>
      </c>
      <c r="L88" s="50" t="s">
        <v>522</v>
      </c>
      <c r="M88" s="56" t="s">
        <v>12</v>
      </c>
      <c r="N88" s="122" t="s">
        <v>665</v>
      </c>
      <c r="O88" s="57">
        <v>2</v>
      </c>
      <c r="P88" s="45">
        <v>97000</v>
      </c>
      <c r="Q88" s="58">
        <f t="shared" si="6"/>
        <v>194000</v>
      </c>
      <c r="R88" s="69" t="s">
        <v>1017</v>
      </c>
      <c r="S88" s="19"/>
      <c r="T88" s="32"/>
      <c r="U88" s="32"/>
      <c r="V88" s="51">
        <f t="shared" si="7"/>
        <v>112519.99999999999</v>
      </c>
      <c r="W88" s="51">
        <f t="shared" si="8"/>
        <v>225039.99999999997</v>
      </c>
      <c r="X88" s="52">
        <f t="shared" si="9"/>
        <v>75.69</v>
      </c>
      <c r="Y88" s="53">
        <f t="shared" si="10"/>
        <v>151.38</v>
      </c>
      <c r="Z88" s="54"/>
      <c r="AA88" s="71"/>
      <c r="AB88" s="71"/>
      <c r="AC88" s="128"/>
      <c r="AD88" s="33"/>
      <c r="AE88" s="55"/>
    </row>
    <row r="89" spans="2:31" ht="20.100000000000001" customHeight="1">
      <c r="B89" s="48">
        <v>90</v>
      </c>
      <c r="C89" s="121" t="s">
        <v>993</v>
      </c>
      <c r="D89" s="120" t="s">
        <v>349</v>
      </c>
      <c r="E89" s="120">
        <v>2603</v>
      </c>
      <c r="F89" s="120" t="s">
        <v>700</v>
      </c>
      <c r="G89" s="120" t="s">
        <v>699</v>
      </c>
      <c r="H89" s="49">
        <v>1</v>
      </c>
      <c r="I89" s="50" t="s">
        <v>515</v>
      </c>
      <c r="J89" s="124">
        <v>10472</v>
      </c>
      <c r="K89" s="50" t="s">
        <v>883</v>
      </c>
      <c r="L89" s="50" t="s">
        <v>522</v>
      </c>
      <c r="M89" s="56" t="s">
        <v>12</v>
      </c>
      <c r="N89" s="122" t="s">
        <v>996</v>
      </c>
      <c r="O89" s="57">
        <v>2</v>
      </c>
      <c r="P89" s="45">
        <v>75000</v>
      </c>
      <c r="Q89" s="58">
        <f t="shared" si="6"/>
        <v>150000</v>
      </c>
      <c r="R89" s="69" t="s">
        <v>1017</v>
      </c>
      <c r="S89" s="19"/>
      <c r="T89" s="32"/>
      <c r="U89" s="32"/>
      <c r="V89" s="51">
        <f t="shared" si="7"/>
        <v>87000</v>
      </c>
      <c r="W89" s="51">
        <f t="shared" si="8"/>
        <v>174000</v>
      </c>
      <c r="X89" s="52">
        <f t="shared" si="9"/>
        <v>58.52</v>
      </c>
      <c r="Y89" s="53">
        <f t="shared" si="10"/>
        <v>117.04</v>
      </c>
      <c r="Z89" s="54"/>
      <c r="AA89" s="71"/>
      <c r="AB89" s="71"/>
      <c r="AC89" s="128"/>
      <c r="AD89" s="33"/>
      <c r="AE89" s="55"/>
    </row>
    <row r="90" spans="2:31" ht="20.100000000000001" customHeight="1">
      <c r="B90" s="48">
        <v>91</v>
      </c>
      <c r="C90" s="121" t="s">
        <v>993</v>
      </c>
      <c r="D90" s="120" t="s">
        <v>349</v>
      </c>
      <c r="E90" s="120">
        <v>2603</v>
      </c>
      <c r="F90" s="120" t="s">
        <v>700</v>
      </c>
      <c r="G90" s="120" t="s">
        <v>699</v>
      </c>
      <c r="H90" s="49">
        <v>1</v>
      </c>
      <c r="I90" s="50" t="s">
        <v>86</v>
      </c>
      <c r="J90" s="124" t="s">
        <v>87</v>
      </c>
      <c r="K90" s="50" t="s">
        <v>88</v>
      </c>
      <c r="L90" s="50" t="s">
        <v>523</v>
      </c>
      <c r="M90" s="56" t="s">
        <v>12</v>
      </c>
      <c r="N90" s="122" t="s">
        <v>666</v>
      </c>
      <c r="O90" s="57">
        <v>1</v>
      </c>
      <c r="P90" s="45">
        <v>3110</v>
      </c>
      <c r="Q90" s="58">
        <f t="shared" si="6"/>
        <v>3110</v>
      </c>
      <c r="R90" s="69" t="s">
        <v>1017</v>
      </c>
      <c r="S90" s="19"/>
      <c r="T90" s="32"/>
      <c r="U90" s="32"/>
      <c r="V90" s="51">
        <f t="shared" si="7"/>
        <v>3607.6</v>
      </c>
      <c r="W90" s="51">
        <f t="shared" si="8"/>
        <v>3607.6</v>
      </c>
      <c r="X90" s="52">
        <f t="shared" si="9"/>
        <v>2.4300000000000002</v>
      </c>
      <c r="Y90" s="53">
        <f t="shared" si="10"/>
        <v>2.4300000000000002</v>
      </c>
      <c r="Z90" s="54"/>
      <c r="AA90" s="71"/>
      <c r="AB90" s="71"/>
      <c r="AC90" s="128"/>
      <c r="AD90" s="33"/>
      <c r="AE90" s="55"/>
    </row>
    <row r="91" spans="2:31" ht="20.100000000000001" customHeight="1">
      <c r="B91" s="48">
        <v>92</v>
      </c>
      <c r="C91" s="121" t="s">
        <v>993</v>
      </c>
      <c r="D91" s="120" t="s">
        <v>349</v>
      </c>
      <c r="E91" s="120">
        <v>2603</v>
      </c>
      <c r="F91" s="120" t="s">
        <v>700</v>
      </c>
      <c r="G91" s="120" t="s">
        <v>699</v>
      </c>
      <c r="H91" s="49">
        <v>1</v>
      </c>
      <c r="I91" s="50" t="s">
        <v>85</v>
      </c>
      <c r="J91" s="124" t="s">
        <v>995</v>
      </c>
      <c r="K91" s="50" t="s">
        <v>88</v>
      </c>
      <c r="L91" s="50" t="s">
        <v>523</v>
      </c>
      <c r="M91" s="56" t="s">
        <v>12</v>
      </c>
      <c r="N91" s="122" t="s">
        <v>666</v>
      </c>
      <c r="O91" s="57">
        <v>1</v>
      </c>
      <c r="P91" s="45">
        <v>44700</v>
      </c>
      <c r="Q91" s="58">
        <f t="shared" si="6"/>
        <v>44700</v>
      </c>
      <c r="R91" s="69" t="s">
        <v>1017</v>
      </c>
      <c r="S91" s="19"/>
      <c r="T91" s="32"/>
      <c r="U91" s="32"/>
      <c r="V91" s="51">
        <f t="shared" si="7"/>
        <v>51852</v>
      </c>
      <c r="W91" s="51">
        <f t="shared" si="8"/>
        <v>51852</v>
      </c>
      <c r="X91" s="52">
        <f t="shared" si="9"/>
        <v>34.880000000000003</v>
      </c>
      <c r="Y91" s="53">
        <f t="shared" si="10"/>
        <v>34.880000000000003</v>
      </c>
      <c r="Z91" s="54"/>
      <c r="AA91" s="71"/>
      <c r="AB91" s="71"/>
      <c r="AC91" s="128"/>
      <c r="AD91" s="33"/>
      <c r="AE91" s="55"/>
    </row>
    <row r="92" spans="2:31" ht="20.100000000000001" customHeight="1">
      <c r="B92" s="48">
        <v>93</v>
      </c>
      <c r="C92" s="121" t="s">
        <v>993</v>
      </c>
      <c r="D92" s="120" t="s">
        <v>349</v>
      </c>
      <c r="E92" s="120">
        <v>2603</v>
      </c>
      <c r="F92" s="120" t="s">
        <v>700</v>
      </c>
      <c r="G92" s="120" t="s">
        <v>699</v>
      </c>
      <c r="H92" s="49">
        <v>2</v>
      </c>
      <c r="I92" s="50" t="s">
        <v>63</v>
      </c>
      <c r="J92" s="124" t="s">
        <v>399</v>
      </c>
      <c r="K92" s="50" t="s">
        <v>64</v>
      </c>
      <c r="L92" s="50" t="s">
        <v>524</v>
      </c>
      <c r="M92" s="56" t="s">
        <v>12</v>
      </c>
      <c r="N92" s="122" t="s">
        <v>666</v>
      </c>
      <c r="O92" s="57">
        <v>1</v>
      </c>
      <c r="P92" s="45">
        <v>24000</v>
      </c>
      <c r="Q92" s="58">
        <f t="shared" si="6"/>
        <v>24000</v>
      </c>
      <c r="R92" s="69" t="s">
        <v>1020</v>
      </c>
      <c r="S92" s="19"/>
      <c r="T92" s="32"/>
      <c r="U92" s="32"/>
      <c r="V92" s="51">
        <f t="shared" si="7"/>
        <v>27839.999999999996</v>
      </c>
      <c r="W92" s="51">
        <f t="shared" si="8"/>
        <v>27839.999999999996</v>
      </c>
      <c r="X92" s="52">
        <f t="shared" si="9"/>
        <v>18.73</v>
      </c>
      <c r="Y92" s="53">
        <f t="shared" si="10"/>
        <v>18.73</v>
      </c>
      <c r="Z92" s="54"/>
      <c r="AA92" s="71"/>
      <c r="AB92" s="71"/>
      <c r="AC92" s="128"/>
      <c r="AD92" s="33"/>
      <c r="AE92" s="55"/>
    </row>
    <row r="93" spans="2:31" ht="20.100000000000001" customHeight="1">
      <c r="B93" s="48">
        <v>94</v>
      </c>
      <c r="C93" s="121" t="s">
        <v>993</v>
      </c>
      <c r="D93" s="120" t="s">
        <v>349</v>
      </c>
      <c r="E93" s="120">
        <v>2603</v>
      </c>
      <c r="F93" s="120" t="s">
        <v>700</v>
      </c>
      <c r="G93" s="120" t="s">
        <v>699</v>
      </c>
      <c r="H93" s="49">
        <v>2</v>
      </c>
      <c r="I93" s="50" t="s">
        <v>63</v>
      </c>
      <c r="J93" s="124" t="s">
        <v>414</v>
      </c>
      <c r="K93" s="50" t="s">
        <v>64</v>
      </c>
      <c r="L93" s="50" t="s">
        <v>524</v>
      </c>
      <c r="M93" s="56" t="s">
        <v>12</v>
      </c>
      <c r="N93" s="122" t="s">
        <v>666</v>
      </c>
      <c r="O93" s="57">
        <v>1</v>
      </c>
      <c r="P93" s="45">
        <v>25500</v>
      </c>
      <c r="Q93" s="58">
        <f t="shared" si="6"/>
        <v>25500</v>
      </c>
      <c r="R93" s="69" t="s">
        <v>1020</v>
      </c>
      <c r="S93" s="19"/>
      <c r="T93" s="32"/>
      <c r="U93" s="32"/>
      <c r="V93" s="51">
        <f t="shared" si="7"/>
        <v>29579.999999999996</v>
      </c>
      <c r="W93" s="51">
        <f t="shared" si="8"/>
        <v>29579.999999999996</v>
      </c>
      <c r="X93" s="52">
        <f t="shared" si="9"/>
        <v>19.899999999999999</v>
      </c>
      <c r="Y93" s="53">
        <f t="shared" si="10"/>
        <v>19.899999999999999</v>
      </c>
      <c r="Z93" s="54"/>
      <c r="AA93" s="71"/>
      <c r="AB93" s="71"/>
      <c r="AC93" s="128"/>
      <c r="AD93" s="33"/>
      <c r="AE93" s="55"/>
    </row>
    <row r="94" spans="2:31" ht="20.100000000000001" customHeight="1">
      <c r="B94" s="48">
        <v>95</v>
      </c>
      <c r="C94" s="121" t="s">
        <v>993</v>
      </c>
      <c r="D94" s="120" t="s">
        <v>349</v>
      </c>
      <c r="E94" s="120">
        <v>2603</v>
      </c>
      <c r="F94" s="120" t="s">
        <v>700</v>
      </c>
      <c r="G94" s="120" t="s">
        <v>699</v>
      </c>
      <c r="H94" s="49">
        <v>2</v>
      </c>
      <c r="I94" s="50" t="s">
        <v>119</v>
      </c>
      <c r="J94" s="124" t="s">
        <v>400</v>
      </c>
      <c r="K94" s="50" t="s">
        <v>121</v>
      </c>
      <c r="L94" s="50" t="s">
        <v>524</v>
      </c>
      <c r="M94" s="56" t="s">
        <v>12</v>
      </c>
      <c r="N94" s="122" t="s">
        <v>722</v>
      </c>
      <c r="O94" s="57">
        <v>1</v>
      </c>
      <c r="P94" s="45">
        <v>28000</v>
      </c>
      <c r="Q94" s="58">
        <f t="shared" si="6"/>
        <v>28000</v>
      </c>
      <c r="R94" s="69" t="s">
        <v>1020</v>
      </c>
      <c r="S94" s="19"/>
      <c r="T94" s="32"/>
      <c r="U94" s="32"/>
      <c r="V94" s="51">
        <f t="shared" si="7"/>
        <v>32479.999999999996</v>
      </c>
      <c r="W94" s="51">
        <f t="shared" si="8"/>
        <v>32479.999999999996</v>
      </c>
      <c r="X94" s="52">
        <f t="shared" si="9"/>
        <v>21.85</v>
      </c>
      <c r="Y94" s="53">
        <f t="shared" si="10"/>
        <v>21.85</v>
      </c>
      <c r="Z94" s="54"/>
      <c r="AA94" s="71"/>
      <c r="AB94" s="71"/>
      <c r="AC94" s="128"/>
      <c r="AD94" s="33"/>
      <c r="AE94" s="55"/>
    </row>
    <row r="95" spans="2:31" ht="20.100000000000001" customHeight="1">
      <c r="B95" s="48">
        <v>96</v>
      </c>
      <c r="C95" s="121" t="s">
        <v>993</v>
      </c>
      <c r="D95" s="120" t="s">
        <v>349</v>
      </c>
      <c r="E95" s="120">
        <v>2603</v>
      </c>
      <c r="F95" s="120" t="s">
        <v>700</v>
      </c>
      <c r="G95" s="120" t="s">
        <v>699</v>
      </c>
      <c r="H95" s="49">
        <v>2</v>
      </c>
      <c r="I95" s="50" t="s">
        <v>119</v>
      </c>
      <c r="J95" s="124" t="s">
        <v>120</v>
      </c>
      <c r="K95" s="50" t="s">
        <v>121</v>
      </c>
      <c r="L95" s="50" t="s">
        <v>524</v>
      </c>
      <c r="M95" s="56" t="s">
        <v>12</v>
      </c>
      <c r="N95" s="122" t="s">
        <v>722</v>
      </c>
      <c r="O95" s="57">
        <v>1</v>
      </c>
      <c r="P95" s="45">
        <v>48000</v>
      </c>
      <c r="Q95" s="58">
        <f t="shared" si="6"/>
        <v>48000</v>
      </c>
      <c r="R95" s="69" t="s">
        <v>1020</v>
      </c>
      <c r="S95" s="19"/>
      <c r="T95" s="32"/>
      <c r="U95" s="32"/>
      <c r="V95" s="51">
        <f t="shared" si="7"/>
        <v>55679.999999999993</v>
      </c>
      <c r="W95" s="51">
        <f t="shared" si="8"/>
        <v>55679.999999999993</v>
      </c>
      <c r="X95" s="52">
        <f t="shared" si="9"/>
        <v>37.450000000000003</v>
      </c>
      <c r="Y95" s="53">
        <f t="shared" si="10"/>
        <v>37.450000000000003</v>
      </c>
      <c r="Z95" s="54"/>
      <c r="AA95" s="71"/>
      <c r="AB95" s="71"/>
      <c r="AC95" s="128"/>
      <c r="AD95" s="33"/>
      <c r="AE95" s="55"/>
    </row>
    <row r="96" spans="2:31" ht="20.100000000000001" customHeight="1">
      <c r="B96" s="48">
        <v>98</v>
      </c>
      <c r="C96" s="121" t="s">
        <v>993</v>
      </c>
      <c r="D96" s="120" t="s">
        <v>349</v>
      </c>
      <c r="E96" s="120">
        <v>2603</v>
      </c>
      <c r="F96" s="120" t="s">
        <v>700</v>
      </c>
      <c r="G96" s="120" t="s">
        <v>699</v>
      </c>
      <c r="H96" s="49">
        <v>2</v>
      </c>
      <c r="I96" s="50" t="s">
        <v>214</v>
      </c>
      <c r="J96" s="124" t="s">
        <v>190</v>
      </c>
      <c r="K96" s="50" t="s">
        <v>38</v>
      </c>
      <c r="L96" s="50" t="s">
        <v>607</v>
      </c>
      <c r="M96" s="56" t="s">
        <v>12</v>
      </c>
      <c r="N96" s="122" t="s">
        <v>665</v>
      </c>
      <c r="O96" s="57">
        <v>2</v>
      </c>
      <c r="P96" s="45">
        <v>32600</v>
      </c>
      <c r="Q96" s="58">
        <f t="shared" si="6"/>
        <v>65200</v>
      </c>
      <c r="R96" s="69" t="s">
        <v>663</v>
      </c>
      <c r="S96" s="19"/>
      <c r="T96" s="32"/>
      <c r="U96" s="32"/>
      <c r="V96" s="51">
        <f t="shared" si="7"/>
        <v>37816</v>
      </c>
      <c r="W96" s="51">
        <f t="shared" si="8"/>
        <v>75632</v>
      </c>
      <c r="X96" s="52">
        <f t="shared" si="9"/>
        <v>25.44</v>
      </c>
      <c r="Y96" s="53">
        <f t="shared" si="10"/>
        <v>50.88</v>
      </c>
      <c r="Z96" s="54"/>
      <c r="AA96" s="71"/>
      <c r="AB96" s="71"/>
      <c r="AC96" s="128"/>
      <c r="AD96" s="33"/>
      <c r="AE96" s="55"/>
    </row>
    <row r="97" spans="2:31" ht="20.100000000000001" customHeight="1">
      <c r="B97" s="48">
        <v>99</v>
      </c>
      <c r="C97" s="121" t="s">
        <v>993</v>
      </c>
      <c r="D97" s="120" t="s">
        <v>349</v>
      </c>
      <c r="E97" s="120">
        <v>2603</v>
      </c>
      <c r="F97" s="120" t="s">
        <v>700</v>
      </c>
      <c r="G97" s="120" t="s">
        <v>699</v>
      </c>
      <c r="H97" s="49">
        <v>2</v>
      </c>
      <c r="I97" s="50" t="s">
        <v>39</v>
      </c>
      <c r="J97" s="124" t="s">
        <v>215</v>
      </c>
      <c r="K97" s="50" t="s">
        <v>38</v>
      </c>
      <c r="L97" s="50" t="s">
        <v>607</v>
      </c>
      <c r="M97" s="56" t="s">
        <v>12</v>
      </c>
      <c r="N97" s="122" t="s">
        <v>665</v>
      </c>
      <c r="O97" s="57">
        <v>2</v>
      </c>
      <c r="P97" s="45">
        <v>31000</v>
      </c>
      <c r="Q97" s="58">
        <f t="shared" si="6"/>
        <v>62000</v>
      </c>
      <c r="R97" s="129" t="s">
        <v>663</v>
      </c>
      <c r="S97" s="19"/>
      <c r="T97" s="32"/>
      <c r="U97" s="32"/>
      <c r="V97" s="51">
        <f t="shared" si="7"/>
        <v>35960</v>
      </c>
      <c r="W97" s="51">
        <f t="shared" si="8"/>
        <v>71920</v>
      </c>
      <c r="X97" s="52">
        <f t="shared" si="9"/>
        <v>24.19</v>
      </c>
      <c r="Y97" s="53">
        <f t="shared" si="10"/>
        <v>48.38</v>
      </c>
      <c r="Z97" s="54"/>
      <c r="AA97" s="71"/>
      <c r="AB97" s="71"/>
      <c r="AC97" s="128"/>
      <c r="AD97" s="33"/>
      <c r="AE97" s="55"/>
    </row>
    <row r="98" spans="2:31" ht="20.100000000000001" customHeight="1">
      <c r="B98" s="48">
        <v>101</v>
      </c>
      <c r="C98" s="121" t="s">
        <v>993</v>
      </c>
      <c r="D98" s="120" t="s">
        <v>349</v>
      </c>
      <c r="E98" s="120">
        <v>2603</v>
      </c>
      <c r="F98" s="120" t="s">
        <v>700</v>
      </c>
      <c r="G98" s="120" t="s">
        <v>699</v>
      </c>
      <c r="H98" s="49">
        <v>2</v>
      </c>
      <c r="I98" s="50" t="s">
        <v>401</v>
      </c>
      <c r="J98" s="124" t="s">
        <v>402</v>
      </c>
      <c r="K98" s="50" t="s">
        <v>123</v>
      </c>
      <c r="L98" s="50" t="s">
        <v>608</v>
      </c>
      <c r="M98" s="56" t="s">
        <v>12</v>
      </c>
      <c r="N98" s="122" t="s">
        <v>665</v>
      </c>
      <c r="O98" s="57">
        <v>4</v>
      </c>
      <c r="P98" s="45">
        <v>14089</v>
      </c>
      <c r="Q98" s="58">
        <f t="shared" si="6"/>
        <v>56356</v>
      </c>
      <c r="R98" s="129" t="s">
        <v>1017</v>
      </c>
      <c r="S98" s="19"/>
      <c r="T98" s="32"/>
      <c r="U98" s="32"/>
      <c r="V98" s="51">
        <f t="shared" si="7"/>
        <v>16343.24</v>
      </c>
      <c r="W98" s="51">
        <f t="shared" si="8"/>
        <v>65372.959999999999</v>
      </c>
      <c r="X98" s="52">
        <f t="shared" si="9"/>
        <v>10.99</v>
      </c>
      <c r="Y98" s="53">
        <f t="shared" si="10"/>
        <v>43.96</v>
      </c>
      <c r="Z98" s="54"/>
      <c r="AA98" s="71"/>
      <c r="AB98" s="71"/>
      <c r="AC98" s="128"/>
      <c r="AD98" s="33"/>
      <c r="AE98" s="55"/>
    </row>
    <row r="99" spans="2:31" ht="20.100000000000001" customHeight="1">
      <c r="B99" s="48">
        <v>103</v>
      </c>
      <c r="C99" s="121" t="s">
        <v>993</v>
      </c>
      <c r="D99" s="120" t="s">
        <v>349</v>
      </c>
      <c r="E99" s="120">
        <v>2603</v>
      </c>
      <c r="F99" s="120" t="s">
        <v>700</v>
      </c>
      <c r="G99" s="120" t="s">
        <v>699</v>
      </c>
      <c r="H99" s="49">
        <v>2</v>
      </c>
      <c r="I99" s="50" t="s">
        <v>403</v>
      </c>
      <c r="J99" s="124" t="s">
        <v>404</v>
      </c>
      <c r="K99" s="50" t="s">
        <v>48</v>
      </c>
      <c r="L99" s="50" t="s">
        <v>608</v>
      </c>
      <c r="M99" s="56" t="s">
        <v>12</v>
      </c>
      <c r="N99" s="122" t="s">
        <v>609</v>
      </c>
      <c r="O99" s="57">
        <v>12</v>
      </c>
      <c r="P99" s="45">
        <v>5092</v>
      </c>
      <c r="Q99" s="58">
        <f t="shared" si="6"/>
        <v>61104</v>
      </c>
      <c r="R99" s="129" t="s">
        <v>1017</v>
      </c>
      <c r="S99" s="19"/>
      <c r="T99" s="32"/>
      <c r="U99" s="32"/>
      <c r="V99" s="51">
        <f t="shared" si="7"/>
        <v>5906.7199999999993</v>
      </c>
      <c r="W99" s="51">
        <f t="shared" si="8"/>
        <v>70880.639999999985</v>
      </c>
      <c r="X99" s="52">
        <f t="shared" si="9"/>
        <v>3.97</v>
      </c>
      <c r="Y99" s="53">
        <f t="shared" si="10"/>
        <v>47.64</v>
      </c>
      <c r="Z99" s="54"/>
      <c r="AA99" s="71"/>
      <c r="AB99" s="71"/>
      <c r="AC99" s="128"/>
      <c r="AD99" s="33"/>
      <c r="AE99" s="55"/>
    </row>
    <row r="100" spans="2:31" ht="20.100000000000001" customHeight="1">
      <c r="B100" s="48">
        <v>104</v>
      </c>
      <c r="C100" s="121" t="s">
        <v>993</v>
      </c>
      <c r="D100" s="120" t="s">
        <v>349</v>
      </c>
      <c r="E100" s="120">
        <v>2603</v>
      </c>
      <c r="F100" s="120" t="s">
        <v>700</v>
      </c>
      <c r="G100" s="120" t="s">
        <v>699</v>
      </c>
      <c r="H100" s="49">
        <v>2</v>
      </c>
      <c r="I100" s="50" t="s">
        <v>412</v>
      </c>
      <c r="J100" s="124" t="s">
        <v>1018</v>
      </c>
      <c r="K100" s="50" t="s">
        <v>48</v>
      </c>
      <c r="L100" s="50" t="s">
        <v>608</v>
      </c>
      <c r="M100" s="56" t="s">
        <v>12</v>
      </c>
      <c r="N100" s="122" t="s">
        <v>609</v>
      </c>
      <c r="O100" s="57">
        <v>12</v>
      </c>
      <c r="P100" s="45">
        <v>17566</v>
      </c>
      <c r="Q100" s="58">
        <f t="shared" si="6"/>
        <v>210792</v>
      </c>
      <c r="R100" s="129" t="s">
        <v>1020</v>
      </c>
      <c r="S100" s="19"/>
      <c r="T100" s="32"/>
      <c r="U100" s="32"/>
      <c r="V100" s="51">
        <f t="shared" si="7"/>
        <v>20376.559999999998</v>
      </c>
      <c r="W100" s="51">
        <f t="shared" si="8"/>
        <v>244518.71999999997</v>
      </c>
      <c r="X100" s="52">
        <f t="shared" si="9"/>
        <v>13.71</v>
      </c>
      <c r="Y100" s="53">
        <f t="shared" si="10"/>
        <v>164.52</v>
      </c>
      <c r="Z100" s="54"/>
      <c r="AA100" s="71"/>
      <c r="AB100" s="71"/>
      <c r="AC100" s="128"/>
      <c r="AD100" s="33"/>
      <c r="AE100" s="55"/>
    </row>
    <row r="101" spans="2:31" ht="20.100000000000001" customHeight="1">
      <c r="B101" s="48">
        <v>105</v>
      </c>
      <c r="C101" s="121" t="s">
        <v>993</v>
      </c>
      <c r="D101" s="120" t="s">
        <v>349</v>
      </c>
      <c r="E101" s="120">
        <v>2603</v>
      </c>
      <c r="F101" s="120" t="s">
        <v>700</v>
      </c>
      <c r="G101" s="120" t="s">
        <v>699</v>
      </c>
      <c r="H101" s="49">
        <v>2</v>
      </c>
      <c r="I101" s="50" t="s">
        <v>217</v>
      </c>
      <c r="J101" s="124" t="s">
        <v>216</v>
      </c>
      <c r="K101" s="50" t="s">
        <v>48</v>
      </c>
      <c r="L101" s="50" t="s">
        <v>608</v>
      </c>
      <c r="M101" s="56" t="s">
        <v>12</v>
      </c>
      <c r="N101" s="122" t="s">
        <v>609</v>
      </c>
      <c r="O101" s="57">
        <v>3</v>
      </c>
      <c r="P101" s="45">
        <v>5966</v>
      </c>
      <c r="Q101" s="58">
        <f t="shared" ref="Q101:Q115" si="11">O101*P101</f>
        <v>17898</v>
      </c>
      <c r="R101" s="129" t="s">
        <v>1017</v>
      </c>
      <c r="S101" s="19"/>
      <c r="T101" s="32"/>
      <c r="U101" s="32"/>
      <c r="V101" s="51">
        <f t="shared" si="7"/>
        <v>6920.5599999999995</v>
      </c>
      <c r="W101" s="51">
        <f t="shared" si="8"/>
        <v>20761.68</v>
      </c>
      <c r="X101" s="52">
        <f t="shared" si="9"/>
        <v>4.66</v>
      </c>
      <c r="Y101" s="53">
        <f t="shared" si="10"/>
        <v>13.98</v>
      </c>
      <c r="Z101" s="54"/>
      <c r="AA101" s="71"/>
      <c r="AB101" s="71"/>
      <c r="AC101" s="128"/>
      <c r="AD101" s="33"/>
      <c r="AE101" s="55"/>
    </row>
    <row r="102" spans="2:31" ht="20.100000000000001" customHeight="1">
      <c r="B102" s="48">
        <v>106</v>
      </c>
      <c r="C102" s="121" t="s">
        <v>993</v>
      </c>
      <c r="D102" s="120" t="s">
        <v>349</v>
      </c>
      <c r="E102" s="120">
        <v>2603</v>
      </c>
      <c r="F102" s="120" t="s">
        <v>700</v>
      </c>
      <c r="G102" s="120" t="s">
        <v>699</v>
      </c>
      <c r="H102" s="49">
        <v>2</v>
      </c>
      <c r="I102" s="50" t="s">
        <v>124</v>
      </c>
      <c r="J102" s="124" t="s">
        <v>419</v>
      </c>
      <c r="K102" s="50" t="s">
        <v>48</v>
      </c>
      <c r="L102" s="50" t="s">
        <v>608</v>
      </c>
      <c r="M102" s="56" t="s">
        <v>12</v>
      </c>
      <c r="N102" s="122" t="s">
        <v>609</v>
      </c>
      <c r="O102" s="57">
        <v>2</v>
      </c>
      <c r="P102" s="45">
        <v>2005</v>
      </c>
      <c r="Q102" s="58">
        <f t="shared" si="11"/>
        <v>4010</v>
      </c>
      <c r="R102" s="129" t="s">
        <v>684</v>
      </c>
      <c r="S102" s="19"/>
      <c r="T102" s="32"/>
      <c r="U102" s="32"/>
      <c r="V102" s="51">
        <f t="shared" si="7"/>
        <v>2325.7999999999997</v>
      </c>
      <c r="W102" s="51">
        <f t="shared" si="8"/>
        <v>4651.5999999999995</v>
      </c>
      <c r="X102" s="52">
        <f t="shared" si="9"/>
        <v>1.56</v>
      </c>
      <c r="Y102" s="53">
        <f t="shared" si="10"/>
        <v>3.12</v>
      </c>
      <c r="Z102" s="54"/>
      <c r="AA102" s="71"/>
      <c r="AB102" s="71"/>
      <c r="AC102" s="128"/>
      <c r="AD102" s="33"/>
      <c r="AE102" s="55"/>
    </row>
    <row r="103" spans="2:31" ht="20.100000000000001" customHeight="1">
      <c r="B103" s="48">
        <v>107</v>
      </c>
      <c r="C103" s="121" t="s">
        <v>993</v>
      </c>
      <c r="D103" s="120" t="s">
        <v>349</v>
      </c>
      <c r="E103" s="120">
        <v>2603</v>
      </c>
      <c r="F103" s="120" t="s">
        <v>700</v>
      </c>
      <c r="G103" s="120" t="s">
        <v>699</v>
      </c>
      <c r="H103" s="49">
        <v>2</v>
      </c>
      <c r="I103" s="50" t="s">
        <v>406</v>
      </c>
      <c r="J103" s="124" t="s">
        <v>420</v>
      </c>
      <c r="K103" s="50" t="s">
        <v>48</v>
      </c>
      <c r="L103" s="50" t="s">
        <v>608</v>
      </c>
      <c r="M103" s="56" t="s">
        <v>12</v>
      </c>
      <c r="N103" s="122" t="s">
        <v>609</v>
      </c>
      <c r="O103" s="57">
        <v>4</v>
      </c>
      <c r="P103" s="45">
        <v>6736</v>
      </c>
      <c r="Q103" s="58">
        <f t="shared" si="11"/>
        <v>26944</v>
      </c>
      <c r="R103" s="129" t="s">
        <v>684</v>
      </c>
      <c r="S103" s="19"/>
      <c r="T103" s="32"/>
      <c r="U103" s="32"/>
      <c r="V103" s="51">
        <f t="shared" si="7"/>
        <v>7813.7599999999993</v>
      </c>
      <c r="W103" s="51">
        <f t="shared" si="8"/>
        <v>31255.039999999997</v>
      </c>
      <c r="X103" s="52">
        <f t="shared" si="9"/>
        <v>5.26</v>
      </c>
      <c r="Y103" s="53">
        <f t="shared" si="10"/>
        <v>21.04</v>
      </c>
      <c r="Z103" s="54"/>
      <c r="AA103" s="71"/>
      <c r="AB103" s="71"/>
      <c r="AC103" s="128"/>
      <c r="AD103" s="33"/>
      <c r="AE103" s="55"/>
    </row>
    <row r="104" spans="2:31" ht="20.100000000000001" customHeight="1">
      <c r="B104" s="48">
        <v>108</v>
      </c>
      <c r="C104" s="121" t="s">
        <v>993</v>
      </c>
      <c r="D104" s="120" t="s">
        <v>349</v>
      </c>
      <c r="E104" s="120">
        <v>2603</v>
      </c>
      <c r="F104" s="120" t="s">
        <v>700</v>
      </c>
      <c r="G104" s="120" t="s">
        <v>699</v>
      </c>
      <c r="H104" s="49">
        <v>2</v>
      </c>
      <c r="I104" s="50" t="s">
        <v>407</v>
      </c>
      <c r="J104" s="124" t="s">
        <v>408</v>
      </c>
      <c r="K104" s="50" t="s">
        <v>48</v>
      </c>
      <c r="L104" s="50" t="s">
        <v>608</v>
      </c>
      <c r="M104" s="56" t="s">
        <v>12</v>
      </c>
      <c r="N104" s="122" t="s">
        <v>609</v>
      </c>
      <c r="O104" s="57">
        <v>4</v>
      </c>
      <c r="P104" s="45">
        <v>377</v>
      </c>
      <c r="Q104" s="58">
        <f t="shared" si="11"/>
        <v>1508</v>
      </c>
      <c r="R104" s="129" t="s">
        <v>684</v>
      </c>
      <c r="S104" s="19"/>
      <c r="T104" s="32"/>
      <c r="U104" s="32"/>
      <c r="V104" s="51">
        <f t="shared" si="7"/>
        <v>437.32</v>
      </c>
      <c r="W104" s="51">
        <f t="shared" si="8"/>
        <v>1749.28</v>
      </c>
      <c r="X104" s="52">
        <f t="shared" si="9"/>
        <v>0.28999999999999998</v>
      </c>
      <c r="Y104" s="53">
        <f t="shared" si="10"/>
        <v>1.1599999999999999</v>
      </c>
      <c r="Z104" s="54"/>
      <c r="AA104" s="71"/>
      <c r="AB104" s="71"/>
      <c r="AC104" s="128"/>
      <c r="AD104" s="33"/>
      <c r="AE104" s="55"/>
    </row>
    <row r="105" spans="2:31" ht="20.100000000000001" customHeight="1">
      <c r="B105" s="48">
        <v>109</v>
      </c>
      <c r="C105" s="121" t="s">
        <v>993</v>
      </c>
      <c r="D105" s="120" t="s">
        <v>349</v>
      </c>
      <c r="E105" s="120">
        <v>2603</v>
      </c>
      <c r="F105" s="120" t="s">
        <v>700</v>
      </c>
      <c r="G105" s="120" t="s">
        <v>699</v>
      </c>
      <c r="H105" s="49">
        <v>2</v>
      </c>
      <c r="I105" s="50" t="s">
        <v>40</v>
      </c>
      <c r="J105" s="124" t="s">
        <v>409</v>
      </c>
      <c r="K105" s="50" t="s">
        <v>48</v>
      </c>
      <c r="L105" s="50" t="s">
        <v>608</v>
      </c>
      <c r="M105" s="56" t="s">
        <v>12</v>
      </c>
      <c r="N105" s="122" t="s">
        <v>609</v>
      </c>
      <c r="O105" s="57">
        <v>9</v>
      </c>
      <c r="P105" s="45">
        <v>3693</v>
      </c>
      <c r="Q105" s="58">
        <f t="shared" si="11"/>
        <v>33237</v>
      </c>
      <c r="R105" s="129" t="s">
        <v>684</v>
      </c>
      <c r="S105" s="19"/>
      <c r="T105" s="32"/>
      <c r="U105" s="32"/>
      <c r="V105" s="51">
        <f t="shared" si="7"/>
        <v>4283.88</v>
      </c>
      <c r="W105" s="51">
        <f t="shared" si="8"/>
        <v>38554.92</v>
      </c>
      <c r="X105" s="52">
        <f t="shared" si="9"/>
        <v>2.88</v>
      </c>
      <c r="Y105" s="53">
        <f t="shared" si="10"/>
        <v>25.919999999999998</v>
      </c>
      <c r="Z105" s="54"/>
      <c r="AA105" s="71"/>
      <c r="AB105" s="71"/>
      <c r="AC105" s="128"/>
      <c r="AD105" s="33"/>
      <c r="AE105" s="55"/>
    </row>
    <row r="106" spans="2:31" ht="20.100000000000001" customHeight="1">
      <c r="B106" s="48">
        <v>110</v>
      </c>
      <c r="C106" s="121" t="s">
        <v>993</v>
      </c>
      <c r="D106" s="120" t="s">
        <v>349</v>
      </c>
      <c r="E106" s="120">
        <v>2603</v>
      </c>
      <c r="F106" s="120" t="s">
        <v>700</v>
      </c>
      <c r="G106" s="120" t="s">
        <v>699</v>
      </c>
      <c r="H106" s="49">
        <v>2</v>
      </c>
      <c r="I106" s="50" t="s">
        <v>410</v>
      </c>
      <c r="J106" s="124" t="s">
        <v>411</v>
      </c>
      <c r="K106" s="50" t="s">
        <v>48</v>
      </c>
      <c r="L106" s="50" t="s">
        <v>608</v>
      </c>
      <c r="M106" s="56" t="s">
        <v>12</v>
      </c>
      <c r="N106" s="122" t="s">
        <v>609</v>
      </c>
      <c r="O106" s="57">
        <v>4</v>
      </c>
      <c r="P106" s="45">
        <v>734</v>
      </c>
      <c r="Q106" s="58">
        <f t="shared" si="11"/>
        <v>2936</v>
      </c>
      <c r="R106" s="129" t="s">
        <v>684</v>
      </c>
      <c r="S106" s="19"/>
      <c r="T106" s="32"/>
      <c r="U106" s="32"/>
      <c r="V106" s="51">
        <f t="shared" si="7"/>
        <v>851.43999999999994</v>
      </c>
      <c r="W106" s="51">
        <f t="shared" si="8"/>
        <v>3405.7599999999998</v>
      </c>
      <c r="X106" s="52">
        <f t="shared" si="9"/>
        <v>0.56999999999999995</v>
      </c>
      <c r="Y106" s="53">
        <f t="shared" si="10"/>
        <v>2.2799999999999998</v>
      </c>
      <c r="Z106" s="54"/>
      <c r="AA106" s="71"/>
      <c r="AB106" s="71"/>
      <c r="AC106" s="128"/>
      <c r="AD106" s="33"/>
      <c r="AE106" s="55"/>
    </row>
    <row r="107" spans="2:31" ht="20.100000000000001" hidden="1" customHeight="1">
      <c r="B107" s="48">
        <v>65</v>
      </c>
      <c r="C107" s="121" t="s">
        <v>993</v>
      </c>
      <c r="D107" s="120" t="s">
        <v>349</v>
      </c>
      <c r="E107" s="120">
        <v>2603</v>
      </c>
      <c r="F107" s="120" t="s">
        <v>700</v>
      </c>
      <c r="G107" s="120" t="s">
        <v>699</v>
      </c>
      <c r="H107" s="49"/>
      <c r="I107" s="50" t="s">
        <v>395</v>
      </c>
      <c r="J107" s="124" t="s">
        <v>222</v>
      </c>
      <c r="K107" s="50" t="s">
        <v>31</v>
      </c>
      <c r="L107" s="50" t="s">
        <v>519</v>
      </c>
      <c r="M107" s="56" t="s">
        <v>12</v>
      </c>
      <c r="N107" s="122" t="s">
        <v>665</v>
      </c>
      <c r="O107" s="57">
        <v>1</v>
      </c>
      <c r="P107" s="45">
        <v>8600</v>
      </c>
      <c r="Q107" s="58">
        <f t="shared" si="11"/>
        <v>8600</v>
      </c>
      <c r="R107" s="141">
        <v>46118</v>
      </c>
      <c r="S107" s="19"/>
      <c r="T107" s="32"/>
      <c r="U107" s="32"/>
      <c r="V107" s="51">
        <f t="shared" si="7"/>
        <v>9976</v>
      </c>
      <c r="W107" s="51">
        <f t="shared" si="8"/>
        <v>9976</v>
      </c>
      <c r="X107" s="52">
        <f t="shared" si="9"/>
        <v>6.71</v>
      </c>
      <c r="Y107" s="53">
        <f t="shared" si="10"/>
        <v>6.71</v>
      </c>
      <c r="Z107" s="54"/>
      <c r="AA107" s="71"/>
      <c r="AB107" s="71"/>
      <c r="AC107" s="128"/>
      <c r="AD107" s="33"/>
      <c r="AE107" s="55"/>
    </row>
    <row r="108" spans="2:31" ht="20.100000000000001" hidden="1" customHeight="1">
      <c r="B108" s="48">
        <v>83</v>
      </c>
      <c r="C108" s="121" t="s">
        <v>993</v>
      </c>
      <c r="D108" s="120" t="s">
        <v>349</v>
      </c>
      <c r="E108" s="120">
        <v>2603</v>
      </c>
      <c r="F108" s="120" t="s">
        <v>700</v>
      </c>
      <c r="G108" s="120" t="s">
        <v>699</v>
      </c>
      <c r="H108" s="49"/>
      <c r="I108" s="50" t="s">
        <v>510</v>
      </c>
      <c r="J108" s="124" t="s">
        <v>999</v>
      </c>
      <c r="K108" s="50" t="s">
        <v>181</v>
      </c>
      <c r="L108" s="50" t="s">
        <v>521</v>
      </c>
      <c r="M108" s="56" t="s">
        <v>12</v>
      </c>
      <c r="N108" s="122" t="s">
        <v>665</v>
      </c>
      <c r="O108" s="57">
        <v>1</v>
      </c>
      <c r="P108" s="45">
        <v>14200</v>
      </c>
      <c r="Q108" s="58">
        <f t="shared" si="11"/>
        <v>14200</v>
      </c>
      <c r="R108" s="141">
        <v>46122</v>
      </c>
      <c r="S108" s="19"/>
      <c r="T108" s="32"/>
      <c r="U108" s="32"/>
      <c r="V108" s="51">
        <f t="shared" si="7"/>
        <v>16472</v>
      </c>
      <c r="W108" s="51">
        <f t="shared" si="8"/>
        <v>16472</v>
      </c>
      <c r="X108" s="52">
        <f t="shared" si="9"/>
        <v>11.08</v>
      </c>
      <c r="Y108" s="53">
        <f t="shared" si="10"/>
        <v>11.08</v>
      </c>
      <c r="Z108" s="54"/>
      <c r="AA108" s="71"/>
      <c r="AB108" s="71"/>
      <c r="AC108" s="128"/>
      <c r="AD108" s="33"/>
      <c r="AE108" s="55"/>
    </row>
    <row r="109" spans="2:31" ht="20.100000000000001" hidden="1" customHeight="1">
      <c r="B109" s="48">
        <v>84</v>
      </c>
      <c r="C109" s="121" t="s">
        <v>993</v>
      </c>
      <c r="D109" s="120" t="s">
        <v>349</v>
      </c>
      <c r="E109" s="120">
        <v>2603</v>
      </c>
      <c r="F109" s="120" t="s">
        <v>700</v>
      </c>
      <c r="G109" s="120" t="s">
        <v>699</v>
      </c>
      <c r="H109" s="49"/>
      <c r="I109" s="50" t="s">
        <v>510</v>
      </c>
      <c r="J109" s="124" t="s">
        <v>512</v>
      </c>
      <c r="K109" s="50" t="s">
        <v>181</v>
      </c>
      <c r="L109" s="50" t="s">
        <v>521</v>
      </c>
      <c r="M109" s="56" t="s">
        <v>12</v>
      </c>
      <c r="N109" s="122" t="s">
        <v>665</v>
      </c>
      <c r="O109" s="57">
        <v>1</v>
      </c>
      <c r="P109" s="45">
        <v>26800</v>
      </c>
      <c r="Q109" s="58">
        <f t="shared" si="11"/>
        <v>26800</v>
      </c>
      <c r="R109" s="141">
        <v>46122</v>
      </c>
      <c r="S109" s="19"/>
      <c r="T109" s="32"/>
      <c r="U109" s="32"/>
      <c r="V109" s="51">
        <f t="shared" si="7"/>
        <v>31087.999999999996</v>
      </c>
      <c r="W109" s="51">
        <f t="shared" si="8"/>
        <v>31087.999999999996</v>
      </c>
      <c r="X109" s="52">
        <f t="shared" si="9"/>
        <v>20.91</v>
      </c>
      <c r="Y109" s="53">
        <f t="shared" si="10"/>
        <v>20.91</v>
      </c>
      <c r="Z109" s="54"/>
      <c r="AA109" s="71"/>
      <c r="AB109" s="71"/>
      <c r="AC109" s="128"/>
      <c r="AD109" s="33"/>
      <c r="AE109" s="55"/>
    </row>
    <row r="110" spans="2:31" ht="20.100000000000001" hidden="1" customHeight="1">
      <c r="B110" s="48">
        <v>85</v>
      </c>
      <c r="C110" s="121" t="s">
        <v>993</v>
      </c>
      <c r="D110" s="120" t="s">
        <v>349</v>
      </c>
      <c r="E110" s="120">
        <v>2603</v>
      </c>
      <c r="F110" s="120" t="s">
        <v>700</v>
      </c>
      <c r="G110" s="120" t="s">
        <v>699</v>
      </c>
      <c r="H110" s="49"/>
      <c r="I110" s="50" t="s">
        <v>510</v>
      </c>
      <c r="J110" s="124" t="s">
        <v>998</v>
      </c>
      <c r="K110" s="50" t="s">
        <v>181</v>
      </c>
      <c r="L110" s="50" t="s">
        <v>521</v>
      </c>
      <c r="M110" s="56" t="s">
        <v>12</v>
      </c>
      <c r="N110" s="122" t="s">
        <v>665</v>
      </c>
      <c r="O110" s="57">
        <v>1</v>
      </c>
      <c r="P110" s="45">
        <v>20800</v>
      </c>
      <c r="Q110" s="58">
        <f t="shared" si="11"/>
        <v>20800</v>
      </c>
      <c r="R110" s="141">
        <v>46122</v>
      </c>
      <c r="S110" s="19"/>
      <c r="T110" s="32"/>
      <c r="U110" s="32"/>
      <c r="V110" s="51">
        <f t="shared" si="7"/>
        <v>24128</v>
      </c>
      <c r="W110" s="51">
        <f t="shared" si="8"/>
        <v>24128</v>
      </c>
      <c r="X110" s="52">
        <f t="shared" si="9"/>
        <v>16.23</v>
      </c>
      <c r="Y110" s="53">
        <f t="shared" si="10"/>
        <v>16.23</v>
      </c>
      <c r="Z110" s="54"/>
      <c r="AA110" s="71"/>
      <c r="AB110" s="71"/>
      <c r="AC110" s="128"/>
      <c r="AD110" s="33"/>
      <c r="AE110" s="55"/>
    </row>
    <row r="111" spans="2:31" ht="20.100000000000001" hidden="1" customHeight="1">
      <c r="B111" s="48">
        <v>88</v>
      </c>
      <c r="C111" s="121" t="s">
        <v>993</v>
      </c>
      <c r="D111" s="120" t="s">
        <v>349</v>
      </c>
      <c r="E111" s="120">
        <v>2603</v>
      </c>
      <c r="F111" s="120" t="s">
        <v>700</v>
      </c>
      <c r="G111" s="120" t="s">
        <v>699</v>
      </c>
      <c r="H111" s="49"/>
      <c r="I111" s="50" t="s">
        <v>997</v>
      </c>
      <c r="J111" s="124" t="s">
        <v>62</v>
      </c>
      <c r="K111" s="50" t="s">
        <v>61</v>
      </c>
      <c r="L111" s="50" t="s">
        <v>61</v>
      </c>
      <c r="M111" s="56" t="s">
        <v>12</v>
      </c>
      <c r="N111" s="122" t="s">
        <v>665</v>
      </c>
      <c r="O111" s="57">
        <v>1</v>
      </c>
      <c r="P111" s="45">
        <v>315000</v>
      </c>
      <c r="Q111" s="58">
        <f t="shared" si="11"/>
        <v>315000</v>
      </c>
      <c r="R111" s="141">
        <v>46115</v>
      </c>
      <c r="S111" s="19"/>
      <c r="T111" s="32"/>
      <c r="U111" s="32"/>
      <c r="V111" s="51">
        <f t="shared" si="7"/>
        <v>365400</v>
      </c>
      <c r="W111" s="51">
        <f t="shared" si="8"/>
        <v>365400</v>
      </c>
      <c r="X111" s="52">
        <f t="shared" si="9"/>
        <v>245.79</v>
      </c>
      <c r="Y111" s="53">
        <f t="shared" si="10"/>
        <v>245.79</v>
      </c>
      <c r="Z111" s="54"/>
      <c r="AA111" s="71"/>
      <c r="AB111" s="71"/>
      <c r="AC111" s="128"/>
      <c r="AD111" s="33"/>
      <c r="AE111" s="55"/>
    </row>
    <row r="112" spans="2:31" ht="20.100000000000001" hidden="1" customHeight="1">
      <c r="B112" s="48">
        <v>97</v>
      </c>
      <c r="C112" s="121" t="s">
        <v>993</v>
      </c>
      <c r="D112" s="120" t="s">
        <v>349</v>
      </c>
      <c r="E112" s="120">
        <v>2603</v>
      </c>
      <c r="F112" s="120" t="s">
        <v>700</v>
      </c>
      <c r="G112" s="120" t="s">
        <v>699</v>
      </c>
      <c r="H112" s="49"/>
      <c r="I112" s="50" t="s">
        <v>42</v>
      </c>
      <c r="J112" s="124" t="s">
        <v>418</v>
      </c>
      <c r="K112" s="50" t="s">
        <v>417</v>
      </c>
      <c r="L112" s="50" t="s">
        <v>606</v>
      </c>
      <c r="M112" s="56" t="s">
        <v>12</v>
      </c>
      <c r="N112" s="122" t="s">
        <v>665</v>
      </c>
      <c r="O112" s="57">
        <v>8</v>
      </c>
      <c r="P112" s="45">
        <v>750</v>
      </c>
      <c r="Q112" s="58">
        <f t="shared" si="11"/>
        <v>6000</v>
      </c>
      <c r="R112" s="141" t="s">
        <v>1021</v>
      </c>
      <c r="S112" s="19"/>
      <c r="T112" s="32"/>
      <c r="U112" s="32"/>
      <c r="V112" s="51">
        <f t="shared" si="7"/>
        <v>869.99999999999989</v>
      </c>
      <c r="W112" s="51">
        <f t="shared" si="8"/>
        <v>6959.9999999999991</v>
      </c>
      <c r="X112" s="52">
        <f t="shared" si="9"/>
        <v>0.59</v>
      </c>
      <c r="Y112" s="53">
        <f t="shared" si="10"/>
        <v>4.72</v>
      </c>
      <c r="Z112" s="54"/>
      <c r="AA112" s="71"/>
      <c r="AB112" s="71"/>
      <c r="AC112" s="128"/>
      <c r="AD112" s="33"/>
      <c r="AE112" s="55"/>
    </row>
    <row r="113" spans="2:32" ht="20.100000000000001" hidden="1" customHeight="1">
      <c r="B113" s="48">
        <v>100</v>
      </c>
      <c r="C113" s="121" t="s">
        <v>993</v>
      </c>
      <c r="D113" s="120" t="s">
        <v>349</v>
      </c>
      <c r="E113" s="120">
        <v>2603</v>
      </c>
      <c r="F113" s="120" t="s">
        <v>700</v>
      </c>
      <c r="G113" s="120" t="s">
        <v>699</v>
      </c>
      <c r="H113" s="49"/>
      <c r="I113" s="50" t="s">
        <v>67</v>
      </c>
      <c r="J113" s="124" t="s">
        <v>69</v>
      </c>
      <c r="K113" s="50" t="s">
        <v>68</v>
      </c>
      <c r="L113" s="50" t="s">
        <v>525</v>
      </c>
      <c r="M113" s="56" t="s">
        <v>12</v>
      </c>
      <c r="N113" s="122" t="s">
        <v>665</v>
      </c>
      <c r="O113" s="57">
        <v>1</v>
      </c>
      <c r="P113" s="45">
        <v>900000</v>
      </c>
      <c r="Q113" s="58">
        <f t="shared" si="11"/>
        <v>900000</v>
      </c>
      <c r="R113" s="141">
        <v>46114</v>
      </c>
      <c r="S113" s="19"/>
      <c r="T113" s="32"/>
      <c r="U113" s="32"/>
      <c r="V113" s="51">
        <f t="shared" si="7"/>
        <v>1043999.9999999999</v>
      </c>
      <c r="W113" s="51">
        <f t="shared" si="8"/>
        <v>1043999.9999999999</v>
      </c>
      <c r="X113" s="52">
        <f t="shared" si="9"/>
        <v>702.25</v>
      </c>
      <c r="Y113" s="53">
        <f t="shared" si="10"/>
        <v>702.25</v>
      </c>
      <c r="Z113" s="54"/>
      <c r="AA113" s="71"/>
      <c r="AB113" s="71"/>
      <c r="AC113" s="128"/>
      <c r="AD113" s="33"/>
      <c r="AE113" s="55"/>
    </row>
    <row r="114" spans="2:32" ht="20.100000000000001" hidden="1" customHeight="1">
      <c r="B114" s="48">
        <v>102</v>
      </c>
      <c r="C114" s="121" t="s">
        <v>993</v>
      </c>
      <c r="D114" s="120" t="s">
        <v>349</v>
      </c>
      <c r="E114" s="120">
        <v>2603</v>
      </c>
      <c r="F114" s="120" t="s">
        <v>700</v>
      </c>
      <c r="G114" s="120" t="s">
        <v>699</v>
      </c>
      <c r="H114" s="49"/>
      <c r="I114" s="50" t="s">
        <v>25</v>
      </c>
      <c r="J114" s="124" t="s">
        <v>1019</v>
      </c>
      <c r="K114" s="50" t="s">
        <v>994</v>
      </c>
      <c r="L114" s="50" t="s">
        <v>608</v>
      </c>
      <c r="M114" s="56" t="s">
        <v>12</v>
      </c>
      <c r="N114" s="122" t="s">
        <v>609</v>
      </c>
      <c r="O114" s="57">
        <v>6</v>
      </c>
      <c r="P114" s="45">
        <v>32760</v>
      </c>
      <c r="Q114" s="58">
        <f t="shared" si="11"/>
        <v>196560</v>
      </c>
      <c r="R114" s="141">
        <v>46133</v>
      </c>
      <c r="S114" s="19"/>
      <c r="T114" s="32"/>
      <c r="U114" s="32"/>
      <c r="V114" s="51">
        <f t="shared" si="7"/>
        <v>38001.599999999999</v>
      </c>
      <c r="W114" s="51">
        <f t="shared" si="8"/>
        <v>228009.59999999998</v>
      </c>
      <c r="X114" s="52">
        <f t="shared" si="9"/>
        <v>25.56</v>
      </c>
      <c r="Y114" s="53">
        <f t="shared" si="10"/>
        <v>153.35999999999999</v>
      </c>
      <c r="Z114" s="54"/>
      <c r="AA114" s="71"/>
      <c r="AB114" s="71"/>
      <c r="AC114" s="128"/>
      <c r="AD114" s="33"/>
      <c r="AE114" s="55"/>
    </row>
    <row r="115" spans="2:32" ht="20.100000000000001" hidden="1" customHeight="1">
      <c r="B115" s="48"/>
      <c r="C115" s="121"/>
      <c r="D115" s="120"/>
      <c r="E115" s="120"/>
      <c r="F115" s="120"/>
      <c r="G115" s="120"/>
      <c r="H115" s="49"/>
      <c r="I115" s="50"/>
      <c r="J115" s="124"/>
      <c r="K115" s="50"/>
      <c r="L115" s="50"/>
      <c r="M115" s="56" t="s">
        <v>12</v>
      </c>
      <c r="N115" s="122"/>
      <c r="O115" s="57"/>
      <c r="P115" s="45"/>
      <c r="Q115" s="58">
        <f t="shared" si="11"/>
        <v>0</v>
      </c>
      <c r="R115" s="129"/>
      <c r="S115" s="19"/>
      <c r="T115" s="32"/>
      <c r="U115" s="32"/>
      <c r="V115" s="51">
        <f t="shared" si="7"/>
        <v>0</v>
      </c>
      <c r="W115" s="51">
        <f t="shared" si="8"/>
        <v>0</v>
      </c>
      <c r="X115" s="52">
        <f t="shared" si="9"/>
        <v>0</v>
      </c>
      <c r="Y115" s="53">
        <f t="shared" si="10"/>
        <v>0</v>
      </c>
      <c r="Z115" s="54"/>
      <c r="AA115" s="71"/>
      <c r="AB115" s="71"/>
      <c r="AC115" s="128"/>
      <c r="AD115" s="33"/>
      <c r="AE115" s="55"/>
    </row>
    <row r="116" spans="2:32" ht="30.75" customHeight="1" thickBot="1">
      <c r="B116" s="36"/>
      <c r="C116" s="119"/>
      <c r="D116" s="37"/>
      <c r="E116" s="37"/>
      <c r="F116" s="37"/>
      <c r="G116" s="37"/>
      <c r="H116" s="37"/>
      <c r="I116" s="37"/>
      <c r="J116" s="127"/>
      <c r="K116" s="37"/>
      <c r="L116" s="37"/>
      <c r="M116" s="37"/>
      <c r="N116" s="123" t="s">
        <v>1</v>
      </c>
      <c r="O116" s="38">
        <f>SUBTOTAL(9,O5:O115)</f>
        <v>364</v>
      </c>
      <c r="P116" s="38"/>
      <c r="Q116" s="38">
        <f>SUBTOTAL(9,Q5:Q115)</f>
        <v>10769325</v>
      </c>
      <c r="R116" s="70"/>
      <c r="S116" s="67"/>
      <c r="T116" s="39"/>
      <c r="U116" s="39"/>
      <c r="V116" s="38"/>
      <c r="W116" s="38">
        <f>SUBTOTAL(9,W5:W115)</f>
        <v>12492416.999999998</v>
      </c>
      <c r="X116" s="29"/>
      <c r="Y116" s="30">
        <f>++SUBTOTAL(9,Y5:Y115)</f>
        <v>8402.8100000000031</v>
      </c>
      <c r="Z116" s="44" t="e">
        <f>++SUBTOTAL(9,#REF!)</f>
        <v>#REF!</v>
      </c>
      <c r="AA116" s="40" t="e">
        <f>++SUBTOTAL(9,#REF!)</f>
        <v>#REF!</v>
      </c>
      <c r="AB116" s="40" t="e">
        <f>++SUBTOTAL(9,#REF!)</f>
        <v>#REF!</v>
      </c>
      <c r="AC116" s="41"/>
      <c r="AD116" s="6"/>
      <c r="AE116" s="14">
        <f>SUM(AE4:AE115)+6</f>
        <v>6</v>
      </c>
      <c r="AF116" s="43"/>
    </row>
    <row r="117" spans="2:32" ht="15.75" thickTop="1">
      <c r="O117" s="9"/>
      <c r="P117" s="3"/>
      <c r="Q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17"/>
      <c r="AD117" s="3"/>
      <c r="AE117" s="9"/>
    </row>
    <row r="118" spans="2:32">
      <c r="O118" s="9"/>
      <c r="P118" s="3"/>
      <c r="Q118" s="3"/>
      <c r="S118" s="3"/>
      <c r="T118" s="3"/>
      <c r="U118" s="3"/>
      <c r="V118" s="42" t="s">
        <v>54</v>
      </c>
      <c r="W118" s="47">
        <f>++W116/Q116</f>
        <v>1.1599999999999999</v>
      </c>
      <c r="X118" s="3"/>
      <c r="Y118" s="3"/>
      <c r="Z118" s="3"/>
      <c r="AA118" s="3"/>
      <c r="AB118" s="3"/>
      <c r="AC118" s="17"/>
      <c r="AD118" s="3"/>
      <c r="AE118" s="9"/>
    </row>
    <row r="119" spans="2:32">
      <c r="O119" s="9"/>
      <c r="P119" s="3"/>
      <c r="Q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17"/>
      <c r="AD119" s="3"/>
      <c r="AE119" s="9"/>
    </row>
    <row r="120" spans="2:32">
      <c r="O120" s="9"/>
      <c r="P120" s="3"/>
      <c r="Q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17"/>
      <c r="AD120" s="3"/>
      <c r="AE120" s="9"/>
    </row>
    <row r="121" spans="2:32">
      <c r="O121" s="9"/>
      <c r="P121" s="3"/>
      <c r="Q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17"/>
      <c r="AD121" s="3"/>
      <c r="AE121" s="9"/>
    </row>
    <row r="122" spans="2:32">
      <c r="O122" s="9"/>
      <c r="P122" s="3"/>
      <c r="Q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17"/>
      <c r="AD122" s="3"/>
      <c r="AE122" s="9"/>
    </row>
    <row r="123" spans="2:32">
      <c r="O123" s="9"/>
      <c r="P123" s="3"/>
      <c r="Q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17"/>
      <c r="AD123" s="3"/>
      <c r="AE123" s="9"/>
    </row>
    <row r="124" spans="2:32">
      <c r="O124" s="9"/>
      <c r="P124" s="3"/>
      <c r="Q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17"/>
      <c r="AD124" s="3"/>
      <c r="AE124" s="9"/>
    </row>
    <row r="125" spans="2:32">
      <c r="O125" s="9"/>
      <c r="P125" s="3"/>
      <c r="Q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17"/>
      <c r="AD125" s="3"/>
      <c r="AE125" s="9"/>
    </row>
    <row r="126" spans="2:32">
      <c r="O126" s="9"/>
      <c r="P126" s="3"/>
      <c r="Q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17"/>
      <c r="AD126" s="3"/>
      <c r="AE126" s="9"/>
    </row>
    <row r="127" spans="2:32">
      <c r="O127" s="9"/>
      <c r="P127" s="3"/>
      <c r="Q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17"/>
      <c r="AD127" s="3"/>
      <c r="AE127" s="9"/>
    </row>
    <row r="128" spans="2:32">
      <c r="O128" s="9"/>
      <c r="P128" s="3"/>
      <c r="Q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17"/>
      <c r="AD128" s="3"/>
      <c r="AE128" s="9"/>
    </row>
    <row r="129" spans="15:31">
      <c r="O129" s="9"/>
      <c r="P129" s="3"/>
      <c r="Q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17"/>
      <c r="AD129" s="3"/>
      <c r="AE129" s="9"/>
    </row>
    <row r="130" spans="15:31">
      <c r="O130" s="9"/>
      <c r="P130" s="3"/>
      <c r="Q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17"/>
      <c r="AD130" s="3"/>
      <c r="AE130" s="9"/>
    </row>
  </sheetData>
  <autoFilter ref="B4:AE115" xr:uid="{00000000-0009-0000-0000-000000000000}">
    <filterColumn colId="16">
      <filters>
        <filter val="사내 재고"/>
        <filter val="입고 완료"/>
      </filters>
    </filterColumn>
    <sortState xmlns:xlrd2="http://schemas.microsoft.com/office/spreadsheetml/2017/richdata2" ref="B5:AE115">
      <sortCondition ref="B4:B115"/>
    </sortState>
  </autoFilter>
  <mergeCells count="3">
    <mergeCell ref="B2:AE2"/>
    <mergeCell ref="C4:E4"/>
    <mergeCell ref="Z4:AA4"/>
  </mergeCells>
  <phoneticPr fontId="1" type="noConversion"/>
  <conditionalFormatting sqref="J1:J1048576">
    <cfRule type="duplicateValues" dxfId="1" priority="1"/>
  </conditionalFormatting>
  <pageMargins left="0.70866141732283472" right="0.70866141732283472" top="0.74803149606299213" bottom="0.74803149606299213" header="0.31496062992125984" footer="0.31496062992125984"/>
  <pageSetup paperSize="9" scale="62" fitToHeight="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13A97-321D-4F85-BEB0-0FC4D5E02A9C}">
  <sheetPr filterMode="1">
    <pageSetUpPr fitToPage="1"/>
  </sheetPr>
  <dimension ref="B1:AF193"/>
  <sheetViews>
    <sheetView tabSelected="1" zoomScaleNormal="100" zoomScaleSheetLayoutView="100" workbookViewId="0">
      <pane ySplit="4" topLeftCell="A143" activePane="bottomLeft" state="frozen"/>
      <selection activeCell="X4" sqref="X4"/>
      <selection pane="bottomLeft" activeCell="Q147" sqref="Q147"/>
    </sheetView>
  </sheetViews>
  <sheetFormatPr defaultRowHeight="15"/>
  <cols>
    <col min="1" max="1" width="1" customWidth="1"/>
    <col min="2" max="2" width="5.33203125" style="1" customWidth="1"/>
    <col min="3" max="3" width="4" style="118" customWidth="1"/>
    <col min="4" max="4" width="2.77734375" style="1" customWidth="1"/>
    <col min="5" max="5" width="4.77734375" style="1" customWidth="1"/>
    <col min="6" max="6" width="5.88671875" style="1" customWidth="1"/>
    <col min="7" max="8" width="5.6640625" style="1" customWidth="1"/>
    <col min="9" max="9" width="17.21875" style="2" customWidth="1"/>
    <col min="10" max="10" width="32.88671875" style="125" customWidth="1"/>
    <col min="11" max="11" width="11.44140625" style="2" bestFit="1" customWidth="1"/>
    <col min="12" max="12" width="13.44140625" style="2" customWidth="1"/>
    <col min="13" max="13" width="4.21875" style="2" customWidth="1"/>
    <col min="14" max="14" width="10.44140625" style="2" customWidth="1"/>
    <col min="15" max="15" width="7.77734375" style="8" bestFit="1" customWidth="1"/>
    <col min="16" max="17" width="11.88671875" style="1" customWidth="1"/>
    <col min="18" max="18" width="10.21875" style="22" customWidth="1"/>
    <col min="19" max="19" width="10.5546875" style="1" hidden="1" customWidth="1"/>
    <col min="20" max="20" width="6.6640625" style="1" hidden="1" customWidth="1"/>
    <col min="21" max="21" width="6.109375" style="1" hidden="1" customWidth="1"/>
    <col min="22" max="25" width="11.77734375" style="1" customWidth="1"/>
    <col min="26" max="27" width="11.77734375" style="1" hidden="1" customWidth="1"/>
    <col min="28" max="28" width="1.33203125" style="1" hidden="1" customWidth="1"/>
    <col min="29" max="29" width="17.21875" style="16" bestFit="1" customWidth="1"/>
    <col min="30" max="30" width="16.44140625" style="1" hidden="1" customWidth="1"/>
    <col min="31" max="31" width="10.44140625" style="8" hidden="1" customWidth="1"/>
    <col min="32" max="32" width="12.6640625" bestFit="1" customWidth="1"/>
  </cols>
  <sheetData>
    <row r="1" spans="2:31" ht="4.5" customHeight="1"/>
    <row r="2" spans="2:31" ht="38.25" customHeight="1">
      <c r="B2" s="144" t="s">
        <v>4</v>
      </c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5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  <c r="AA2" s="144"/>
      <c r="AB2" s="144"/>
      <c r="AC2" s="144"/>
      <c r="AD2" s="144"/>
      <c r="AE2" s="144"/>
    </row>
    <row r="3" spans="2:31" ht="4.5" customHeight="1" thickBot="1">
      <c r="V3" s="31">
        <v>0.16</v>
      </c>
      <c r="X3" s="46">
        <v>1486.64</v>
      </c>
    </row>
    <row r="4" spans="2:31" ht="45" customHeight="1" thickTop="1" thickBot="1">
      <c r="B4" s="24" t="s">
        <v>13</v>
      </c>
      <c r="C4" s="148" t="s">
        <v>14</v>
      </c>
      <c r="D4" s="149"/>
      <c r="E4" s="150"/>
      <c r="F4" s="25" t="s">
        <v>194</v>
      </c>
      <c r="G4" s="25" t="s">
        <v>197</v>
      </c>
      <c r="H4" s="25" t="s">
        <v>195</v>
      </c>
      <c r="I4" s="26" t="s">
        <v>3</v>
      </c>
      <c r="J4" s="126" t="s">
        <v>0</v>
      </c>
      <c r="K4" s="26" t="s">
        <v>6</v>
      </c>
      <c r="L4" s="26" t="s">
        <v>5</v>
      </c>
      <c r="M4" s="25" t="s">
        <v>10</v>
      </c>
      <c r="N4" s="25" t="s">
        <v>20</v>
      </c>
      <c r="O4" s="25" t="s">
        <v>7</v>
      </c>
      <c r="P4" s="25" t="s">
        <v>8</v>
      </c>
      <c r="Q4" s="25" t="s">
        <v>9</v>
      </c>
      <c r="R4" s="68" t="s">
        <v>29</v>
      </c>
      <c r="S4" s="66" t="s">
        <v>50</v>
      </c>
      <c r="T4" s="25" t="s">
        <v>52</v>
      </c>
      <c r="U4" s="25" t="s">
        <v>53</v>
      </c>
      <c r="V4" s="25" t="s">
        <v>16</v>
      </c>
      <c r="W4" s="25" t="s">
        <v>17</v>
      </c>
      <c r="X4" s="27" t="s">
        <v>18</v>
      </c>
      <c r="Y4" s="28" t="s">
        <v>19</v>
      </c>
      <c r="Z4" s="146" t="s">
        <v>55</v>
      </c>
      <c r="AA4" s="147"/>
      <c r="AB4" s="35" t="s">
        <v>51</v>
      </c>
      <c r="AC4" s="23" t="s">
        <v>15</v>
      </c>
      <c r="AD4" s="20" t="s">
        <v>37</v>
      </c>
      <c r="AE4" s="21" t="s">
        <v>2</v>
      </c>
    </row>
    <row r="5" spans="2:31" ht="20.100000000000001" customHeight="1" thickTop="1">
      <c r="B5" s="48">
        <v>1</v>
      </c>
      <c r="C5" s="121" t="s">
        <v>833</v>
      </c>
      <c r="D5" s="120" t="s">
        <v>349</v>
      </c>
      <c r="E5" s="120">
        <v>2508</v>
      </c>
      <c r="F5" s="120" t="s">
        <v>832</v>
      </c>
      <c r="G5" s="120" t="s">
        <v>689</v>
      </c>
      <c r="H5" s="49">
        <v>4</v>
      </c>
      <c r="I5" s="50" t="s">
        <v>153</v>
      </c>
      <c r="J5" s="124" t="s">
        <v>831</v>
      </c>
      <c r="K5" s="50" t="s">
        <v>121</v>
      </c>
      <c r="L5" s="50" t="s">
        <v>518</v>
      </c>
      <c r="M5" s="56" t="s">
        <v>12</v>
      </c>
      <c r="N5" s="122" t="s">
        <v>722</v>
      </c>
      <c r="O5" s="57">
        <v>4</v>
      </c>
      <c r="P5" s="45">
        <v>16200</v>
      </c>
      <c r="Q5" s="58">
        <f t="shared" ref="Q5:Q35" si="0">O5*P5</f>
        <v>64800</v>
      </c>
      <c r="R5" s="129" t="s">
        <v>663</v>
      </c>
      <c r="S5" s="19"/>
      <c r="T5" s="32"/>
      <c r="U5" s="32"/>
      <c r="V5" s="51">
        <f>++P5*(1+$V$3)</f>
        <v>18792</v>
      </c>
      <c r="W5" s="51">
        <f>++O5*V5</f>
        <v>75168</v>
      </c>
      <c r="X5" s="52">
        <f>++ROUND(V5/$X$3,2)</f>
        <v>12.64</v>
      </c>
      <c r="Y5" s="53">
        <f>++O5*X5</f>
        <v>50.56</v>
      </c>
      <c r="Z5" s="54"/>
      <c r="AA5" s="71"/>
      <c r="AB5" s="71"/>
      <c r="AC5" s="128"/>
      <c r="AD5" s="33"/>
      <c r="AE5" s="55"/>
    </row>
    <row r="6" spans="2:31" ht="20.100000000000001" customHeight="1">
      <c r="B6" s="48">
        <v>2</v>
      </c>
      <c r="C6" s="121" t="s">
        <v>701</v>
      </c>
      <c r="D6" s="120" t="s">
        <v>349</v>
      </c>
      <c r="E6" s="120">
        <v>2508</v>
      </c>
      <c r="F6" s="120" t="s">
        <v>700</v>
      </c>
      <c r="G6" s="120" t="s">
        <v>699</v>
      </c>
      <c r="H6" s="49">
        <v>4</v>
      </c>
      <c r="I6" s="50" t="s">
        <v>830</v>
      </c>
      <c r="J6" s="124" t="s">
        <v>236</v>
      </c>
      <c r="K6" s="50" t="s">
        <v>23</v>
      </c>
      <c r="L6" s="50" t="s">
        <v>518</v>
      </c>
      <c r="M6" s="56" t="s">
        <v>12</v>
      </c>
      <c r="N6" s="122" t="s">
        <v>666</v>
      </c>
      <c r="O6" s="57">
        <v>26</v>
      </c>
      <c r="P6" s="45">
        <v>33000</v>
      </c>
      <c r="Q6" s="58">
        <f t="shared" si="0"/>
        <v>858000</v>
      </c>
      <c r="R6" s="129" t="s">
        <v>663</v>
      </c>
      <c r="S6" s="19"/>
      <c r="T6" s="32"/>
      <c r="U6" s="32"/>
      <c r="V6" s="51">
        <f t="shared" ref="V6:V69" si="1">++P6*(1+$V$3)</f>
        <v>38280</v>
      </c>
      <c r="W6" s="51">
        <f t="shared" ref="W6:W69" si="2">++O6*V6</f>
        <v>995280</v>
      </c>
      <c r="X6" s="52">
        <f t="shared" ref="X6:X69" si="3">++ROUND(V6/$X$3,2)</f>
        <v>25.75</v>
      </c>
      <c r="Y6" s="53">
        <f t="shared" ref="Y6:Y69" si="4">++O6*X6</f>
        <v>669.5</v>
      </c>
      <c r="Z6" s="54"/>
      <c r="AA6" s="71"/>
      <c r="AB6" s="71"/>
      <c r="AC6" s="128"/>
      <c r="AD6" s="33"/>
      <c r="AE6" s="55"/>
    </row>
    <row r="7" spans="2:31" ht="20.100000000000001" customHeight="1">
      <c r="B7" s="48">
        <v>3</v>
      </c>
      <c r="C7" s="121" t="s">
        <v>701</v>
      </c>
      <c r="D7" s="120" t="s">
        <v>349</v>
      </c>
      <c r="E7" s="120">
        <v>2508</v>
      </c>
      <c r="F7" s="120" t="s">
        <v>700</v>
      </c>
      <c r="G7" s="120" t="s">
        <v>699</v>
      </c>
      <c r="H7" s="49">
        <v>4</v>
      </c>
      <c r="I7" s="50" t="s">
        <v>828</v>
      </c>
      <c r="J7" s="124" t="s">
        <v>829</v>
      </c>
      <c r="K7" s="50" t="s">
        <v>22</v>
      </c>
      <c r="L7" s="50" t="s">
        <v>518</v>
      </c>
      <c r="M7" s="56" t="s">
        <v>12</v>
      </c>
      <c r="N7" s="122" t="s">
        <v>665</v>
      </c>
      <c r="O7" s="57">
        <v>2</v>
      </c>
      <c r="P7" s="45">
        <v>22000</v>
      </c>
      <c r="Q7" s="58">
        <f t="shared" si="0"/>
        <v>44000</v>
      </c>
      <c r="R7" s="129" t="s">
        <v>663</v>
      </c>
      <c r="S7" s="19"/>
      <c r="T7" s="32"/>
      <c r="U7" s="32"/>
      <c r="V7" s="51">
        <f t="shared" si="1"/>
        <v>25520</v>
      </c>
      <c r="W7" s="51">
        <f t="shared" si="2"/>
        <v>51040</v>
      </c>
      <c r="X7" s="52">
        <f t="shared" si="3"/>
        <v>17.170000000000002</v>
      </c>
      <c r="Y7" s="53">
        <f t="shared" si="4"/>
        <v>34.340000000000003</v>
      </c>
      <c r="Z7" s="54"/>
      <c r="AA7" s="71"/>
      <c r="AB7" s="71"/>
      <c r="AC7" s="128"/>
      <c r="AD7" s="33"/>
      <c r="AE7" s="55"/>
    </row>
    <row r="8" spans="2:31" ht="20.100000000000001" customHeight="1">
      <c r="B8" s="48">
        <v>4</v>
      </c>
      <c r="C8" s="121" t="s">
        <v>701</v>
      </c>
      <c r="D8" s="120" t="s">
        <v>349</v>
      </c>
      <c r="E8" s="120">
        <v>2508</v>
      </c>
      <c r="F8" s="120" t="s">
        <v>700</v>
      </c>
      <c r="G8" s="120" t="s">
        <v>699</v>
      </c>
      <c r="H8" s="49">
        <v>4</v>
      </c>
      <c r="I8" s="50" t="s">
        <v>828</v>
      </c>
      <c r="J8" s="124" t="s">
        <v>233</v>
      </c>
      <c r="K8" s="50" t="s">
        <v>22</v>
      </c>
      <c r="L8" s="50" t="s">
        <v>518</v>
      </c>
      <c r="M8" s="56" t="s">
        <v>12</v>
      </c>
      <c r="N8" s="122" t="s">
        <v>665</v>
      </c>
      <c r="O8" s="57">
        <v>16</v>
      </c>
      <c r="P8" s="45">
        <v>5800</v>
      </c>
      <c r="Q8" s="58">
        <f t="shared" si="0"/>
        <v>92800</v>
      </c>
      <c r="R8" s="129" t="s">
        <v>663</v>
      </c>
      <c r="S8" s="19"/>
      <c r="T8" s="32"/>
      <c r="U8" s="32"/>
      <c r="V8" s="51">
        <f t="shared" si="1"/>
        <v>6727.9999999999991</v>
      </c>
      <c r="W8" s="51">
        <f t="shared" si="2"/>
        <v>107647.99999999999</v>
      </c>
      <c r="X8" s="52">
        <f t="shared" si="3"/>
        <v>4.53</v>
      </c>
      <c r="Y8" s="53">
        <f t="shared" si="4"/>
        <v>72.48</v>
      </c>
      <c r="Z8" s="54"/>
      <c r="AA8" s="71"/>
      <c r="AB8" s="71"/>
      <c r="AC8" s="128"/>
      <c r="AD8" s="33"/>
      <c r="AE8" s="55"/>
    </row>
    <row r="9" spans="2:31" ht="20.100000000000001" customHeight="1">
      <c r="B9" s="48">
        <v>5</v>
      </c>
      <c r="C9" s="121" t="s">
        <v>701</v>
      </c>
      <c r="D9" s="120" t="s">
        <v>349</v>
      </c>
      <c r="E9" s="120">
        <v>2508</v>
      </c>
      <c r="F9" s="120" t="s">
        <v>700</v>
      </c>
      <c r="G9" s="120" t="s">
        <v>699</v>
      </c>
      <c r="H9" s="49">
        <v>4</v>
      </c>
      <c r="I9" s="50" t="s">
        <v>144</v>
      </c>
      <c r="J9" s="124" t="s">
        <v>145</v>
      </c>
      <c r="K9" s="50" t="s">
        <v>22</v>
      </c>
      <c r="L9" s="50" t="s">
        <v>518</v>
      </c>
      <c r="M9" s="56" t="s">
        <v>12</v>
      </c>
      <c r="N9" s="122" t="s">
        <v>665</v>
      </c>
      <c r="O9" s="57">
        <v>6</v>
      </c>
      <c r="P9" s="45">
        <v>12600</v>
      </c>
      <c r="Q9" s="58">
        <f t="shared" si="0"/>
        <v>75600</v>
      </c>
      <c r="R9" s="129" t="s">
        <v>663</v>
      </c>
      <c r="S9" s="19"/>
      <c r="T9" s="32"/>
      <c r="U9" s="32"/>
      <c r="V9" s="51">
        <f t="shared" si="1"/>
        <v>14615.999999999998</v>
      </c>
      <c r="W9" s="51">
        <f t="shared" si="2"/>
        <v>87695.999999999985</v>
      </c>
      <c r="X9" s="52">
        <f t="shared" si="3"/>
        <v>9.83</v>
      </c>
      <c r="Y9" s="53">
        <f t="shared" si="4"/>
        <v>58.980000000000004</v>
      </c>
      <c r="Z9" s="54"/>
      <c r="AA9" s="71"/>
      <c r="AB9" s="71"/>
      <c r="AC9" s="128"/>
      <c r="AD9" s="33"/>
      <c r="AE9" s="55"/>
    </row>
    <row r="10" spans="2:31" ht="20.100000000000001" customHeight="1">
      <c r="B10" s="48">
        <v>6</v>
      </c>
      <c r="C10" s="121" t="s">
        <v>701</v>
      </c>
      <c r="D10" s="120" t="s">
        <v>349</v>
      </c>
      <c r="E10" s="120">
        <v>2508</v>
      </c>
      <c r="F10" s="120" t="s">
        <v>700</v>
      </c>
      <c r="G10" s="120" t="s">
        <v>699</v>
      </c>
      <c r="H10" s="49">
        <v>4</v>
      </c>
      <c r="I10" s="50" t="s">
        <v>163</v>
      </c>
      <c r="J10" s="124" t="s">
        <v>167</v>
      </c>
      <c r="K10" s="50" t="s">
        <v>164</v>
      </c>
      <c r="L10" s="50" t="s">
        <v>518</v>
      </c>
      <c r="M10" s="56" t="s">
        <v>12</v>
      </c>
      <c r="N10" s="122" t="s">
        <v>820</v>
      </c>
      <c r="O10" s="57">
        <v>2</v>
      </c>
      <c r="P10" s="45">
        <v>13000</v>
      </c>
      <c r="Q10" s="58">
        <f t="shared" si="0"/>
        <v>26000</v>
      </c>
      <c r="R10" s="129" t="s">
        <v>684</v>
      </c>
      <c r="S10" s="19"/>
      <c r="T10" s="32"/>
      <c r="U10" s="32"/>
      <c r="V10" s="51">
        <f t="shared" si="1"/>
        <v>15079.999999999998</v>
      </c>
      <c r="W10" s="51">
        <f t="shared" si="2"/>
        <v>30159.999999999996</v>
      </c>
      <c r="X10" s="52">
        <f t="shared" si="3"/>
        <v>10.14</v>
      </c>
      <c r="Y10" s="53">
        <f t="shared" si="4"/>
        <v>20.28</v>
      </c>
      <c r="Z10" s="54"/>
      <c r="AA10" s="71"/>
      <c r="AB10" s="71"/>
      <c r="AC10" s="128"/>
      <c r="AD10" s="33"/>
      <c r="AE10" s="55"/>
    </row>
    <row r="11" spans="2:31" ht="20.100000000000001" customHeight="1">
      <c r="B11" s="48">
        <v>7</v>
      </c>
      <c r="C11" s="121" t="s">
        <v>701</v>
      </c>
      <c r="D11" s="120" t="s">
        <v>349</v>
      </c>
      <c r="E11" s="120">
        <v>2508</v>
      </c>
      <c r="F11" s="120" t="s">
        <v>700</v>
      </c>
      <c r="G11" s="120" t="s">
        <v>699</v>
      </c>
      <c r="H11" s="49">
        <v>4</v>
      </c>
      <c r="I11" s="50" t="s">
        <v>163</v>
      </c>
      <c r="J11" s="124" t="s">
        <v>827</v>
      </c>
      <c r="K11" s="50" t="s">
        <v>164</v>
      </c>
      <c r="L11" s="50" t="s">
        <v>518</v>
      </c>
      <c r="M11" s="56" t="s">
        <v>12</v>
      </c>
      <c r="N11" s="122" t="s">
        <v>820</v>
      </c>
      <c r="O11" s="57">
        <v>2</v>
      </c>
      <c r="P11" s="45">
        <v>26000</v>
      </c>
      <c r="Q11" s="58">
        <f t="shared" si="0"/>
        <v>52000</v>
      </c>
      <c r="R11" s="129" t="s">
        <v>684</v>
      </c>
      <c r="S11" s="19"/>
      <c r="T11" s="32"/>
      <c r="U11" s="32"/>
      <c r="V11" s="51">
        <f t="shared" si="1"/>
        <v>30159.999999999996</v>
      </c>
      <c r="W11" s="51">
        <f t="shared" si="2"/>
        <v>60319.999999999993</v>
      </c>
      <c r="X11" s="52">
        <f t="shared" si="3"/>
        <v>20.29</v>
      </c>
      <c r="Y11" s="53">
        <f t="shared" si="4"/>
        <v>40.58</v>
      </c>
      <c r="Z11" s="54"/>
      <c r="AA11" s="71"/>
      <c r="AB11" s="71"/>
      <c r="AC11" s="128"/>
      <c r="AD11" s="33"/>
      <c r="AE11" s="55"/>
    </row>
    <row r="12" spans="2:31" ht="20.100000000000001" customHeight="1">
      <c r="B12" s="48">
        <v>8</v>
      </c>
      <c r="C12" s="121" t="s">
        <v>701</v>
      </c>
      <c r="D12" s="120" t="s">
        <v>349</v>
      </c>
      <c r="E12" s="120">
        <v>2508</v>
      </c>
      <c r="F12" s="120" t="s">
        <v>700</v>
      </c>
      <c r="G12" s="120" t="s">
        <v>699</v>
      </c>
      <c r="H12" s="49">
        <v>4</v>
      </c>
      <c r="I12" s="50" t="s">
        <v>353</v>
      </c>
      <c r="J12" s="124" t="s">
        <v>356</v>
      </c>
      <c r="K12" s="50" t="s">
        <v>83</v>
      </c>
      <c r="L12" s="50" t="s">
        <v>518</v>
      </c>
      <c r="M12" s="56" t="s">
        <v>12</v>
      </c>
      <c r="N12" s="122" t="s">
        <v>665</v>
      </c>
      <c r="O12" s="57">
        <v>4</v>
      </c>
      <c r="P12" s="45">
        <v>12200</v>
      </c>
      <c r="Q12" s="58">
        <f t="shared" si="0"/>
        <v>48800</v>
      </c>
      <c r="R12" s="129" t="s">
        <v>684</v>
      </c>
      <c r="S12" s="19"/>
      <c r="T12" s="32"/>
      <c r="U12" s="32"/>
      <c r="V12" s="51">
        <f t="shared" si="1"/>
        <v>14151.999999999998</v>
      </c>
      <c r="W12" s="51">
        <f t="shared" si="2"/>
        <v>56607.999999999993</v>
      </c>
      <c r="X12" s="52">
        <f t="shared" si="3"/>
        <v>9.52</v>
      </c>
      <c r="Y12" s="53">
        <f t="shared" si="4"/>
        <v>38.08</v>
      </c>
      <c r="Z12" s="54"/>
      <c r="AA12" s="71"/>
      <c r="AB12" s="71"/>
      <c r="AC12" s="128"/>
      <c r="AD12" s="33"/>
      <c r="AE12" s="55"/>
    </row>
    <row r="13" spans="2:31" ht="20.100000000000001" customHeight="1">
      <c r="B13" s="48">
        <v>9</v>
      </c>
      <c r="C13" s="121" t="s">
        <v>701</v>
      </c>
      <c r="D13" s="120" t="s">
        <v>349</v>
      </c>
      <c r="E13" s="120">
        <v>2508</v>
      </c>
      <c r="F13" s="120" t="s">
        <v>700</v>
      </c>
      <c r="G13" s="120" t="s">
        <v>699</v>
      </c>
      <c r="H13" s="49">
        <v>4</v>
      </c>
      <c r="I13" s="50" t="s">
        <v>353</v>
      </c>
      <c r="J13" s="124" t="s">
        <v>355</v>
      </c>
      <c r="K13" s="50" t="s">
        <v>83</v>
      </c>
      <c r="L13" s="50" t="s">
        <v>518</v>
      </c>
      <c r="M13" s="56" t="s">
        <v>12</v>
      </c>
      <c r="N13" s="122" t="s">
        <v>665</v>
      </c>
      <c r="O13" s="57">
        <v>2</v>
      </c>
      <c r="P13" s="45">
        <v>12200</v>
      </c>
      <c r="Q13" s="58">
        <f t="shared" si="0"/>
        <v>24400</v>
      </c>
      <c r="R13" s="129" t="s">
        <v>684</v>
      </c>
      <c r="S13" s="19"/>
      <c r="T13" s="32"/>
      <c r="U13" s="32"/>
      <c r="V13" s="51">
        <f t="shared" si="1"/>
        <v>14151.999999999998</v>
      </c>
      <c r="W13" s="51">
        <f t="shared" si="2"/>
        <v>28303.999999999996</v>
      </c>
      <c r="X13" s="52">
        <f t="shared" si="3"/>
        <v>9.52</v>
      </c>
      <c r="Y13" s="53">
        <f t="shared" si="4"/>
        <v>19.04</v>
      </c>
      <c r="Z13" s="54"/>
      <c r="AA13" s="71"/>
      <c r="AB13" s="71"/>
      <c r="AC13" s="128"/>
      <c r="AD13" s="33"/>
      <c r="AE13" s="55"/>
    </row>
    <row r="14" spans="2:31" ht="20.100000000000001" customHeight="1">
      <c r="B14" s="48">
        <v>10</v>
      </c>
      <c r="C14" s="121" t="s">
        <v>701</v>
      </c>
      <c r="D14" s="120" t="s">
        <v>349</v>
      </c>
      <c r="E14" s="120">
        <v>2508</v>
      </c>
      <c r="F14" s="120" t="s">
        <v>700</v>
      </c>
      <c r="G14" s="120" t="s">
        <v>699</v>
      </c>
      <c r="H14" s="49">
        <v>4</v>
      </c>
      <c r="I14" s="50" t="s">
        <v>157</v>
      </c>
      <c r="J14" s="124" t="s">
        <v>239</v>
      </c>
      <c r="K14" s="50" t="s">
        <v>23</v>
      </c>
      <c r="L14" s="50" t="s">
        <v>518</v>
      </c>
      <c r="M14" s="56" t="s">
        <v>12</v>
      </c>
      <c r="N14" s="122" t="s">
        <v>666</v>
      </c>
      <c r="O14" s="57">
        <v>2</v>
      </c>
      <c r="P14" s="45">
        <v>390000</v>
      </c>
      <c r="Q14" s="58">
        <f t="shared" si="0"/>
        <v>780000</v>
      </c>
      <c r="R14" s="129" t="s">
        <v>684</v>
      </c>
      <c r="S14" s="19"/>
      <c r="T14" s="32"/>
      <c r="U14" s="32"/>
      <c r="V14" s="51">
        <f t="shared" si="1"/>
        <v>452399.99999999994</v>
      </c>
      <c r="W14" s="51">
        <f t="shared" si="2"/>
        <v>904799.99999999988</v>
      </c>
      <c r="X14" s="52">
        <f t="shared" si="3"/>
        <v>304.31</v>
      </c>
      <c r="Y14" s="53">
        <f t="shared" si="4"/>
        <v>608.62</v>
      </c>
      <c r="Z14" s="54"/>
      <c r="AA14" s="71"/>
      <c r="AB14" s="71"/>
      <c r="AC14" s="128"/>
      <c r="AD14" s="33"/>
      <c r="AE14" s="55"/>
    </row>
    <row r="15" spans="2:31" ht="20.100000000000001" customHeight="1">
      <c r="B15" s="48">
        <v>11</v>
      </c>
      <c r="C15" s="121" t="s">
        <v>701</v>
      </c>
      <c r="D15" s="120" t="s">
        <v>349</v>
      </c>
      <c r="E15" s="120">
        <v>2508</v>
      </c>
      <c r="F15" s="120" t="s">
        <v>700</v>
      </c>
      <c r="G15" s="120" t="s">
        <v>699</v>
      </c>
      <c r="H15" s="49">
        <v>4</v>
      </c>
      <c r="I15" s="50" t="s">
        <v>155</v>
      </c>
      <c r="J15" s="124" t="s">
        <v>159</v>
      </c>
      <c r="K15" s="50" t="s">
        <v>23</v>
      </c>
      <c r="L15" s="50" t="s">
        <v>518</v>
      </c>
      <c r="M15" s="56" t="s">
        <v>12</v>
      </c>
      <c r="N15" s="122" t="s">
        <v>666</v>
      </c>
      <c r="O15" s="57">
        <v>12</v>
      </c>
      <c r="P15" s="45">
        <v>10500</v>
      </c>
      <c r="Q15" s="58">
        <f t="shared" si="0"/>
        <v>126000</v>
      </c>
      <c r="R15" s="129" t="s">
        <v>684</v>
      </c>
      <c r="S15" s="19"/>
      <c r="T15" s="32"/>
      <c r="U15" s="32"/>
      <c r="V15" s="51">
        <f t="shared" si="1"/>
        <v>12180</v>
      </c>
      <c r="W15" s="51">
        <f t="shared" si="2"/>
        <v>146160</v>
      </c>
      <c r="X15" s="52">
        <f t="shared" si="3"/>
        <v>8.19</v>
      </c>
      <c r="Y15" s="53">
        <f t="shared" si="4"/>
        <v>98.28</v>
      </c>
      <c r="Z15" s="54"/>
      <c r="AA15" s="71"/>
      <c r="AB15" s="71"/>
      <c r="AC15" s="128"/>
      <c r="AD15" s="33"/>
      <c r="AE15" s="55"/>
    </row>
    <row r="16" spans="2:31" ht="20.100000000000001" customHeight="1">
      <c r="B16" s="48">
        <v>12</v>
      </c>
      <c r="C16" s="121" t="s">
        <v>701</v>
      </c>
      <c r="D16" s="120" t="s">
        <v>349</v>
      </c>
      <c r="E16" s="120">
        <v>2508</v>
      </c>
      <c r="F16" s="120" t="s">
        <v>700</v>
      </c>
      <c r="G16" s="120" t="s">
        <v>699</v>
      </c>
      <c r="H16" s="49">
        <v>4</v>
      </c>
      <c r="I16" s="50" t="s">
        <v>156</v>
      </c>
      <c r="J16" s="124" t="s">
        <v>160</v>
      </c>
      <c r="K16" s="50" t="s">
        <v>23</v>
      </c>
      <c r="L16" s="50" t="s">
        <v>518</v>
      </c>
      <c r="M16" s="56" t="s">
        <v>12</v>
      </c>
      <c r="N16" s="122" t="s">
        <v>666</v>
      </c>
      <c r="O16" s="57">
        <v>12</v>
      </c>
      <c r="P16" s="45">
        <v>10600</v>
      </c>
      <c r="Q16" s="58">
        <f t="shared" si="0"/>
        <v>127200</v>
      </c>
      <c r="R16" s="129" t="s">
        <v>684</v>
      </c>
      <c r="S16" s="19"/>
      <c r="T16" s="32"/>
      <c r="U16" s="32"/>
      <c r="V16" s="51">
        <f t="shared" si="1"/>
        <v>12296</v>
      </c>
      <c r="W16" s="51">
        <f t="shared" si="2"/>
        <v>147552</v>
      </c>
      <c r="X16" s="52">
        <f t="shared" si="3"/>
        <v>8.27</v>
      </c>
      <c r="Y16" s="53">
        <f t="shared" si="4"/>
        <v>99.24</v>
      </c>
      <c r="Z16" s="54"/>
      <c r="AA16" s="71"/>
      <c r="AB16" s="71"/>
      <c r="AC16" s="128"/>
      <c r="AD16" s="33"/>
      <c r="AE16" s="55"/>
    </row>
    <row r="17" spans="2:31" ht="20.100000000000001" customHeight="1">
      <c r="B17" s="48">
        <v>13</v>
      </c>
      <c r="C17" s="121" t="s">
        <v>701</v>
      </c>
      <c r="D17" s="120" t="s">
        <v>349</v>
      </c>
      <c r="E17" s="120">
        <v>2508</v>
      </c>
      <c r="F17" s="120" t="s">
        <v>700</v>
      </c>
      <c r="G17" s="120" t="s">
        <v>699</v>
      </c>
      <c r="H17" s="49">
        <v>4</v>
      </c>
      <c r="I17" s="50" t="s">
        <v>172</v>
      </c>
      <c r="J17" s="124" t="s">
        <v>826</v>
      </c>
      <c r="K17" s="50" t="s">
        <v>174</v>
      </c>
      <c r="L17" s="50" t="s">
        <v>518</v>
      </c>
      <c r="M17" s="56" t="s">
        <v>12</v>
      </c>
      <c r="N17" s="122" t="s">
        <v>665</v>
      </c>
      <c r="O17" s="57">
        <v>6</v>
      </c>
      <c r="P17" s="45">
        <v>19800</v>
      </c>
      <c r="Q17" s="58">
        <f t="shared" si="0"/>
        <v>118800</v>
      </c>
      <c r="R17" s="129" t="s">
        <v>684</v>
      </c>
      <c r="S17" s="19"/>
      <c r="T17" s="32"/>
      <c r="U17" s="32"/>
      <c r="V17" s="51">
        <f t="shared" si="1"/>
        <v>22968</v>
      </c>
      <c r="W17" s="51">
        <f t="shared" si="2"/>
        <v>137808</v>
      </c>
      <c r="X17" s="52">
        <f t="shared" si="3"/>
        <v>15.45</v>
      </c>
      <c r="Y17" s="53">
        <f t="shared" si="4"/>
        <v>92.699999999999989</v>
      </c>
      <c r="Z17" s="54"/>
      <c r="AA17" s="71"/>
      <c r="AB17" s="71"/>
      <c r="AC17" s="128"/>
      <c r="AD17" s="33"/>
      <c r="AE17" s="55"/>
    </row>
    <row r="18" spans="2:31" ht="20.100000000000001" customHeight="1">
      <c r="B18" s="48">
        <v>14</v>
      </c>
      <c r="C18" s="121" t="s">
        <v>701</v>
      </c>
      <c r="D18" s="120" t="s">
        <v>349</v>
      </c>
      <c r="E18" s="120">
        <v>2508</v>
      </c>
      <c r="F18" s="120" t="s">
        <v>700</v>
      </c>
      <c r="G18" s="120" t="s">
        <v>699</v>
      </c>
      <c r="H18" s="49">
        <v>4</v>
      </c>
      <c r="I18" s="50" t="s">
        <v>825</v>
      </c>
      <c r="J18" s="124" t="s">
        <v>824</v>
      </c>
      <c r="K18" s="50" t="s">
        <v>823</v>
      </c>
      <c r="L18" s="50" t="s">
        <v>518</v>
      </c>
      <c r="M18" s="56" t="s">
        <v>12</v>
      </c>
      <c r="N18" s="122" t="s">
        <v>667</v>
      </c>
      <c r="O18" s="57">
        <v>20</v>
      </c>
      <c r="P18" s="45">
        <v>420</v>
      </c>
      <c r="Q18" s="58">
        <f t="shared" si="0"/>
        <v>8400</v>
      </c>
      <c r="R18" s="129" t="s">
        <v>684</v>
      </c>
      <c r="S18" s="19"/>
      <c r="T18" s="32"/>
      <c r="U18" s="32"/>
      <c r="V18" s="51">
        <f t="shared" si="1"/>
        <v>487.2</v>
      </c>
      <c r="W18" s="51">
        <f t="shared" si="2"/>
        <v>9744</v>
      </c>
      <c r="X18" s="52">
        <f t="shared" si="3"/>
        <v>0.33</v>
      </c>
      <c r="Y18" s="53">
        <f t="shared" si="4"/>
        <v>6.6000000000000005</v>
      </c>
      <c r="Z18" s="54"/>
      <c r="AA18" s="71"/>
      <c r="AB18" s="71"/>
      <c r="AC18" s="128"/>
      <c r="AD18" s="33"/>
      <c r="AE18" s="55"/>
    </row>
    <row r="19" spans="2:31" ht="20.100000000000001" customHeight="1">
      <c r="B19" s="48">
        <v>15</v>
      </c>
      <c r="C19" s="121" t="s">
        <v>701</v>
      </c>
      <c r="D19" s="120" t="s">
        <v>349</v>
      </c>
      <c r="E19" s="120">
        <v>2508</v>
      </c>
      <c r="F19" s="120" t="s">
        <v>700</v>
      </c>
      <c r="G19" s="120" t="s">
        <v>699</v>
      </c>
      <c r="H19" s="49">
        <v>4</v>
      </c>
      <c r="I19" s="50" t="s">
        <v>165</v>
      </c>
      <c r="J19" s="124" t="s">
        <v>822</v>
      </c>
      <c r="K19" s="50" t="s">
        <v>164</v>
      </c>
      <c r="L19" s="50" t="s">
        <v>518</v>
      </c>
      <c r="M19" s="56" t="s">
        <v>12</v>
      </c>
      <c r="N19" s="143" t="s">
        <v>820</v>
      </c>
      <c r="O19" s="57">
        <v>4</v>
      </c>
      <c r="P19" s="45">
        <v>77000</v>
      </c>
      <c r="Q19" s="58">
        <f t="shared" si="0"/>
        <v>308000</v>
      </c>
      <c r="R19" s="129" t="s">
        <v>684</v>
      </c>
      <c r="S19" s="19"/>
      <c r="T19" s="32"/>
      <c r="U19" s="32"/>
      <c r="V19" s="51">
        <f t="shared" si="1"/>
        <v>89320</v>
      </c>
      <c r="W19" s="51">
        <f t="shared" si="2"/>
        <v>357280</v>
      </c>
      <c r="X19" s="52">
        <f t="shared" si="3"/>
        <v>60.08</v>
      </c>
      <c r="Y19" s="53">
        <f t="shared" si="4"/>
        <v>240.32</v>
      </c>
      <c r="Z19" s="54"/>
      <c r="AA19" s="71"/>
      <c r="AB19" s="71"/>
      <c r="AC19" s="128"/>
      <c r="AD19" s="33"/>
      <c r="AE19" s="55"/>
    </row>
    <row r="20" spans="2:31" ht="20.100000000000001" customHeight="1">
      <c r="B20" s="48">
        <v>16</v>
      </c>
      <c r="C20" s="121" t="s">
        <v>701</v>
      </c>
      <c r="D20" s="120" t="s">
        <v>349</v>
      </c>
      <c r="E20" s="120">
        <v>2508</v>
      </c>
      <c r="F20" s="120" t="s">
        <v>700</v>
      </c>
      <c r="G20" s="120" t="s">
        <v>699</v>
      </c>
      <c r="H20" s="49">
        <v>4</v>
      </c>
      <c r="I20" s="50" t="s">
        <v>821</v>
      </c>
      <c r="J20" s="124" t="s">
        <v>170</v>
      </c>
      <c r="K20" s="50" t="s">
        <v>164</v>
      </c>
      <c r="L20" s="50" t="s">
        <v>518</v>
      </c>
      <c r="M20" s="56" t="s">
        <v>12</v>
      </c>
      <c r="N20" s="122" t="s">
        <v>820</v>
      </c>
      <c r="O20" s="57">
        <v>4</v>
      </c>
      <c r="P20" s="45">
        <v>9000</v>
      </c>
      <c r="Q20" s="58">
        <f t="shared" si="0"/>
        <v>36000</v>
      </c>
      <c r="R20" s="129" t="s">
        <v>684</v>
      </c>
      <c r="S20" s="19"/>
      <c r="T20" s="32"/>
      <c r="U20" s="32"/>
      <c r="V20" s="51">
        <f t="shared" si="1"/>
        <v>10440</v>
      </c>
      <c r="W20" s="51">
        <f t="shared" si="2"/>
        <v>41760</v>
      </c>
      <c r="X20" s="52">
        <f t="shared" si="3"/>
        <v>7.02</v>
      </c>
      <c r="Y20" s="53">
        <f t="shared" si="4"/>
        <v>28.08</v>
      </c>
      <c r="Z20" s="54"/>
      <c r="AA20" s="71"/>
      <c r="AB20" s="71"/>
      <c r="AC20" s="128"/>
      <c r="AD20" s="33"/>
      <c r="AE20" s="55"/>
    </row>
    <row r="21" spans="2:31" ht="20.100000000000001" customHeight="1">
      <c r="B21" s="48">
        <v>17</v>
      </c>
      <c r="C21" s="121" t="s">
        <v>701</v>
      </c>
      <c r="D21" s="120" t="s">
        <v>349</v>
      </c>
      <c r="E21" s="120">
        <v>2508</v>
      </c>
      <c r="F21" s="120" t="s">
        <v>700</v>
      </c>
      <c r="G21" s="120" t="s">
        <v>699</v>
      </c>
      <c r="H21" s="49">
        <v>4</v>
      </c>
      <c r="I21" s="50" t="s">
        <v>172</v>
      </c>
      <c r="J21" s="124" t="s">
        <v>819</v>
      </c>
      <c r="K21" s="50" t="s">
        <v>174</v>
      </c>
      <c r="L21" s="50" t="s">
        <v>518</v>
      </c>
      <c r="M21" s="56" t="s">
        <v>12</v>
      </c>
      <c r="N21" s="122" t="s">
        <v>665</v>
      </c>
      <c r="O21" s="57">
        <v>2</v>
      </c>
      <c r="P21" s="45">
        <v>6050</v>
      </c>
      <c r="Q21" s="58">
        <f t="shared" si="0"/>
        <v>12100</v>
      </c>
      <c r="R21" s="129" t="s">
        <v>684</v>
      </c>
      <c r="S21" s="19"/>
      <c r="T21" s="32"/>
      <c r="U21" s="32"/>
      <c r="V21" s="51">
        <f t="shared" si="1"/>
        <v>7017.9999999999991</v>
      </c>
      <c r="W21" s="51">
        <f t="shared" si="2"/>
        <v>14035.999999999998</v>
      </c>
      <c r="X21" s="52">
        <f t="shared" si="3"/>
        <v>4.72</v>
      </c>
      <c r="Y21" s="53">
        <f t="shared" si="4"/>
        <v>9.44</v>
      </c>
      <c r="Z21" s="54"/>
      <c r="AA21" s="71"/>
      <c r="AB21" s="71"/>
      <c r="AC21" s="128"/>
      <c r="AD21" s="33"/>
      <c r="AE21" s="55"/>
    </row>
    <row r="22" spans="2:31" ht="20.100000000000001" customHeight="1">
      <c r="B22" s="48">
        <v>18</v>
      </c>
      <c r="C22" s="121" t="s">
        <v>701</v>
      </c>
      <c r="D22" s="120" t="s">
        <v>349</v>
      </c>
      <c r="E22" s="120">
        <v>2508</v>
      </c>
      <c r="F22" s="120" t="s">
        <v>700</v>
      </c>
      <c r="G22" s="120" t="s">
        <v>699</v>
      </c>
      <c r="H22" s="49">
        <v>5</v>
      </c>
      <c r="I22" s="50" t="s">
        <v>149</v>
      </c>
      <c r="J22" s="124" t="s">
        <v>151</v>
      </c>
      <c r="K22" s="50" t="s">
        <v>150</v>
      </c>
      <c r="L22" s="50" t="s">
        <v>518</v>
      </c>
      <c r="M22" s="56" t="s">
        <v>12</v>
      </c>
      <c r="N22" s="122" t="s">
        <v>665</v>
      </c>
      <c r="O22" s="57">
        <v>16</v>
      </c>
      <c r="P22" s="45">
        <v>17700</v>
      </c>
      <c r="Q22" s="58">
        <f t="shared" si="0"/>
        <v>283200</v>
      </c>
      <c r="R22" s="129" t="s">
        <v>663</v>
      </c>
      <c r="S22" s="19"/>
      <c r="T22" s="32"/>
      <c r="U22" s="32"/>
      <c r="V22" s="51">
        <f t="shared" si="1"/>
        <v>20532</v>
      </c>
      <c r="W22" s="51">
        <f t="shared" si="2"/>
        <v>328512</v>
      </c>
      <c r="X22" s="52">
        <f t="shared" si="3"/>
        <v>13.81</v>
      </c>
      <c r="Y22" s="53">
        <f t="shared" si="4"/>
        <v>220.96</v>
      </c>
      <c r="Z22" s="54"/>
      <c r="AA22" s="71"/>
      <c r="AB22" s="71"/>
      <c r="AC22" s="128"/>
      <c r="AD22" s="33"/>
      <c r="AE22" s="55"/>
    </row>
    <row r="23" spans="2:31" ht="20.100000000000001" customHeight="1">
      <c r="B23" s="48">
        <v>19</v>
      </c>
      <c r="C23" s="121" t="s">
        <v>701</v>
      </c>
      <c r="D23" s="120" t="s">
        <v>349</v>
      </c>
      <c r="E23" s="120">
        <v>2508</v>
      </c>
      <c r="F23" s="120" t="s">
        <v>700</v>
      </c>
      <c r="G23" s="120" t="s">
        <v>699</v>
      </c>
      <c r="H23" s="49">
        <v>4</v>
      </c>
      <c r="I23" s="50" t="s">
        <v>219</v>
      </c>
      <c r="J23" s="124" t="s">
        <v>59</v>
      </c>
      <c r="K23" s="50" t="s">
        <v>60</v>
      </c>
      <c r="L23" s="50" t="s">
        <v>518</v>
      </c>
      <c r="M23" s="56" t="s">
        <v>12</v>
      </c>
      <c r="N23" s="122" t="s">
        <v>665</v>
      </c>
      <c r="O23" s="57">
        <v>2</v>
      </c>
      <c r="P23" s="45">
        <v>39800</v>
      </c>
      <c r="Q23" s="58">
        <f t="shared" si="0"/>
        <v>79600</v>
      </c>
      <c r="R23" s="129" t="s">
        <v>684</v>
      </c>
      <c r="S23" s="19"/>
      <c r="T23" s="32"/>
      <c r="U23" s="32"/>
      <c r="V23" s="51">
        <f t="shared" si="1"/>
        <v>46168</v>
      </c>
      <c r="W23" s="51">
        <f t="shared" si="2"/>
        <v>92336</v>
      </c>
      <c r="X23" s="52">
        <f t="shared" si="3"/>
        <v>31.06</v>
      </c>
      <c r="Y23" s="53">
        <f t="shared" si="4"/>
        <v>62.12</v>
      </c>
      <c r="Z23" s="54"/>
      <c r="AA23" s="71"/>
      <c r="AB23" s="71"/>
      <c r="AC23" s="128"/>
      <c r="AD23" s="33"/>
      <c r="AE23" s="55"/>
    </row>
    <row r="24" spans="2:31" ht="20.100000000000001" customHeight="1">
      <c r="B24" s="48">
        <v>20</v>
      </c>
      <c r="C24" s="121" t="s">
        <v>701</v>
      </c>
      <c r="D24" s="120" t="s">
        <v>349</v>
      </c>
      <c r="E24" s="120">
        <v>2508</v>
      </c>
      <c r="F24" s="120" t="s">
        <v>700</v>
      </c>
      <c r="G24" s="120" t="s">
        <v>699</v>
      </c>
      <c r="H24" s="49">
        <v>4</v>
      </c>
      <c r="I24" s="50" t="s">
        <v>220</v>
      </c>
      <c r="J24" s="124" t="s">
        <v>224</v>
      </c>
      <c r="K24" s="50" t="s">
        <v>60</v>
      </c>
      <c r="L24" s="50" t="s">
        <v>518</v>
      </c>
      <c r="M24" s="56" t="s">
        <v>12</v>
      </c>
      <c r="N24" s="122" t="s">
        <v>665</v>
      </c>
      <c r="O24" s="57">
        <v>2</v>
      </c>
      <c r="P24" s="45">
        <v>54800</v>
      </c>
      <c r="Q24" s="58">
        <f t="shared" si="0"/>
        <v>109600</v>
      </c>
      <c r="R24" s="129" t="s">
        <v>684</v>
      </c>
      <c r="S24" s="19"/>
      <c r="T24" s="32"/>
      <c r="U24" s="32"/>
      <c r="V24" s="51">
        <f t="shared" si="1"/>
        <v>63567.999999999993</v>
      </c>
      <c r="W24" s="51">
        <f t="shared" si="2"/>
        <v>127135.99999999999</v>
      </c>
      <c r="X24" s="52">
        <f t="shared" si="3"/>
        <v>42.76</v>
      </c>
      <c r="Y24" s="53">
        <f t="shared" si="4"/>
        <v>85.52</v>
      </c>
      <c r="Z24" s="54"/>
      <c r="AA24" s="71"/>
      <c r="AB24" s="71"/>
      <c r="AC24" s="128"/>
      <c r="AD24" s="33"/>
      <c r="AE24" s="55"/>
    </row>
    <row r="25" spans="2:31" ht="20.100000000000001" customHeight="1">
      <c r="B25" s="48">
        <v>22</v>
      </c>
      <c r="C25" s="121" t="s">
        <v>701</v>
      </c>
      <c r="D25" s="120" t="s">
        <v>349</v>
      </c>
      <c r="E25" s="120">
        <v>2508</v>
      </c>
      <c r="F25" s="120" t="s">
        <v>700</v>
      </c>
      <c r="G25" s="120" t="s">
        <v>699</v>
      </c>
      <c r="H25" s="49">
        <v>1</v>
      </c>
      <c r="I25" s="50" t="s">
        <v>209</v>
      </c>
      <c r="J25" s="124" t="s">
        <v>71</v>
      </c>
      <c r="K25" s="50" t="s">
        <v>240</v>
      </c>
      <c r="L25" s="50" t="s">
        <v>599</v>
      </c>
      <c r="M25" s="56" t="s">
        <v>12</v>
      </c>
      <c r="N25" s="122" t="s">
        <v>816</v>
      </c>
      <c r="O25" s="57">
        <v>2</v>
      </c>
      <c r="P25" s="45">
        <v>60000</v>
      </c>
      <c r="Q25" s="58">
        <f t="shared" si="0"/>
        <v>120000</v>
      </c>
      <c r="R25" s="129" t="s">
        <v>663</v>
      </c>
      <c r="S25" s="19"/>
      <c r="T25" s="32"/>
      <c r="U25" s="32"/>
      <c r="V25" s="51">
        <f t="shared" si="1"/>
        <v>69600</v>
      </c>
      <c r="W25" s="51">
        <f t="shared" si="2"/>
        <v>139200</v>
      </c>
      <c r="X25" s="52">
        <f t="shared" si="3"/>
        <v>46.82</v>
      </c>
      <c r="Y25" s="53">
        <f t="shared" si="4"/>
        <v>93.64</v>
      </c>
      <c r="Z25" s="54"/>
      <c r="AA25" s="71"/>
      <c r="AB25" s="71"/>
      <c r="AC25" s="128"/>
      <c r="AD25" s="33"/>
      <c r="AE25" s="55"/>
    </row>
    <row r="26" spans="2:31" ht="20.100000000000001" customHeight="1">
      <c r="B26" s="48">
        <v>23</v>
      </c>
      <c r="C26" s="121" t="s">
        <v>701</v>
      </c>
      <c r="D26" s="120" t="s">
        <v>349</v>
      </c>
      <c r="E26" s="120">
        <v>2508</v>
      </c>
      <c r="F26" s="120" t="s">
        <v>700</v>
      </c>
      <c r="G26" s="120" t="s">
        <v>699</v>
      </c>
      <c r="H26" s="49">
        <v>2</v>
      </c>
      <c r="I26" s="50" t="s">
        <v>815</v>
      </c>
      <c r="J26" s="124" t="s">
        <v>814</v>
      </c>
      <c r="K26" s="50" t="s">
        <v>813</v>
      </c>
      <c r="L26" s="50" t="s">
        <v>812</v>
      </c>
      <c r="M26" s="56" t="s">
        <v>12</v>
      </c>
      <c r="N26" s="122" t="s">
        <v>722</v>
      </c>
      <c r="O26" s="57">
        <v>4</v>
      </c>
      <c r="P26" s="45">
        <v>537000</v>
      </c>
      <c r="Q26" s="58">
        <f t="shared" si="0"/>
        <v>2148000</v>
      </c>
      <c r="R26" s="129" t="s">
        <v>663</v>
      </c>
      <c r="S26" s="19"/>
      <c r="T26" s="32"/>
      <c r="U26" s="32"/>
      <c r="V26" s="51">
        <f t="shared" si="1"/>
        <v>622920</v>
      </c>
      <c r="W26" s="51">
        <f t="shared" si="2"/>
        <v>2491680</v>
      </c>
      <c r="X26" s="52">
        <f t="shared" si="3"/>
        <v>419.01</v>
      </c>
      <c r="Y26" s="53">
        <f t="shared" si="4"/>
        <v>1676.04</v>
      </c>
      <c r="Z26" s="54"/>
      <c r="AA26" s="71"/>
      <c r="AB26" s="71"/>
      <c r="AC26" s="128"/>
      <c r="AD26" s="33"/>
      <c r="AE26" s="55"/>
    </row>
    <row r="27" spans="2:31" ht="20.100000000000001" customHeight="1">
      <c r="B27" s="48">
        <v>24</v>
      </c>
      <c r="C27" s="121" t="s">
        <v>701</v>
      </c>
      <c r="D27" s="120" t="s">
        <v>349</v>
      </c>
      <c r="E27" s="120">
        <v>2508</v>
      </c>
      <c r="F27" s="120" t="s">
        <v>700</v>
      </c>
      <c r="G27" s="120" t="s">
        <v>699</v>
      </c>
      <c r="H27" s="49">
        <v>4</v>
      </c>
      <c r="I27" s="50" t="s">
        <v>76</v>
      </c>
      <c r="J27" s="124" t="s">
        <v>811</v>
      </c>
      <c r="K27" s="50" t="s">
        <v>34</v>
      </c>
      <c r="L27" s="50" t="s">
        <v>519</v>
      </c>
      <c r="M27" s="56" t="s">
        <v>12</v>
      </c>
      <c r="N27" s="122" t="s">
        <v>665</v>
      </c>
      <c r="O27" s="57">
        <v>26</v>
      </c>
      <c r="P27" s="45">
        <v>2800</v>
      </c>
      <c r="Q27" s="58">
        <f t="shared" si="0"/>
        <v>72800</v>
      </c>
      <c r="R27" s="129" t="s">
        <v>663</v>
      </c>
      <c r="S27" s="19"/>
      <c r="T27" s="32"/>
      <c r="U27" s="32"/>
      <c r="V27" s="51">
        <f t="shared" si="1"/>
        <v>3248</v>
      </c>
      <c r="W27" s="51">
        <f t="shared" si="2"/>
        <v>84448</v>
      </c>
      <c r="X27" s="52">
        <f t="shared" si="3"/>
        <v>2.1800000000000002</v>
      </c>
      <c r="Y27" s="53">
        <f t="shared" si="4"/>
        <v>56.680000000000007</v>
      </c>
      <c r="Z27" s="54"/>
      <c r="AA27" s="71"/>
      <c r="AB27" s="71"/>
      <c r="AC27" s="128"/>
      <c r="AD27" s="33"/>
      <c r="AE27" s="55"/>
    </row>
    <row r="28" spans="2:31" ht="20.100000000000001" customHeight="1">
      <c r="B28" s="48">
        <v>25</v>
      </c>
      <c r="C28" s="121" t="s">
        <v>701</v>
      </c>
      <c r="D28" s="120" t="s">
        <v>349</v>
      </c>
      <c r="E28" s="120">
        <v>2508</v>
      </c>
      <c r="F28" s="120" t="s">
        <v>700</v>
      </c>
      <c r="G28" s="120" t="s">
        <v>699</v>
      </c>
      <c r="H28" s="49">
        <v>4</v>
      </c>
      <c r="I28" s="50" t="s">
        <v>35</v>
      </c>
      <c r="J28" s="124" t="s">
        <v>77</v>
      </c>
      <c r="K28" s="50" t="s">
        <v>34</v>
      </c>
      <c r="L28" s="50" t="s">
        <v>519</v>
      </c>
      <c r="M28" s="56" t="s">
        <v>12</v>
      </c>
      <c r="N28" s="122" t="s">
        <v>665</v>
      </c>
      <c r="O28" s="57">
        <v>52</v>
      </c>
      <c r="P28" s="45">
        <v>3300</v>
      </c>
      <c r="Q28" s="58">
        <f t="shared" si="0"/>
        <v>171600</v>
      </c>
      <c r="R28" s="129" t="s">
        <v>684</v>
      </c>
      <c r="S28" s="19"/>
      <c r="T28" s="32"/>
      <c r="U28" s="32"/>
      <c r="V28" s="51">
        <f t="shared" si="1"/>
        <v>3827.9999999999995</v>
      </c>
      <c r="W28" s="51">
        <f t="shared" si="2"/>
        <v>199055.99999999997</v>
      </c>
      <c r="X28" s="52">
        <f t="shared" si="3"/>
        <v>2.57</v>
      </c>
      <c r="Y28" s="53">
        <f t="shared" si="4"/>
        <v>133.63999999999999</v>
      </c>
      <c r="Z28" s="54"/>
      <c r="AA28" s="71"/>
      <c r="AB28" s="71"/>
      <c r="AC28" s="128"/>
      <c r="AD28" s="33"/>
      <c r="AE28" s="55"/>
    </row>
    <row r="29" spans="2:31" ht="20.100000000000001" customHeight="1">
      <c r="B29" s="48">
        <v>26</v>
      </c>
      <c r="C29" s="121" t="s">
        <v>701</v>
      </c>
      <c r="D29" s="120" t="s">
        <v>349</v>
      </c>
      <c r="E29" s="120">
        <v>2508</v>
      </c>
      <c r="F29" s="120" t="s">
        <v>700</v>
      </c>
      <c r="G29" s="120" t="s">
        <v>699</v>
      </c>
      <c r="H29" s="49">
        <v>4</v>
      </c>
      <c r="I29" s="50" t="s">
        <v>810</v>
      </c>
      <c r="J29" s="124" t="s">
        <v>809</v>
      </c>
      <c r="K29" s="50" t="s">
        <v>34</v>
      </c>
      <c r="L29" s="50" t="s">
        <v>519</v>
      </c>
      <c r="M29" s="56" t="s">
        <v>12</v>
      </c>
      <c r="N29" s="122" t="s">
        <v>665</v>
      </c>
      <c r="O29" s="57">
        <v>8</v>
      </c>
      <c r="P29" s="45">
        <v>2500</v>
      </c>
      <c r="Q29" s="58">
        <f t="shared" si="0"/>
        <v>20000</v>
      </c>
      <c r="R29" s="129" t="s">
        <v>684</v>
      </c>
      <c r="S29" s="19"/>
      <c r="T29" s="32"/>
      <c r="U29" s="32"/>
      <c r="V29" s="51">
        <f t="shared" si="1"/>
        <v>2900</v>
      </c>
      <c r="W29" s="51">
        <f t="shared" si="2"/>
        <v>23200</v>
      </c>
      <c r="X29" s="52">
        <f t="shared" si="3"/>
        <v>1.95</v>
      </c>
      <c r="Y29" s="53">
        <f t="shared" si="4"/>
        <v>15.6</v>
      </c>
      <c r="Z29" s="54"/>
      <c r="AA29" s="71"/>
      <c r="AB29" s="71"/>
      <c r="AC29" s="128"/>
      <c r="AD29" s="33"/>
      <c r="AE29" s="55"/>
    </row>
    <row r="30" spans="2:31" ht="20.100000000000001" customHeight="1">
      <c r="B30" s="48">
        <v>27</v>
      </c>
      <c r="C30" s="121" t="s">
        <v>701</v>
      </c>
      <c r="D30" s="120" t="s">
        <v>349</v>
      </c>
      <c r="E30" s="120">
        <v>2508</v>
      </c>
      <c r="F30" s="120" t="s">
        <v>700</v>
      </c>
      <c r="G30" s="120" t="s">
        <v>699</v>
      </c>
      <c r="H30" s="49">
        <v>4</v>
      </c>
      <c r="I30" s="50" t="s">
        <v>36</v>
      </c>
      <c r="J30" s="124" t="s">
        <v>808</v>
      </c>
      <c r="K30" s="50" t="s">
        <v>34</v>
      </c>
      <c r="L30" s="50" t="s">
        <v>519</v>
      </c>
      <c r="M30" s="56" t="s">
        <v>12</v>
      </c>
      <c r="N30" s="122" t="s">
        <v>665</v>
      </c>
      <c r="O30" s="57">
        <v>52</v>
      </c>
      <c r="P30" s="45">
        <v>2800</v>
      </c>
      <c r="Q30" s="58">
        <f t="shared" si="0"/>
        <v>145600</v>
      </c>
      <c r="R30" s="129" t="s">
        <v>684</v>
      </c>
      <c r="S30" s="19"/>
      <c r="T30" s="32"/>
      <c r="U30" s="32"/>
      <c r="V30" s="51">
        <f t="shared" si="1"/>
        <v>3248</v>
      </c>
      <c r="W30" s="51">
        <f t="shared" si="2"/>
        <v>168896</v>
      </c>
      <c r="X30" s="52">
        <f t="shared" si="3"/>
        <v>2.1800000000000002</v>
      </c>
      <c r="Y30" s="53">
        <f t="shared" si="4"/>
        <v>113.36000000000001</v>
      </c>
      <c r="Z30" s="54"/>
      <c r="AA30" s="71"/>
      <c r="AB30" s="71"/>
      <c r="AC30" s="128"/>
      <c r="AD30" s="33"/>
      <c r="AE30" s="55"/>
    </row>
    <row r="31" spans="2:31" ht="20.100000000000001" customHeight="1">
      <c r="B31" s="48">
        <v>28</v>
      </c>
      <c r="C31" s="121" t="s">
        <v>701</v>
      </c>
      <c r="D31" s="120" t="s">
        <v>349</v>
      </c>
      <c r="E31" s="120">
        <v>2508</v>
      </c>
      <c r="F31" s="120" t="s">
        <v>700</v>
      </c>
      <c r="G31" s="120" t="s">
        <v>699</v>
      </c>
      <c r="H31" s="49">
        <v>4</v>
      </c>
      <c r="I31" s="50" t="s">
        <v>75</v>
      </c>
      <c r="J31" s="124" t="s">
        <v>78</v>
      </c>
      <c r="K31" s="50" t="s">
        <v>34</v>
      </c>
      <c r="L31" s="50" t="s">
        <v>519</v>
      </c>
      <c r="M31" s="56" t="s">
        <v>12</v>
      </c>
      <c r="N31" s="122" t="s">
        <v>665</v>
      </c>
      <c r="O31" s="57">
        <v>14</v>
      </c>
      <c r="P31" s="45">
        <v>7000</v>
      </c>
      <c r="Q31" s="58">
        <f t="shared" si="0"/>
        <v>98000</v>
      </c>
      <c r="R31" s="129" t="s">
        <v>684</v>
      </c>
      <c r="S31" s="19"/>
      <c r="T31" s="32"/>
      <c r="U31" s="32"/>
      <c r="V31" s="51">
        <f t="shared" si="1"/>
        <v>8119.9999999999991</v>
      </c>
      <c r="W31" s="51">
        <f t="shared" si="2"/>
        <v>113679.99999999999</v>
      </c>
      <c r="X31" s="52">
        <f t="shared" si="3"/>
        <v>5.46</v>
      </c>
      <c r="Y31" s="53">
        <f t="shared" si="4"/>
        <v>76.44</v>
      </c>
      <c r="Z31" s="54"/>
      <c r="AA31" s="71"/>
      <c r="AB31" s="71"/>
      <c r="AC31" s="128"/>
      <c r="AD31" s="33"/>
      <c r="AE31" s="55"/>
    </row>
    <row r="32" spans="2:31" ht="20.100000000000001" customHeight="1">
      <c r="B32" s="48">
        <v>29</v>
      </c>
      <c r="C32" s="121" t="s">
        <v>701</v>
      </c>
      <c r="D32" s="120" t="s">
        <v>349</v>
      </c>
      <c r="E32" s="120">
        <v>2508</v>
      </c>
      <c r="F32" s="120" t="s">
        <v>700</v>
      </c>
      <c r="G32" s="120" t="s">
        <v>699</v>
      </c>
      <c r="H32" s="49">
        <v>4</v>
      </c>
      <c r="I32" s="50" t="s">
        <v>530</v>
      </c>
      <c r="J32" s="124" t="s">
        <v>531</v>
      </c>
      <c r="K32" s="50" t="s">
        <v>30</v>
      </c>
      <c r="L32" s="50" t="s">
        <v>519</v>
      </c>
      <c r="M32" s="56" t="s">
        <v>12</v>
      </c>
      <c r="N32" s="122" t="s">
        <v>665</v>
      </c>
      <c r="O32" s="57">
        <v>4</v>
      </c>
      <c r="P32" s="45">
        <v>230</v>
      </c>
      <c r="Q32" s="58">
        <f t="shared" si="0"/>
        <v>920</v>
      </c>
      <c r="R32" s="129" t="s">
        <v>684</v>
      </c>
      <c r="S32" s="19"/>
      <c r="T32" s="32"/>
      <c r="U32" s="32"/>
      <c r="V32" s="51">
        <f t="shared" si="1"/>
        <v>266.79999999999995</v>
      </c>
      <c r="W32" s="51">
        <f t="shared" si="2"/>
        <v>1067.1999999999998</v>
      </c>
      <c r="X32" s="52">
        <f t="shared" si="3"/>
        <v>0.18</v>
      </c>
      <c r="Y32" s="53">
        <f t="shared" si="4"/>
        <v>0.72</v>
      </c>
      <c r="Z32" s="54"/>
      <c r="AA32" s="71"/>
      <c r="AB32" s="71"/>
      <c r="AC32" s="128"/>
      <c r="AD32" s="33"/>
      <c r="AE32" s="55"/>
    </row>
    <row r="33" spans="2:31" ht="20.100000000000001" customHeight="1">
      <c r="B33" s="48">
        <v>30</v>
      </c>
      <c r="C33" s="121" t="s">
        <v>701</v>
      </c>
      <c r="D33" s="120" t="s">
        <v>349</v>
      </c>
      <c r="E33" s="120">
        <v>2508</v>
      </c>
      <c r="F33" s="120" t="s">
        <v>700</v>
      </c>
      <c r="G33" s="120" t="s">
        <v>699</v>
      </c>
      <c r="H33" s="49">
        <v>4</v>
      </c>
      <c r="I33" s="50" t="s">
        <v>807</v>
      </c>
      <c r="J33" s="124" t="s">
        <v>806</v>
      </c>
      <c r="K33" s="50" t="s">
        <v>34</v>
      </c>
      <c r="L33" s="50" t="s">
        <v>519</v>
      </c>
      <c r="M33" s="56" t="s">
        <v>12</v>
      </c>
      <c r="N33" s="122" t="s">
        <v>665</v>
      </c>
      <c r="O33" s="57">
        <v>1</v>
      </c>
      <c r="P33" s="45">
        <v>7800</v>
      </c>
      <c r="Q33" s="58">
        <f t="shared" si="0"/>
        <v>7800</v>
      </c>
      <c r="R33" s="129" t="s">
        <v>684</v>
      </c>
      <c r="S33" s="19"/>
      <c r="T33" s="32"/>
      <c r="U33" s="32"/>
      <c r="V33" s="51">
        <f t="shared" si="1"/>
        <v>9048</v>
      </c>
      <c r="W33" s="51">
        <f t="shared" si="2"/>
        <v>9048</v>
      </c>
      <c r="X33" s="52">
        <f t="shared" si="3"/>
        <v>6.09</v>
      </c>
      <c r="Y33" s="53">
        <f t="shared" si="4"/>
        <v>6.09</v>
      </c>
      <c r="Z33" s="54"/>
      <c r="AA33" s="71"/>
      <c r="AB33" s="71"/>
      <c r="AC33" s="128"/>
      <c r="AD33" s="33"/>
      <c r="AE33" s="55"/>
    </row>
    <row r="34" spans="2:31" ht="20.100000000000001" customHeight="1">
      <c r="B34" s="48">
        <v>31</v>
      </c>
      <c r="C34" s="121" t="s">
        <v>701</v>
      </c>
      <c r="D34" s="120" t="s">
        <v>349</v>
      </c>
      <c r="E34" s="120">
        <v>2508</v>
      </c>
      <c r="F34" s="120" t="s">
        <v>700</v>
      </c>
      <c r="G34" s="120" t="s">
        <v>699</v>
      </c>
      <c r="H34" s="49">
        <v>4</v>
      </c>
      <c r="I34" s="50" t="s">
        <v>533</v>
      </c>
      <c r="J34" s="124" t="s">
        <v>80</v>
      </c>
      <c r="K34" s="50" t="s">
        <v>31</v>
      </c>
      <c r="L34" s="50" t="s">
        <v>519</v>
      </c>
      <c r="M34" s="56" t="s">
        <v>12</v>
      </c>
      <c r="N34" s="122" t="s">
        <v>665</v>
      </c>
      <c r="O34" s="57">
        <v>8</v>
      </c>
      <c r="P34" s="45">
        <v>6700</v>
      </c>
      <c r="Q34" s="58">
        <f t="shared" si="0"/>
        <v>53600</v>
      </c>
      <c r="R34" s="129" t="s">
        <v>684</v>
      </c>
      <c r="S34" s="19"/>
      <c r="T34" s="32"/>
      <c r="U34" s="32"/>
      <c r="V34" s="51">
        <f t="shared" si="1"/>
        <v>7771.9999999999991</v>
      </c>
      <c r="W34" s="51">
        <f t="shared" si="2"/>
        <v>62175.999999999993</v>
      </c>
      <c r="X34" s="52">
        <f t="shared" si="3"/>
        <v>5.23</v>
      </c>
      <c r="Y34" s="53">
        <f t="shared" si="4"/>
        <v>41.84</v>
      </c>
      <c r="Z34" s="54"/>
      <c r="AA34" s="71"/>
      <c r="AB34" s="71"/>
      <c r="AC34" s="128"/>
      <c r="AD34" s="33"/>
      <c r="AE34" s="55"/>
    </row>
    <row r="35" spans="2:31" ht="20.100000000000001" customHeight="1">
      <c r="B35" s="48">
        <v>32</v>
      </c>
      <c r="C35" s="121" t="s">
        <v>701</v>
      </c>
      <c r="D35" s="120" t="s">
        <v>349</v>
      </c>
      <c r="E35" s="120">
        <v>2508</v>
      </c>
      <c r="F35" s="120" t="s">
        <v>700</v>
      </c>
      <c r="G35" s="120" t="s">
        <v>699</v>
      </c>
      <c r="H35" s="49">
        <v>3</v>
      </c>
      <c r="I35" s="50" t="s">
        <v>90</v>
      </c>
      <c r="J35" s="124" t="s">
        <v>99</v>
      </c>
      <c r="K35" s="50" t="s">
        <v>210</v>
      </c>
      <c r="L35" s="50" t="s">
        <v>519</v>
      </c>
      <c r="M35" s="56" t="s">
        <v>12</v>
      </c>
      <c r="N35" s="122" t="s">
        <v>665</v>
      </c>
      <c r="O35" s="57">
        <v>8</v>
      </c>
      <c r="P35" s="45">
        <v>13500</v>
      </c>
      <c r="Q35" s="58">
        <f t="shared" si="0"/>
        <v>108000</v>
      </c>
      <c r="R35" s="129" t="s">
        <v>684</v>
      </c>
      <c r="S35" s="19"/>
      <c r="T35" s="32"/>
      <c r="U35" s="32"/>
      <c r="V35" s="51">
        <f t="shared" si="1"/>
        <v>15659.999999999998</v>
      </c>
      <c r="W35" s="51">
        <f t="shared" si="2"/>
        <v>125279.99999999999</v>
      </c>
      <c r="X35" s="52">
        <f t="shared" si="3"/>
        <v>10.53</v>
      </c>
      <c r="Y35" s="53">
        <f t="shared" si="4"/>
        <v>84.24</v>
      </c>
      <c r="Z35" s="54"/>
      <c r="AA35" s="71"/>
      <c r="AB35" s="71"/>
      <c r="AC35" s="128"/>
      <c r="AD35" s="33"/>
      <c r="AE35" s="55"/>
    </row>
    <row r="36" spans="2:31" ht="20.100000000000001" customHeight="1">
      <c r="B36" s="48">
        <v>33</v>
      </c>
      <c r="C36" s="121" t="s">
        <v>701</v>
      </c>
      <c r="D36" s="120" t="s">
        <v>349</v>
      </c>
      <c r="E36" s="120">
        <v>2508</v>
      </c>
      <c r="F36" s="120" t="s">
        <v>700</v>
      </c>
      <c r="G36" s="120" t="s">
        <v>699</v>
      </c>
      <c r="H36" s="49">
        <v>4</v>
      </c>
      <c r="I36" s="50" t="s">
        <v>85</v>
      </c>
      <c r="J36" s="124" t="s">
        <v>805</v>
      </c>
      <c r="K36" s="50" t="s">
        <v>88</v>
      </c>
      <c r="L36" s="50" t="s">
        <v>519</v>
      </c>
      <c r="M36" s="56" t="s">
        <v>12</v>
      </c>
      <c r="N36" s="122" t="s">
        <v>666</v>
      </c>
      <c r="O36" s="57">
        <v>2</v>
      </c>
      <c r="P36" s="45">
        <v>37000</v>
      </c>
      <c r="Q36" s="58">
        <f t="shared" ref="Q36:Q66" si="5">O36*P36</f>
        <v>74000</v>
      </c>
      <c r="R36" s="129" t="s">
        <v>684</v>
      </c>
      <c r="S36" s="19"/>
      <c r="T36" s="32"/>
      <c r="U36" s="32"/>
      <c r="V36" s="51">
        <f t="shared" si="1"/>
        <v>42920</v>
      </c>
      <c r="W36" s="51">
        <f t="shared" si="2"/>
        <v>85840</v>
      </c>
      <c r="X36" s="52">
        <f t="shared" si="3"/>
        <v>28.87</v>
      </c>
      <c r="Y36" s="53">
        <f t="shared" si="4"/>
        <v>57.74</v>
      </c>
      <c r="Z36" s="54"/>
      <c r="AA36" s="71"/>
      <c r="AB36" s="71"/>
      <c r="AC36" s="128"/>
      <c r="AD36" s="33"/>
      <c r="AE36" s="55"/>
    </row>
    <row r="37" spans="2:31" ht="20.100000000000001" customHeight="1">
      <c r="B37" s="48">
        <v>34</v>
      </c>
      <c r="C37" s="121" t="s">
        <v>701</v>
      </c>
      <c r="D37" s="120" t="s">
        <v>349</v>
      </c>
      <c r="E37" s="120">
        <v>2508</v>
      </c>
      <c r="F37" s="120" t="s">
        <v>700</v>
      </c>
      <c r="G37" s="120" t="s">
        <v>699</v>
      </c>
      <c r="H37" s="49">
        <v>4</v>
      </c>
      <c r="I37" s="50" t="s">
        <v>804</v>
      </c>
      <c r="J37" s="124" t="s">
        <v>803</v>
      </c>
      <c r="K37" s="50" t="s">
        <v>791</v>
      </c>
      <c r="L37" s="50" t="s">
        <v>519</v>
      </c>
      <c r="M37" s="56" t="s">
        <v>12</v>
      </c>
      <c r="N37" s="122" t="s">
        <v>665</v>
      </c>
      <c r="O37" s="57">
        <v>2</v>
      </c>
      <c r="P37" s="45">
        <v>7000</v>
      </c>
      <c r="Q37" s="58">
        <f t="shared" si="5"/>
        <v>14000</v>
      </c>
      <c r="R37" s="129" t="s">
        <v>684</v>
      </c>
      <c r="S37" s="19"/>
      <c r="T37" s="32"/>
      <c r="U37" s="32"/>
      <c r="V37" s="51">
        <f t="shared" si="1"/>
        <v>8119.9999999999991</v>
      </c>
      <c r="W37" s="51">
        <f t="shared" si="2"/>
        <v>16239.999999999998</v>
      </c>
      <c r="X37" s="52">
        <f t="shared" si="3"/>
        <v>5.46</v>
      </c>
      <c r="Y37" s="53">
        <f t="shared" si="4"/>
        <v>10.92</v>
      </c>
      <c r="Z37" s="54"/>
      <c r="AA37" s="71"/>
      <c r="AB37" s="71"/>
      <c r="AC37" s="128"/>
      <c r="AD37" s="33"/>
      <c r="AE37" s="55"/>
    </row>
    <row r="38" spans="2:31" ht="20.100000000000001" customHeight="1">
      <c r="B38" s="48">
        <v>35</v>
      </c>
      <c r="C38" s="121" t="s">
        <v>701</v>
      </c>
      <c r="D38" s="120" t="s">
        <v>349</v>
      </c>
      <c r="E38" s="120">
        <v>2508</v>
      </c>
      <c r="F38" s="120" t="s">
        <v>700</v>
      </c>
      <c r="G38" s="120" t="s">
        <v>699</v>
      </c>
      <c r="H38" s="49">
        <v>4</v>
      </c>
      <c r="I38" s="50" t="s">
        <v>802</v>
      </c>
      <c r="J38" s="124" t="s">
        <v>801</v>
      </c>
      <c r="K38" s="50" t="s">
        <v>30</v>
      </c>
      <c r="L38" s="50" t="s">
        <v>519</v>
      </c>
      <c r="M38" s="56" t="s">
        <v>12</v>
      </c>
      <c r="N38" s="122" t="s">
        <v>665</v>
      </c>
      <c r="O38" s="57">
        <v>2</v>
      </c>
      <c r="P38" s="45">
        <v>7400</v>
      </c>
      <c r="Q38" s="58">
        <f t="shared" si="5"/>
        <v>14800</v>
      </c>
      <c r="R38" s="129" t="s">
        <v>684</v>
      </c>
      <c r="S38" s="19"/>
      <c r="T38" s="32"/>
      <c r="U38" s="32"/>
      <c r="V38" s="51">
        <f t="shared" si="1"/>
        <v>8584</v>
      </c>
      <c r="W38" s="51">
        <f t="shared" si="2"/>
        <v>17168</v>
      </c>
      <c r="X38" s="52">
        <f t="shared" si="3"/>
        <v>5.77</v>
      </c>
      <c r="Y38" s="53">
        <f t="shared" si="4"/>
        <v>11.54</v>
      </c>
      <c r="Z38" s="54"/>
      <c r="AA38" s="71"/>
      <c r="AB38" s="71"/>
      <c r="AC38" s="128"/>
      <c r="AD38" s="33"/>
      <c r="AE38" s="55"/>
    </row>
    <row r="39" spans="2:31" ht="20.100000000000001" customHeight="1">
      <c r="B39" s="48">
        <v>36</v>
      </c>
      <c r="C39" s="121" t="s">
        <v>701</v>
      </c>
      <c r="D39" s="120" t="s">
        <v>349</v>
      </c>
      <c r="E39" s="120">
        <v>2508</v>
      </c>
      <c r="F39" s="120" t="s">
        <v>700</v>
      </c>
      <c r="G39" s="120" t="s">
        <v>699</v>
      </c>
      <c r="H39" s="49">
        <v>4</v>
      </c>
      <c r="I39" s="50" t="s">
        <v>96</v>
      </c>
      <c r="J39" s="124" t="s">
        <v>800</v>
      </c>
      <c r="K39" s="50" t="s">
        <v>105</v>
      </c>
      <c r="L39" s="50" t="s">
        <v>519</v>
      </c>
      <c r="M39" s="56" t="s">
        <v>12</v>
      </c>
      <c r="N39" s="122" t="s">
        <v>665</v>
      </c>
      <c r="O39" s="57">
        <v>2</v>
      </c>
      <c r="P39" s="45">
        <v>38000</v>
      </c>
      <c r="Q39" s="58">
        <f t="shared" si="5"/>
        <v>76000</v>
      </c>
      <c r="R39" s="129" t="s">
        <v>684</v>
      </c>
      <c r="S39" s="19"/>
      <c r="T39" s="32"/>
      <c r="U39" s="32"/>
      <c r="V39" s="51">
        <f t="shared" si="1"/>
        <v>44080</v>
      </c>
      <c r="W39" s="51">
        <f t="shared" si="2"/>
        <v>88160</v>
      </c>
      <c r="X39" s="52">
        <f t="shared" si="3"/>
        <v>29.65</v>
      </c>
      <c r="Y39" s="53">
        <f t="shared" si="4"/>
        <v>59.3</v>
      </c>
      <c r="Z39" s="54"/>
      <c r="AA39" s="71"/>
      <c r="AB39" s="71"/>
      <c r="AC39" s="128"/>
      <c r="AD39" s="33"/>
      <c r="AE39" s="55"/>
    </row>
    <row r="40" spans="2:31" ht="20.100000000000001" customHeight="1">
      <c r="B40" s="48">
        <v>37</v>
      </c>
      <c r="C40" s="121" t="s">
        <v>701</v>
      </c>
      <c r="D40" s="120" t="s">
        <v>349</v>
      </c>
      <c r="E40" s="120">
        <v>2508</v>
      </c>
      <c r="F40" s="120" t="s">
        <v>700</v>
      </c>
      <c r="G40" s="120" t="s">
        <v>699</v>
      </c>
      <c r="H40" s="49">
        <v>4</v>
      </c>
      <c r="I40" s="50" t="s">
        <v>205</v>
      </c>
      <c r="J40" s="124" t="s">
        <v>799</v>
      </c>
      <c r="K40" s="50" t="s">
        <v>798</v>
      </c>
      <c r="L40" s="50" t="s">
        <v>519</v>
      </c>
      <c r="M40" s="56" t="s">
        <v>12</v>
      </c>
      <c r="N40" s="122" t="s">
        <v>665</v>
      </c>
      <c r="O40" s="57">
        <v>4</v>
      </c>
      <c r="P40" s="45">
        <v>5600</v>
      </c>
      <c r="Q40" s="58">
        <f t="shared" si="5"/>
        <v>22400</v>
      </c>
      <c r="R40" s="129" t="s">
        <v>684</v>
      </c>
      <c r="S40" s="19"/>
      <c r="T40" s="32"/>
      <c r="U40" s="32"/>
      <c r="V40" s="51">
        <f t="shared" si="1"/>
        <v>6496</v>
      </c>
      <c r="W40" s="51">
        <f t="shared" si="2"/>
        <v>25984</v>
      </c>
      <c r="X40" s="52">
        <f t="shared" si="3"/>
        <v>4.37</v>
      </c>
      <c r="Y40" s="53">
        <f t="shared" si="4"/>
        <v>17.48</v>
      </c>
      <c r="Z40" s="54"/>
      <c r="AA40" s="71"/>
      <c r="AB40" s="71"/>
      <c r="AC40" s="128"/>
      <c r="AD40" s="33"/>
      <c r="AE40" s="55"/>
    </row>
    <row r="41" spans="2:31" ht="20.100000000000001" customHeight="1">
      <c r="B41" s="48">
        <v>38</v>
      </c>
      <c r="C41" s="121" t="s">
        <v>701</v>
      </c>
      <c r="D41" s="120" t="s">
        <v>349</v>
      </c>
      <c r="E41" s="120">
        <v>2508</v>
      </c>
      <c r="F41" s="120" t="s">
        <v>700</v>
      </c>
      <c r="G41" s="120" t="s">
        <v>699</v>
      </c>
      <c r="H41" s="49">
        <v>4</v>
      </c>
      <c r="I41" s="50" t="s">
        <v>226</v>
      </c>
      <c r="J41" s="124" t="s">
        <v>624</v>
      </c>
      <c r="K41" s="50" t="s">
        <v>31</v>
      </c>
      <c r="L41" s="50" t="s">
        <v>519</v>
      </c>
      <c r="M41" s="56" t="s">
        <v>12</v>
      </c>
      <c r="N41" s="122" t="s">
        <v>665</v>
      </c>
      <c r="O41" s="57">
        <v>4</v>
      </c>
      <c r="P41" s="45">
        <v>7300</v>
      </c>
      <c r="Q41" s="58">
        <f t="shared" si="5"/>
        <v>29200</v>
      </c>
      <c r="R41" s="129" t="s">
        <v>684</v>
      </c>
      <c r="S41" s="19"/>
      <c r="T41" s="32"/>
      <c r="U41" s="32"/>
      <c r="V41" s="51">
        <f t="shared" si="1"/>
        <v>8468</v>
      </c>
      <c r="W41" s="51">
        <f t="shared" si="2"/>
        <v>33872</v>
      </c>
      <c r="X41" s="52">
        <f t="shared" si="3"/>
        <v>5.7</v>
      </c>
      <c r="Y41" s="53">
        <f t="shared" si="4"/>
        <v>22.8</v>
      </c>
      <c r="Z41" s="54"/>
      <c r="AA41" s="71"/>
      <c r="AB41" s="71"/>
      <c r="AC41" s="128"/>
      <c r="AD41" s="33"/>
      <c r="AE41" s="55"/>
    </row>
    <row r="42" spans="2:31" ht="20.100000000000001" customHeight="1">
      <c r="B42" s="48">
        <v>39</v>
      </c>
      <c r="C42" s="121" t="s">
        <v>701</v>
      </c>
      <c r="D42" s="120" t="s">
        <v>349</v>
      </c>
      <c r="E42" s="120">
        <v>2508</v>
      </c>
      <c r="F42" s="120" t="s">
        <v>700</v>
      </c>
      <c r="G42" s="120" t="s">
        <v>699</v>
      </c>
      <c r="H42" s="49">
        <v>4</v>
      </c>
      <c r="I42" s="50" t="s">
        <v>797</v>
      </c>
      <c r="J42" s="124" t="s">
        <v>796</v>
      </c>
      <c r="K42" s="50" t="s">
        <v>31</v>
      </c>
      <c r="L42" s="50" t="s">
        <v>519</v>
      </c>
      <c r="M42" s="56" t="s">
        <v>12</v>
      </c>
      <c r="N42" s="122" t="s">
        <v>665</v>
      </c>
      <c r="O42" s="57">
        <v>4</v>
      </c>
      <c r="P42" s="45">
        <v>6700</v>
      </c>
      <c r="Q42" s="58">
        <f t="shared" si="5"/>
        <v>26800</v>
      </c>
      <c r="R42" s="129" t="s">
        <v>684</v>
      </c>
      <c r="S42" s="19"/>
      <c r="T42" s="32"/>
      <c r="U42" s="32"/>
      <c r="V42" s="51">
        <f t="shared" si="1"/>
        <v>7771.9999999999991</v>
      </c>
      <c r="W42" s="51">
        <f t="shared" si="2"/>
        <v>31087.999999999996</v>
      </c>
      <c r="X42" s="52">
        <f t="shared" si="3"/>
        <v>5.23</v>
      </c>
      <c r="Y42" s="53">
        <f t="shared" si="4"/>
        <v>20.92</v>
      </c>
      <c r="Z42" s="54"/>
      <c r="AA42" s="71"/>
      <c r="AB42" s="71"/>
      <c r="AC42" s="128"/>
      <c r="AD42" s="33"/>
      <c r="AE42" s="55"/>
    </row>
    <row r="43" spans="2:31" ht="20.100000000000001" customHeight="1">
      <c r="B43" s="48">
        <v>40</v>
      </c>
      <c r="C43" s="121" t="s">
        <v>701</v>
      </c>
      <c r="D43" s="120" t="s">
        <v>349</v>
      </c>
      <c r="E43" s="120">
        <v>2508</v>
      </c>
      <c r="F43" s="120" t="s">
        <v>700</v>
      </c>
      <c r="G43" s="120" t="s">
        <v>699</v>
      </c>
      <c r="H43" s="49">
        <v>4</v>
      </c>
      <c r="I43" s="50" t="s">
        <v>534</v>
      </c>
      <c r="J43" s="124" t="s">
        <v>447</v>
      </c>
      <c r="K43" s="50" t="s">
        <v>31</v>
      </c>
      <c r="L43" s="50" t="s">
        <v>519</v>
      </c>
      <c r="M43" s="56" t="s">
        <v>12</v>
      </c>
      <c r="N43" s="122" t="s">
        <v>665</v>
      </c>
      <c r="O43" s="57">
        <v>4</v>
      </c>
      <c r="P43" s="45">
        <v>7400</v>
      </c>
      <c r="Q43" s="58">
        <f t="shared" si="5"/>
        <v>29600</v>
      </c>
      <c r="R43" s="129" t="s">
        <v>684</v>
      </c>
      <c r="S43" s="19"/>
      <c r="T43" s="32"/>
      <c r="U43" s="32"/>
      <c r="V43" s="51">
        <f t="shared" si="1"/>
        <v>8584</v>
      </c>
      <c r="W43" s="51">
        <f t="shared" si="2"/>
        <v>34336</v>
      </c>
      <c r="X43" s="52">
        <f t="shared" si="3"/>
        <v>5.77</v>
      </c>
      <c r="Y43" s="53">
        <f t="shared" si="4"/>
        <v>23.08</v>
      </c>
      <c r="Z43" s="54"/>
      <c r="AA43" s="71"/>
      <c r="AB43" s="71"/>
      <c r="AC43" s="128"/>
      <c r="AD43" s="33"/>
      <c r="AE43" s="55"/>
    </row>
    <row r="44" spans="2:31" ht="20.100000000000001" customHeight="1">
      <c r="B44" s="48">
        <v>42</v>
      </c>
      <c r="C44" s="121" t="s">
        <v>701</v>
      </c>
      <c r="D44" s="120" t="s">
        <v>349</v>
      </c>
      <c r="E44" s="120">
        <v>2508</v>
      </c>
      <c r="F44" s="120" t="s">
        <v>700</v>
      </c>
      <c r="G44" s="120" t="s">
        <v>699</v>
      </c>
      <c r="H44" s="49">
        <v>4</v>
      </c>
      <c r="I44" s="50" t="s">
        <v>82</v>
      </c>
      <c r="J44" s="124" t="s">
        <v>84</v>
      </c>
      <c r="K44" s="50" t="s">
        <v>83</v>
      </c>
      <c r="L44" s="50" t="s">
        <v>519</v>
      </c>
      <c r="M44" s="56" t="s">
        <v>12</v>
      </c>
      <c r="N44" s="122" t="s">
        <v>665</v>
      </c>
      <c r="O44" s="57">
        <v>2</v>
      </c>
      <c r="P44" s="45">
        <v>21500</v>
      </c>
      <c r="Q44" s="58">
        <f t="shared" si="5"/>
        <v>43000</v>
      </c>
      <c r="R44" s="129" t="s">
        <v>684</v>
      </c>
      <c r="S44" s="19"/>
      <c r="T44" s="32"/>
      <c r="U44" s="32"/>
      <c r="V44" s="51">
        <f t="shared" si="1"/>
        <v>24940</v>
      </c>
      <c r="W44" s="51">
        <f t="shared" si="2"/>
        <v>49880</v>
      </c>
      <c r="X44" s="52">
        <f t="shared" si="3"/>
        <v>16.78</v>
      </c>
      <c r="Y44" s="53">
        <f t="shared" si="4"/>
        <v>33.56</v>
      </c>
      <c r="Z44" s="54"/>
      <c r="AA44" s="71"/>
      <c r="AB44" s="71"/>
      <c r="AC44" s="128"/>
      <c r="AD44" s="33"/>
      <c r="AE44" s="55"/>
    </row>
    <row r="45" spans="2:31" ht="20.100000000000001" customHeight="1">
      <c r="B45" s="48">
        <v>43</v>
      </c>
      <c r="C45" s="121" t="s">
        <v>701</v>
      </c>
      <c r="D45" s="120" t="s">
        <v>349</v>
      </c>
      <c r="E45" s="120">
        <v>2508</v>
      </c>
      <c r="F45" s="120" t="s">
        <v>700</v>
      </c>
      <c r="G45" s="120" t="s">
        <v>699</v>
      </c>
      <c r="H45" s="49">
        <v>4</v>
      </c>
      <c r="I45" s="50" t="s">
        <v>91</v>
      </c>
      <c r="J45" s="124" t="s">
        <v>100</v>
      </c>
      <c r="K45" s="50" t="s">
        <v>101</v>
      </c>
      <c r="L45" s="50" t="s">
        <v>519</v>
      </c>
      <c r="M45" s="56" t="s">
        <v>12</v>
      </c>
      <c r="N45" s="122" t="s">
        <v>665</v>
      </c>
      <c r="O45" s="57">
        <v>2</v>
      </c>
      <c r="P45" s="45">
        <v>29800</v>
      </c>
      <c r="Q45" s="58">
        <f t="shared" si="5"/>
        <v>59600</v>
      </c>
      <c r="R45" s="129" t="s">
        <v>684</v>
      </c>
      <c r="S45" s="19"/>
      <c r="T45" s="32"/>
      <c r="U45" s="32"/>
      <c r="V45" s="51">
        <f t="shared" si="1"/>
        <v>34568</v>
      </c>
      <c r="W45" s="51">
        <f t="shared" si="2"/>
        <v>69136</v>
      </c>
      <c r="X45" s="52">
        <f t="shared" si="3"/>
        <v>23.25</v>
      </c>
      <c r="Y45" s="53">
        <f t="shared" si="4"/>
        <v>46.5</v>
      </c>
      <c r="Z45" s="54"/>
      <c r="AA45" s="71"/>
      <c r="AB45" s="71"/>
      <c r="AC45" s="128"/>
      <c r="AD45" s="33"/>
      <c r="AE45" s="55"/>
    </row>
    <row r="46" spans="2:31" ht="20.100000000000001" customHeight="1">
      <c r="B46" s="48">
        <v>44</v>
      </c>
      <c r="C46" s="121" t="s">
        <v>701</v>
      </c>
      <c r="D46" s="120" t="s">
        <v>349</v>
      </c>
      <c r="E46" s="120">
        <v>2508</v>
      </c>
      <c r="F46" s="120" t="s">
        <v>700</v>
      </c>
      <c r="G46" s="120" t="s">
        <v>699</v>
      </c>
      <c r="H46" s="49">
        <v>4</v>
      </c>
      <c r="I46" s="50" t="s">
        <v>86</v>
      </c>
      <c r="J46" s="124" t="s">
        <v>87</v>
      </c>
      <c r="K46" s="50" t="s">
        <v>88</v>
      </c>
      <c r="L46" s="50" t="s">
        <v>519</v>
      </c>
      <c r="M46" s="56" t="s">
        <v>12</v>
      </c>
      <c r="N46" s="122" t="s">
        <v>666</v>
      </c>
      <c r="O46" s="57">
        <v>2</v>
      </c>
      <c r="P46" s="45">
        <v>2600</v>
      </c>
      <c r="Q46" s="58">
        <f t="shared" si="5"/>
        <v>5200</v>
      </c>
      <c r="R46" s="129" t="s">
        <v>684</v>
      </c>
      <c r="S46" s="19"/>
      <c r="T46" s="32"/>
      <c r="U46" s="32"/>
      <c r="V46" s="51">
        <f t="shared" si="1"/>
        <v>3016</v>
      </c>
      <c r="W46" s="51">
        <f t="shared" si="2"/>
        <v>6032</v>
      </c>
      <c r="X46" s="52">
        <f t="shared" si="3"/>
        <v>2.0299999999999998</v>
      </c>
      <c r="Y46" s="53">
        <f t="shared" si="4"/>
        <v>4.0599999999999996</v>
      </c>
      <c r="Z46" s="54"/>
      <c r="AA46" s="71"/>
      <c r="AB46" s="71"/>
      <c r="AC46" s="128"/>
      <c r="AD46" s="33"/>
      <c r="AE46" s="55"/>
    </row>
    <row r="47" spans="2:31" ht="20.100000000000001" customHeight="1">
      <c r="B47" s="48">
        <v>45</v>
      </c>
      <c r="C47" s="121" t="s">
        <v>701</v>
      </c>
      <c r="D47" s="120" t="s">
        <v>349</v>
      </c>
      <c r="E47" s="120">
        <v>2508</v>
      </c>
      <c r="F47" s="120" t="s">
        <v>700</v>
      </c>
      <c r="G47" s="120" t="s">
        <v>699</v>
      </c>
      <c r="H47" s="49">
        <v>4</v>
      </c>
      <c r="I47" s="50" t="s">
        <v>158</v>
      </c>
      <c r="J47" s="124" t="s">
        <v>794</v>
      </c>
      <c r="K47" s="50" t="s">
        <v>83</v>
      </c>
      <c r="L47" s="50" t="s">
        <v>519</v>
      </c>
      <c r="M47" s="56" t="s">
        <v>12</v>
      </c>
      <c r="N47" s="122" t="s">
        <v>665</v>
      </c>
      <c r="O47" s="57">
        <v>6</v>
      </c>
      <c r="P47" s="45">
        <v>2500</v>
      </c>
      <c r="Q47" s="58">
        <f t="shared" si="5"/>
        <v>15000</v>
      </c>
      <c r="R47" s="129" t="s">
        <v>684</v>
      </c>
      <c r="S47" s="19"/>
      <c r="T47" s="32"/>
      <c r="U47" s="32"/>
      <c r="V47" s="51">
        <f t="shared" si="1"/>
        <v>2900</v>
      </c>
      <c r="W47" s="51">
        <f t="shared" si="2"/>
        <v>17400</v>
      </c>
      <c r="X47" s="52">
        <f t="shared" si="3"/>
        <v>1.95</v>
      </c>
      <c r="Y47" s="53">
        <f t="shared" si="4"/>
        <v>11.7</v>
      </c>
      <c r="Z47" s="54"/>
      <c r="AA47" s="71"/>
      <c r="AB47" s="71"/>
      <c r="AC47" s="128"/>
      <c r="AD47" s="33"/>
      <c r="AE47" s="55"/>
    </row>
    <row r="48" spans="2:31" ht="20.100000000000001" customHeight="1">
      <c r="B48" s="48">
        <v>46</v>
      </c>
      <c r="C48" s="121" t="s">
        <v>701</v>
      </c>
      <c r="D48" s="120" t="s">
        <v>349</v>
      </c>
      <c r="E48" s="120">
        <v>2508</v>
      </c>
      <c r="F48" s="120" t="s">
        <v>700</v>
      </c>
      <c r="G48" s="120" t="s">
        <v>699</v>
      </c>
      <c r="H48" s="49">
        <v>4</v>
      </c>
      <c r="I48" s="50" t="s">
        <v>793</v>
      </c>
      <c r="J48" s="124" t="s">
        <v>792</v>
      </c>
      <c r="K48" s="50" t="s">
        <v>791</v>
      </c>
      <c r="L48" s="50" t="s">
        <v>519</v>
      </c>
      <c r="M48" s="56" t="s">
        <v>12</v>
      </c>
      <c r="N48" s="122" t="s">
        <v>665</v>
      </c>
      <c r="O48" s="57">
        <v>2</v>
      </c>
      <c r="P48" s="45">
        <v>2000</v>
      </c>
      <c r="Q48" s="58">
        <f t="shared" si="5"/>
        <v>4000</v>
      </c>
      <c r="R48" s="129" t="s">
        <v>684</v>
      </c>
      <c r="S48" s="19"/>
      <c r="T48" s="32"/>
      <c r="U48" s="32"/>
      <c r="V48" s="51">
        <f t="shared" si="1"/>
        <v>2320</v>
      </c>
      <c r="W48" s="51">
        <f t="shared" si="2"/>
        <v>4640</v>
      </c>
      <c r="X48" s="52">
        <f t="shared" si="3"/>
        <v>1.56</v>
      </c>
      <c r="Y48" s="53">
        <f t="shared" si="4"/>
        <v>3.12</v>
      </c>
      <c r="Z48" s="54"/>
      <c r="AA48" s="71"/>
      <c r="AB48" s="71"/>
      <c r="AC48" s="128"/>
      <c r="AD48" s="33"/>
      <c r="AE48" s="55"/>
    </row>
    <row r="49" spans="2:31" ht="20.100000000000001" customHeight="1">
      <c r="B49" s="48">
        <v>47</v>
      </c>
      <c r="C49" s="121" t="s">
        <v>701</v>
      </c>
      <c r="D49" s="120" t="s">
        <v>349</v>
      </c>
      <c r="E49" s="120">
        <v>2508</v>
      </c>
      <c r="F49" s="120" t="s">
        <v>700</v>
      </c>
      <c r="G49" s="120" t="s">
        <v>699</v>
      </c>
      <c r="H49" s="49">
        <v>4</v>
      </c>
      <c r="I49" s="50" t="s">
        <v>97</v>
      </c>
      <c r="J49" s="124" t="s">
        <v>106</v>
      </c>
      <c r="K49" s="50" t="s">
        <v>98</v>
      </c>
      <c r="L49" s="50" t="s">
        <v>519</v>
      </c>
      <c r="M49" s="56" t="s">
        <v>12</v>
      </c>
      <c r="N49" s="122" t="s">
        <v>665</v>
      </c>
      <c r="O49" s="57">
        <v>34</v>
      </c>
      <c r="P49" s="45">
        <v>160</v>
      </c>
      <c r="Q49" s="58">
        <f t="shared" si="5"/>
        <v>5440</v>
      </c>
      <c r="R49" s="129" t="s">
        <v>663</v>
      </c>
      <c r="S49" s="19"/>
      <c r="T49" s="32"/>
      <c r="U49" s="32"/>
      <c r="V49" s="51">
        <f t="shared" si="1"/>
        <v>185.6</v>
      </c>
      <c r="W49" s="51">
        <f t="shared" si="2"/>
        <v>6310.4</v>
      </c>
      <c r="X49" s="52">
        <f t="shared" si="3"/>
        <v>0.12</v>
      </c>
      <c r="Y49" s="53">
        <f t="shared" si="4"/>
        <v>4.08</v>
      </c>
      <c r="Z49" s="54"/>
      <c r="AA49" s="71"/>
      <c r="AB49" s="71"/>
      <c r="AC49" s="128"/>
      <c r="AD49" s="33"/>
      <c r="AE49" s="55"/>
    </row>
    <row r="50" spans="2:31" ht="20.100000000000001" customHeight="1">
      <c r="B50" s="48">
        <v>48</v>
      </c>
      <c r="C50" s="121" t="s">
        <v>701</v>
      </c>
      <c r="D50" s="120" t="s">
        <v>349</v>
      </c>
      <c r="E50" s="120">
        <v>2508</v>
      </c>
      <c r="F50" s="120" t="s">
        <v>700</v>
      </c>
      <c r="G50" s="120" t="s">
        <v>699</v>
      </c>
      <c r="H50" s="49">
        <v>6</v>
      </c>
      <c r="I50" s="50" t="s">
        <v>141</v>
      </c>
      <c r="J50" s="124" t="s">
        <v>790</v>
      </c>
      <c r="K50" s="50" t="s">
        <v>26</v>
      </c>
      <c r="L50" s="50" t="s">
        <v>519</v>
      </c>
      <c r="M50" s="56" t="s">
        <v>12</v>
      </c>
      <c r="N50" s="122" t="s">
        <v>666</v>
      </c>
      <c r="O50" s="57">
        <v>2</v>
      </c>
      <c r="P50" s="45">
        <v>63520</v>
      </c>
      <c r="Q50" s="58">
        <f t="shared" si="5"/>
        <v>127040</v>
      </c>
      <c r="R50" s="129" t="s">
        <v>684</v>
      </c>
      <c r="S50" s="19"/>
      <c r="T50" s="32"/>
      <c r="U50" s="32"/>
      <c r="V50" s="51">
        <f t="shared" si="1"/>
        <v>73683.199999999997</v>
      </c>
      <c r="W50" s="51">
        <f t="shared" si="2"/>
        <v>147366.39999999999</v>
      </c>
      <c r="X50" s="52">
        <f t="shared" si="3"/>
        <v>49.56</v>
      </c>
      <c r="Y50" s="53">
        <f t="shared" si="4"/>
        <v>99.12</v>
      </c>
      <c r="Z50" s="54"/>
      <c r="AA50" s="71"/>
      <c r="AB50" s="71"/>
      <c r="AC50" s="128"/>
      <c r="AD50" s="33"/>
      <c r="AE50" s="55"/>
    </row>
    <row r="51" spans="2:31" ht="20.100000000000001" customHeight="1">
      <c r="B51" s="48">
        <v>49</v>
      </c>
      <c r="C51" s="121" t="s">
        <v>701</v>
      </c>
      <c r="D51" s="120" t="s">
        <v>349</v>
      </c>
      <c r="E51" s="120">
        <v>2508</v>
      </c>
      <c r="F51" s="120" t="s">
        <v>700</v>
      </c>
      <c r="G51" s="120" t="s">
        <v>699</v>
      </c>
      <c r="H51" s="49">
        <v>5</v>
      </c>
      <c r="I51" s="50" t="s">
        <v>140</v>
      </c>
      <c r="J51" s="124" t="s">
        <v>187</v>
      </c>
      <c r="K51" s="50" t="s">
        <v>26</v>
      </c>
      <c r="L51" s="50" t="s">
        <v>519</v>
      </c>
      <c r="M51" s="56" t="s">
        <v>12</v>
      </c>
      <c r="N51" s="122" t="s">
        <v>666</v>
      </c>
      <c r="O51" s="57">
        <v>12</v>
      </c>
      <c r="P51" s="45">
        <v>1670</v>
      </c>
      <c r="Q51" s="58">
        <f t="shared" si="5"/>
        <v>20040</v>
      </c>
      <c r="R51" s="129" t="s">
        <v>684</v>
      </c>
      <c r="S51" s="19"/>
      <c r="T51" s="32"/>
      <c r="U51" s="32"/>
      <c r="V51" s="51">
        <f t="shared" si="1"/>
        <v>1937.1999999999998</v>
      </c>
      <c r="W51" s="51">
        <f t="shared" si="2"/>
        <v>23246.399999999998</v>
      </c>
      <c r="X51" s="52">
        <f t="shared" si="3"/>
        <v>1.3</v>
      </c>
      <c r="Y51" s="53">
        <f t="shared" si="4"/>
        <v>15.600000000000001</v>
      </c>
      <c r="Z51" s="54"/>
      <c r="AA51" s="71"/>
      <c r="AB51" s="71"/>
      <c r="AC51" s="128"/>
      <c r="AD51" s="33"/>
      <c r="AE51" s="55"/>
    </row>
    <row r="52" spans="2:31" ht="20.100000000000001" customHeight="1">
      <c r="B52" s="48">
        <v>50</v>
      </c>
      <c r="C52" s="121" t="s">
        <v>701</v>
      </c>
      <c r="D52" s="120" t="s">
        <v>349</v>
      </c>
      <c r="E52" s="120">
        <v>2508</v>
      </c>
      <c r="F52" s="120" t="s">
        <v>700</v>
      </c>
      <c r="G52" s="120" t="s">
        <v>699</v>
      </c>
      <c r="H52" s="49">
        <v>5</v>
      </c>
      <c r="I52" s="50" t="s">
        <v>140</v>
      </c>
      <c r="J52" s="124" t="s">
        <v>789</v>
      </c>
      <c r="K52" s="50" t="s">
        <v>26</v>
      </c>
      <c r="L52" s="50" t="s">
        <v>519</v>
      </c>
      <c r="M52" s="56" t="s">
        <v>12</v>
      </c>
      <c r="N52" s="122" t="s">
        <v>666</v>
      </c>
      <c r="O52" s="57">
        <v>4</v>
      </c>
      <c r="P52" s="45">
        <v>2470</v>
      </c>
      <c r="Q52" s="58">
        <f t="shared" si="5"/>
        <v>9880</v>
      </c>
      <c r="R52" s="129" t="s">
        <v>684</v>
      </c>
      <c r="S52" s="19"/>
      <c r="T52" s="32"/>
      <c r="U52" s="32"/>
      <c r="V52" s="51">
        <f t="shared" si="1"/>
        <v>2865.2</v>
      </c>
      <c r="W52" s="51">
        <f t="shared" si="2"/>
        <v>11460.8</v>
      </c>
      <c r="X52" s="52">
        <f t="shared" si="3"/>
        <v>1.93</v>
      </c>
      <c r="Y52" s="53">
        <f t="shared" si="4"/>
        <v>7.72</v>
      </c>
      <c r="Z52" s="54"/>
      <c r="AA52" s="71"/>
      <c r="AB52" s="71"/>
      <c r="AC52" s="128"/>
      <c r="AD52" s="33"/>
      <c r="AE52" s="55"/>
    </row>
    <row r="53" spans="2:31" ht="20.100000000000001" customHeight="1">
      <c r="B53" s="48">
        <v>51</v>
      </c>
      <c r="C53" s="121" t="s">
        <v>701</v>
      </c>
      <c r="D53" s="120" t="s">
        <v>349</v>
      </c>
      <c r="E53" s="120">
        <v>2508</v>
      </c>
      <c r="F53" s="120" t="s">
        <v>700</v>
      </c>
      <c r="G53" s="120" t="s">
        <v>699</v>
      </c>
      <c r="H53" s="49">
        <v>5</v>
      </c>
      <c r="I53" s="50" t="s">
        <v>141</v>
      </c>
      <c r="J53" s="124" t="s">
        <v>426</v>
      </c>
      <c r="K53" s="50" t="s">
        <v>26</v>
      </c>
      <c r="L53" s="50" t="s">
        <v>519</v>
      </c>
      <c r="M53" s="56" t="s">
        <v>12</v>
      </c>
      <c r="N53" s="122" t="s">
        <v>666</v>
      </c>
      <c r="O53" s="57">
        <v>4</v>
      </c>
      <c r="P53" s="45">
        <v>25550</v>
      </c>
      <c r="Q53" s="58">
        <f t="shared" si="5"/>
        <v>102200</v>
      </c>
      <c r="R53" s="129" t="s">
        <v>684</v>
      </c>
      <c r="S53" s="19"/>
      <c r="T53" s="32"/>
      <c r="U53" s="32"/>
      <c r="V53" s="51">
        <f t="shared" si="1"/>
        <v>29637.999999999996</v>
      </c>
      <c r="W53" s="51">
        <f t="shared" si="2"/>
        <v>118551.99999999999</v>
      </c>
      <c r="X53" s="52">
        <f t="shared" si="3"/>
        <v>19.940000000000001</v>
      </c>
      <c r="Y53" s="53">
        <f t="shared" si="4"/>
        <v>79.760000000000005</v>
      </c>
      <c r="Z53" s="54"/>
      <c r="AA53" s="71"/>
      <c r="AB53" s="71"/>
      <c r="AC53" s="128"/>
      <c r="AD53" s="33"/>
      <c r="AE53" s="55"/>
    </row>
    <row r="54" spans="2:31" ht="20.100000000000001" customHeight="1">
      <c r="B54" s="48">
        <v>52</v>
      </c>
      <c r="C54" s="121" t="s">
        <v>701</v>
      </c>
      <c r="D54" s="120" t="s">
        <v>349</v>
      </c>
      <c r="E54" s="120">
        <v>2508</v>
      </c>
      <c r="F54" s="120" t="s">
        <v>700</v>
      </c>
      <c r="G54" s="120" t="s">
        <v>699</v>
      </c>
      <c r="H54" s="49">
        <v>5</v>
      </c>
      <c r="I54" s="50" t="s">
        <v>40</v>
      </c>
      <c r="J54" s="124" t="s">
        <v>788</v>
      </c>
      <c r="K54" s="50" t="s">
        <v>26</v>
      </c>
      <c r="L54" s="50" t="s">
        <v>519</v>
      </c>
      <c r="M54" s="56" t="s">
        <v>12</v>
      </c>
      <c r="N54" s="122" t="s">
        <v>666</v>
      </c>
      <c r="O54" s="57">
        <v>6</v>
      </c>
      <c r="P54" s="45">
        <v>300</v>
      </c>
      <c r="Q54" s="58">
        <f t="shared" si="5"/>
        <v>1800</v>
      </c>
      <c r="R54" s="129" t="s">
        <v>684</v>
      </c>
      <c r="S54" s="19"/>
      <c r="T54" s="32"/>
      <c r="U54" s="32"/>
      <c r="V54" s="51">
        <f t="shared" si="1"/>
        <v>348</v>
      </c>
      <c r="W54" s="51">
        <f t="shared" si="2"/>
        <v>2088</v>
      </c>
      <c r="X54" s="52">
        <f t="shared" si="3"/>
        <v>0.23</v>
      </c>
      <c r="Y54" s="53">
        <f t="shared" si="4"/>
        <v>1.3800000000000001</v>
      </c>
      <c r="Z54" s="54"/>
      <c r="AA54" s="71"/>
      <c r="AB54" s="71"/>
      <c r="AC54" s="128"/>
      <c r="AD54" s="33"/>
      <c r="AE54" s="55"/>
    </row>
    <row r="55" spans="2:31" ht="20.100000000000001" customHeight="1">
      <c r="B55" s="48">
        <v>53</v>
      </c>
      <c r="C55" s="121" t="s">
        <v>701</v>
      </c>
      <c r="D55" s="120" t="s">
        <v>349</v>
      </c>
      <c r="E55" s="120">
        <v>2508</v>
      </c>
      <c r="F55" s="120" t="s">
        <v>700</v>
      </c>
      <c r="G55" s="120" t="s">
        <v>699</v>
      </c>
      <c r="H55" s="49">
        <v>5</v>
      </c>
      <c r="I55" s="50" t="s">
        <v>40</v>
      </c>
      <c r="J55" s="124" t="s">
        <v>787</v>
      </c>
      <c r="K55" s="50" t="s">
        <v>26</v>
      </c>
      <c r="L55" s="50" t="s">
        <v>519</v>
      </c>
      <c r="M55" s="56" t="s">
        <v>12</v>
      </c>
      <c r="N55" s="122" t="s">
        <v>666</v>
      </c>
      <c r="O55" s="57">
        <v>18</v>
      </c>
      <c r="P55" s="45">
        <v>300</v>
      </c>
      <c r="Q55" s="58">
        <f t="shared" si="5"/>
        <v>5400</v>
      </c>
      <c r="R55" s="129" t="s">
        <v>684</v>
      </c>
      <c r="S55" s="19"/>
      <c r="T55" s="32"/>
      <c r="U55" s="32"/>
      <c r="V55" s="51">
        <f t="shared" si="1"/>
        <v>348</v>
      </c>
      <c r="W55" s="51">
        <f t="shared" si="2"/>
        <v>6264</v>
      </c>
      <c r="X55" s="52">
        <f t="shared" si="3"/>
        <v>0.23</v>
      </c>
      <c r="Y55" s="53">
        <f t="shared" si="4"/>
        <v>4.1400000000000006</v>
      </c>
      <c r="Z55" s="54"/>
      <c r="AA55" s="71"/>
      <c r="AB55" s="71"/>
      <c r="AC55" s="128"/>
      <c r="AD55" s="33"/>
      <c r="AE55" s="55"/>
    </row>
    <row r="56" spans="2:31" ht="20.100000000000001" customHeight="1">
      <c r="B56" s="48">
        <v>54</v>
      </c>
      <c r="C56" s="121" t="s">
        <v>701</v>
      </c>
      <c r="D56" s="120" t="s">
        <v>349</v>
      </c>
      <c r="E56" s="120">
        <v>2508</v>
      </c>
      <c r="F56" s="120" t="s">
        <v>700</v>
      </c>
      <c r="G56" s="120" t="s">
        <v>699</v>
      </c>
      <c r="H56" s="49">
        <v>5</v>
      </c>
      <c r="I56" s="50" t="s">
        <v>28</v>
      </c>
      <c r="J56" s="124" t="s">
        <v>786</v>
      </c>
      <c r="K56" s="50" t="s">
        <v>26</v>
      </c>
      <c r="L56" s="50" t="s">
        <v>519</v>
      </c>
      <c r="M56" s="56" t="s">
        <v>12</v>
      </c>
      <c r="N56" s="122" t="s">
        <v>666</v>
      </c>
      <c r="O56" s="57">
        <v>10</v>
      </c>
      <c r="P56" s="45">
        <v>1830</v>
      </c>
      <c r="Q56" s="58">
        <f t="shared" si="5"/>
        <v>18300</v>
      </c>
      <c r="R56" s="129" t="s">
        <v>684</v>
      </c>
      <c r="S56" s="19"/>
      <c r="T56" s="32"/>
      <c r="U56" s="32"/>
      <c r="V56" s="51">
        <f t="shared" si="1"/>
        <v>2122.7999999999997</v>
      </c>
      <c r="W56" s="51">
        <f t="shared" si="2"/>
        <v>21227.999999999996</v>
      </c>
      <c r="X56" s="52">
        <f t="shared" si="3"/>
        <v>1.43</v>
      </c>
      <c r="Y56" s="53">
        <f t="shared" si="4"/>
        <v>14.299999999999999</v>
      </c>
      <c r="Z56" s="54"/>
      <c r="AA56" s="71"/>
      <c r="AB56" s="71"/>
      <c r="AC56" s="128"/>
      <c r="AD56" s="33"/>
      <c r="AE56" s="55"/>
    </row>
    <row r="57" spans="2:31" ht="20.100000000000001" customHeight="1">
      <c r="B57" s="48">
        <v>55</v>
      </c>
      <c r="C57" s="121" t="s">
        <v>701</v>
      </c>
      <c r="D57" s="120" t="s">
        <v>349</v>
      </c>
      <c r="E57" s="120">
        <v>2508</v>
      </c>
      <c r="F57" s="120" t="s">
        <v>700</v>
      </c>
      <c r="G57" s="120" t="s">
        <v>699</v>
      </c>
      <c r="H57" s="49">
        <v>5</v>
      </c>
      <c r="I57" s="50" t="s">
        <v>28</v>
      </c>
      <c r="J57" s="124" t="s">
        <v>785</v>
      </c>
      <c r="K57" s="50" t="s">
        <v>26</v>
      </c>
      <c r="L57" s="50" t="s">
        <v>519</v>
      </c>
      <c r="M57" s="56" t="s">
        <v>12</v>
      </c>
      <c r="N57" s="122" t="s">
        <v>666</v>
      </c>
      <c r="O57" s="57">
        <v>10</v>
      </c>
      <c r="P57" s="45">
        <v>1520</v>
      </c>
      <c r="Q57" s="58">
        <f t="shared" si="5"/>
        <v>15200</v>
      </c>
      <c r="R57" s="129" t="s">
        <v>684</v>
      </c>
      <c r="S57" s="19"/>
      <c r="T57" s="32"/>
      <c r="U57" s="32"/>
      <c r="V57" s="51">
        <f t="shared" si="1"/>
        <v>1763.1999999999998</v>
      </c>
      <c r="W57" s="51">
        <f t="shared" si="2"/>
        <v>17632</v>
      </c>
      <c r="X57" s="52">
        <f t="shared" si="3"/>
        <v>1.19</v>
      </c>
      <c r="Y57" s="53">
        <f t="shared" si="4"/>
        <v>11.899999999999999</v>
      </c>
      <c r="Z57" s="54"/>
      <c r="AA57" s="71"/>
      <c r="AB57" s="71"/>
      <c r="AC57" s="128"/>
      <c r="AD57" s="33"/>
      <c r="AE57" s="55"/>
    </row>
    <row r="58" spans="2:31" ht="20.100000000000001" customHeight="1">
      <c r="B58" s="48">
        <v>56</v>
      </c>
      <c r="C58" s="121" t="s">
        <v>701</v>
      </c>
      <c r="D58" s="120" t="s">
        <v>349</v>
      </c>
      <c r="E58" s="120">
        <v>2508</v>
      </c>
      <c r="F58" s="120" t="s">
        <v>700</v>
      </c>
      <c r="G58" s="120" t="s">
        <v>699</v>
      </c>
      <c r="H58" s="49">
        <v>5</v>
      </c>
      <c r="I58" s="50" t="s">
        <v>28</v>
      </c>
      <c r="J58" s="124" t="s">
        <v>784</v>
      </c>
      <c r="K58" s="50" t="s">
        <v>26</v>
      </c>
      <c r="L58" s="50" t="s">
        <v>519</v>
      </c>
      <c r="M58" s="56" t="s">
        <v>12</v>
      </c>
      <c r="N58" s="122" t="s">
        <v>666</v>
      </c>
      <c r="O58" s="57">
        <v>22</v>
      </c>
      <c r="P58" s="45">
        <v>1580</v>
      </c>
      <c r="Q58" s="58">
        <f t="shared" si="5"/>
        <v>34760</v>
      </c>
      <c r="R58" s="129" t="s">
        <v>684</v>
      </c>
      <c r="S58" s="19"/>
      <c r="T58" s="32"/>
      <c r="U58" s="32"/>
      <c r="V58" s="51">
        <f t="shared" si="1"/>
        <v>1832.8</v>
      </c>
      <c r="W58" s="51">
        <f t="shared" si="2"/>
        <v>40321.599999999999</v>
      </c>
      <c r="X58" s="52">
        <f t="shared" si="3"/>
        <v>1.23</v>
      </c>
      <c r="Y58" s="53">
        <f t="shared" si="4"/>
        <v>27.06</v>
      </c>
      <c r="Z58" s="54"/>
      <c r="AA58" s="71"/>
      <c r="AB58" s="71"/>
      <c r="AC58" s="128"/>
      <c r="AD58" s="33"/>
      <c r="AE58" s="55"/>
    </row>
    <row r="59" spans="2:31" ht="20.100000000000001" customHeight="1">
      <c r="B59" s="48">
        <v>57</v>
      </c>
      <c r="C59" s="121" t="s">
        <v>701</v>
      </c>
      <c r="D59" s="120" t="s">
        <v>349</v>
      </c>
      <c r="E59" s="120">
        <v>2508</v>
      </c>
      <c r="F59" s="120" t="s">
        <v>700</v>
      </c>
      <c r="G59" s="120" t="s">
        <v>699</v>
      </c>
      <c r="H59" s="49">
        <v>5</v>
      </c>
      <c r="I59" s="50" t="s">
        <v>28</v>
      </c>
      <c r="J59" s="124" t="s">
        <v>431</v>
      </c>
      <c r="K59" s="50" t="s">
        <v>26</v>
      </c>
      <c r="L59" s="50" t="s">
        <v>519</v>
      </c>
      <c r="M59" s="56" t="s">
        <v>12</v>
      </c>
      <c r="N59" s="122" t="s">
        <v>666</v>
      </c>
      <c r="O59" s="57">
        <v>16</v>
      </c>
      <c r="P59" s="45">
        <v>1580</v>
      </c>
      <c r="Q59" s="58">
        <f t="shared" si="5"/>
        <v>25280</v>
      </c>
      <c r="R59" s="129" t="s">
        <v>684</v>
      </c>
      <c r="S59" s="19"/>
      <c r="T59" s="32"/>
      <c r="U59" s="32"/>
      <c r="V59" s="51">
        <f t="shared" si="1"/>
        <v>1832.8</v>
      </c>
      <c r="W59" s="51">
        <f t="shared" si="2"/>
        <v>29324.799999999999</v>
      </c>
      <c r="X59" s="52">
        <f t="shared" si="3"/>
        <v>1.23</v>
      </c>
      <c r="Y59" s="53">
        <f t="shared" si="4"/>
        <v>19.68</v>
      </c>
      <c r="Z59" s="54"/>
      <c r="AA59" s="71"/>
      <c r="AB59" s="71"/>
      <c r="AC59" s="128"/>
      <c r="AD59" s="33"/>
      <c r="AE59" s="55"/>
    </row>
    <row r="60" spans="2:31" ht="20.100000000000001" customHeight="1">
      <c r="B60" s="48">
        <v>58</v>
      </c>
      <c r="C60" s="121" t="s">
        <v>701</v>
      </c>
      <c r="D60" s="120" t="s">
        <v>349</v>
      </c>
      <c r="E60" s="120">
        <v>2508</v>
      </c>
      <c r="F60" s="120" t="s">
        <v>700</v>
      </c>
      <c r="G60" s="120" t="s">
        <v>699</v>
      </c>
      <c r="H60" s="49">
        <v>5</v>
      </c>
      <c r="I60" s="50" t="s">
        <v>28</v>
      </c>
      <c r="J60" s="124" t="s">
        <v>432</v>
      </c>
      <c r="K60" s="50" t="s">
        <v>26</v>
      </c>
      <c r="L60" s="50" t="s">
        <v>519</v>
      </c>
      <c r="M60" s="56" t="s">
        <v>12</v>
      </c>
      <c r="N60" s="122" t="s">
        <v>666</v>
      </c>
      <c r="O60" s="57">
        <v>8</v>
      </c>
      <c r="P60" s="45">
        <v>2020</v>
      </c>
      <c r="Q60" s="58">
        <f t="shared" si="5"/>
        <v>16160</v>
      </c>
      <c r="R60" s="129" t="s">
        <v>684</v>
      </c>
      <c r="S60" s="19"/>
      <c r="T60" s="32"/>
      <c r="U60" s="32"/>
      <c r="V60" s="51">
        <f t="shared" si="1"/>
        <v>2343.1999999999998</v>
      </c>
      <c r="W60" s="51">
        <f t="shared" si="2"/>
        <v>18745.599999999999</v>
      </c>
      <c r="X60" s="52">
        <f t="shared" si="3"/>
        <v>1.58</v>
      </c>
      <c r="Y60" s="53">
        <f t="shared" si="4"/>
        <v>12.64</v>
      </c>
      <c r="Z60" s="54"/>
      <c r="AA60" s="71"/>
      <c r="AB60" s="71"/>
      <c r="AC60" s="128"/>
      <c r="AD60" s="33"/>
      <c r="AE60" s="55"/>
    </row>
    <row r="61" spans="2:31" ht="20.100000000000001" customHeight="1">
      <c r="B61" s="48">
        <v>59</v>
      </c>
      <c r="C61" s="121" t="s">
        <v>701</v>
      </c>
      <c r="D61" s="120" t="s">
        <v>349</v>
      </c>
      <c r="E61" s="120">
        <v>2508</v>
      </c>
      <c r="F61" s="120" t="s">
        <v>700</v>
      </c>
      <c r="G61" s="120" t="s">
        <v>699</v>
      </c>
      <c r="H61" s="49">
        <v>5</v>
      </c>
      <c r="I61" s="50" t="s">
        <v>28</v>
      </c>
      <c r="J61" s="124" t="s">
        <v>783</v>
      </c>
      <c r="K61" s="50" t="s">
        <v>26</v>
      </c>
      <c r="L61" s="50" t="s">
        <v>519</v>
      </c>
      <c r="M61" s="56" t="s">
        <v>12</v>
      </c>
      <c r="N61" s="122" t="s">
        <v>666</v>
      </c>
      <c r="O61" s="57">
        <v>2</v>
      </c>
      <c r="P61" s="45">
        <v>1940</v>
      </c>
      <c r="Q61" s="58">
        <f t="shared" si="5"/>
        <v>3880</v>
      </c>
      <c r="R61" s="129" t="s">
        <v>684</v>
      </c>
      <c r="S61" s="19"/>
      <c r="T61" s="32"/>
      <c r="U61" s="32"/>
      <c r="V61" s="51">
        <f t="shared" si="1"/>
        <v>2250.3999999999996</v>
      </c>
      <c r="W61" s="51">
        <f t="shared" si="2"/>
        <v>4500.7999999999993</v>
      </c>
      <c r="X61" s="52">
        <f t="shared" si="3"/>
        <v>1.51</v>
      </c>
      <c r="Y61" s="53">
        <f t="shared" si="4"/>
        <v>3.02</v>
      </c>
      <c r="Z61" s="54"/>
      <c r="AA61" s="71"/>
      <c r="AB61" s="71"/>
      <c r="AC61" s="128"/>
      <c r="AD61" s="33"/>
      <c r="AE61" s="55"/>
    </row>
    <row r="62" spans="2:31" ht="20.100000000000001" customHeight="1">
      <c r="B62" s="48">
        <v>60</v>
      </c>
      <c r="C62" s="121" t="s">
        <v>701</v>
      </c>
      <c r="D62" s="120" t="s">
        <v>349</v>
      </c>
      <c r="E62" s="120">
        <v>2508</v>
      </c>
      <c r="F62" s="120" t="s">
        <v>700</v>
      </c>
      <c r="G62" s="120" t="s">
        <v>699</v>
      </c>
      <c r="H62" s="49">
        <v>5</v>
      </c>
      <c r="I62" s="50" t="s">
        <v>28</v>
      </c>
      <c r="J62" s="124" t="s">
        <v>433</v>
      </c>
      <c r="K62" s="50" t="s">
        <v>26</v>
      </c>
      <c r="L62" s="50" t="s">
        <v>519</v>
      </c>
      <c r="M62" s="56" t="s">
        <v>12</v>
      </c>
      <c r="N62" s="122" t="s">
        <v>666</v>
      </c>
      <c r="O62" s="57">
        <v>30</v>
      </c>
      <c r="P62" s="45">
        <v>1880</v>
      </c>
      <c r="Q62" s="58">
        <f t="shared" si="5"/>
        <v>56400</v>
      </c>
      <c r="R62" s="129" t="s">
        <v>684</v>
      </c>
      <c r="S62" s="19"/>
      <c r="T62" s="32"/>
      <c r="U62" s="32"/>
      <c r="V62" s="51">
        <f t="shared" si="1"/>
        <v>2180.7999999999997</v>
      </c>
      <c r="W62" s="51">
        <f t="shared" si="2"/>
        <v>65423.999999999993</v>
      </c>
      <c r="X62" s="52">
        <f t="shared" si="3"/>
        <v>1.47</v>
      </c>
      <c r="Y62" s="53">
        <f t="shared" si="4"/>
        <v>44.1</v>
      </c>
      <c r="Z62" s="54"/>
      <c r="AA62" s="71"/>
      <c r="AB62" s="71"/>
      <c r="AC62" s="128"/>
      <c r="AD62" s="33"/>
      <c r="AE62" s="55"/>
    </row>
    <row r="63" spans="2:31" ht="20.100000000000001" customHeight="1">
      <c r="B63" s="48">
        <v>61</v>
      </c>
      <c r="C63" s="121" t="s">
        <v>701</v>
      </c>
      <c r="D63" s="120" t="s">
        <v>349</v>
      </c>
      <c r="E63" s="120">
        <v>2508</v>
      </c>
      <c r="F63" s="120" t="s">
        <v>700</v>
      </c>
      <c r="G63" s="120" t="s">
        <v>699</v>
      </c>
      <c r="H63" s="49">
        <v>5</v>
      </c>
      <c r="I63" s="50" t="s">
        <v>28</v>
      </c>
      <c r="J63" s="124" t="s">
        <v>782</v>
      </c>
      <c r="K63" s="50" t="s">
        <v>26</v>
      </c>
      <c r="L63" s="50" t="s">
        <v>519</v>
      </c>
      <c r="M63" s="56" t="s">
        <v>12</v>
      </c>
      <c r="N63" s="122" t="s">
        <v>666</v>
      </c>
      <c r="O63" s="57">
        <v>2</v>
      </c>
      <c r="P63" s="45">
        <v>2270</v>
      </c>
      <c r="Q63" s="58">
        <f t="shared" si="5"/>
        <v>4540</v>
      </c>
      <c r="R63" s="129" t="s">
        <v>684</v>
      </c>
      <c r="S63" s="19"/>
      <c r="T63" s="32"/>
      <c r="U63" s="32"/>
      <c r="V63" s="51">
        <f t="shared" si="1"/>
        <v>2633.2</v>
      </c>
      <c r="W63" s="51">
        <f t="shared" si="2"/>
        <v>5266.4</v>
      </c>
      <c r="X63" s="52">
        <f t="shared" si="3"/>
        <v>1.77</v>
      </c>
      <c r="Y63" s="53">
        <f t="shared" si="4"/>
        <v>3.54</v>
      </c>
      <c r="Z63" s="54"/>
      <c r="AA63" s="71"/>
      <c r="AB63" s="71"/>
      <c r="AC63" s="128"/>
      <c r="AD63" s="33"/>
      <c r="AE63" s="55"/>
    </row>
    <row r="64" spans="2:31" ht="20.100000000000001" customHeight="1">
      <c r="B64" s="48">
        <v>62</v>
      </c>
      <c r="C64" s="121" t="s">
        <v>701</v>
      </c>
      <c r="D64" s="120" t="s">
        <v>349</v>
      </c>
      <c r="E64" s="120">
        <v>2508</v>
      </c>
      <c r="F64" s="120" t="s">
        <v>700</v>
      </c>
      <c r="G64" s="120" t="s">
        <v>699</v>
      </c>
      <c r="H64" s="49">
        <v>5</v>
      </c>
      <c r="I64" s="50" t="s">
        <v>28</v>
      </c>
      <c r="J64" s="124" t="s">
        <v>260</v>
      </c>
      <c r="K64" s="50" t="s">
        <v>26</v>
      </c>
      <c r="L64" s="50" t="s">
        <v>519</v>
      </c>
      <c r="M64" s="56" t="s">
        <v>12</v>
      </c>
      <c r="N64" s="122" t="s">
        <v>666</v>
      </c>
      <c r="O64" s="57">
        <v>2</v>
      </c>
      <c r="P64" s="45">
        <v>2460</v>
      </c>
      <c r="Q64" s="58">
        <f t="shared" si="5"/>
        <v>4920</v>
      </c>
      <c r="R64" s="129" t="s">
        <v>684</v>
      </c>
      <c r="S64" s="19"/>
      <c r="T64" s="32"/>
      <c r="U64" s="32"/>
      <c r="V64" s="51">
        <f t="shared" si="1"/>
        <v>2853.6</v>
      </c>
      <c r="W64" s="51">
        <f t="shared" si="2"/>
        <v>5707.2</v>
      </c>
      <c r="X64" s="52">
        <f t="shared" si="3"/>
        <v>1.92</v>
      </c>
      <c r="Y64" s="53">
        <f t="shared" si="4"/>
        <v>3.84</v>
      </c>
      <c r="Z64" s="54"/>
      <c r="AA64" s="71"/>
      <c r="AB64" s="71"/>
      <c r="AC64" s="128"/>
      <c r="AD64" s="33"/>
      <c r="AE64" s="55"/>
    </row>
    <row r="65" spans="2:31" ht="20.100000000000001" customHeight="1">
      <c r="B65" s="48">
        <v>63</v>
      </c>
      <c r="C65" s="121" t="s">
        <v>701</v>
      </c>
      <c r="D65" s="120" t="s">
        <v>349</v>
      </c>
      <c r="E65" s="120">
        <v>2508</v>
      </c>
      <c r="F65" s="120" t="s">
        <v>700</v>
      </c>
      <c r="G65" s="120" t="s">
        <v>699</v>
      </c>
      <c r="H65" s="49">
        <v>5</v>
      </c>
      <c r="I65" s="50" t="s">
        <v>28</v>
      </c>
      <c r="J65" s="124" t="s">
        <v>253</v>
      </c>
      <c r="K65" s="50" t="s">
        <v>26</v>
      </c>
      <c r="L65" s="50" t="s">
        <v>519</v>
      </c>
      <c r="M65" s="56" t="s">
        <v>12</v>
      </c>
      <c r="N65" s="122" t="s">
        <v>666</v>
      </c>
      <c r="O65" s="57">
        <v>10</v>
      </c>
      <c r="P65" s="45">
        <v>2410</v>
      </c>
      <c r="Q65" s="58">
        <f t="shared" si="5"/>
        <v>24100</v>
      </c>
      <c r="R65" s="129" t="s">
        <v>684</v>
      </c>
      <c r="S65" s="19"/>
      <c r="T65" s="32"/>
      <c r="U65" s="32"/>
      <c r="V65" s="51">
        <f t="shared" si="1"/>
        <v>2795.6</v>
      </c>
      <c r="W65" s="51">
        <f t="shared" si="2"/>
        <v>27956</v>
      </c>
      <c r="X65" s="52">
        <f t="shared" si="3"/>
        <v>1.88</v>
      </c>
      <c r="Y65" s="53">
        <f t="shared" si="4"/>
        <v>18.799999999999997</v>
      </c>
      <c r="Z65" s="54"/>
      <c r="AA65" s="71"/>
      <c r="AB65" s="71"/>
      <c r="AC65" s="128"/>
      <c r="AD65" s="33"/>
      <c r="AE65" s="55"/>
    </row>
    <row r="66" spans="2:31" ht="20.100000000000001" customHeight="1">
      <c r="B66" s="48">
        <v>64</v>
      </c>
      <c r="C66" s="121" t="s">
        <v>701</v>
      </c>
      <c r="D66" s="120" t="s">
        <v>349</v>
      </c>
      <c r="E66" s="120">
        <v>2508</v>
      </c>
      <c r="F66" s="120" t="s">
        <v>700</v>
      </c>
      <c r="G66" s="120" t="s">
        <v>699</v>
      </c>
      <c r="H66" s="49">
        <v>5</v>
      </c>
      <c r="I66" s="50" t="s">
        <v>28</v>
      </c>
      <c r="J66" s="124" t="s">
        <v>781</v>
      </c>
      <c r="K66" s="50" t="s">
        <v>26</v>
      </c>
      <c r="L66" s="50" t="s">
        <v>519</v>
      </c>
      <c r="M66" s="56" t="s">
        <v>12</v>
      </c>
      <c r="N66" s="122" t="s">
        <v>666</v>
      </c>
      <c r="O66" s="57">
        <v>2</v>
      </c>
      <c r="P66" s="45">
        <v>3040</v>
      </c>
      <c r="Q66" s="58">
        <f t="shared" si="5"/>
        <v>6080</v>
      </c>
      <c r="R66" s="129" t="s">
        <v>684</v>
      </c>
      <c r="S66" s="19"/>
      <c r="T66" s="32"/>
      <c r="U66" s="32"/>
      <c r="V66" s="51">
        <f t="shared" si="1"/>
        <v>3526.3999999999996</v>
      </c>
      <c r="W66" s="51">
        <f t="shared" si="2"/>
        <v>7052.7999999999993</v>
      </c>
      <c r="X66" s="52">
        <f t="shared" si="3"/>
        <v>2.37</v>
      </c>
      <c r="Y66" s="53">
        <f t="shared" si="4"/>
        <v>4.74</v>
      </c>
      <c r="Z66" s="54"/>
      <c r="AA66" s="71"/>
      <c r="AB66" s="71"/>
      <c r="AC66" s="128"/>
      <c r="AD66" s="33"/>
      <c r="AE66" s="55"/>
    </row>
    <row r="67" spans="2:31" ht="20.100000000000001" customHeight="1">
      <c r="B67" s="48">
        <v>65</v>
      </c>
      <c r="C67" s="121" t="s">
        <v>701</v>
      </c>
      <c r="D67" s="120" t="s">
        <v>349</v>
      </c>
      <c r="E67" s="120">
        <v>2508</v>
      </c>
      <c r="F67" s="120" t="s">
        <v>700</v>
      </c>
      <c r="G67" s="120" t="s">
        <v>699</v>
      </c>
      <c r="H67" s="49">
        <v>5</v>
      </c>
      <c r="I67" s="50" t="s">
        <v>28</v>
      </c>
      <c r="J67" s="124" t="s">
        <v>780</v>
      </c>
      <c r="K67" s="50" t="s">
        <v>26</v>
      </c>
      <c r="L67" s="50" t="s">
        <v>519</v>
      </c>
      <c r="M67" s="56" t="s">
        <v>12</v>
      </c>
      <c r="N67" s="122" t="s">
        <v>666</v>
      </c>
      <c r="O67" s="57">
        <v>2</v>
      </c>
      <c r="P67" s="45">
        <v>3290</v>
      </c>
      <c r="Q67" s="58">
        <f t="shared" ref="Q67:Q96" si="6">O67*P67</f>
        <v>6580</v>
      </c>
      <c r="R67" s="129" t="s">
        <v>684</v>
      </c>
      <c r="S67" s="19"/>
      <c r="T67" s="32"/>
      <c r="U67" s="32"/>
      <c r="V67" s="51">
        <f t="shared" si="1"/>
        <v>3816.3999999999996</v>
      </c>
      <c r="W67" s="51">
        <f t="shared" si="2"/>
        <v>7632.7999999999993</v>
      </c>
      <c r="X67" s="52">
        <f t="shared" si="3"/>
        <v>2.57</v>
      </c>
      <c r="Y67" s="53">
        <f t="shared" si="4"/>
        <v>5.14</v>
      </c>
      <c r="Z67" s="54"/>
      <c r="AA67" s="71"/>
      <c r="AB67" s="71"/>
      <c r="AC67" s="128"/>
      <c r="AD67" s="33"/>
      <c r="AE67" s="55"/>
    </row>
    <row r="68" spans="2:31" ht="20.100000000000001" customHeight="1">
      <c r="B68" s="48">
        <v>66</v>
      </c>
      <c r="C68" s="121" t="s">
        <v>701</v>
      </c>
      <c r="D68" s="120" t="s">
        <v>349</v>
      </c>
      <c r="E68" s="120">
        <v>2508</v>
      </c>
      <c r="F68" s="120" t="s">
        <v>700</v>
      </c>
      <c r="G68" s="120" t="s">
        <v>699</v>
      </c>
      <c r="H68" s="49">
        <v>5</v>
      </c>
      <c r="I68" s="50" t="s">
        <v>28</v>
      </c>
      <c r="J68" s="124" t="s">
        <v>779</v>
      </c>
      <c r="K68" s="50" t="s">
        <v>26</v>
      </c>
      <c r="L68" s="50" t="s">
        <v>519</v>
      </c>
      <c r="M68" s="56" t="s">
        <v>12</v>
      </c>
      <c r="N68" s="122" t="s">
        <v>666</v>
      </c>
      <c r="O68" s="57">
        <v>2</v>
      </c>
      <c r="P68" s="45">
        <v>4700</v>
      </c>
      <c r="Q68" s="58">
        <f t="shared" si="6"/>
        <v>9400</v>
      </c>
      <c r="R68" s="129" t="s">
        <v>684</v>
      </c>
      <c r="S68" s="19"/>
      <c r="T68" s="32"/>
      <c r="U68" s="32"/>
      <c r="V68" s="51">
        <f t="shared" si="1"/>
        <v>5452</v>
      </c>
      <c r="W68" s="51">
        <f t="shared" si="2"/>
        <v>10904</v>
      </c>
      <c r="X68" s="52">
        <f t="shared" si="3"/>
        <v>3.67</v>
      </c>
      <c r="Y68" s="53">
        <f t="shared" si="4"/>
        <v>7.34</v>
      </c>
      <c r="Z68" s="54"/>
      <c r="AA68" s="71"/>
      <c r="AB68" s="71"/>
      <c r="AC68" s="128"/>
      <c r="AD68" s="33"/>
      <c r="AE68" s="55"/>
    </row>
    <row r="69" spans="2:31" ht="20.100000000000001" customHeight="1">
      <c r="B69" s="48">
        <v>67</v>
      </c>
      <c r="C69" s="121" t="s">
        <v>701</v>
      </c>
      <c r="D69" s="120" t="s">
        <v>349</v>
      </c>
      <c r="E69" s="120">
        <v>2508</v>
      </c>
      <c r="F69" s="120" t="s">
        <v>700</v>
      </c>
      <c r="G69" s="120" t="s">
        <v>699</v>
      </c>
      <c r="H69" s="49">
        <v>5</v>
      </c>
      <c r="I69" s="50" t="s">
        <v>28</v>
      </c>
      <c r="J69" s="124" t="s">
        <v>778</v>
      </c>
      <c r="K69" s="50" t="s">
        <v>26</v>
      </c>
      <c r="L69" s="50" t="s">
        <v>519</v>
      </c>
      <c r="M69" s="56" t="s">
        <v>12</v>
      </c>
      <c r="N69" s="122" t="s">
        <v>666</v>
      </c>
      <c r="O69" s="57">
        <v>2</v>
      </c>
      <c r="P69" s="45">
        <v>9590</v>
      </c>
      <c r="Q69" s="58">
        <f t="shared" si="6"/>
        <v>19180</v>
      </c>
      <c r="R69" s="129" t="s">
        <v>684</v>
      </c>
      <c r="S69" s="19"/>
      <c r="T69" s="32"/>
      <c r="U69" s="32"/>
      <c r="V69" s="51">
        <f t="shared" si="1"/>
        <v>11124.4</v>
      </c>
      <c r="W69" s="51">
        <f t="shared" si="2"/>
        <v>22248.799999999999</v>
      </c>
      <c r="X69" s="52">
        <f t="shared" si="3"/>
        <v>7.48</v>
      </c>
      <c r="Y69" s="53">
        <f t="shared" si="4"/>
        <v>14.96</v>
      </c>
      <c r="Z69" s="54"/>
      <c r="AA69" s="71"/>
      <c r="AB69" s="71"/>
      <c r="AC69" s="128"/>
      <c r="AD69" s="33"/>
      <c r="AE69" s="55"/>
    </row>
    <row r="70" spans="2:31" ht="20.100000000000001" customHeight="1">
      <c r="B70" s="48">
        <v>68</v>
      </c>
      <c r="C70" s="121" t="s">
        <v>701</v>
      </c>
      <c r="D70" s="120" t="s">
        <v>349</v>
      </c>
      <c r="E70" s="120">
        <v>2508</v>
      </c>
      <c r="F70" s="120" t="s">
        <v>700</v>
      </c>
      <c r="G70" s="120" t="s">
        <v>699</v>
      </c>
      <c r="H70" s="49">
        <v>5</v>
      </c>
      <c r="I70" s="50" t="s">
        <v>41</v>
      </c>
      <c r="J70" s="124" t="s">
        <v>193</v>
      </c>
      <c r="K70" s="50" t="s">
        <v>26</v>
      </c>
      <c r="L70" s="50" t="s">
        <v>519</v>
      </c>
      <c r="M70" s="56" t="s">
        <v>12</v>
      </c>
      <c r="N70" s="122" t="s">
        <v>666</v>
      </c>
      <c r="O70" s="57">
        <v>4</v>
      </c>
      <c r="P70" s="45">
        <v>11530</v>
      </c>
      <c r="Q70" s="58">
        <f t="shared" si="6"/>
        <v>46120</v>
      </c>
      <c r="R70" s="129" t="s">
        <v>684</v>
      </c>
      <c r="S70" s="19"/>
      <c r="T70" s="32"/>
      <c r="U70" s="32"/>
      <c r="V70" s="51">
        <f t="shared" ref="V70:V133" si="7">++P70*(1+$V$3)</f>
        <v>13374.8</v>
      </c>
      <c r="W70" s="51">
        <f t="shared" ref="W70:W133" si="8">++O70*V70</f>
        <v>53499.199999999997</v>
      </c>
      <c r="X70" s="52">
        <f t="shared" ref="X70:X133" si="9">++ROUND(V70/$X$3,2)</f>
        <v>9</v>
      </c>
      <c r="Y70" s="53">
        <f t="shared" ref="Y70:Y133" si="10">++O70*X70</f>
        <v>36</v>
      </c>
      <c r="Z70" s="54"/>
      <c r="AA70" s="71"/>
      <c r="AB70" s="71"/>
      <c r="AC70" s="128"/>
      <c r="AD70" s="33"/>
      <c r="AE70" s="55"/>
    </row>
    <row r="71" spans="2:31" ht="20.100000000000001" customHeight="1">
      <c r="B71" s="48">
        <v>69</v>
      </c>
      <c r="C71" s="121" t="s">
        <v>701</v>
      </c>
      <c r="D71" s="120" t="s">
        <v>349</v>
      </c>
      <c r="E71" s="120">
        <v>2508</v>
      </c>
      <c r="F71" s="120" t="s">
        <v>700</v>
      </c>
      <c r="G71" s="120" t="s">
        <v>699</v>
      </c>
      <c r="H71" s="49">
        <v>5</v>
      </c>
      <c r="I71" s="50" t="s">
        <v>41</v>
      </c>
      <c r="J71" s="124" t="s">
        <v>777</v>
      </c>
      <c r="K71" s="50" t="s">
        <v>26</v>
      </c>
      <c r="L71" s="50" t="s">
        <v>519</v>
      </c>
      <c r="M71" s="56" t="s">
        <v>12</v>
      </c>
      <c r="N71" s="122" t="s">
        <v>666</v>
      </c>
      <c r="O71" s="57">
        <v>6</v>
      </c>
      <c r="P71" s="45">
        <v>14250</v>
      </c>
      <c r="Q71" s="58">
        <f t="shared" si="6"/>
        <v>85500</v>
      </c>
      <c r="R71" s="129" t="s">
        <v>684</v>
      </c>
      <c r="S71" s="19"/>
      <c r="T71" s="32"/>
      <c r="U71" s="32"/>
      <c r="V71" s="51">
        <f t="shared" si="7"/>
        <v>16530</v>
      </c>
      <c r="W71" s="51">
        <f t="shared" si="8"/>
        <v>99180</v>
      </c>
      <c r="X71" s="52">
        <f t="shared" si="9"/>
        <v>11.12</v>
      </c>
      <c r="Y71" s="53">
        <f t="shared" si="10"/>
        <v>66.72</v>
      </c>
      <c r="Z71" s="54"/>
      <c r="AA71" s="71"/>
      <c r="AB71" s="71"/>
      <c r="AC71" s="128"/>
      <c r="AD71" s="33"/>
      <c r="AE71" s="55"/>
    </row>
    <row r="72" spans="2:31" ht="20.100000000000001" customHeight="1">
      <c r="B72" s="48">
        <v>70</v>
      </c>
      <c r="C72" s="121" t="s">
        <v>701</v>
      </c>
      <c r="D72" s="120" t="s">
        <v>349</v>
      </c>
      <c r="E72" s="120">
        <v>2508</v>
      </c>
      <c r="F72" s="120" t="s">
        <v>700</v>
      </c>
      <c r="G72" s="120" t="s">
        <v>699</v>
      </c>
      <c r="H72" s="49">
        <v>5</v>
      </c>
      <c r="I72" s="50" t="s">
        <v>41</v>
      </c>
      <c r="J72" s="124" t="s">
        <v>558</v>
      </c>
      <c r="K72" s="50" t="s">
        <v>26</v>
      </c>
      <c r="L72" s="50" t="s">
        <v>519</v>
      </c>
      <c r="M72" s="56" t="s">
        <v>12</v>
      </c>
      <c r="N72" s="122" t="s">
        <v>666</v>
      </c>
      <c r="O72" s="57">
        <v>2</v>
      </c>
      <c r="P72" s="45">
        <v>8210</v>
      </c>
      <c r="Q72" s="58">
        <f t="shared" si="6"/>
        <v>16420</v>
      </c>
      <c r="R72" s="129" t="s">
        <v>684</v>
      </c>
      <c r="S72" s="19"/>
      <c r="T72" s="32"/>
      <c r="U72" s="32"/>
      <c r="V72" s="51">
        <f t="shared" si="7"/>
        <v>9523.5999999999985</v>
      </c>
      <c r="W72" s="51">
        <f t="shared" si="8"/>
        <v>19047.199999999997</v>
      </c>
      <c r="X72" s="52">
        <f t="shared" si="9"/>
        <v>6.41</v>
      </c>
      <c r="Y72" s="53">
        <f t="shared" si="10"/>
        <v>12.82</v>
      </c>
      <c r="Z72" s="54"/>
      <c r="AA72" s="71"/>
      <c r="AB72" s="71"/>
      <c r="AC72" s="128"/>
      <c r="AD72" s="33"/>
      <c r="AE72" s="55"/>
    </row>
    <row r="73" spans="2:31" ht="20.100000000000001" customHeight="1">
      <c r="B73" s="48">
        <v>71</v>
      </c>
      <c r="C73" s="121" t="s">
        <v>701</v>
      </c>
      <c r="D73" s="120" t="s">
        <v>349</v>
      </c>
      <c r="E73" s="120">
        <v>2508</v>
      </c>
      <c r="F73" s="120" t="s">
        <v>700</v>
      </c>
      <c r="G73" s="120" t="s">
        <v>699</v>
      </c>
      <c r="H73" s="49">
        <v>5</v>
      </c>
      <c r="I73" s="50" t="s">
        <v>252</v>
      </c>
      <c r="J73" s="124" t="s">
        <v>776</v>
      </c>
      <c r="K73" s="50" t="s">
        <v>26</v>
      </c>
      <c r="L73" s="50" t="s">
        <v>519</v>
      </c>
      <c r="M73" s="56" t="s">
        <v>12</v>
      </c>
      <c r="N73" s="122" t="s">
        <v>666</v>
      </c>
      <c r="O73" s="57">
        <v>2</v>
      </c>
      <c r="P73" s="45">
        <v>1280</v>
      </c>
      <c r="Q73" s="58">
        <f t="shared" si="6"/>
        <v>2560</v>
      </c>
      <c r="R73" s="129" t="s">
        <v>684</v>
      </c>
      <c r="S73" s="19"/>
      <c r="T73" s="32"/>
      <c r="U73" s="32"/>
      <c r="V73" s="51">
        <f t="shared" si="7"/>
        <v>1484.8</v>
      </c>
      <c r="W73" s="51">
        <f t="shared" si="8"/>
        <v>2969.6</v>
      </c>
      <c r="X73" s="52">
        <f t="shared" si="9"/>
        <v>1</v>
      </c>
      <c r="Y73" s="53">
        <f t="shared" si="10"/>
        <v>2</v>
      </c>
      <c r="Z73" s="54"/>
      <c r="AA73" s="71"/>
      <c r="AB73" s="71"/>
      <c r="AC73" s="128"/>
      <c r="AD73" s="33"/>
      <c r="AE73" s="55"/>
    </row>
    <row r="74" spans="2:31" ht="20.100000000000001" customHeight="1">
      <c r="B74" s="48">
        <v>72</v>
      </c>
      <c r="C74" s="121" t="s">
        <v>701</v>
      </c>
      <c r="D74" s="120" t="s">
        <v>349</v>
      </c>
      <c r="E74" s="120">
        <v>2508</v>
      </c>
      <c r="F74" s="120" t="s">
        <v>700</v>
      </c>
      <c r="G74" s="120" t="s">
        <v>699</v>
      </c>
      <c r="H74" s="49">
        <v>6</v>
      </c>
      <c r="I74" s="50" t="s">
        <v>773</v>
      </c>
      <c r="J74" s="124" t="s">
        <v>32</v>
      </c>
      <c r="K74" s="50" t="s">
        <v>26</v>
      </c>
      <c r="L74" s="50" t="s">
        <v>519</v>
      </c>
      <c r="M74" s="56" t="s">
        <v>12</v>
      </c>
      <c r="N74" s="122" t="s">
        <v>666</v>
      </c>
      <c r="O74" s="57">
        <v>28</v>
      </c>
      <c r="P74" s="45">
        <v>26460</v>
      </c>
      <c r="Q74" s="58">
        <f t="shared" si="6"/>
        <v>740880</v>
      </c>
      <c r="R74" s="129" t="s">
        <v>684</v>
      </c>
      <c r="S74" s="19"/>
      <c r="T74" s="32"/>
      <c r="U74" s="32"/>
      <c r="V74" s="51">
        <f t="shared" si="7"/>
        <v>30693.599999999999</v>
      </c>
      <c r="W74" s="51">
        <f t="shared" si="8"/>
        <v>859420.79999999993</v>
      </c>
      <c r="X74" s="52">
        <f t="shared" si="9"/>
        <v>20.65</v>
      </c>
      <c r="Y74" s="53">
        <f t="shared" si="10"/>
        <v>578.19999999999993</v>
      </c>
      <c r="Z74" s="54"/>
      <c r="AA74" s="71"/>
      <c r="AB74" s="71"/>
      <c r="AC74" s="128"/>
      <c r="AD74" s="33"/>
      <c r="AE74" s="55"/>
    </row>
    <row r="75" spans="2:31" ht="20.100000000000001" customHeight="1">
      <c r="B75" s="48">
        <v>73</v>
      </c>
      <c r="C75" s="121" t="s">
        <v>701</v>
      </c>
      <c r="D75" s="120" t="s">
        <v>349</v>
      </c>
      <c r="E75" s="120">
        <v>2508</v>
      </c>
      <c r="F75" s="120" t="s">
        <v>700</v>
      </c>
      <c r="G75" s="120" t="s">
        <v>699</v>
      </c>
      <c r="H75" s="49">
        <v>5</v>
      </c>
      <c r="I75" s="50" t="s">
        <v>773</v>
      </c>
      <c r="J75" s="124" t="s">
        <v>559</v>
      </c>
      <c r="K75" s="50" t="s">
        <v>26</v>
      </c>
      <c r="L75" s="50" t="s">
        <v>519</v>
      </c>
      <c r="M75" s="56" t="s">
        <v>12</v>
      </c>
      <c r="N75" s="122" t="s">
        <v>666</v>
      </c>
      <c r="O75" s="57">
        <v>6</v>
      </c>
      <c r="P75" s="45">
        <v>26460</v>
      </c>
      <c r="Q75" s="58">
        <f t="shared" si="6"/>
        <v>158760</v>
      </c>
      <c r="R75" s="129" t="s">
        <v>684</v>
      </c>
      <c r="S75" s="19"/>
      <c r="T75" s="32"/>
      <c r="U75" s="32"/>
      <c r="V75" s="51">
        <f t="shared" si="7"/>
        <v>30693.599999999999</v>
      </c>
      <c r="W75" s="51">
        <f t="shared" si="8"/>
        <v>184161.59999999998</v>
      </c>
      <c r="X75" s="52">
        <f t="shared" si="9"/>
        <v>20.65</v>
      </c>
      <c r="Y75" s="53">
        <f t="shared" si="10"/>
        <v>123.89999999999999</v>
      </c>
      <c r="Z75" s="54"/>
      <c r="AA75" s="71"/>
      <c r="AB75" s="71"/>
      <c r="AC75" s="128"/>
      <c r="AD75" s="33"/>
      <c r="AE75" s="55"/>
    </row>
    <row r="76" spans="2:31" ht="20.100000000000001" customHeight="1">
      <c r="B76" s="48">
        <v>74</v>
      </c>
      <c r="C76" s="121" t="s">
        <v>701</v>
      </c>
      <c r="D76" s="120" t="s">
        <v>349</v>
      </c>
      <c r="E76" s="120">
        <v>2508</v>
      </c>
      <c r="F76" s="120" t="s">
        <v>700</v>
      </c>
      <c r="G76" s="120" t="s">
        <v>699</v>
      </c>
      <c r="H76" s="49">
        <v>5</v>
      </c>
      <c r="I76" s="50" t="s">
        <v>773</v>
      </c>
      <c r="J76" s="124" t="s">
        <v>251</v>
      </c>
      <c r="K76" s="50" t="s">
        <v>26</v>
      </c>
      <c r="L76" s="50" t="s">
        <v>519</v>
      </c>
      <c r="M76" s="56" t="s">
        <v>12</v>
      </c>
      <c r="N76" s="122" t="s">
        <v>666</v>
      </c>
      <c r="O76" s="57">
        <v>8</v>
      </c>
      <c r="P76" s="45">
        <v>45740</v>
      </c>
      <c r="Q76" s="58">
        <f t="shared" si="6"/>
        <v>365920</v>
      </c>
      <c r="R76" s="129" t="s">
        <v>684</v>
      </c>
      <c r="S76" s="19"/>
      <c r="T76" s="32"/>
      <c r="U76" s="32"/>
      <c r="V76" s="51">
        <f t="shared" si="7"/>
        <v>53058.399999999994</v>
      </c>
      <c r="W76" s="51">
        <f t="shared" si="8"/>
        <v>424467.19999999995</v>
      </c>
      <c r="X76" s="52">
        <f t="shared" si="9"/>
        <v>35.69</v>
      </c>
      <c r="Y76" s="53">
        <f t="shared" si="10"/>
        <v>285.52</v>
      </c>
      <c r="Z76" s="54"/>
      <c r="AA76" s="71"/>
      <c r="AB76" s="71"/>
      <c r="AC76" s="128"/>
      <c r="AD76" s="33"/>
      <c r="AE76" s="55"/>
    </row>
    <row r="77" spans="2:31" ht="20.100000000000001" customHeight="1">
      <c r="B77" s="48">
        <v>75</v>
      </c>
      <c r="C77" s="121" t="s">
        <v>701</v>
      </c>
      <c r="D77" s="120" t="s">
        <v>349</v>
      </c>
      <c r="E77" s="120">
        <v>2508</v>
      </c>
      <c r="F77" s="120" t="s">
        <v>700</v>
      </c>
      <c r="G77" s="120" t="s">
        <v>699</v>
      </c>
      <c r="H77" s="49">
        <v>5</v>
      </c>
      <c r="I77" s="50" t="s">
        <v>773</v>
      </c>
      <c r="J77" s="124" t="s">
        <v>560</v>
      </c>
      <c r="K77" s="50" t="s">
        <v>26</v>
      </c>
      <c r="L77" s="50" t="s">
        <v>519</v>
      </c>
      <c r="M77" s="56" t="s">
        <v>12</v>
      </c>
      <c r="N77" s="122" t="s">
        <v>666</v>
      </c>
      <c r="O77" s="57">
        <v>4</v>
      </c>
      <c r="P77" s="45">
        <v>30580</v>
      </c>
      <c r="Q77" s="58">
        <f t="shared" si="6"/>
        <v>122320</v>
      </c>
      <c r="R77" s="129" t="s">
        <v>684</v>
      </c>
      <c r="S77" s="19"/>
      <c r="T77" s="32"/>
      <c r="U77" s="32"/>
      <c r="V77" s="51">
        <f t="shared" si="7"/>
        <v>35472.799999999996</v>
      </c>
      <c r="W77" s="51">
        <f t="shared" si="8"/>
        <v>141891.19999999998</v>
      </c>
      <c r="X77" s="52">
        <f t="shared" si="9"/>
        <v>23.86</v>
      </c>
      <c r="Y77" s="53">
        <f t="shared" si="10"/>
        <v>95.44</v>
      </c>
      <c r="Z77" s="54"/>
      <c r="AA77" s="71"/>
      <c r="AB77" s="71"/>
      <c r="AC77" s="128"/>
      <c r="AD77" s="33"/>
      <c r="AE77" s="55"/>
    </row>
    <row r="78" spans="2:31" ht="20.100000000000001" customHeight="1">
      <c r="B78" s="48">
        <v>76</v>
      </c>
      <c r="C78" s="121" t="s">
        <v>701</v>
      </c>
      <c r="D78" s="120" t="s">
        <v>349</v>
      </c>
      <c r="E78" s="120">
        <v>2508</v>
      </c>
      <c r="F78" s="120" t="s">
        <v>700</v>
      </c>
      <c r="G78" s="120" t="s">
        <v>699</v>
      </c>
      <c r="H78" s="49">
        <v>5</v>
      </c>
      <c r="I78" s="50" t="s">
        <v>775</v>
      </c>
      <c r="J78" s="124" t="s">
        <v>774</v>
      </c>
      <c r="K78" s="50" t="s">
        <v>26</v>
      </c>
      <c r="L78" s="50" t="s">
        <v>519</v>
      </c>
      <c r="M78" s="56" t="s">
        <v>12</v>
      </c>
      <c r="N78" s="122" t="s">
        <v>666</v>
      </c>
      <c r="O78" s="57">
        <v>2</v>
      </c>
      <c r="P78" s="45">
        <v>17020</v>
      </c>
      <c r="Q78" s="58">
        <f t="shared" si="6"/>
        <v>34040</v>
      </c>
      <c r="R78" s="129" t="s">
        <v>684</v>
      </c>
      <c r="S78" s="19"/>
      <c r="T78" s="32"/>
      <c r="U78" s="32"/>
      <c r="V78" s="51">
        <f t="shared" si="7"/>
        <v>19743.199999999997</v>
      </c>
      <c r="W78" s="51">
        <f t="shared" si="8"/>
        <v>39486.399999999994</v>
      </c>
      <c r="X78" s="52">
        <f t="shared" si="9"/>
        <v>13.28</v>
      </c>
      <c r="Y78" s="53">
        <f t="shared" si="10"/>
        <v>26.56</v>
      </c>
      <c r="Z78" s="54"/>
      <c r="AA78" s="71"/>
      <c r="AB78" s="71"/>
      <c r="AC78" s="128"/>
      <c r="AD78" s="33"/>
      <c r="AE78" s="55"/>
    </row>
    <row r="79" spans="2:31" ht="20.100000000000001" customHeight="1">
      <c r="B79" s="48">
        <v>77</v>
      </c>
      <c r="C79" s="121" t="s">
        <v>701</v>
      </c>
      <c r="D79" s="120" t="s">
        <v>349</v>
      </c>
      <c r="E79" s="120">
        <v>2508</v>
      </c>
      <c r="F79" s="120" t="s">
        <v>700</v>
      </c>
      <c r="G79" s="120" t="s">
        <v>699</v>
      </c>
      <c r="H79" s="49">
        <v>5</v>
      </c>
      <c r="I79" s="50" t="s">
        <v>773</v>
      </c>
      <c r="J79" s="124" t="s">
        <v>268</v>
      </c>
      <c r="K79" s="50" t="s">
        <v>26</v>
      </c>
      <c r="L79" s="50" t="s">
        <v>519</v>
      </c>
      <c r="M79" s="56" t="s">
        <v>12</v>
      </c>
      <c r="N79" s="122" t="s">
        <v>666</v>
      </c>
      <c r="O79" s="57">
        <v>10</v>
      </c>
      <c r="P79" s="45">
        <v>8900</v>
      </c>
      <c r="Q79" s="58">
        <f t="shared" si="6"/>
        <v>89000</v>
      </c>
      <c r="R79" s="129" t="s">
        <v>684</v>
      </c>
      <c r="S79" s="19"/>
      <c r="T79" s="32"/>
      <c r="U79" s="32"/>
      <c r="V79" s="51">
        <f t="shared" si="7"/>
        <v>10324</v>
      </c>
      <c r="W79" s="51">
        <f t="shared" si="8"/>
        <v>103240</v>
      </c>
      <c r="X79" s="52">
        <f t="shared" si="9"/>
        <v>6.94</v>
      </c>
      <c r="Y79" s="53">
        <f t="shared" si="10"/>
        <v>69.400000000000006</v>
      </c>
      <c r="Z79" s="54"/>
      <c r="AA79" s="71"/>
      <c r="AB79" s="71"/>
      <c r="AC79" s="128"/>
      <c r="AD79" s="33"/>
      <c r="AE79" s="55"/>
    </row>
    <row r="80" spans="2:31" ht="20.100000000000001" customHeight="1">
      <c r="B80" s="48">
        <v>78</v>
      </c>
      <c r="C80" s="121" t="s">
        <v>701</v>
      </c>
      <c r="D80" s="120" t="s">
        <v>349</v>
      </c>
      <c r="E80" s="120">
        <v>2508</v>
      </c>
      <c r="F80" s="120" t="s">
        <v>700</v>
      </c>
      <c r="G80" s="120" t="s">
        <v>699</v>
      </c>
      <c r="H80" s="49">
        <v>5</v>
      </c>
      <c r="I80" s="50" t="s">
        <v>772</v>
      </c>
      <c r="J80" s="124" t="s">
        <v>631</v>
      </c>
      <c r="K80" s="50" t="s">
        <v>26</v>
      </c>
      <c r="L80" s="50" t="s">
        <v>519</v>
      </c>
      <c r="M80" s="56" t="s">
        <v>12</v>
      </c>
      <c r="N80" s="122" t="s">
        <v>666</v>
      </c>
      <c r="O80" s="57">
        <v>2</v>
      </c>
      <c r="P80" s="45">
        <v>3140</v>
      </c>
      <c r="Q80" s="58">
        <f t="shared" si="6"/>
        <v>6280</v>
      </c>
      <c r="R80" s="129" t="s">
        <v>684</v>
      </c>
      <c r="S80" s="19"/>
      <c r="T80" s="32"/>
      <c r="U80" s="32"/>
      <c r="V80" s="51">
        <f t="shared" si="7"/>
        <v>3642.3999999999996</v>
      </c>
      <c r="W80" s="51">
        <f t="shared" si="8"/>
        <v>7284.7999999999993</v>
      </c>
      <c r="X80" s="52">
        <f t="shared" si="9"/>
        <v>2.4500000000000002</v>
      </c>
      <c r="Y80" s="53">
        <f t="shared" si="10"/>
        <v>4.9000000000000004</v>
      </c>
      <c r="Z80" s="54"/>
      <c r="AA80" s="71"/>
      <c r="AB80" s="71"/>
      <c r="AC80" s="128"/>
      <c r="AD80" s="33"/>
      <c r="AE80" s="55"/>
    </row>
    <row r="81" spans="2:31" ht="20.100000000000001" customHeight="1">
      <c r="B81" s="48">
        <v>80</v>
      </c>
      <c r="C81" s="121" t="s">
        <v>701</v>
      </c>
      <c r="D81" s="120" t="s">
        <v>349</v>
      </c>
      <c r="E81" s="120">
        <v>2508</v>
      </c>
      <c r="F81" s="120" t="s">
        <v>700</v>
      </c>
      <c r="G81" s="120" t="s">
        <v>699</v>
      </c>
      <c r="H81" s="49">
        <v>5</v>
      </c>
      <c r="I81" s="50" t="s">
        <v>33</v>
      </c>
      <c r="J81" s="124" t="s">
        <v>143</v>
      </c>
      <c r="K81" s="50" t="s">
        <v>26</v>
      </c>
      <c r="L81" s="50" t="s">
        <v>519</v>
      </c>
      <c r="M81" s="56" t="s">
        <v>12</v>
      </c>
      <c r="N81" s="122" t="s">
        <v>666</v>
      </c>
      <c r="O81" s="57">
        <v>52</v>
      </c>
      <c r="P81" s="45">
        <v>5040</v>
      </c>
      <c r="Q81" s="58">
        <f t="shared" si="6"/>
        <v>262080</v>
      </c>
      <c r="R81" s="129" t="s">
        <v>684</v>
      </c>
      <c r="S81" s="19"/>
      <c r="T81" s="32"/>
      <c r="U81" s="32"/>
      <c r="V81" s="51">
        <f t="shared" si="7"/>
        <v>5846.4</v>
      </c>
      <c r="W81" s="51">
        <f t="shared" si="8"/>
        <v>304012.79999999999</v>
      </c>
      <c r="X81" s="52">
        <f t="shared" si="9"/>
        <v>3.93</v>
      </c>
      <c r="Y81" s="53">
        <f t="shared" si="10"/>
        <v>204.36</v>
      </c>
      <c r="Z81" s="54"/>
      <c r="AA81" s="71"/>
      <c r="AB81" s="71"/>
      <c r="AC81" s="128"/>
      <c r="AD81" s="33"/>
      <c r="AE81" s="55"/>
    </row>
    <row r="82" spans="2:31" ht="20.100000000000001" customHeight="1">
      <c r="B82" s="48">
        <v>81</v>
      </c>
      <c r="C82" s="121" t="s">
        <v>701</v>
      </c>
      <c r="D82" s="120" t="s">
        <v>349</v>
      </c>
      <c r="E82" s="120">
        <v>2508</v>
      </c>
      <c r="F82" s="120" t="s">
        <v>700</v>
      </c>
      <c r="G82" s="120" t="s">
        <v>699</v>
      </c>
      <c r="H82" s="49">
        <v>6</v>
      </c>
      <c r="I82" s="50" t="s">
        <v>27</v>
      </c>
      <c r="J82" s="124" t="s">
        <v>770</v>
      </c>
      <c r="K82" s="50" t="s">
        <v>26</v>
      </c>
      <c r="L82" s="50" t="s">
        <v>519</v>
      </c>
      <c r="M82" s="56" t="s">
        <v>12</v>
      </c>
      <c r="N82" s="122" t="s">
        <v>666</v>
      </c>
      <c r="O82" s="57">
        <v>12</v>
      </c>
      <c r="P82" s="45">
        <v>185970</v>
      </c>
      <c r="Q82" s="58">
        <f t="shared" si="6"/>
        <v>2231640</v>
      </c>
      <c r="R82" s="129" t="s">
        <v>684</v>
      </c>
      <c r="S82" s="19"/>
      <c r="T82" s="32"/>
      <c r="U82" s="32"/>
      <c r="V82" s="51">
        <f t="shared" si="7"/>
        <v>215725.19999999998</v>
      </c>
      <c r="W82" s="51">
        <f t="shared" si="8"/>
        <v>2588702.4</v>
      </c>
      <c r="X82" s="52">
        <f t="shared" si="9"/>
        <v>145.11000000000001</v>
      </c>
      <c r="Y82" s="53">
        <f t="shared" si="10"/>
        <v>1741.3200000000002</v>
      </c>
      <c r="Z82" s="54"/>
      <c r="AA82" s="71"/>
      <c r="AB82" s="71"/>
      <c r="AC82" s="128"/>
      <c r="AD82" s="33"/>
      <c r="AE82" s="55"/>
    </row>
    <row r="83" spans="2:31" ht="20.100000000000001" customHeight="1">
      <c r="B83" s="48">
        <v>82</v>
      </c>
      <c r="C83" s="121" t="s">
        <v>701</v>
      </c>
      <c r="D83" s="120" t="s">
        <v>349</v>
      </c>
      <c r="E83" s="120">
        <v>2508</v>
      </c>
      <c r="F83" s="120" t="s">
        <v>700</v>
      </c>
      <c r="G83" s="120" t="s">
        <v>699</v>
      </c>
      <c r="H83" s="49">
        <v>5</v>
      </c>
      <c r="I83" s="50" t="s">
        <v>33</v>
      </c>
      <c r="J83" s="124" t="s">
        <v>769</v>
      </c>
      <c r="K83" s="50" t="s">
        <v>26</v>
      </c>
      <c r="L83" s="50" t="s">
        <v>519</v>
      </c>
      <c r="M83" s="56" t="s">
        <v>12</v>
      </c>
      <c r="N83" s="122" t="s">
        <v>666</v>
      </c>
      <c r="O83" s="57">
        <v>16</v>
      </c>
      <c r="P83" s="45">
        <v>6770</v>
      </c>
      <c r="Q83" s="58">
        <f t="shared" si="6"/>
        <v>108320</v>
      </c>
      <c r="R83" s="129" t="s">
        <v>684</v>
      </c>
      <c r="S83" s="19"/>
      <c r="T83" s="32"/>
      <c r="U83" s="32"/>
      <c r="V83" s="51">
        <f t="shared" si="7"/>
        <v>7853.2</v>
      </c>
      <c r="W83" s="51">
        <f t="shared" si="8"/>
        <v>125651.2</v>
      </c>
      <c r="X83" s="52">
        <f t="shared" si="9"/>
        <v>5.28</v>
      </c>
      <c r="Y83" s="53">
        <f t="shared" si="10"/>
        <v>84.48</v>
      </c>
      <c r="Z83" s="54"/>
      <c r="AA83" s="71"/>
      <c r="AB83" s="71"/>
      <c r="AC83" s="128"/>
      <c r="AD83" s="33"/>
      <c r="AE83" s="55"/>
    </row>
    <row r="84" spans="2:31" ht="20.100000000000001" customHeight="1">
      <c r="B84" s="48">
        <v>83</v>
      </c>
      <c r="C84" s="121" t="s">
        <v>701</v>
      </c>
      <c r="D84" s="120" t="s">
        <v>349</v>
      </c>
      <c r="E84" s="120">
        <v>2508</v>
      </c>
      <c r="F84" s="120" t="s">
        <v>700</v>
      </c>
      <c r="G84" s="120" t="s">
        <v>699</v>
      </c>
      <c r="H84" s="49">
        <v>6</v>
      </c>
      <c r="I84" s="50" t="s">
        <v>27</v>
      </c>
      <c r="J84" s="124" t="s">
        <v>204</v>
      </c>
      <c r="K84" s="50" t="s">
        <v>26</v>
      </c>
      <c r="L84" s="50" t="s">
        <v>519</v>
      </c>
      <c r="M84" s="56" t="s">
        <v>12</v>
      </c>
      <c r="N84" s="122" t="s">
        <v>666</v>
      </c>
      <c r="O84" s="57">
        <v>4</v>
      </c>
      <c r="P84" s="45">
        <v>218480</v>
      </c>
      <c r="Q84" s="58">
        <f t="shared" si="6"/>
        <v>873920</v>
      </c>
      <c r="R84" s="129" t="s">
        <v>684</v>
      </c>
      <c r="S84" s="19"/>
      <c r="T84" s="32"/>
      <c r="U84" s="32"/>
      <c r="V84" s="51">
        <f t="shared" si="7"/>
        <v>253436.79999999999</v>
      </c>
      <c r="W84" s="51">
        <f t="shared" si="8"/>
        <v>1013747.2</v>
      </c>
      <c r="X84" s="52">
        <f t="shared" si="9"/>
        <v>170.48</v>
      </c>
      <c r="Y84" s="53">
        <f t="shared" si="10"/>
        <v>681.92</v>
      </c>
      <c r="Z84" s="54"/>
      <c r="AA84" s="71"/>
      <c r="AB84" s="71"/>
      <c r="AC84" s="128"/>
      <c r="AD84" s="33"/>
      <c r="AE84" s="55"/>
    </row>
    <row r="85" spans="2:31" ht="20.100000000000001" customHeight="1">
      <c r="B85" s="48">
        <v>84</v>
      </c>
      <c r="C85" s="121" t="s">
        <v>701</v>
      </c>
      <c r="D85" s="120" t="s">
        <v>349</v>
      </c>
      <c r="E85" s="120">
        <v>2508</v>
      </c>
      <c r="F85" s="120" t="s">
        <v>700</v>
      </c>
      <c r="G85" s="120" t="s">
        <v>699</v>
      </c>
      <c r="H85" s="49">
        <v>5</v>
      </c>
      <c r="I85" s="50" t="s">
        <v>27</v>
      </c>
      <c r="J85" s="124" t="s">
        <v>768</v>
      </c>
      <c r="K85" s="50" t="s">
        <v>26</v>
      </c>
      <c r="L85" s="50" t="s">
        <v>519</v>
      </c>
      <c r="M85" s="56" t="s">
        <v>12</v>
      </c>
      <c r="N85" s="122" t="s">
        <v>666</v>
      </c>
      <c r="O85" s="57">
        <v>2</v>
      </c>
      <c r="P85" s="45">
        <v>151660</v>
      </c>
      <c r="Q85" s="58">
        <f t="shared" si="6"/>
        <v>303320</v>
      </c>
      <c r="R85" s="129" t="s">
        <v>684</v>
      </c>
      <c r="S85" s="19"/>
      <c r="T85" s="32"/>
      <c r="U85" s="32"/>
      <c r="V85" s="51">
        <f t="shared" si="7"/>
        <v>175925.59999999998</v>
      </c>
      <c r="W85" s="51">
        <f t="shared" si="8"/>
        <v>351851.19999999995</v>
      </c>
      <c r="X85" s="52">
        <f t="shared" si="9"/>
        <v>118.34</v>
      </c>
      <c r="Y85" s="53">
        <f t="shared" si="10"/>
        <v>236.68</v>
      </c>
      <c r="Z85" s="54"/>
      <c r="AA85" s="71"/>
      <c r="AB85" s="71"/>
      <c r="AC85" s="128"/>
      <c r="AD85" s="33"/>
      <c r="AE85" s="55"/>
    </row>
    <row r="86" spans="2:31" ht="20.100000000000001" customHeight="1">
      <c r="B86" s="48">
        <v>85</v>
      </c>
      <c r="C86" s="121" t="s">
        <v>701</v>
      </c>
      <c r="D86" s="120" t="s">
        <v>349</v>
      </c>
      <c r="E86" s="120">
        <v>2508</v>
      </c>
      <c r="F86" s="120" t="s">
        <v>700</v>
      </c>
      <c r="G86" s="120" t="s">
        <v>699</v>
      </c>
      <c r="H86" s="49">
        <v>5</v>
      </c>
      <c r="I86" s="50" t="s">
        <v>27</v>
      </c>
      <c r="J86" s="124" t="s">
        <v>767</v>
      </c>
      <c r="K86" s="50" t="s">
        <v>26</v>
      </c>
      <c r="L86" s="50" t="s">
        <v>519</v>
      </c>
      <c r="M86" s="56" t="s">
        <v>12</v>
      </c>
      <c r="N86" s="122" t="s">
        <v>666</v>
      </c>
      <c r="O86" s="57">
        <v>2</v>
      </c>
      <c r="P86" s="45">
        <v>153130</v>
      </c>
      <c r="Q86" s="58">
        <f t="shared" si="6"/>
        <v>306260</v>
      </c>
      <c r="R86" s="129" t="s">
        <v>684</v>
      </c>
      <c r="S86" s="19"/>
      <c r="T86" s="32"/>
      <c r="U86" s="32"/>
      <c r="V86" s="51">
        <f t="shared" si="7"/>
        <v>177630.8</v>
      </c>
      <c r="W86" s="51">
        <f t="shared" si="8"/>
        <v>355261.6</v>
      </c>
      <c r="X86" s="52">
        <f t="shared" si="9"/>
        <v>119.48</v>
      </c>
      <c r="Y86" s="53">
        <f t="shared" si="10"/>
        <v>238.96</v>
      </c>
      <c r="Z86" s="54"/>
      <c r="AA86" s="71"/>
      <c r="AB86" s="71"/>
      <c r="AC86" s="128"/>
      <c r="AD86" s="33"/>
      <c r="AE86" s="55"/>
    </row>
    <row r="87" spans="2:31" ht="20.100000000000001" customHeight="1">
      <c r="B87" s="48">
        <v>86</v>
      </c>
      <c r="C87" s="121" t="s">
        <v>701</v>
      </c>
      <c r="D87" s="120" t="s">
        <v>349</v>
      </c>
      <c r="E87" s="120">
        <v>2508</v>
      </c>
      <c r="F87" s="120" t="s">
        <v>700</v>
      </c>
      <c r="G87" s="120" t="s">
        <v>699</v>
      </c>
      <c r="H87" s="49">
        <v>5</v>
      </c>
      <c r="I87" s="50" t="s">
        <v>27</v>
      </c>
      <c r="J87" s="124" t="s">
        <v>766</v>
      </c>
      <c r="K87" s="50" t="s">
        <v>26</v>
      </c>
      <c r="L87" s="50" t="s">
        <v>519</v>
      </c>
      <c r="M87" s="56" t="s">
        <v>12</v>
      </c>
      <c r="N87" s="122" t="s">
        <v>666</v>
      </c>
      <c r="O87" s="57">
        <v>2</v>
      </c>
      <c r="P87" s="45">
        <v>114730</v>
      </c>
      <c r="Q87" s="58">
        <f t="shared" si="6"/>
        <v>229460</v>
      </c>
      <c r="R87" s="129" t="s">
        <v>684</v>
      </c>
      <c r="S87" s="19"/>
      <c r="T87" s="32"/>
      <c r="U87" s="32"/>
      <c r="V87" s="51">
        <f t="shared" si="7"/>
        <v>133086.79999999999</v>
      </c>
      <c r="W87" s="51">
        <f t="shared" si="8"/>
        <v>266173.59999999998</v>
      </c>
      <c r="X87" s="52">
        <f t="shared" si="9"/>
        <v>89.52</v>
      </c>
      <c r="Y87" s="53">
        <f t="shared" si="10"/>
        <v>179.04</v>
      </c>
      <c r="Z87" s="54"/>
      <c r="AA87" s="71"/>
      <c r="AB87" s="71"/>
      <c r="AC87" s="128"/>
      <c r="AD87" s="33"/>
      <c r="AE87" s="55"/>
    </row>
    <row r="88" spans="2:31" ht="20.100000000000001" customHeight="1">
      <c r="B88" s="48">
        <v>87</v>
      </c>
      <c r="C88" s="121" t="s">
        <v>701</v>
      </c>
      <c r="D88" s="120" t="s">
        <v>349</v>
      </c>
      <c r="E88" s="120">
        <v>2508</v>
      </c>
      <c r="F88" s="120" t="s">
        <v>700</v>
      </c>
      <c r="G88" s="120" t="s">
        <v>699</v>
      </c>
      <c r="H88" s="49">
        <v>5</v>
      </c>
      <c r="I88" s="50" t="s">
        <v>27</v>
      </c>
      <c r="J88" s="124" t="s">
        <v>765</v>
      </c>
      <c r="K88" s="50" t="s">
        <v>26</v>
      </c>
      <c r="L88" s="50" t="s">
        <v>519</v>
      </c>
      <c r="M88" s="56" t="s">
        <v>12</v>
      </c>
      <c r="N88" s="122" t="s">
        <v>666</v>
      </c>
      <c r="O88" s="57">
        <v>2</v>
      </c>
      <c r="P88" s="45">
        <v>89080</v>
      </c>
      <c r="Q88" s="58">
        <f t="shared" si="6"/>
        <v>178160</v>
      </c>
      <c r="R88" s="129" t="s">
        <v>684</v>
      </c>
      <c r="S88" s="19"/>
      <c r="T88" s="32"/>
      <c r="U88" s="32"/>
      <c r="V88" s="51">
        <f t="shared" si="7"/>
        <v>103332.79999999999</v>
      </c>
      <c r="W88" s="51">
        <f t="shared" si="8"/>
        <v>206665.59999999998</v>
      </c>
      <c r="X88" s="52">
        <f t="shared" si="9"/>
        <v>69.510000000000005</v>
      </c>
      <c r="Y88" s="53">
        <f t="shared" si="10"/>
        <v>139.02000000000001</v>
      </c>
      <c r="Z88" s="54"/>
      <c r="AA88" s="71"/>
      <c r="AB88" s="71"/>
      <c r="AC88" s="128"/>
      <c r="AD88" s="33"/>
      <c r="AE88" s="55"/>
    </row>
    <row r="89" spans="2:31" ht="20.100000000000001" customHeight="1">
      <c r="B89" s="48">
        <v>88</v>
      </c>
      <c r="C89" s="121" t="s">
        <v>701</v>
      </c>
      <c r="D89" s="120" t="s">
        <v>349</v>
      </c>
      <c r="E89" s="120">
        <v>2508</v>
      </c>
      <c r="F89" s="120" t="s">
        <v>700</v>
      </c>
      <c r="G89" s="120" t="s">
        <v>699</v>
      </c>
      <c r="H89" s="49">
        <v>5</v>
      </c>
      <c r="I89" s="50" t="s">
        <v>27</v>
      </c>
      <c r="J89" s="124" t="s">
        <v>764</v>
      </c>
      <c r="K89" s="50" t="s">
        <v>26</v>
      </c>
      <c r="L89" s="50" t="s">
        <v>519</v>
      </c>
      <c r="M89" s="56" t="s">
        <v>12</v>
      </c>
      <c r="N89" s="122" t="s">
        <v>666</v>
      </c>
      <c r="O89" s="57">
        <v>2</v>
      </c>
      <c r="P89" s="45">
        <v>103930</v>
      </c>
      <c r="Q89" s="58">
        <f t="shared" si="6"/>
        <v>207860</v>
      </c>
      <c r="R89" s="129" t="s">
        <v>684</v>
      </c>
      <c r="S89" s="19"/>
      <c r="T89" s="32"/>
      <c r="U89" s="32"/>
      <c r="V89" s="51">
        <f t="shared" si="7"/>
        <v>120558.79999999999</v>
      </c>
      <c r="W89" s="51">
        <f t="shared" si="8"/>
        <v>241117.59999999998</v>
      </c>
      <c r="X89" s="52">
        <f t="shared" si="9"/>
        <v>81.09</v>
      </c>
      <c r="Y89" s="53">
        <f t="shared" si="10"/>
        <v>162.18</v>
      </c>
      <c r="Z89" s="54"/>
      <c r="AA89" s="71"/>
      <c r="AB89" s="71"/>
      <c r="AC89" s="128"/>
      <c r="AD89" s="33"/>
      <c r="AE89" s="55"/>
    </row>
    <row r="90" spans="2:31" ht="20.100000000000001" customHeight="1">
      <c r="B90" s="48">
        <v>89</v>
      </c>
      <c r="C90" s="121" t="s">
        <v>701</v>
      </c>
      <c r="D90" s="120" t="s">
        <v>349</v>
      </c>
      <c r="E90" s="120">
        <v>2508</v>
      </c>
      <c r="F90" s="120" t="s">
        <v>700</v>
      </c>
      <c r="G90" s="120" t="s">
        <v>699</v>
      </c>
      <c r="H90" s="49">
        <v>5</v>
      </c>
      <c r="I90" s="50" t="s">
        <v>27</v>
      </c>
      <c r="J90" s="124" t="s">
        <v>763</v>
      </c>
      <c r="K90" s="50" t="s">
        <v>26</v>
      </c>
      <c r="L90" s="50" t="s">
        <v>519</v>
      </c>
      <c r="M90" s="56" t="s">
        <v>12</v>
      </c>
      <c r="N90" s="122" t="s">
        <v>666</v>
      </c>
      <c r="O90" s="57">
        <v>2</v>
      </c>
      <c r="P90" s="45">
        <v>107980</v>
      </c>
      <c r="Q90" s="58">
        <f t="shared" si="6"/>
        <v>215960</v>
      </c>
      <c r="R90" s="129" t="s">
        <v>684</v>
      </c>
      <c r="S90" s="19"/>
      <c r="T90" s="32"/>
      <c r="U90" s="32"/>
      <c r="V90" s="51">
        <f t="shared" si="7"/>
        <v>125256.79999999999</v>
      </c>
      <c r="W90" s="51">
        <f t="shared" si="8"/>
        <v>250513.59999999998</v>
      </c>
      <c r="X90" s="52">
        <f t="shared" si="9"/>
        <v>84.25</v>
      </c>
      <c r="Y90" s="53">
        <f t="shared" si="10"/>
        <v>168.5</v>
      </c>
      <c r="Z90" s="54"/>
      <c r="AA90" s="71"/>
      <c r="AB90" s="71"/>
      <c r="AC90" s="128"/>
      <c r="AD90" s="33"/>
      <c r="AE90" s="55"/>
    </row>
    <row r="91" spans="2:31" ht="20.100000000000001" customHeight="1">
      <c r="B91" s="48">
        <v>90</v>
      </c>
      <c r="C91" s="121" t="s">
        <v>701</v>
      </c>
      <c r="D91" s="120" t="s">
        <v>349</v>
      </c>
      <c r="E91" s="120">
        <v>2508</v>
      </c>
      <c r="F91" s="120" t="s">
        <v>700</v>
      </c>
      <c r="G91" s="120" t="s">
        <v>699</v>
      </c>
      <c r="H91" s="49">
        <v>5</v>
      </c>
      <c r="I91" s="50" t="s">
        <v>27</v>
      </c>
      <c r="J91" s="124" t="s">
        <v>762</v>
      </c>
      <c r="K91" s="50" t="s">
        <v>26</v>
      </c>
      <c r="L91" s="50" t="s">
        <v>519</v>
      </c>
      <c r="M91" s="56" t="s">
        <v>12</v>
      </c>
      <c r="N91" s="122" t="s">
        <v>666</v>
      </c>
      <c r="O91" s="57">
        <v>2</v>
      </c>
      <c r="P91" s="45">
        <v>147460</v>
      </c>
      <c r="Q91" s="58">
        <f t="shared" si="6"/>
        <v>294920</v>
      </c>
      <c r="R91" s="129" t="s">
        <v>684</v>
      </c>
      <c r="S91" s="19"/>
      <c r="T91" s="32"/>
      <c r="U91" s="32"/>
      <c r="V91" s="51">
        <f t="shared" si="7"/>
        <v>171053.59999999998</v>
      </c>
      <c r="W91" s="51">
        <f t="shared" si="8"/>
        <v>342107.19999999995</v>
      </c>
      <c r="X91" s="52">
        <f t="shared" si="9"/>
        <v>115.06</v>
      </c>
      <c r="Y91" s="53">
        <f t="shared" si="10"/>
        <v>230.12</v>
      </c>
      <c r="Z91" s="54"/>
      <c r="AA91" s="71"/>
      <c r="AB91" s="71"/>
      <c r="AC91" s="128"/>
      <c r="AD91" s="33"/>
      <c r="AE91" s="55"/>
    </row>
    <row r="92" spans="2:31" ht="20.100000000000001" customHeight="1">
      <c r="B92" s="48">
        <v>91</v>
      </c>
      <c r="C92" s="121" t="s">
        <v>701</v>
      </c>
      <c r="D92" s="120" t="s">
        <v>349</v>
      </c>
      <c r="E92" s="120">
        <v>2508</v>
      </c>
      <c r="F92" s="120" t="s">
        <v>700</v>
      </c>
      <c r="G92" s="120" t="s">
        <v>699</v>
      </c>
      <c r="H92" s="49">
        <v>6</v>
      </c>
      <c r="I92" s="50" t="s">
        <v>27</v>
      </c>
      <c r="J92" s="124" t="s">
        <v>761</v>
      </c>
      <c r="K92" s="50" t="s">
        <v>26</v>
      </c>
      <c r="L92" s="50" t="s">
        <v>519</v>
      </c>
      <c r="M92" s="56" t="s">
        <v>12</v>
      </c>
      <c r="N92" s="122" t="s">
        <v>666</v>
      </c>
      <c r="O92" s="57">
        <v>2</v>
      </c>
      <c r="P92" s="45">
        <v>234480</v>
      </c>
      <c r="Q92" s="58">
        <f t="shared" si="6"/>
        <v>468960</v>
      </c>
      <c r="R92" s="129" t="s">
        <v>684</v>
      </c>
      <c r="S92" s="19"/>
      <c r="T92" s="32"/>
      <c r="U92" s="32"/>
      <c r="V92" s="51">
        <f t="shared" si="7"/>
        <v>271996.79999999999</v>
      </c>
      <c r="W92" s="51">
        <f t="shared" si="8"/>
        <v>543993.59999999998</v>
      </c>
      <c r="X92" s="52">
        <f t="shared" si="9"/>
        <v>182.96</v>
      </c>
      <c r="Y92" s="53">
        <f t="shared" si="10"/>
        <v>365.92</v>
      </c>
      <c r="Z92" s="54"/>
      <c r="AA92" s="71"/>
      <c r="AB92" s="71"/>
      <c r="AC92" s="128"/>
      <c r="AD92" s="33"/>
      <c r="AE92" s="55"/>
    </row>
    <row r="93" spans="2:31" ht="20.100000000000001" customHeight="1">
      <c r="B93" s="48">
        <v>93</v>
      </c>
      <c r="C93" s="121" t="s">
        <v>701</v>
      </c>
      <c r="D93" s="120" t="s">
        <v>349</v>
      </c>
      <c r="E93" s="120">
        <v>2508</v>
      </c>
      <c r="F93" s="120" t="s">
        <v>700</v>
      </c>
      <c r="G93" s="120" t="s">
        <v>699</v>
      </c>
      <c r="H93" s="49">
        <v>5</v>
      </c>
      <c r="I93" s="50" t="s">
        <v>753</v>
      </c>
      <c r="J93" s="124" t="s">
        <v>759</v>
      </c>
      <c r="K93" s="50" t="s">
        <v>26</v>
      </c>
      <c r="L93" s="50" t="s">
        <v>519</v>
      </c>
      <c r="M93" s="56" t="s">
        <v>12</v>
      </c>
      <c r="N93" s="122" t="s">
        <v>666</v>
      </c>
      <c r="O93" s="57">
        <v>8</v>
      </c>
      <c r="P93" s="45">
        <v>26060</v>
      </c>
      <c r="Q93" s="58">
        <f t="shared" si="6"/>
        <v>208480</v>
      </c>
      <c r="R93" s="129" t="s">
        <v>684</v>
      </c>
      <c r="S93" s="19"/>
      <c r="T93" s="32"/>
      <c r="U93" s="32"/>
      <c r="V93" s="51">
        <f t="shared" si="7"/>
        <v>30229.599999999999</v>
      </c>
      <c r="W93" s="51">
        <f t="shared" si="8"/>
        <v>241836.79999999999</v>
      </c>
      <c r="X93" s="52">
        <f t="shared" si="9"/>
        <v>20.329999999999998</v>
      </c>
      <c r="Y93" s="53">
        <f t="shared" si="10"/>
        <v>162.63999999999999</v>
      </c>
      <c r="Z93" s="54"/>
      <c r="AA93" s="71"/>
      <c r="AB93" s="71"/>
      <c r="AC93" s="128"/>
      <c r="AD93" s="33"/>
      <c r="AE93" s="55"/>
    </row>
    <row r="94" spans="2:31" ht="20.100000000000001" customHeight="1">
      <c r="B94" s="48">
        <v>94</v>
      </c>
      <c r="C94" s="121" t="s">
        <v>701</v>
      </c>
      <c r="D94" s="120" t="s">
        <v>349</v>
      </c>
      <c r="E94" s="120">
        <v>2508</v>
      </c>
      <c r="F94" s="120" t="s">
        <v>700</v>
      </c>
      <c r="G94" s="120" t="s">
        <v>699</v>
      </c>
      <c r="H94" s="49">
        <v>5</v>
      </c>
      <c r="I94" s="50" t="s">
        <v>33</v>
      </c>
      <c r="J94" s="124" t="s">
        <v>758</v>
      </c>
      <c r="K94" s="50" t="s">
        <v>26</v>
      </c>
      <c r="L94" s="50" t="s">
        <v>519</v>
      </c>
      <c r="M94" s="56" t="s">
        <v>12</v>
      </c>
      <c r="N94" s="122" t="s">
        <v>666</v>
      </c>
      <c r="O94" s="57">
        <v>12</v>
      </c>
      <c r="P94" s="45">
        <v>6770</v>
      </c>
      <c r="Q94" s="58">
        <f t="shared" si="6"/>
        <v>81240</v>
      </c>
      <c r="R94" s="129" t="s">
        <v>684</v>
      </c>
      <c r="S94" s="19"/>
      <c r="T94" s="32"/>
      <c r="U94" s="32"/>
      <c r="V94" s="51">
        <f t="shared" si="7"/>
        <v>7853.2</v>
      </c>
      <c r="W94" s="51">
        <f t="shared" si="8"/>
        <v>94238.399999999994</v>
      </c>
      <c r="X94" s="52">
        <f t="shared" si="9"/>
        <v>5.28</v>
      </c>
      <c r="Y94" s="53">
        <f t="shared" si="10"/>
        <v>63.36</v>
      </c>
      <c r="Z94" s="54"/>
      <c r="AA94" s="71"/>
      <c r="AB94" s="71"/>
      <c r="AC94" s="128"/>
      <c r="AD94" s="33"/>
      <c r="AE94" s="55"/>
    </row>
    <row r="95" spans="2:31" ht="20.100000000000001" customHeight="1">
      <c r="B95" s="48">
        <v>95</v>
      </c>
      <c r="C95" s="121" t="s">
        <v>701</v>
      </c>
      <c r="D95" s="120" t="s">
        <v>349</v>
      </c>
      <c r="E95" s="120">
        <v>2508</v>
      </c>
      <c r="F95" s="120" t="s">
        <v>700</v>
      </c>
      <c r="G95" s="120" t="s">
        <v>699</v>
      </c>
      <c r="H95" s="49">
        <v>5</v>
      </c>
      <c r="I95" s="50" t="s">
        <v>33</v>
      </c>
      <c r="J95" s="124" t="s">
        <v>757</v>
      </c>
      <c r="K95" s="50" t="s">
        <v>26</v>
      </c>
      <c r="L95" s="50" t="s">
        <v>519</v>
      </c>
      <c r="M95" s="56" t="s">
        <v>12</v>
      </c>
      <c r="N95" s="122" t="s">
        <v>666</v>
      </c>
      <c r="O95" s="57">
        <v>8</v>
      </c>
      <c r="P95" s="45">
        <v>7740</v>
      </c>
      <c r="Q95" s="58">
        <f t="shared" si="6"/>
        <v>61920</v>
      </c>
      <c r="R95" s="129" t="s">
        <v>684</v>
      </c>
      <c r="S95" s="19"/>
      <c r="T95" s="32"/>
      <c r="U95" s="32"/>
      <c r="V95" s="51">
        <f t="shared" si="7"/>
        <v>8978.4</v>
      </c>
      <c r="W95" s="51">
        <f t="shared" si="8"/>
        <v>71827.199999999997</v>
      </c>
      <c r="X95" s="52">
        <f t="shared" si="9"/>
        <v>6.04</v>
      </c>
      <c r="Y95" s="53">
        <f t="shared" si="10"/>
        <v>48.32</v>
      </c>
      <c r="Z95" s="54"/>
      <c r="AA95" s="71"/>
      <c r="AB95" s="71"/>
      <c r="AC95" s="128"/>
      <c r="AD95" s="33"/>
      <c r="AE95" s="55"/>
    </row>
    <row r="96" spans="2:31" ht="20.100000000000001" customHeight="1">
      <c r="B96" s="48">
        <v>96</v>
      </c>
      <c r="C96" s="121" t="s">
        <v>701</v>
      </c>
      <c r="D96" s="120" t="s">
        <v>349</v>
      </c>
      <c r="E96" s="120">
        <v>2508</v>
      </c>
      <c r="F96" s="120" t="s">
        <v>700</v>
      </c>
      <c r="G96" s="120" t="s">
        <v>699</v>
      </c>
      <c r="H96" s="49">
        <v>5</v>
      </c>
      <c r="I96" s="50" t="s">
        <v>27</v>
      </c>
      <c r="J96" s="124" t="s">
        <v>756</v>
      </c>
      <c r="K96" s="50" t="s">
        <v>26</v>
      </c>
      <c r="L96" s="50" t="s">
        <v>519</v>
      </c>
      <c r="M96" s="56" t="s">
        <v>12</v>
      </c>
      <c r="N96" s="122" t="s">
        <v>666</v>
      </c>
      <c r="O96" s="57">
        <v>2</v>
      </c>
      <c r="P96" s="45">
        <v>9660</v>
      </c>
      <c r="Q96" s="58">
        <f t="shared" si="6"/>
        <v>19320</v>
      </c>
      <c r="R96" s="129" t="s">
        <v>684</v>
      </c>
      <c r="S96" s="19"/>
      <c r="T96" s="32"/>
      <c r="U96" s="32"/>
      <c r="V96" s="51">
        <f t="shared" si="7"/>
        <v>11205.599999999999</v>
      </c>
      <c r="W96" s="51">
        <f t="shared" si="8"/>
        <v>22411.199999999997</v>
      </c>
      <c r="X96" s="52">
        <f t="shared" si="9"/>
        <v>7.54</v>
      </c>
      <c r="Y96" s="53">
        <f t="shared" si="10"/>
        <v>15.08</v>
      </c>
      <c r="Z96" s="54"/>
      <c r="AA96" s="71"/>
      <c r="AB96" s="71"/>
      <c r="AC96" s="128"/>
      <c r="AD96" s="33"/>
      <c r="AE96" s="55"/>
    </row>
    <row r="97" spans="2:31" ht="20.100000000000001" customHeight="1">
      <c r="B97" s="48">
        <v>97</v>
      </c>
      <c r="C97" s="121" t="s">
        <v>701</v>
      </c>
      <c r="D97" s="120" t="s">
        <v>349</v>
      </c>
      <c r="E97" s="120">
        <v>2508</v>
      </c>
      <c r="F97" s="120" t="s">
        <v>700</v>
      </c>
      <c r="G97" s="120" t="s">
        <v>699</v>
      </c>
      <c r="H97" s="49">
        <v>5</v>
      </c>
      <c r="I97" s="50" t="s">
        <v>28</v>
      </c>
      <c r="J97" s="124" t="s">
        <v>755</v>
      </c>
      <c r="K97" s="50" t="s">
        <v>26</v>
      </c>
      <c r="L97" s="50" t="s">
        <v>519</v>
      </c>
      <c r="M97" s="56" t="s">
        <v>12</v>
      </c>
      <c r="N97" s="122" t="s">
        <v>666</v>
      </c>
      <c r="O97" s="57">
        <v>4</v>
      </c>
      <c r="P97" s="45">
        <v>3020</v>
      </c>
      <c r="Q97" s="58">
        <f t="shared" ref="Q97:Q125" si="11">O97*P97</f>
        <v>12080</v>
      </c>
      <c r="R97" s="129" t="s">
        <v>684</v>
      </c>
      <c r="S97" s="19"/>
      <c r="T97" s="32"/>
      <c r="U97" s="32"/>
      <c r="V97" s="51">
        <f t="shared" si="7"/>
        <v>3503.2</v>
      </c>
      <c r="W97" s="51">
        <f t="shared" si="8"/>
        <v>14012.8</v>
      </c>
      <c r="X97" s="52">
        <f t="shared" si="9"/>
        <v>2.36</v>
      </c>
      <c r="Y97" s="53">
        <f t="shared" si="10"/>
        <v>9.44</v>
      </c>
      <c r="Z97" s="54"/>
      <c r="AA97" s="71"/>
      <c r="AB97" s="71"/>
      <c r="AC97" s="128"/>
      <c r="AD97" s="33"/>
      <c r="AE97" s="55"/>
    </row>
    <row r="98" spans="2:31" ht="20.100000000000001" customHeight="1">
      <c r="B98" s="48">
        <v>98</v>
      </c>
      <c r="C98" s="121" t="s">
        <v>701</v>
      </c>
      <c r="D98" s="120" t="s">
        <v>349</v>
      </c>
      <c r="E98" s="120">
        <v>2508</v>
      </c>
      <c r="F98" s="120" t="s">
        <v>700</v>
      </c>
      <c r="G98" s="120" t="s">
        <v>699</v>
      </c>
      <c r="H98" s="49">
        <v>6</v>
      </c>
      <c r="I98" s="50" t="s">
        <v>27</v>
      </c>
      <c r="J98" s="124" t="s">
        <v>754</v>
      </c>
      <c r="K98" s="50" t="s">
        <v>26</v>
      </c>
      <c r="L98" s="50" t="s">
        <v>519</v>
      </c>
      <c r="M98" s="56" t="s">
        <v>12</v>
      </c>
      <c r="N98" s="122" t="s">
        <v>666</v>
      </c>
      <c r="O98" s="57">
        <v>2</v>
      </c>
      <c r="P98" s="45">
        <v>278960</v>
      </c>
      <c r="Q98" s="58">
        <f t="shared" si="11"/>
        <v>557920</v>
      </c>
      <c r="R98" s="129" t="s">
        <v>684</v>
      </c>
      <c r="S98" s="19"/>
      <c r="T98" s="32"/>
      <c r="U98" s="32"/>
      <c r="V98" s="51">
        <f t="shared" si="7"/>
        <v>323593.59999999998</v>
      </c>
      <c r="W98" s="51">
        <f t="shared" si="8"/>
        <v>647187.19999999995</v>
      </c>
      <c r="X98" s="52">
        <f t="shared" si="9"/>
        <v>217.67</v>
      </c>
      <c r="Y98" s="53">
        <f t="shared" si="10"/>
        <v>435.34</v>
      </c>
      <c r="Z98" s="54"/>
      <c r="AA98" s="71"/>
      <c r="AB98" s="71"/>
      <c r="AC98" s="128"/>
      <c r="AD98" s="33"/>
      <c r="AE98" s="55"/>
    </row>
    <row r="99" spans="2:31" ht="20.100000000000001" customHeight="1">
      <c r="B99" s="48">
        <v>101</v>
      </c>
      <c r="C99" s="121" t="s">
        <v>701</v>
      </c>
      <c r="D99" s="120" t="s">
        <v>349</v>
      </c>
      <c r="E99" s="120">
        <v>2508</v>
      </c>
      <c r="F99" s="120" t="s">
        <v>700</v>
      </c>
      <c r="G99" s="120" t="s">
        <v>699</v>
      </c>
      <c r="H99" s="49">
        <v>4</v>
      </c>
      <c r="I99" s="50" t="s">
        <v>133</v>
      </c>
      <c r="J99" s="124" t="s">
        <v>134</v>
      </c>
      <c r="K99" s="50" t="s">
        <v>139</v>
      </c>
      <c r="L99" s="50" t="s">
        <v>751</v>
      </c>
      <c r="M99" s="56" t="s">
        <v>12</v>
      </c>
      <c r="N99" s="122" t="s">
        <v>665</v>
      </c>
      <c r="O99" s="57">
        <v>2</v>
      </c>
      <c r="P99" s="45">
        <v>78000</v>
      </c>
      <c r="Q99" s="58">
        <f t="shared" si="11"/>
        <v>156000</v>
      </c>
      <c r="R99" s="129" t="s">
        <v>663</v>
      </c>
      <c r="S99" s="19"/>
      <c r="T99" s="32"/>
      <c r="U99" s="32"/>
      <c r="V99" s="51">
        <f t="shared" si="7"/>
        <v>90480</v>
      </c>
      <c r="W99" s="51">
        <f t="shared" si="8"/>
        <v>180960</v>
      </c>
      <c r="X99" s="52">
        <f t="shared" si="9"/>
        <v>60.86</v>
      </c>
      <c r="Y99" s="53">
        <f t="shared" si="10"/>
        <v>121.72</v>
      </c>
      <c r="Z99" s="54"/>
      <c r="AA99" s="71"/>
      <c r="AB99" s="71"/>
      <c r="AC99" s="128"/>
      <c r="AD99" s="33"/>
      <c r="AE99" s="55"/>
    </row>
    <row r="100" spans="2:31" ht="20.100000000000001" customHeight="1">
      <c r="B100" s="48">
        <v>102</v>
      </c>
      <c r="C100" s="121" t="s">
        <v>701</v>
      </c>
      <c r="D100" s="120" t="s">
        <v>349</v>
      </c>
      <c r="E100" s="120">
        <v>2508</v>
      </c>
      <c r="F100" s="120" t="s">
        <v>700</v>
      </c>
      <c r="G100" s="120" t="s">
        <v>699</v>
      </c>
      <c r="H100" s="49">
        <v>4</v>
      </c>
      <c r="I100" s="50" t="s">
        <v>135</v>
      </c>
      <c r="J100" s="124" t="s">
        <v>136</v>
      </c>
      <c r="K100" s="50" t="s">
        <v>139</v>
      </c>
      <c r="L100" s="50" t="s">
        <v>751</v>
      </c>
      <c r="M100" s="56" t="s">
        <v>12</v>
      </c>
      <c r="N100" s="122" t="s">
        <v>665</v>
      </c>
      <c r="O100" s="57">
        <v>10</v>
      </c>
      <c r="P100" s="45">
        <v>53000</v>
      </c>
      <c r="Q100" s="58">
        <f t="shared" si="11"/>
        <v>530000</v>
      </c>
      <c r="R100" s="129" t="s">
        <v>663</v>
      </c>
      <c r="S100" s="19"/>
      <c r="T100" s="32"/>
      <c r="U100" s="32"/>
      <c r="V100" s="51">
        <f t="shared" si="7"/>
        <v>61479.999999999993</v>
      </c>
      <c r="W100" s="51">
        <f t="shared" si="8"/>
        <v>614799.99999999988</v>
      </c>
      <c r="X100" s="52">
        <f t="shared" si="9"/>
        <v>41.36</v>
      </c>
      <c r="Y100" s="53">
        <f t="shared" si="10"/>
        <v>413.6</v>
      </c>
      <c r="Z100" s="54"/>
      <c r="AA100" s="71"/>
      <c r="AB100" s="71"/>
      <c r="AC100" s="128"/>
      <c r="AD100" s="33"/>
      <c r="AE100" s="55"/>
    </row>
    <row r="101" spans="2:31" ht="20.100000000000001" customHeight="1">
      <c r="B101" s="48">
        <v>103</v>
      </c>
      <c r="C101" s="121" t="s">
        <v>701</v>
      </c>
      <c r="D101" s="120" t="s">
        <v>349</v>
      </c>
      <c r="E101" s="120">
        <v>2508</v>
      </c>
      <c r="F101" s="120" t="s">
        <v>700</v>
      </c>
      <c r="G101" s="120" t="s">
        <v>699</v>
      </c>
      <c r="H101" s="49">
        <v>4</v>
      </c>
      <c r="I101" s="50" t="s">
        <v>137</v>
      </c>
      <c r="J101" s="124" t="s">
        <v>138</v>
      </c>
      <c r="K101" s="50" t="s">
        <v>139</v>
      </c>
      <c r="L101" s="50" t="s">
        <v>751</v>
      </c>
      <c r="M101" s="56" t="s">
        <v>12</v>
      </c>
      <c r="N101" s="122" t="s">
        <v>665</v>
      </c>
      <c r="O101" s="57">
        <v>10</v>
      </c>
      <c r="P101" s="45">
        <v>59000</v>
      </c>
      <c r="Q101" s="58">
        <f t="shared" si="11"/>
        <v>590000</v>
      </c>
      <c r="R101" s="129" t="s">
        <v>663</v>
      </c>
      <c r="S101" s="19"/>
      <c r="T101" s="32"/>
      <c r="U101" s="32"/>
      <c r="V101" s="51">
        <f t="shared" si="7"/>
        <v>68440</v>
      </c>
      <c r="W101" s="51">
        <f t="shared" si="8"/>
        <v>684400</v>
      </c>
      <c r="X101" s="52">
        <f t="shared" si="9"/>
        <v>46.04</v>
      </c>
      <c r="Y101" s="53">
        <f t="shared" si="10"/>
        <v>460.4</v>
      </c>
      <c r="Z101" s="54"/>
      <c r="AA101" s="71"/>
      <c r="AB101" s="71"/>
      <c r="AC101" s="128"/>
      <c r="AD101" s="33"/>
      <c r="AE101" s="55"/>
    </row>
    <row r="102" spans="2:31" ht="20.100000000000001" customHeight="1">
      <c r="B102" s="48">
        <v>104</v>
      </c>
      <c r="C102" s="121" t="s">
        <v>701</v>
      </c>
      <c r="D102" s="120" t="s">
        <v>349</v>
      </c>
      <c r="E102" s="120">
        <v>2508</v>
      </c>
      <c r="F102" s="120" t="s">
        <v>700</v>
      </c>
      <c r="G102" s="120" t="s">
        <v>699</v>
      </c>
      <c r="H102" s="49">
        <v>6</v>
      </c>
      <c r="I102" s="50" t="s">
        <v>282</v>
      </c>
      <c r="J102" s="124" t="s">
        <v>750</v>
      </c>
      <c r="K102" s="50" t="s">
        <v>284</v>
      </c>
      <c r="L102" s="50" t="s">
        <v>521</v>
      </c>
      <c r="M102" s="56" t="s">
        <v>12</v>
      </c>
      <c r="N102" s="122" t="s">
        <v>665</v>
      </c>
      <c r="O102" s="57">
        <v>4</v>
      </c>
      <c r="P102" s="45">
        <v>198000</v>
      </c>
      <c r="Q102" s="58">
        <f t="shared" si="11"/>
        <v>792000</v>
      </c>
      <c r="R102" s="129" t="s">
        <v>684</v>
      </c>
      <c r="S102" s="19"/>
      <c r="T102" s="32"/>
      <c r="U102" s="32"/>
      <c r="V102" s="51">
        <f t="shared" si="7"/>
        <v>229679.99999999997</v>
      </c>
      <c r="W102" s="51">
        <f t="shared" si="8"/>
        <v>918719.99999999988</v>
      </c>
      <c r="X102" s="52">
        <f t="shared" si="9"/>
        <v>154.5</v>
      </c>
      <c r="Y102" s="53">
        <f t="shared" si="10"/>
        <v>618</v>
      </c>
      <c r="Z102" s="54"/>
      <c r="AA102" s="71"/>
      <c r="AB102" s="71"/>
      <c r="AC102" s="128"/>
      <c r="AD102" s="33"/>
      <c r="AE102" s="55"/>
    </row>
    <row r="103" spans="2:31" ht="20.100000000000001" customHeight="1">
      <c r="B103" s="48">
        <v>105</v>
      </c>
      <c r="C103" s="121" t="s">
        <v>701</v>
      </c>
      <c r="D103" s="120" t="s">
        <v>349</v>
      </c>
      <c r="E103" s="120">
        <v>2508</v>
      </c>
      <c r="F103" s="120" t="s">
        <v>700</v>
      </c>
      <c r="G103" s="120" t="s">
        <v>699</v>
      </c>
      <c r="H103" s="49">
        <v>6</v>
      </c>
      <c r="I103" s="50" t="s">
        <v>282</v>
      </c>
      <c r="J103" s="124" t="s">
        <v>749</v>
      </c>
      <c r="K103" s="50" t="s">
        <v>284</v>
      </c>
      <c r="L103" s="50" t="s">
        <v>521</v>
      </c>
      <c r="M103" s="56" t="s">
        <v>12</v>
      </c>
      <c r="N103" s="122" t="s">
        <v>665</v>
      </c>
      <c r="O103" s="57">
        <v>6</v>
      </c>
      <c r="P103" s="45">
        <v>198000</v>
      </c>
      <c r="Q103" s="58">
        <f t="shared" si="11"/>
        <v>1188000</v>
      </c>
      <c r="R103" s="129" t="s">
        <v>684</v>
      </c>
      <c r="S103" s="19"/>
      <c r="T103" s="32"/>
      <c r="U103" s="32"/>
      <c r="V103" s="51">
        <f t="shared" si="7"/>
        <v>229679.99999999997</v>
      </c>
      <c r="W103" s="51">
        <f t="shared" si="8"/>
        <v>1378079.9999999998</v>
      </c>
      <c r="X103" s="52">
        <f t="shared" si="9"/>
        <v>154.5</v>
      </c>
      <c r="Y103" s="53">
        <f t="shared" si="10"/>
        <v>927</v>
      </c>
      <c r="Z103" s="54"/>
      <c r="AA103" s="71"/>
      <c r="AB103" s="71"/>
      <c r="AC103" s="128"/>
      <c r="AD103" s="33"/>
      <c r="AE103" s="55"/>
    </row>
    <row r="104" spans="2:31" ht="20.100000000000001" customHeight="1">
      <c r="B104" s="48">
        <v>106</v>
      </c>
      <c r="C104" s="121" t="s">
        <v>701</v>
      </c>
      <c r="D104" s="120" t="s">
        <v>349</v>
      </c>
      <c r="E104" s="120">
        <v>2508</v>
      </c>
      <c r="F104" s="120" t="s">
        <v>700</v>
      </c>
      <c r="G104" s="120" t="s">
        <v>699</v>
      </c>
      <c r="H104" s="49">
        <v>6</v>
      </c>
      <c r="I104" s="50" t="s">
        <v>24</v>
      </c>
      <c r="J104" s="124" t="s">
        <v>748</v>
      </c>
      <c r="K104" s="50" t="s">
        <v>47</v>
      </c>
      <c r="L104" s="50" t="s">
        <v>521</v>
      </c>
      <c r="M104" s="56" t="s">
        <v>12</v>
      </c>
      <c r="N104" s="122" t="s">
        <v>666</v>
      </c>
      <c r="O104" s="57">
        <v>4</v>
      </c>
      <c r="P104" s="45">
        <v>55000</v>
      </c>
      <c r="Q104" s="58">
        <f t="shared" si="11"/>
        <v>220000</v>
      </c>
      <c r="R104" s="129" t="s">
        <v>1025</v>
      </c>
      <c r="S104" s="19"/>
      <c r="T104" s="32"/>
      <c r="U104" s="32"/>
      <c r="V104" s="51">
        <f t="shared" si="7"/>
        <v>63799.999999999993</v>
      </c>
      <c r="W104" s="51">
        <f t="shared" si="8"/>
        <v>255199.99999999997</v>
      </c>
      <c r="X104" s="52">
        <f t="shared" si="9"/>
        <v>42.92</v>
      </c>
      <c r="Y104" s="53">
        <f t="shared" si="10"/>
        <v>171.68</v>
      </c>
      <c r="Z104" s="54"/>
      <c r="AA104" s="71"/>
      <c r="AB104" s="71"/>
      <c r="AC104" s="128"/>
      <c r="AD104" s="33"/>
      <c r="AE104" s="55"/>
    </row>
    <row r="105" spans="2:31" ht="20.100000000000001" customHeight="1">
      <c r="B105" s="48">
        <v>107</v>
      </c>
      <c r="C105" s="121" t="s">
        <v>701</v>
      </c>
      <c r="D105" s="120" t="s">
        <v>349</v>
      </c>
      <c r="E105" s="120">
        <v>2508</v>
      </c>
      <c r="F105" s="120" t="s">
        <v>700</v>
      </c>
      <c r="G105" s="120" t="s">
        <v>699</v>
      </c>
      <c r="H105" s="49">
        <v>5</v>
      </c>
      <c r="I105" s="50" t="s">
        <v>286</v>
      </c>
      <c r="J105" s="124" t="s">
        <v>747</v>
      </c>
      <c r="K105" s="50" t="s">
        <v>181</v>
      </c>
      <c r="L105" s="50" t="s">
        <v>521</v>
      </c>
      <c r="M105" s="56" t="s">
        <v>12</v>
      </c>
      <c r="N105" s="122" t="s">
        <v>665</v>
      </c>
      <c r="O105" s="57">
        <v>11</v>
      </c>
      <c r="P105" s="45">
        <v>28000</v>
      </c>
      <c r="Q105" s="58">
        <f t="shared" si="11"/>
        <v>308000</v>
      </c>
      <c r="R105" s="129" t="s">
        <v>684</v>
      </c>
      <c r="S105" s="19"/>
      <c r="T105" s="32"/>
      <c r="U105" s="32"/>
      <c r="V105" s="51">
        <f t="shared" si="7"/>
        <v>32479.999999999996</v>
      </c>
      <c r="W105" s="51">
        <f t="shared" si="8"/>
        <v>357279.99999999994</v>
      </c>
      <c r="X105" s="52">
        <f t="shared" si="9"/>
        <v>21.85</v>
      </c>
      <c r="Y105" s="53">
        <f t="shared" si="10"/>
        <v>240.35000000000002</v>
      </c>
      <c r="Z105" s="54"/>
      <c r="AA105" s="71"/>
      <c r="AB105" s="71"/>
      <c r="AC105" s="128"/>
      <c r="AD105" s="33"/>
      <c r="AE105" s="55"/>
    </row>
    <row r="106" spans="2:31" ht="20.100000000000001" customHeight="1">
      <c r="B106" s="48">
        <v>108</v>
      </c>
      <c r="C106" s="121" t="s">
        <v>701</v>
      </c>
      <c r="D106" s="120" t="s">
        <v>349</v>
      </c>
      <c r="E106" s="120">
        <v>2508</v>
      </c>
      <c r="F106" s="120" t="s">
        <v>700</v>
      </c>
      <c r="G106" s="120" t="s">
        <v>699</v>
      </c>
      <c r="H106" s="49">
        <v>5</v>
      </c>
      <c r="I106" s="50" t="s">
        <v>285</v>
      </c>
      <c r="J106" s="124" t="s">
        <v>746</v>
      </c>
      <c r="K106" s="50" t="s">
        <v>181</v>
      </c>
      <c r="L106" s="50" t="s">
        <v>521</v>
      </c>
      <c r="M106" s="56" t="s">
        <v>12</v>
      </c>
      <c r="N106" s="122" t="s">
        <v>665</v>
      </c>
      <c r="O106" s="57">
        <v>14</v>
      </c>
      <c r="P106" s="45">
        <v>33000</v>
      </c>
      <c r="Q106" s="58">
        <f t="shared" si="11"/>
        <v>462000</v>
      </c>
      <c r="R106" s="129" t="s">
        <v>684</v>
      </c>
      <c r="S106" s="19"/>
      <c r="T106" s="32"/>
      <c r="U106" s="32"/>
      <c r="V106" s="51">
        <f t="shared" si="7"/>
        <v>38280</v>
      </c>
      <c r="W106" s="51">
        <f t="shared" si="8"/>
        <v>535920</v>
      </c>
      <c r="X106" s="52">
        <f t="shared" si="9"/>
        <v>25.75</v>
      </c>
      <c r="Y106" s="53">
        <f t="shared" si="10"/>
        <v>360.5</v>
      </c>
      <c r="Z106" s="54"/>
      <c r="AA106" s="71"/>
      <c r="AB106" s="71"/>
      <c r="AC106" s="128"/>
      <c r="AD106" s="33"/>
      <c r="AE106" s="55"/>
    </row>
    <row r="107" spans="2:31" ht="20.100000000000001" customHeight="1">
      <c r="B107" s="48">
        <v>109</v>
      </c>
      <c r="C107" s="121" t="s">
        <v>701</v>
      </c>
      <c r="D107" s="120" t="s">
        <v>349</v>
      </c>
      <c r="E107" s="120">
        <v>2508</v>
      </c>
      <c r="F107" s="120" t="s">
        <v>700</v>
      </c>
      <c r="G107" s="120" t="s">
        <v>699</v>
      </c>
      <c r="H107" s="49">
        <v>5</v>
      </c>
      <c r="I107" s="50" t="s">
        <v>287</v>
      </c>
      <c r="J107" s="124" t="s">
        <v>745</v>
      </c>
      <c r="K107" s="50" t="s">
        <v>181</v>
      </c>
      <c r="L107" s="50" t="s">
        <v>521</v>
      </c>
      <c r="M107" s="56" t="s">
        <v>12</v>
      </c>
      <c r="N107" s="122" t="s">
        <v>665</v>
      </c>
      <c r="O107" s="57">
        <v>5</v>
      </c>
      <c r="P107" s="45">
        <v>19200</v>
      </c>
      <c r="Q107" s="58">
        <f t="shared" si="11"/>
        <v>96000</v>
      </c>
      <c r="R107" s="129" t="s">
        <v>684</v>
      </c>
      <c r="S107" s="19"/>
      <c r="T107" s="32"/>
      <c r="U107" s="32"/>
      <c r="V107" s="51">
        <f t="shared" si="7"/>
        <v>22272</v>
      </c>
      <c r="W107" s="51">
        <f t="shared" si="8"/>
        <v>111360</v>
      </c>
      <c r="X107" s="52">
        <f t="shared" si="9"/>
        <v>14.98</v>
      </c>
      <c r="Y107" s="53">
        <f t="shared" si="10"/>
        <v>74.900000000000006</v>
      </c>
      <c r="Z107" s="54"/>
      <c r="AA107" s="71"/>
      <c r="AB107" s="71"/>
      <c r="AC107" s="128"/>
      <c r="AD107" s="33"/>
      <c r="AE107" s="55"/>
    </row>
    <row r="108" spans="2:31" ht="20.100000000000001" customHeight="1">
      <c r="B108" s="48">
        <v>110</v>
      </c>
      <c r="C108" s="121" t="s">
        <v>701</v>
      </c>
      <c r="D108" s="120" t="s">
        <v>349</v>
      </c>
      <c r="E108" s="120">
        <v>2508</v>
      </c>
      <c r="F108" s="120" t="s">
        <v>700</v>
      </c>
      <c r="G108" s="120" t="s">
        <v>699</v>
      </c>
      <c r="H108" s="49">
        <v>6</v>
      </c>
      <c r="I108" s="50" t="s">
        <v>528</v>
      </c>
      <c r="J108" s="124" t="s">
        <v>744</v>
      </c>
      <c r="K108" s="50" t="s">
        <v>181</v>
      </c>
      <c r="L108" s="50" t="s">
        <v>521</v>
      </c>
      <c r="M108" s="56" t="s">
        <v>12</v>
      </c>
      <c r="N108" s="122" t="s">
        <v>665</v>
      </c>
      <c r="O108" s="57">
        <v>2</v>
      </c>
      <c r="P108" s="45">
        <v>4700</v>
      </c>
      <c r="Q108" s="58">
        <f t="shared" si="11"/>
        <v>9400</v>
      </c>
      <c r="R108" s="129" t="s">
        <v>1025</v>
      </c>
      <c r="S108" s="19"/>
      <c r="T108" s="32"/>
      <c r="U108" s="32"/>
      <c r="V108" s="51">
        <f t="shared" si="7"/>
        <v>5452</v>
      </c>
      <c r="W108" s="51">
        <f t="shared" si="8"/>
        <v>10904</v>
      </c>
      <c r="X108" s="52">
        <f t="shared" si="9"/>
        <v>3.67</v>
      </c>
      <c r="Y108" s="53">
        <f t="shared" si="10"/>
        <v>7.34</v>
      </c>
      <c r="Z108" s="54"/>
      <c r="AA108" s="71"/>
      <c r="AB108" s="71"/>
      <c r="AC108" s="128"/>
      <c r="AD108" s="33"/>
      <c r="AE108" s="55"/>
    </row>
    <row r="109" spans="2:31" ht="20.100000000000001" customHeight="1">
      <c r="B109" s="48">
        <v>111</v>
      </c>
      <c r="C109" s="121" t="s">
        <v>701</v>
      </c>
      <c r="D109" s="120" t="s">
        <v>349</v>
      </c>
      <c r="E109" s="120">
        <v>2508</v>
      </c>
      <c r="F109" s="120" t="s">
        <v>700</v>
      </c>
      <c r="G109" s="120" t="s">
        <v>699</v>
      </c>
      <c r="H109" s="49">
        <v>5</v>
      </c>
      <c r="I109" s="50" t="s">
        <v>182</v>
      </c>
      <c r="J109" s="124" t="s">
        <v>185</v>
      </c>
      <c r="K109" s="50" t="s">
        <v>181</v>
      </c>
      <c r="L109" s="50" t="s">
        <v>521</v>
      </c>
      <c r="M109" s="56" t="s">
        <v>12</v>
      </c>
      <c r="N109" s="122" t="s">
        <v>665</v>
      </c>
      <c r="O109" s="57">
        <v>4</v>
      </c>
      <c r="P109" s="45">
        <v>34900</v>
      </c>
      <c r="Q109" s="58">
        <f t="shared" si="11"/>
        <v>139600</v>
      </c>
      <c r="R109" s="129" t="s">
        <v>684</v>
      </c>
      <c r="S109" s="19"/>
      <c r="T109" s="32"/>
      <c r="U109" s="32"/>
      <c r="V109" s="51">
        <f t="shared" si="7"/>
        <v>40484</v>
      </c>
      <c r="W109" s="51">
        <f t="shared" si="8"/>
        <v>161936</v>
      </c>
      <c r="X109" s="52">
        <f t="shared" si="9"/>
        <v>27.23</v>
      </c>
      <c r="Y109" s="53">
        <f t="shared" si="10"/>
        <v>108.92</v>
      </c>
      <c r="Z109" s="54"/>
      <c r="AA109" s="71"/>
      <c r="AB109" s="71"/>
      <c r="AC109" s="128"/>
      <c r="AD109" s="33"/>
      <c r="AE109" s="55"/>
    </row>
    <row r="110" spans="2:31" ht="20.100000000000001" customHeight="1">
      <c r="B110" s="48">
        <v>112</v>
      </c>
      <c r="C110" s="121" t="s">
        <v>701</v>
      </c>
      <c r="D110" s="120" t="s">
        <v>349</v>
      </c>
      <c r="E110" s="120">
        <v>2508</v>
      </c>
      <c r="F110" s="120" t="s">
        <v>700</v>
      </c>
      <c r="G110" s="120" t="s">
        <v>699</v>
      </c>
      <c r="H110" s="49">
        <v>5</v>
      </c>
      <c r="I110" s="50" t="s">
        <v>180</v>
      </c>
      <c r="J110" s="124" t="s">
        <v>184</v>
      </c>
      <c r="K110" s="50" t="s">
        <v>181</v>
      </c>
      <c r="L110" s="50" t="s">
        <v>521</v>
      </c>
      <c r="M110" s="56" t="s">
        <v>12</v>
      </c>
      <c r="N110" s="122" t="s">
        <v>665</v>
      </c>
      <c r="O110" s="57">
        <v>10</v>
      </c>
      <c r="P110" s="45">
        <v>8700</v>
      </c>
      <c r="Q110" s="58">
        <f t="shared" si="11"/>
        <v>87000</v>
      </c>
      <c r="R110" s="129" t="s">
        <v>684</v>
      </c>
      <c r="S110" s="19"/>
      <c r="T110" s="32"/>
      <c r="U110" s="32"/>
      <c r="V110" s="51">
        <f t="shared" si="7"/>
        <v>10092</v>
      </c>
      <c r="W110" s="51">
        <f t="shared" si="8"/>
        <v>100920</v>
      </c>
      <c r="X110" s="52">
        <f t="shared" si="9"/>
        <v>6.79</v>
      </c>
      <c r="Y110" s="53">
        <f t="shared" si="10"/>
        <v>67.900000000000006</v>
      </c>
      <c r="Z110" s="54"/>
      <c r="AA110" s="71"/>
      <c r="AB110" s="71"/>
      <c r="AC110" s="128"/>
      <c r="AD110" s="33"/>
      <c r="AE110" s="55"/>
    </row>
    <row r="111" spans="2:31" ht="20.100000000000001" customHeight="1">
      <c r="B111" s="48">
        <v>113</v>
      </c>
      <c r="C111" s="121" t="s">
        <v>701</v>
      </c>
      <c r="D111" s="120" t="s">
        <v>349</v>
      </c>
      <c r="E111" s="120">
        <v>2508</v>
      </c>
      <c r="F111" s="120" t="s">
        <v>700</v>
      </c>
      <c r="G111" s="120" t="s">
        <v>699</v>
      </c>
      <c r="H111" s="49">
        <v>5</v>
      </c>
      <c r="I111" s="50" t="s">
        <v>737</v>
      </c>
      <c r="J111" s="124" t="s">
        <v>743</v>
      </c>
      <c r="K111" s="50" t="s">
        <v>118</v>
      </c>
      <c r="L111" s="50" t="s">
        <v>601</v>
      </c>
      <c r="M111" s="56" t="s">
        <v>12</v>
      </c>
      <c r="N111" s="122" t="s">
        <v>665</v>
      </c>
      <c r="O111" s="57">
        <v>2</v>
      </c>
      <c r="P111" s="45">
        <v>8400</v>
      </c>
      <c r="Q111" s="58">
        <f t="shared" si="11"/>
        <v>16800</v>
      </c>
      <c r="R111" s="129" t="s">
        <v>684</v>
      </c>
      <c r="S111" s="19"/>
      <c r="T111" s="32"/>
      <c r="U111" s="32"/>
      <c r="V111" s="51">
        <f t="shared" si="7"/>
        <v>9744</v>
      </c>
      <c r="W111" s="51">
        <f t="shared" si="8"/>
        <v>19488</v>
      </c>
      <c r="X111" s="52">
        <f t="shared" si="9"/>
        <v>6.55</v>
      </c>
      <c r="Y111" s="53">
        <f t="shared" si="10"/>
        <v>13.1</v>
      </c>
      <c r="Z111" s="54"/>
      <c r="AA111" s="71"/>
      <c r="AB111" s="71"/>
      <c r="AC111" s="128"/>
      <c r="AD111" s="33"/>
      <c r="AE111" s="55"/>
    </row>
    <row r="112" spans="2:31" ht="20.100000000000001" customHeight="1">
      <c r="B112" s="48">
        <v>114</v>
      </c>
      <c r="C112" s="121" t="s">
        <v>701</v>
      </c>
      <c r="D112" s="120" t="s">
        <v>349</v>
      </c>
      <c r="E112" s="120">
        <v>2508</v>
      </c>
      <c r="F112" s="120" t="s">
        <v>700</v>
      </c>
      <c r="G112" s="120" t="s">
        <v>699</v>
      </c>
      <c r="H112" s="49">
        <v>5</v>
      </c>
      <c r="I112" s="50" t="s">
        <v>737</v>
      </c>
      <c r="J112" s="124" t="s">
        <v>742</v>
      </c>
      <c r="K112" s="50" t="s">
        <v>118</v>
      </c>
      <c r="L112" s="50" t="s">
        <v>601</v>
      </c>
      <c r="M112" s="56" t="s">
        <v>12</v>
      </c>
      <c r="N112" s="122" t="s">
        <v>665</v>
      </c>
      <c r="O112" s="57">
        <v>2</v>
      </c>
      <c r="P112" s="45">
        <v>18500</v>
      </c>
      <c r="Q112" s="58">
        <f t="shared" si="11"/>
        <v>37000</v>
      </c>
      <c r="R112" s="129" t="s">
        <v>684</v>
      </c>
      <c r="S112" s="19"/>
      <c r="T112" s="32"/>
      <c r="U112" s="32"/>
      <c r="V112" s="51">
        <f t="shared" si="7"/>
        <v>21460</v>
      </c>
      <c r="W112" s="51">
        <f t="shared" si="8"/>
        <v>42920</v>
      </c>
      <c r="X112" s="52">
        <f t="shared" si="9"/>
        <v>14.44</v>
      </c>
      <c r="Y112" s="53">
        <f t="shared" si="10"/>
        <v>28.88</v>
      </c>
      <c r="Z112" s="54"/>
      <c r="AA112" s="71"/>
      <c r="AB112" s="71"/>
      <c r="AC112" s="128"/>
      <c r="AD112" s="33"/>
      <c r="AE112" s="55"/>
    </row>
    <row r="113" spans="2:31" ht="20.100000000000001" customHeight="1">
      <c r="B113" s="48">
        <v>115</v>
      </c>
      <c r="C113" s="121" t="s">
        <v>701</v>
      </c>
      <c r="D113" s="120" t="s">
        <v>349</v>
      </c>
      <c r="E113" s="120">
        <v>2508</v>
      </c>
      <c r="F113" s="120" t="s">
        <v>700</v>
      </c>
      <c r="G113" s="120" t="s">
        <v>699</v>
      </c>
      <c r="H113" s="49">
        <v>5</v>
      </c>
      <c r="I113" s="50" t="s">
        <v>737</v>
      </c>
      <c r="J113" s="124" t="s">
        <v>741</v>
      </c>
      <c r="K113" s="50" t="s">
        <v>118</v>
      </c>
      <c r="L113" s="50" t="s">
        <v>601</v>
      </c>
      <c r="M113" s="56" t="s">
        <v>12</v>
      </c>
      <c r="N113" s="122" t="s">
        <v>665</v>
      </c>
      <c r="O113" s="57">
        <v>2</v>
      </c>
      <c r="P113" s="45">
        <v>8400</v>
      </c>
      <c r="Q113" s="58">
        <f t="shared" si="11"/>
        <v>16800</v>
      </c>
      <c r="R113" s="129" t="s">
        <v>684</v>
      </c>
      <c r="S113" s="19"/>
      <c r="T113" s="32"/>
      <c r="U113" s="32"/>
      <c r="V113" s="51">
        <f t="shared" si="7"/>
        <v>9744</v>
      </c>
      <c r="W113" s="51">
        <f t="shared" si="8"/>
        <v>19488</v>
      </c>
      <c r="X113" s="52">
        <f t="shared" si="9"/>
        <v>6.55</v>
      </c>
      <c r="Y113" s="53">
        <f t="shared" si="10"/>
        <v>13.1</v>
      </c>
      <c r="Z113" s="54"/>
      <c r="AA113" s="71"/>
      <c r="AB113" s="71"/>
      <c r="AC113" s="128"/>
      <c r="AD113" s="33"/>
      <c r="AE113" s="55"/>
    </row>
    <row r="114" spans="2:31" ht="20.100000000000001" customHeight="1">
      <c r="B114" s="48">
        <v>116</v>
      </c>
      <c r="C114" s="121" t="s">
        <v>701</v>
      </c>
      <c r="D114" s="120" t="s">
        <v>349</v>
      </c>
      <c r="E114" s="120">
        <v>2508</v>
      </c>
      <c r="F114" s="120" t="s">
        <v>700</v>
      </c>
      <c r="G114" s="120" t="s">
        <v>699</v>
      </c>
      <c r="H114" s="49">
        <v>5</v>
      </c>
      <c r="I114" s="50" t="s">
        <v>737</v>
      </c>
      <c r="J114" s="124" t="s">
        <v>740</v>
      </c>
      <c r="K114" s="50" t="s">
        <v>118</v>
      </c>
      <c r="L114" s="50" t="s">
        <v>601</v>
      </c>
      <c r="M114" s="56" t="s">
        <v>12</v>
      </c>
      <c r="N114" s="122" t="s">
        <v>665</v>
      </c>
      <c r="O114" s="57">
        <v>2</v>
      </c>
      <c r="P114" s="45">
        <v>22500</v>
      </c>
      <c r="Q114" s="58">
        <f t="shared" si="11"/>
        <v>45000</v>
      </c>
      <c r="R114" s="129" t="s">
        <v>684</v>
      </c>
      <c r="S114" s="19"/>
      <c r="T114" s="32"/>
      <c r="U114" s="32"/>
      <c r="V114" s="51">
        <f t="shared" si="7"/>
        <v>26100</v>
      </c>
      <c r="W114" s="51">
        <f t="shared" si="8"/>
        <v>52200</v>
      </c>
      <c r="X114" s="52">
        <f t="shared" si="9"/>
        <v>17.559999999999999</v>
      </c>
      <c r="Y114" s="53">
        <f t="shared" si="10"/>
        <v>35.119999999999997</v>
      </c>
      <c r="Z114" s="54"/>
      <c r="AA114" s="71"/>
      <c r="AB114" s="71"/>
      <c r="AC114" s="128"/>
      <c r="AD114" s="33"/>
      <c r="AE114" s="55"/>
    </row>
    <row r="115" spans="2:31" ht="20.100000000000001" customHeight="1">
      <c r="B115" s="48">
        <v>117</v>
      </c>
      <c r="C115" s="121" t="s">
        <v>701</v>
      </c>
      <c r="D115" s="120" t="s">
        <v>349</v>
      </c>
      <c r="E115" s="120">
        <v>2508</v>
      </c>
      <c r="F115" s="120" t="s">
        <v>700</v>
      </c>
      <c r="G115" s="120" t="s">
        <v>699</v>
      </c>
      <c r="H115" s="49">
        <v>5</v>
      </c>
      <c r="I115" s="50" t="s">
        <v>737</v>
      </c>
      <c r="J115" s="124" t="s">
        <v>739</v>
      </c>
      <c r="K115" s="50" t="s">
        <v>118</v>
      </c>
      <c r="L115" s="50" t="s">
        <v>601</v>
      </c>
      <c r="M115" s="56" t="s">
        <v>12</v>
      </c>
      <c r="N115" s="122" t="s">
        <v>665</v>
      </c>
      <c r="O115" s="57">
        <v>2</v>
      </c>
      <c r="P115" s="45">
        <v>27500</v>
      </c>
      <c r="Q115" s="58">
        <f t="shared" si="11"/>
        <v>55000</v>
      </c>
      <c r="R115" s="129" t="s">
        <v>684</v>
      </c>
      <c r="S115" s="19"/>
      <c r="T115" s="32"/>
      <c r="U115" s="32"/>
      <c r="V115" s="51">
        <f t="shared" si="7"/>
        <v>31899.999999999996</v>
      </c>
      <c r="W115" s="51">
        <f t="shared" si="8"/>
        <v>63799.999999999993</v>
      </c>
      <c r="X115" s="52">
        <f t="shared" si="9"/>
        <v>21.46</v>
      </c>
      <c r="Y115" s="53">
        <f t="shared" si="10"/>
        <v>42.92</v>
      </c>
      <c r="Z115" s="54"/>
      <c r="AA115" s="71"/>
      <c r="AB115" s="71"/>
      <c r="AC115" s="128"/>
      <c r="AD115" s="33"/>
      <c r="AE115" s="55"/>
    </row>
    <row r="116" spans="2:31" ht="20.100000000000001" customHeight="1">
      <c r="B116" s="48">
        <v>118</v>
      </c>
      <c r="C116" s="121" t="s">
        <v>701</v>
      </c>
      <c r="D116" s="120" t="s">
        <v>349</v>
      </c>
      <c r="E116" s="120">
        <v>2508</v>
      </c>
      <c r="F116" s="120" t="s">
        <v>700</v>
      </c>
      <c r="G116" s="120" t="s">
        <v>699</v>
      </c>
      <c r="H116" s="49">
        <v>5</v>
      </c>
      <c r="I116" s="50" t="s">
        <v>737</v>
      </c>
      <c r="J116" s="124" t="s">
        <v>738</v>
      </c>
      <c r="K116" s="50" t="s">
        <v>118</v>
      </c>
      <c r="L116" s="50" t="s">
        <v>601</v>
      </c>
      <c r="M116" s="56" t="s">
        <v>12</v>
      </c>
      <c r="N116" s="122" t="s">
        <v>665</v>
      </c>
      <c r="O116" s="57">
        <v>4</v>
      </c>
      <c r="P116" s="45">
        <v>10000</v>
      </c>
      <c r="Q116" s="58">
        <f t="shared" si="11"/>
        <v>40000</v>
      </c>
      <c r="R116" s="129" t="s">
        <v>684</v>
      </c>
      <c r="S116" s="19"/>
      <c r="T116" s="32"/>
      <c r="U116" s="32"/>
      <c r="V116" s="51">
        <f t="shared" si="7"/>
        <v>11600</v>
      </c>
      <c r="W116" s="51">
        <f t="shared" si="8"/>
        <v>46400</v>
      </c>
      <c r="X116" s="52">
        <f t="shared" si="9"/>
        <v>7.8</v>
      </c>
      <c r="Y116" s="53">
        <f t="shared" si="10"/>
        <v>31.2</v>
      </c>
      <c r="Z116" s="54"/>
      <c r="AA116" s="71"/>
      <c r="AB116" s="71"/>
      <c r="AC116" s="128"/>
      <c r="AD116" s="33"/>
      <c r="AE116" s="55"/>
    </row>
    <row r="117" spans="2:31" ht="20.100000000000001" customHeight="1">
      <c r="B117" s="48">
        <v>119</v>
      </c>
      <c r="C117" s="121" t="s">
        <v>701</v>
      </c>
      <c r="D117" s="120" t="s">
        <v>349</v>
      </c>
      <c r="E117" s="120">
        <v>2508</v>
      </c>
      <c r="F117" s="120" t="s">
        <v>700</v>
      </c>
      <c r="G117" s="120" t="s">
        <v>699</v>
      </c>
      <c r="H117" s="49">
        <v>5</v>
      </c>
      <c r="I117" s="50" t="s">
        <v>737</v>
      </c>
      <c r="J117" s="124" t="s">
        <v>736</v>
      </c>
      <c r="K117" s="50" t="s">
        <v>118</v>
      </c>
      <c r="L117" s="50" t="s">
        <v>601</v>
      </c>
      <c r="M117" s="56" t="s">
        <v>12</v>
      </c>
      <c r="N117" s="122" t="s">
        <v>665</v>
      </c>
      <c r="O117" s="57">
        <v>2</v>
      </c>
      <c r="P117" s="45">
        <v>14000</v>
      </c>
      <c r="Q117" s="58">
        <f t="shared" si="11"/>
        <v>28000</v>
      </c>
      <c r="R117" s="129" t="s">
        <v>684</v>
      </c>
      <c r="S117" s="19"/>
      <c r="T117" s="32"/>
      <c r="U117" s="32"/>
      <c r="V117" s="51">
        <f t="shared" si="7"/>
        <v>16239.999999999998</v>
      </c>
      <c r="W117" s="51">
        <f t="shared" si="8"/>
        <v>32479.999999999996</v>
      </c>
      <c r="X117" s="52">
        <f t="shared" si="9"/>
        <v>10.92</v>
      </c>
      <c r="Y117" s="53">
        <f t="shared" si="10"/>
        <v>21.84</v>
      </c>
      <c r="Z117" s="54"/>
      <c r="AA117" s="71"/>
      <c r="AB117" s="71"/>
      <c r="AC117" s="128"/>
      <c r="AD117" s="33"/>
      <c r="AE117" s="55"/>
    </row>
    <row r="118" spans="2:31" ht="20.100000000000001" customHeight="1">
      <c r="B118" s="48">
        <v>120</v>
      </c>
      <c r="C118" s="121" t="s">
        <v>701</v>
      </c>
      <c r="D118" s="120" t="s">
        <v>349</v>
      </c>
      <c r="E118" s="120">
        <v>2508</v>
      </c>
      <c r="F118" s="120" t="s">
        <v>700</v>
      </c>
      <c r="G118" s="120" t="s">
        <v>699</v>
      </c>
      <c r="H118" s="49" t="s">
        <v>1022</v>
      </c>
      <c r="I118" s="50" t="s">
        <v>228</v>
      </c>
      <c r="J118" s="124" t="s">
        <v>300</v>
      </c>
      <c r="K118" s="50" t="s">
        <v>229</v>
      </c>
      <c r="L118" s="50" t="s">
        <v>614</v>
      </c>
      <c r="M118" s="56" t="s">
        <v>12</v>
      </c>
      <c r="N118" s="122" t="s">
        <v>665</v>
      </c>
      <c r="O118" s="57">
        <v>2</v>
      </c>
      <c r="P118" s="45">
        <v>2280000</v>
      </c>
      <c r="Q118" s="58">
        <f t="shared" si="11"/>
        <v>4560000</v>
      </c>
      <c r="R118" s="141" t="s">
        <v>735</v>
      </c>
      <c r="S118" s="19"/>
      <c r="T118" s="32"/>
      <c r="U118" s="32"/>
      <c r="V118" s="51">
        <f t="shared" si="7"/>
        <v>2644800</v>
      </c>
      <c r="W118" s="51">
        <f t="shared" si="8"/>
        <v>5289600</v>
      </c>
      <c r="X118" s="52">
        <f t="shared" si="9"/>
        <v>1779.05</v>
      </c>
      <c r="Y118" s="53">
        <f t="shared" si="10"/>
        <v>3558.1</v>
      </c>
      <c r="Z118" s="54"/>
      <c r="AA118" s="71"/>
      <c r="AB118" s="71"/>
      <c r="AC118" s="128"/>
      <c r="AD118" s="33"/>
      <c r="AE118" s="55"/>
    </row>
    <row r="119" spans="2:31" ht="20.100000000000001" customHeight="1">
      <c r="B119" s="48">
        <v>122</v>
      </c>
      <c r="C119" s="121" t="s">
        <v>701</v>
      </c>
      <c r="D119" s="120" t="s">
        <v>349</v>
      </c>
      <c r="E119" s="120">
        <v>2508</v>
      </c>
      <c r="F119" s="120" t="s">
        <v>700</v>
      </c>
      <c r="G119" s="120" t="s">
        <v>699</v>
      </c>
      <c r="H119" s="49">
        <v>2</v>
      </c>
      <c r="I119" s="50" t="s">
        <v>63</v>
      </c>
      <c r="J119" s="124" t="s">
        <v>179</v>
      </c>
      <c r="K119" s="50" t="s">
        <v>178</v>
      </c>
      <c r="L119" s="50" t="s">
        <v>522</v>
      </c>
      <c r="M119" s="56" t="s">
        <v>12</v>
      </c>
      <c r="N119" s="122" t="s">
        <v>665</v>
      </c>
      <c r="O119" s="57">
        <v>14</v>
      </c>
      <c r="P119" s="45">
        <v>97000</v>
      </c>
      <c r="Q119" s="58">
        <f t="shared" si="11"/>
        <v>1358000</v>
      </c>
      <c r="R119" s="129" t="s">
        <v>1017</v>
      </c>
      <c r="S119" s="19"/>
      <c r="T119" s="32"/>
      <c r="U119" s="32"/>
      <c r="V119" s="51">
        <f t="shared" si="7"/>
        <v>112519.99999999999</v>
      </c>
      <c r="W119" s="51">
        <f t="shared" si="8"/>
        <v>1575279.9999999998</v>
      </c>
      <c r="X119" s="52">
        <f t="shared" si="9"/>
        <v>75.69</v>
      </c>
      <c r="Y119" s="53">
        <f t="shared" si="10"/>
        <v>1059.6599999999999</v>
      </c>
      <c r="Z119" s="54"/>
      <c r="AA119" s="71"/>
      <c r="AB119" s="71"/>
      <c r="AC119" s="128"/>
      <c r="AD119" s="33"/>
      <c r="AE119" s="55"/>
    </row>
    <row r="120" spans="2:31" ht="20.100000000000001" customHeight="1">
      <c r="B120" s="48">
        <v>123</v>
      </c>
      <c r="C120" s="121" t="s">
        <v>701</v>
      </c>
      <c r="D120" s="120" t="s">
        <v>349</v>
      </c>
      <c r="E120" s="120">
        <v>2508</v>
      </c>
      <c r="F120" s="120" t="s">
        <v>700</v>
      </c>
      <c r="G120" s="120" t="s">
        <v>699</v>
      </c>
      <c r="H120" s="49">
        <v>7</v>
      </c>
      <c r="I120" s="50" t="s">
        <v>25</v>
      </c>
      <c r="J120" s="124" t="s">
        <v>1006</v>
      </c>
      <c r="K120" s="50" t="s">
        <v>1005</v>
      </c>
      <c r="L120" s="50" t="s">
        <v>734</v>
      </c>
      <c r="M120" s="56" t="s">
        <v>12</v>
      </c>
      <c r="N120" s="122" t="s">
        <v>722</v>
      </c>
      <c r="O120" s="57">
        <v>2</v>
      </c>
      <c r="P120" s="45">
        <v>19400</v>
      </c>
      <c r="Q120" s="58">
        <f t="shared" si="11"/>
        <v>38800</v>
      </c>
      <c r="R120" s="129" t="s">
        <v>1020</v>
      </c>
      <c r="S120" s="19"/>
      <c r="T120" s="32"/>
      <c r="U120" s="32"/>
      <c r="V120" s="51">
        <f t="shared" si="7"/>
        <v>22504</v>
      </c>
      <c r="W120" s="51">
        <f t="shared" si="8"/>
        <v>45008</v>
      </c>
      <c r="X120" s="52">
        <f t="shared" si="9"/>
        <v>15.14</v>
      </c>
      <c r="Y120" s="53">
        <f t="shared" si="10"/>
        <v>30.28</v>
      </c>
      <c r="Z120" s="54"/>
      <c r="AA120" s="71"/>
      <c r="AB120" s="71"/>
      <c r="AC120" s="128"/>
      <c r="AD120" s="33"/>
      <c r="AE120" s="55"/>
    </row>
    <row r="121" spans="2:31" ht="20.100000000000001" customHeight="1">
      <c r="B121" s="48">
        <v>124</v>
      </c>
      <c r="C121" s="121" t="s">
        <v>701</v>
      </c>
      <c r="D121" s="120" t="s">
        <v>349</v>
      </c>
      <c r="E121" s="120">
        <v>2508</v>
      </c>
      <c r="F121" s="120" t="s">
        <v>700</v>
      </c>
      <c r="G121" s="120" t="s">
        <v>699</v>
      </c>
      <c r="H121" s="49">
        <v>7</v>
      </c>
      <c r="I121" s="50" t="s">
        <v>25</v>
      </c>
      <c r="J121" s="124" t="s">
        <v>1007</v>
      </c>
      <c r="K121" s="50" t="s">
        <v>1005</v>
      </c>
      <c r="L121" s="50" t="s">
        <v>734</v>
      </c>
      <c r="M121" s="56" t="s">
        <v>12</v>
      </c>
      <c r="N121" s="122" t="s">
        <v>722</v>
      </c>
      <c r="O121" s="57">
        <v>2</v>
      </c>
      <c r="P121" s="45">
        <v>80800</v>
      </c>
      <c r="Q121" s="58">
        <f t="shared" si="11"/>
        <v>161600</v>
      </c>
      <c r="R121" s="129" t="s">
        <v>1020</v>
      </c>
      <c r="S121" s="19"/>
      <c r="T121" s="32"/>
      <c r="U121" s="32"/>
      <c r="V121" s="51">
        <f t="shared" si="7"/>
        <v>93728</v>
      </c>
      <c r="W121" s="51">
        <f t="shared" si="8"/>
        <v>187456</v>
      </c>
      <c r="X121" s="52">
        <f t="shared" si="9"/>
        <v>63.05</v>
      </c>
      <c r="Y121" s="53">
        <f t="shared" si="10"/>
        <v>126.1</v>
      </c>
      <c r="Z121" s="54"/>
      <c r="AA121" s="71"/>
      <c r="AB121" s="71"/>
      <c r="AC121" s="128"/>
      <c r="AD121" s="33"/>
      <c r="AE121" s="55"/>
    </row>
    <row r="122" spans="2:31" ht="20.100000000000001" customHeight="1">
      <c r="B122" s="48">
        <v>125</v>
      </c>
      <c r="C122" s="121" t="s">
        <v>701</v>
      </c>
      <c r="D122" s="120" t="s">
        <v>349</v>
      </c>
      <c r="E122" s="120">
        <v>2508</v>
      </c>
      <c r="F122" s="120" t="s">
        <v>700</v>
      </c>
      <c r="G122" s="120" t="s">
        <v>699</v>
      </c>
      <c r="H122" s="49">
        <v>7</v>
      </c>
      <c r="I122" s="50" t="s">
        <v>25</v>
      </c>
      <c r="J122" s="124" t="s">
        <v>1008</v>
      </c>
      <c r="K122" s="50" t="s">
        <v>1005</v>
      </c>
      <c r="L122" s="50" t="s">
        <v>734</v>
      </c>
      <c r="M122" s="56" t="s">
        <v>12</v>
      </c>
      <c r="N122" s="122" t="s">
        <v>722</v>
      </c>
      <c r="O122" s="57">
        <v>2</v>
      </c>
      <c r="P122" s="45">
        <v>43100</v>
      </c>
      <c r="Q122" s="58">
        <f t="shared" si="11"/>
        <v>86200</v>
      </c>
      <c r="R122" s="129" t="s">
        <v>1020</v>
      </c>
      <c r="S122" s="19"/>
      <c r="T122" s="32"/>
      <c r="U122" s="32"/>
      <c r="V122" s="51">
        <f t="shared" si="7"/>
        <v>49996</v>
      </c>
      <c r="W122" s="51">
        <f t="shared" si="8"/>
        <v>99992</v>
      </c>
      <c r="X122" s="52">
        <f t="shared" si="9"/>
        <v>33.630000000000003</v>
      </c>
      <c r="Y122" s="53">
        <f t="shared" si="10"/>
        <v>67.260000000000005</v>
      </c>
      <c r="Z122" s="54"/>
      <c r="AA122" s="71"/>
      <c r="AB122" s="71"/>
      <c r="AC122" s="128"/>
      <c r="AD122" s="33"/>
      <c r="AE122" s="55"/>
    </row>
    <row r="123" spans="2:31" ht="20.100000000000001" customHeight="1">
      <c r="B123" s="48">
        <v>126</v>
      </c>
      <c r="C123" s="121" t="s">
        <v>701</v>
      </c>
      <c r="D123" s="120" t="s">
        <v>349</v>
      </c>
      <c r="E123" s="120">
        <v>2508</v>
      </c>
      <c r="F123" s="120" t="s">
        <v>700</v>
      </c>
      <c r="G123" s="120" t="s">
        <v>699</v>
      </c>
      <c r="H123" s="49">
        <v>7</v>
      </c>
      <c r="I123" s="50" t="s">
        <v>25</v>
      </c>
      <c r="J123" s="124" t="s">
        <v>1009</v>
      </c>
      <c r="K123" s="50" t="s">
        <v>1005</v>
      </c>
      <c r="L123" s="50" t="s">
        <v>734</v>
      </c>
      <c r="M123" s="56" t="s">
        <v>12</v>
      </c>
      <c r="N123" s="122" t="s">
        <v>722</v>
      </c>
      <c r="O123" s="57">
        <v>2</v>
      </c>
      <c r="P123" s="45">
        <v>48600</v>
      </c>
      <c r="Q123" s="58">
        <f t="shared" si="11"/>
        <v>97200</v>
      </c>
      <c r="R123" s="129" t="s">
        <v>1020</v>
      </c>
      <c r="S123" s="19"/>
      <c r="T123" s="32"/>
      <c r="U123" s="32"/>
      <c r="V123" s="51">
        <f t="shared" si="7"/>
        <v>56375.999999999993</v>
      </c>
      <c r="W123" s="51">
        <f t="shared" si="8"/>
        <v>112751.99999999999</v>
      </c>
      <c r="X123" s="52">
        <f t="shared" si="9"/>
        <v>37.92</v>
      </c>
      <c r="Y123" s="53">
        <f t="shared" si="10"/>
        <v>75.84</v>
      </c>
      <c r="Z123" s="54"/>
      <c r="AA123" s="71"/>
      <c r="AB123" s="71"/>
      <c r="AC123" s="128"/>
      <c r="AD123" s="33"/>
      <c r="AE123" s="55"/>
    </row>
    <row r="124" spans="2:31" ht="20.100000000000001" customHeight="1">
      <c r="B124" s="48">
        <v>127</v>
      </c>
      <c r="C124" s="121" t="s">
        <v>701</v>
      </c>
      <c r="D124" s="120" t="s">
        <v>349</v>
      </c>
      <c r="E124" s="120">
        <v>2508</v>
      </c>
      <c r="F124" s="120" t="s">
        <v>700</v>
      </c>
      <c r="G124" s="120" t="s">
        <v>699</v>
      </c>
      <c r="H124" s="49">
        <v>7</v>
      </c>
      <c r="I124" s="50" t="s">
        <v>25</v>
      </c>
      <c r="J124" s="124" t="s">
        <v>1012</v>
      </c>
      <c r="K124" s="50" t="s">
        <v>1010</v>
      </c>
      <c r="L124" s="50" t="s">
        <v>734</v>
      </c>
      <c r="M124" s="56" t="s">
        <v>12</v>
      </c>
      <c r="N124" s="122" t="s">
        <v>722</v>
      </c>
      <c r="O124" s="57">
        <v>2</v>
      </c>
      <c r="P124" s="45">
        <v>28000</v>
      </c>
      <c r="Q124" s="58">
        <f t="shared" si="11"/>
        <v>56000</v>
      </c>
      <c r="R124" s="129" t="s">
        <v>1020</v>
      </c>
      <c r="S124" s="19"/>
      <c r="T124" s="32"/>
      <c r="U124" s="32"/>
      <c r="V124" s="51">
        <f t="shared" si="7"/>
        <v>32479.999999999996</v>
      </c>
      <c r="W124" s="51">
        <f t="shared" si="8"/>
        <v>64959.999999999993</v>
      </c>
      <c r="X124" s="52">
        <f t="shared" si="9"/>
        <v>21.85</v>
      </c>
      <c r="Y124" s="53">
        <f t="shared" si="10"/>
        <v>43.7</v>
      </c>
      <c r="Z124" s="54"/>
      <c r="AA124" s="71"/>
      <c r="AB124" s="71"/>
      <c r="AC124" s="128"/>
      <c r="AD124" s="33"/>
      <c r="AE124" s="55"/>
    </row>
    <row r="125" spans="2:31" ht="20.100000000000001" customHeight="1">
      <c r="B125" s="48">
        <v>128</v>
      </c>
      <c r="C125" s="121" t="s">
        <v>701</v>
      </c>
      <c r="D125" s="120" t="s">
        <v>349</v>
      </c>
      <c r="E125" s="120">
        <v>2508</v>
      </c>
      <c r="F125" s="120" t="s">
        <v>700</v>
      </c>
      <c r="G125" s="120" t="s">
        <v>699</v>
      </c>
      <c r="H125" s="49">
        <v>7</v>
      </c>
      <c r="I125" s="50" t="s">
        <v>25</v>
      </c>
      <c r="J125" s="124" t="s">
        <v>1013</v>
      </c>
      <c r="K125" s="50" t="s">
        <v>1005</v>
      </c>
      <c r="L125" s="50" t="s">
        <v>734</v>
      </c>
      <c r="M125" s="56" t="s">
        <v>12</v>
      </c>
      <c r="N125" s="122" t="s">
        <v>722</v>
      </c>
      <c r="O125" s="57">
        <v>4</v>
      </c>
      <c r="P125" s="45">
        <v>44900</v>
      </c>
      <c r="Q125" s="58">
        <f t="shared" si="11"/>
        <v>179600</v>
      </c>
      <c r="R125" s="129" t="s">
        <v>1020</v>
      </c>
      <c r="S125" s="19"/>
      <c r="T125" s="32"/>
      <c r="U125" s="32"/>
      <c r="V125" s="51">
        <f t="shared" si="7"/>
        <v>52084</v>
      </c>
      <c r="W125" s="51">
        <f t="shared" si="8"/>
        <v>208336</v>
      </c>
      <c r="X125" s="52">
        <f t="shared" si="9"/>
        <v>35.03</v>
      </c>
      <c r="Y125" s="53">
        <f t="shared" si="10"/>
        <v>140.12</v>
      </c>
      <c r="Z125" s="54"/>
      <c r="AA125" s="71"/>
      <c r="AB125" s="71"/>
      <c r="AC125" s="128"/>
      <c r="AD125" s="33"/>
      <c r="AE125" s="55"/>
    </row>
    <row r="126" spans="2:31" ht="20.100000000000001" customHeight="1">
      <c r="B126" s="48">
        <v>129</v>
      </c>
      <c r="C126" s="121" t="s">
        <v>701</v>
      </c>
      <c r="D126" s="120" t="s">
        <v>349</v>
      </c>
      <c r="E126" s="120">
        <v>2508</v>
      </c>
      <c r="F126" s="120" t="s">
        <v>700</v>
      </c>
      <c r="G126" s="120" t="s">
        <v>699</v>
      </c>
      <c r="H126" s="49">
        <v>7</v>
      </c>
      <c r="I126" s="50" t="s">
        <v>25</v>
      </c>
      <c r="J126" s="124" t="s">
        <v>1014</v>
      </c>
      <c r="K126" s="50" t="s">
        <v>1005</v>
      </c>
      <c r="L126" s="50" t="s">
        <v>734</v>
      </c>
      <c r="M126" s="56" t="s">
        <v>12</v>
      </c>
      <c r="N126" s="122" t="s">
        <v>722</v>
      </c>
      <c r="O126" s="57">
        <v>2</v>
      </c>
      <c r="P126" s="45">
        <v>40700</v>
      </c>
      <c r="Q126" s="58">
        <f t="shared" ref="Q126:Q174" si="12">O126*P126</f>
        <v>81400</v>
      </c>
      <c r="R126" s="129" t="s">
        <v>1020</v>
      </c>
      <c r="S126" s="19"/>
      <c r="T126" s="32"/>
      <c r="U126" s="32"/>
      <c r="V126" s="51">
        <f t="shared" si="7"/>
        <v>47212</v>
      </c>
      <c r="W126" s="51">
        <f t="shared" si="8"/>
        <v>94424</v>
      </c>
      <c r="X126" s="52">
        <f t="shared" si="9"/>
        <v>31.76</v>
      </c>
      <c r="Y126" s="53">
        <f t="shared" si="10"/>
        <v>63.52</v>
      </c>
      <c r="Z126" s="54"/>
      <c r="AA126" s="71"/>
      <c r="AB126" s="71"/>
      <c r="AC126" s="128"/>
      <c r="AD126" s="33"/>
      <c r="AE126" s="55"/>
    </row>
    <row r="127" spans="2:31" ht="20.100000000000001" customHeight="1">
      <c r="B127" s="48">
        <v>130</v>
      </c>
      <c r="C127" s="121" t="s">
        <v>701</v>
      </c>
      <c r="D127" s="120" t="s">
        <v>349</v>
      </c>
      <c r="E127" s="120">
        <v>2508</v>
      </c>
      <c r="F127" s="120" t="s">
        <v>700</v>
      </c>
      <c r="G127" s="120" t="s">
        <v>699</v>
      </c>
      <c r="H127" s="49">
        <v>7</v>
      </c>
      <c r="I127" s="50" t="s">
        <v>25</v>
      </c>
      <c r="J127" s="124" t="s">
        <v>1015</v>
      </c>
      <c r="K127" s="50" t="s">
        <v>1011</v>
      </c>
      <c r="L127" s="50" t="s">
        <v>734</v>
      </c>
      <c r="M127" s="56" t="s">
        <v>12</v>
      </c>
      <c r="N127" s="122" t="s">
        <v>722</v>
      </c>
      <c r="O127" s="57">
        <v>2</v>
      </c>
      <c r="P127" s="45">
        <v>11400</v>
      </c>
      <c r="Q127" s="58">
        <f t="shared" si="12"/>
        <v>22800</v>
      </c>
      <c r="R127" s="129" t="s">
        <v>1020</v>
      </c>
      <c r="S127" s="19"/>
      <c r="T127" s="32"/>
      <c r="U127" s="32"/>
      <c r="V127" s="51">
        <f t="shared" si="7"/>
        <v>13223.999999999998</v>
      </c>
      <c r="W127" s="51">
        <f t="shared" si="8"/>
        <v>26447.999999999996</v>
      </c>
      <c r="X127" s="52">
        <f t="shared" si="9"/>
        <v>8.9</v>
      </c>
      <c r="Y127" s="53">
        <f t="shared" si="10"/>
        <v>17.8</v>
      </c>
      <c r="Z127" s="54"/>
      <c r="AA127" s="71"/>
      <c r="AB127" s="71"/>
      <c r="AC127" s="128"/>
      <c r="AD127" s="33"/>
      <c r="AE127" s="55"/>
    </row>
    <row r="128" spans="2:31" ht="20.100000000000001" customHeight="1">
      <c r="B128" s="48">
        <v>144</v>
      </c>
      <c r="C128" s="121" t="s">
        <v>701</v>
      </c>
      <c r="D128" s="120" t="s">
        <v>349</v>
      </c>
      <c r="E128" s="120">
        <v>2508</v>
      </c>
      <c r="F128" s="120" t="s">
        <v>700</v>
      </c>
      <c r="G128" s="120" t="s">
        <v>699</v>
      </c>
      <c r="H128" s="49"/>
      <c r="I128" s="50" t="s">
        <v>515</v>
      </c>
      <c r="J128" s="124" t="s">
        <v>399</v>
      </c>
      <c r="K128" s="50" t="s">
        <v>64</v>
      </c>
      <c r="L128" s="50" t="s">
        <v>524</v>
      </c>
      <c r="M128" s="56" t="s">
        <v>12</v>
      </c>
      <c r="N128" s="122" t="s">
        <v>665</v>
      </c>
      <c r="O128" s="57">
        <v>14</v>
      </c>
      <c r="P128" s="45">
        <v>24000</v>
      </c>
      <c r="Q128" s="58">
        <f t="shared" ref="Q128:Q160" si="13">O128*P128</f>
        <v>336000</v>
      </c>
      <c r="R128" s="129" t="s">
        <v>663</v>
      </c>
      <c r="S128" s="19"/>
      <c r="T128" s="32"/>
      <c r="U128" s="32"/>
      <c r="V128" s="51">
        <f t="shared" si="7"/>
        <v>27839.999999999996</v>
      </c>
      <c r="W128" s="51">
        <f t="shared" si="8"/>
        <v>389759.99999999994</v>
      </c>
      <c r="X128" s="52">
        <f t="shared" si="9"/>
        <v>18.73</v>
      </c>
      <c r="Y128" s="53">
        <f t="shared" si="10"/>
        <v>262.22000000000003</v>
      </c>
      <c r="Z128" s="54"/>
      <c r="AA128" s="71"/>
      <c r="AB128" s="71"/>
      <c r="AC128" s="128"/>
      <c r="AD128" s="33"/>
      <c r="AE128" s="55"/>
    </row>
    <row r="129" spans="2:31" ht="20.100000000000001" customHeight="1">
      <c r="B129" s="48">
        <v>145</v>
      </c>
      <c r="C129" s="121" t="s">
        <v>701</v>
      </c>
      <c r="D129" s="120" t="s">
        <v>349</v>
      </c>
      <c r="E129" s="120">
        <v>2508</v>
      </c>
      <c r="F129" s="120" t="s">
        <v>700</v>
      </c>
      <c r="G129" s="120" t="s">
        <v>699</v>
      </c>
      <c r="H129" s="49"/>
      <c r="I129" s="50" t="s">
        <v>63</v>
      </c>
      <c r="J129" s="124" t="s">
        <v>517</v>
      </c>
      <c r="K129" s="50" t="s">
        <v>64</v>
      </c>
      <c r="L129" s="50" t="s">
        <v>524</v>
      </c>
      <c r="M129" s="56" t="s">
        <v>12</v>
      </c>
      <c r="N129" s="122" t="s">
        <v>665</v>
      </c>
      <c r="O129" s="57">
        <v>2</v>
      </c>
      <c r="P129" s="45">
        <v>49000</v>
      </c>
      <c r="Q129" s="58">
        <f t="shared" si="13"/>
        <v>98000</v>
      </c>
      <c r="R129" s="129" t="s">
        <v>663</v>
      </c>
      <c r="S129" s="19"/>
      <c r="T129" s="32"/>
      <c r="U129" s="32"/>
      <c r="V129" s="51">
        <f t="shared" si="7"/>
        <v>56839.999999999993</v>
      </c>
      <c r="W129" s="51">
        <f t="shared" si="8"/>
        <v>113679.99999999999</v>
      </c>
      <c r="X129" s="52">
        <f t="shared" si="9"/>
        <v>38.229999999999997</v>
      </c>
      <c r="Y129" s="53">
        <f t="shared" si="10"/>
        <v>76.459999999999994</v>
      </c>
      <c r="Z129" s="54"/>
      <c r="AA129" s="71"/>
      <c r="AB129" s="71"/>
      <c r="AC129" s="128"/>
      <c r="AD129" s="33"/>
      <c r="AE129" s="55"/>
    </row>
    <row r="130" spans="2:31" ht="20.100000000000001" customHeight="1">
      <c r="B130" s="48">
        <v>146</v>
      </c>
      <c r="C130" s="121" t="s">
        <v>701</v>
      </c>
      <c r="D130" s="120" t="s">
        <v>349</v>
      </c>
      <c r="E130" s="120">
        <v>2508</v>
      </c>
      <c r="F130" s="120" t="s">
        <v>700</v>
      </c>
      <c r="G130" s="120" t="s">
        <v>699</v>
      </c>
      <c r="H130" s="49"/>
      <c r="I130" s="50" t="s">
        <v>63</v>
      </c>
      <c r="J130" s="124" t="s">
        <v>65</v>
      </c>
      <c r="K130" s="50" t="s">
        <v>64</v>
      </c>
      <c r="L130" s="50" t="s">
        <v>524</v>
      </c>
      <c r="M130" s="56" t="s">
        <v>12</v>
      </c>
      <c r="N130" s="122" t="s">
        <v>665</v>
      </c>
      <c r="O130" s="57">
        <v>2</v>
      </c>
      <c r="P130" s="45">
        <v>85000</v>
      </c>
      <c r="Q130" s="58">
        <f t="shared" si="13"/>
        <v>170000</v>
      </c>
      <c r="R130" s="129" t="s">
        <v>663</v>
      </c>
      <c r="S130" s="19"/>
      <c r="T130" s="32"/>
      <c r="U130" s="32"/>
      <c r="V130" s="51">
        <f t="shared" si="7"/>
        <v>98600</v>
      </c>
      <c r="W130" s="51">
        <f t="shared" si="8"/>
        <v>197200</v>
      </c>
      <c r="X130" s="52">
        <f t="shared" si="9"/>
        <v>66.319999999999993</v>
      </c>
      <c r="Y130" s="53">
        <f t="shared" si="10"/>
        <v>132.63999999999999</v>
      </c>
      <c r="Z130" s="54"/>
      <c r="AA130" s="71"/>
      <c r="AB130" s="71"/>
      <c r="AC130" s="128"/>
      <c r="AD130" s="33"/>
      <c r="AE130" s="55"/>
    </row>
    <row r="131" spans="2:31" ht="20.100000000000001" customHeight="1">
      <c r="B131" s="48">
        <v>147</v>
      </c>
      <c r="C131" s="121" t="s">
        <v>701</v>
      </c>
      <c r="D131" s="120" t="s">
        <v>349</v>
      </c>
      <c r="E131" s="120">
        <v>2508</v>
      </c>
      <c r="F131" s="120" t="s">
        <v>700</v>
      </c>
      <c r="G131" s="120" t="s">
        <v>699</v>
      </c>
      <c r="H131" s="49"/>
      <c r="I131" s="50" t="s">
        <v>119</v>
      </c>
      <c r="J131" s="124" t="s">
        <v>400</v>
      </c>
      <c r="K131" s="50" t="s">
        <v>121</v>
      </c>
      <c r="L131" s="50" t="s">
        <v>524</v>
      </c>
      <c r="M131" s="56" t="s">
        <v>12</v>
      </c>
      <c r="N131" s="122" t="s">
        <v>722</v>
      </c>
      <c r="O131" s="57">
        <v>2</v>
      </c>
      <c r="P131" s="45">
        <v>28000</v>
      </c>
      <c r="Q131" s="58">
        <f t="shared" si="13"/>
        <v>56000</v>
      </c>
      <c r="R131" s="129" t="s">
        <v>663</v>
      </c>
      <c r="S131" s="19"/>
      <c r="T131" s="32"/>
      <c r="U131" s="32"/>
      <c r="V131" s="51">
        <f t="shared" si="7"/>
        <v>32479.999999999996</v>
      </c>
      <c r="W131" s="51">
        <f t="shared" si="8"/>
        <v>64959.999999999993</v>
      </c>
      <c r="X131" s="52">
        <f t="shared" si="9"/>
        <v>21.85</v>
      </c>
      <c r="Y131" s="53">
        <f t="shared" si="10"/>
        <v>43.7</v>
      </c>
      <c r="Z131" s="54"/>
      <c r="AA131" s="71"/>
      <c r="AB131" s="71"/>
      <c r="AC131" s="128"/>
      <c r="AD131" s="33"/>
      <c r="AE131" s="55"/>
    </row>
    <row r="132" spans="2:31" ht="20.100000000000001" customHeight="1">
      <c r="B132" s="48">
        <v>148</v>
      </c>
      <c r="C132" s="121" t="s">
        <v>701</v>
      </c>
      <c r="D132" s="120" t="s">
        <v>349</v>
      </c>
      <c r="E132" s="120">
        <v>2508</v>
      </c>
      <c r="F132" s="120" t="s">
        <v>700</v>
      </c>
      <c r="G132" s="120" t="s">
        <v>699</v>
      </c>
      <c r="H132" s="49"/>
      <c r="I132" s="50" t="s">
        <v>119</v>
      </c>
      <c r="J132" s="124" t="s">
        <v>120</v>
      </c>
      <c r="K132" s="50" t="s">
        <v>121</v>
      </c>
      <c r="L132" s="50" t="s">
        <v>524</v>
      </c>
      <c r="M132" s="56" t="s">
        <v>12</v>
      </c>
      <c r="N132" s="122" t="s">
        <v>722</v>
      </c>
      <c r="O132" s="57">
        <v>2</v>
      </c>
      <c r="P132" s="45">
        <v>48000</v>
      </c>
      <c r="Q132" s="58">
        <f t="shared" si="13"/>
        <v>96000</v>
      </c>
      <c r="R132" s="129" t="s">
        <v>663</v>
      </c>
      <c r="S132" s="19"/>
      <c r="T132" s="32"/>
      <c r="U132" s="32"/>
      <c r="V132" s="51">
        <f t="shared" si="7"/>
        <v>55679.999999999993</v>
      </c>
      <c r="W132" s="51">
        <f t="shared" si="8"/>
        <v>111359.99999999999</v>
      </c>
      <c r="X132" s="52">
        <f t="shared" si="9"/>
        <v>37.450000000000003</v>
      </c>
      <c r="Y132" s="53">
        <f t="shared" si="10"/>
        <v>74.900000000000006</v>
      </c>
      <c r="Z132" s="54"/>
      <c r="AA132" s="71"/>
      <c r="AB132" s="71"/>
      <c r="AC132" s="128"/>
      <c r="AD132" s="33"/>
      <c r="AE132" s="55"/>
    </row>
    <row r="133" spans="2:31" ht="20.100000000000001" customHeight="1">
      <c r="B133" s="48">
        <v>150</v>
      </c>
      <c r="C133" s="121" t="s">
        <v>701</v>
      </c>
      <c r="D133" s="120" t="s">
        <v>349</v>
      </c>
      <c r="E133" s="120">
        <v>2508</v>
      </c>
      <c r="F133" s="120" t="s">
        <v>700</v>
      </c>
      <c r="G133" s="120" t="s">
        <v>699</v>
      </c>
      <c r="H133" s="49">
        <v>3</v>
      </c>
      <c r="I133" s="50" t="s">
        <v>42</v>
      </c>
      <c r="J133" s="124" t="s">
        <v>644</v>
      </c>
      <c r="K133" s="50" t="s">
        <v>417</v>
      </c>
      <c r="L133" s="50" t="s">
        <v>606</v>
      </c>
      <c r="M133" s="56" t="s">
        <v>12</v>
      </c>
      <c r="N133" s="122" t="s">
        <v>665</v>
      </c>
      <c r="O133" s="57">
        <v>12</v>
      </c>
      <c r="P133" s="45">
        <v>850</v>
      </c>
      <c r="Q133" s="58">
        <f t="shared" si="13"/>
        <v>10200</v>
      </c>
      <c r="R133" s="129" t="s">
        <v>663</v>
      </c>
      <c r="S133" s="19"/>
      <c r="T133" s="32"/>
      <c r="U133" s="32"/>
      <c r="V133" s="51">
        <f t="shared" si="7"/>
        <v>985.99999999999989</v>
      </c>
      <c r="W133" s="51">
        <f t="shared" si="8"/>
        <v>11831.999999999998</v>
      </c>
      <c r="X133" s="52">
        <f t="shared" si="9"/>
        <v>0.66</v>
      </c>
      <c r="Y133" s="53">
        <f t="shared" si="10"/>
        <v>7.92</v>
      </c>
      <c r="Z133" s="54"/>
      <c r="AA133" s="71"/>
      <c r="AB133" s="71"/>
      <c r="AC133" s="128"/>
      <c r="AD133" s="33"/>
      <c r="AE133" s="55"/>
    </row>
    <row r="134" spans="2:31" ht="20.100000000000001" customHeight="1">
      <c r="B134" s="48">
        <v>151</v>
      </c>
      <c r="C134" s="121" t="s">
        <v>701</v>
      </c>
      <c r="D134" s="120" t="s">
        <v>349</v>
      </c>
      <c r="E134" s="120">
        <v>2508</v>
      </c>
      <c r="F134" s="120" t="s">
        <v>700</v>
      </c>
      <c r="G134" s="120" t="s">
        <v>699</v>
      </c>
      <c r="H134" s="49">
        <v>3</v>
      </c>
      <c r="I134" s="50" t="s">
        <v>42</v>
      </c>
      <c r="J134" s="124" t="s">
        <v>463</v>
      </c>
      <c r="K134" s="50" t="s">
        <v>417</v>
      </c>
      <c r="L134" s="50" t="s">
        <v>606</v>
      </c>
      <c r="M134" s="56" t="s">
        <v>12</v>
      </c>
      <c r="N134" s="122" t="s">
        <v>665</v>
      </c>
      <c r="O134" s="57">
        <v>24</v>
      </c>
      <c r="P134" s="45">
        <v>750</v>
      </c>
      <c r="Q134" s="58">
        <f t="shared" si="13"/>
        <v>18000</v>
      </c>
      <c r="R134" s="129" t="s">
        <v>663</v>
      </c>
      <c r="S134" s="19"/>
      <c r="T134" s="32"/>
      <c r="U134" s="32"/>
      <c r="V134" s="51">
        <f t="shared" ref="V134:V178" si="14">++P134*(1+$V$3)</f>
        <v>869.99999999999989</v>
      </c>
      <c r="W134" s="51">
        <f t="shared" ref="W134:W178" si="15">++O134*V134</f>
        <v>20879.999999999996</v>
      </c>
      <c r="X134" s="52">
        <f t="shared" ref="X134:X178" si="16">++ROUND(V134/$X$3,2)</f>
        <v>0.59</v>
      </c>
      <c r="Y134" s="53">
        <f t="shared" ref="Y134:Y178" si="17">++O134*X134</f>
        <v>14.16</v>
      </c>
      <c r="Z134" s="54"/>
      <c r="AA134" s="71"/>
      <c r="AB134" s="71"/>
      <c r="AC134" s="128"/>
      <c r="AD134" s="33"/>
      <c r="AE134" s="55"/>
    </row>
    <row r="135" spans="2:31" ht="20.100000000000001" customHeight="1">
      <c r="B135" s="48">
        <v>152</v>
      </c>
      <c r="C135" s="121" t="s">
        <v>701</v>
      </c>
      <c r="D135" s="120" t="s">
        <v>349</v>
      </c>
      <c r="E135" s="120">
        <v>2508</v>
      </c>
      <c r="F135" s="120" t="s">
        <v>700</v>
      </c>
      <c r="G135" s="120" t="s">
        <v>699</v>
      </c>
      <c r="H135" s="49" t="s">
        <v>1023</v>
      </c>
      <c r="I135" s="50" t="s">
        <v>314</v>
      </c>
      <c r="J135" s="124" t="s">
        <v>109</v>
      </c>
      <c r="K135" s="50" t="s">
        <v>47</v>
      </c>
      <c r="L135" s="50" t="s">
        <v>607</v>
      </c>
      <c r="M135" s="56" t="s">
        <v>12</v>
      </c>
      <c r="N135" s="122" t="s">
        <v>666</v>
      </c>
      <c r="O135" s="57">
        <v>10</v>
      </c>
      <c r="P135" s="45">
        <v>253000</v>
      </c>
      <c r="Q135" s="58">
        <f t="shared" si="13"/>
        <v>2530000</v>
      </c>
      <c r="R135" s="129" t="s">
        <v>663</v>
      </c>
      <c r="S135" s="19"/>
      <c r="T135" s="32"/>
      <c r="U135" s="32"/>
      <c r="V135" s="51">
        <f t="shared" si="14"/>
        <v>293480</v>
      </c>
      <c r="W135" s="51">
        <f t="shared" si="15"/>
        <v>2934800</v>
      </c>
      <c r="X135" s="52">
        <f t="shared" si="16"/>
        <v>197.41</v>
      </c>
      <c r="Y135" s="53">
        <f t="shared" si="17"/>
        <v>1974.1</v>
      </c>
      <c r="Z135" s="54"/>
      <c r="AA135" s="71"/>
      <c r="AB135" s="71"/>
      <c r="AC135" s="128"/>
      <c r="AD135" s="33"/>
      <c r="AE135" s="55"/>
    </row>
    <row r="136" spans="2:31" ht="20.100000000000001" customHeight="1">
      <c r="B136" s="48">
        <v>153</v>
      </c>
      <c r="C136" s="121" t="s">
        <v>701</v>
      </c>
      <c r="D136" s="120" t="s">
        <v>349</v>
      </c>
      <c r="E136" s="120">
        <v>2508</v>
      </c>
      <c r="F136" s="120" t="s">
        <v>700</v>
      </c>
      <c r="G136" s="120" t="s">
        <v>699</v>
      </c>
      <c r="H136" s="49">
        <v>3</v>
      </c>
      <c r="I136" s="50" t="s">
        <v>590</v>
      </c>
      <c r="J136" s="124" t="s">
        <v>321</v>
      </c>
      <c r="K136" s="50" t="s">
        <v>47</v>
      </c>
      <c r="L136" s="50" t="s">
        <v>607</v>
      </c>
      <c r="M136" s="56" t="s">
        <v>12</v>
      </c>
      <c r="N136" s="122" t="s">
        <v>666</v>
      </c>
      <c r="O136" s="57">
        <v>4</v>
      </c>
      <c r="P136" s="45">
        <v>255000</v>
      </c>
      <c r="Q136" s="58">
        <f t="shared" si="13"/>
        <v>1020000</v>
      </c>
      <c r="R136" s="129" t="s">
        <v>663</v>
      </c>
      <c r="S136" s="19"/>
      <c r="T136" s="32"/>
      <c r="U136" s="32"/>
      <c r="V136" s="51">
        <f t="shared" si="14"/>
        <v>295800</v>
      </c>
      <c r="W136" s="51">
        <f t="shared" si="15"/>
        <v>1183200</v>
      </c>
      <c r="X136" s="52">
        <f t="shared" si="16"/>
        <v>198.97</v>
      </c>
      <c r="Y136" s="53">
        <f t="shared" si="17"/>
        <v>795.88</v>
      </c>
      <c r="Z136" s="54"/>
      <c r="AA136" s="71"/>
      <c r="AB136" s="71"/>
      <c r="AC136" s="128"/>
      <c r="AD136" s="33"/>
      <c r="AE136" s="55"/>
    </row>
    <row r="137" spans="2:31" ht="20.100000000000001" customHeight="1">
      <c r="B137" s="48">
        <v>154</v>
      </c>
      <c r="C137" s="121" t="s">
        <v>701</v>
      </c>
      <c r="D137" s="120" t="s">
        <v>349</v>
      </c>
      <c r="E137" s="120">
        <v>2508</v>
      </c>
      <c r="F137" s="120" t="s">
        <v>700</v>
      </c>
      <c r="G137" s="120" t="s">
        <v>699</v>
      </c>
      <c r="H137" s="49">
        <v>3</v>
      </c>
      <c r="I137" s="50" t="s">
        <v>590</v>
      </c>
      <c r="J137" s="124" t="s">
        <v>108</v>
      </c>
      <c r="K137" s="50" t="s">
        <v>47</v>
      </c>
      <c r="L137" s="50" t="s">
        <v>607</v>
      </c>
      <c r="M137" s="56" t="s">
        <v>12</v>
      </c>
      <c r="N137" s="122" t="s">
        <v>666</v>
      </c>
      <c r="O137" s="57">
        <v>6</v>
      </c>
      <c r="P137" s="45">
        <v>146000</v>
      </c>
      <c r="Q137" s="58">
        <f t="shared" si="13"/>
        <v>876000</v>
      </c>
      <c r="R137" s="129" t="s">
        <v>663</v>
      </c>
      <c r="S137" s="19"/>
      <c r="T137" s="32"/>
      <c r="U137" s="32"/>
      <c r="V137" s="51">
        <f t="shared" si="14"/>
        <v>169360</v>
      </c>
      <c r="W137" s="51">
        <f t="shared" si="15"/>
        <v>1016160</v>
      </c>
      <c r="X137" s="52">
        <f t="shared" si="16"/>
        <v>113.92</v>
      </c>
      <c r="Y137" s="53">
        <f t="shared" si="17"/>
        <v>683.52</v>
      </c>
      <c r="Z137" s="54"/>
      <c r="AA137" s="71"/>
      <c r="AB137" s="71"/>
      <c r="AC137" s="128"/>
      <c r="AD137" s="33"/>
      <c r="AE137" s="55"/>
    </row>
    <row r="138" spans="2:31" ht="20.100000000000001" customHeight="1">
      <c r="B138" s="48">
        <v>155</v>
      </c>
      <c r="C138" s="121" t="s">
        <v>701</v>
      </c>
      <c r="D138" s="120" t="s">
        <v>349</v>
      </c>
      <c r="E138" s="120">
        <v>2508</v>
      </c>
      <c r="F138" s="120" t="s">
        <v>700</v>
      </c>
      <c r="G138" s="120" t="s">
        <v>699</v>
      </c>
      <c r="H138" s="49">
        <v>3</v>
      </c>
      <c r="I138" s="50" t="s">
        <v>24</v>
      </c>
      <c r="J138" s="124" t="s">
        <v>621</v>
      </c>
      <c r="K138" s="50" t="s">
        <v>47</v>
      </c>
      <c r="L138" s="50" t="s">
        <v>607</v>
      </c>
      <c r="M138" s="56" t="s">
        <v>12</v>
      </c>
      <c r="N138" s="122" t="s">
        <v>666</v>
      </c>
      <c r="O138" s="57">
        <v>2</v>
      </c>
      <c r="P138" s="45">
        <v>4500</v>
      </c>
      <c r="Q138" s="58">
        <f t="shared" si="13"/>
        <v>9000</v>
      </c>
      <c r="R138" s="129" t="s">
        <v>663</v>
      </c>
      <c r="S138" s="19"/>
      <c r="T138" s="32"/>
      <c r="U138" s="32"/>
      <c r="V138" s="51">
        <f t="shared" si="14"/>
        <v>5220</v>
      </c>
      <c r="W138" s="51">
        <f t="shared" si="15"/>
        <v>10440</v>
      </c>
      <c r="X138" s="52">
        <f t="shared" si="16"/>
        <v>3.51</v>
      </c>
      <c r="Y138" s="53">
        <f t="shared" si="17"/>
        <v>7.02</v>
      </c>
      <c r="Z138" s="54"/>
      <c r="AA138" s="71"/>
      <c r="AB138" s="71"/>
      <c r="AC138" s="128"/>
      <c r="AD138" s="33"/>
      <c r="AE138" s="55"/>
    </row>
    <row r="139" spans="2:31" ht="20.100000000000001" customHeight="1">
      <c r="B139" s="48">
        <v>156</v>
      </c>
      <c r="C139" s="121" t="s">
        <v>701</v>
      </c>
      <c r="D139" s="120" t="s">
        <v>349</v>
      </c>
      <c r="E139" s="120">
        <v>2508</v>
      </c>
      <c r="F139" s="120" t="s">
        <v>700</v>
      </c>
      <c r="G139" s="120" t="s">
        <v>699</v>
      </c>
      <c r="H139" s="49">
        <v>2</v>
      </c>
      <c r="I139" s="50" t="s">
        <v>314</v>
      </c>
      <c r="J139" s="124" t="s">
        <v>111</v>
      </c>
      <c r="K139" s="50" t="s">
        <v>47</v>
      </c>
      <c r="L139" s="50" t="s">
        <v>607</v>
      </c>
      <c r="M139" s="56" t="s">
        <v>12</v>
      </c>
      <c r="N139" s="122" t="s">
        <v>666</v>
      </c>
      <c r="O139" s="57">
        <v>4</v>
      </c>
      <c r="P139" s="45">
        <v>260000</v>
      </c>
      <c r="Q139" s="58">
        <f t="shared" si="13"/>
        <v>1040000</v>
      </c>
      <c r="R139" s="129" t="s">
        <v>663</v>
      </c>
      <c r="S139" s="19"/>
      <c r="T139" s="32"/>
      <c r="U139" s="32"/>
      <c r="V139" s="51">
        <f t="shared" si="14"/>
        <v>301600</v>
      </c>
      <c r="W139" s="51">
        <f t="shared" si="15"/>
        <v>1206400</v>
      </c>
      <c r="X139" s="52">
        <f t="shared" si="16"/>
        <v>202.87</v>
      </c>
      <c r="Y139" s="53">
        <f t="shared" si="17"/>
        <v>811.48</v>
      </c>
      <c r="Z139" s="54"/>
      <c r="AA139" s="71"/>
      <c r="AB139" s="71"/>
      <c r="AC139" s="128"/>
      <c r="AD139" s="33"/>
      <c r="AE139" s="55"/>
    </row>
    <row r="140" spans="2:31" ht="20.100000000000001" customHeight="1">
      <c r="B140" s="48">
        <v>157</v>
      </c>
      <c r="C140" s="121" t="s">
        <v>701</v>
      </c>
      <c r="D140" s="120" t="s">
        <v>349</v>
      </c>
      <c r="E140" s="120">
        <v>2508</v>
      </c>
      <c r="F140" s="120" t="s">
        <v>700</v>
      </c>
      <c r="G140" s="120" t="s">
        <v>699</v>
      </c>
      <c r="H140" s="49">
        <v>3</v>
      </c>
      <c r="I140" s="50" t="s">
        <v>590</v>
      </c>
      <c r="J140" s="124" t="s">
        <v>110</v>
      </c>
      <c r="K140" s="50" t="s">
        <v>47</v>
      </c>
      <c r="L140" s="50" t="s">
        <v>607</v>
      </c>
      <c r="M140" s="56" t="s">
        <v>12</v>
      </c>
      <c r="N140" s="122" t="s">
        <v>666</v>
      </c>
      <c r="O140" s="57">
        <v>4</v>
      </c>
      <c r="P140" s="45">
        <v>258000</v>
      </c>
      <c r="Q140" s="58">
        <f t="shared" si="13"/>
        <v>1032000</v>
      </c>
      <c r="R140" s="129" t="s">
        <v>663</v>
      </c>
      <c r="S140" s="19"/>
      <c r="T140" s="32"/>
      <c r="U140" s="32"/>
      <c r="V140" s="51">
        <f t="shared" si="14"/>
        <v>299280</v>
      </c>
      <c r="W140" s="51">
        <f t="shared" si="15"/>
        <v>1197120</v>
      </c>
      <c r="X140" s="52">
        <f t="shared" si="16"/>
        <v>201.31</v>
      </c>
      <c r="Y140" s="53">
        <f t="shared" si="17"/>
        <v>805.24</v>
      </c>
      <c r="Z140" s="54"/>
      <c r="AA140" s="71"/>
      <c r="AB140" s="71"/>
      <c r="AC140" s="128"/>
      <c r="AD140" s="33"/>
      <c r="AE140" s="55"/>
    </row>
    <row r="141" spans="2:31" ht="20.100000000000001" customHeight="1">
      <c r="B141" s="48">
        <v>158</v>
      </c>
      <c r="C141" s="121" t="s">
        <v>701</v>
      </c>
      <c r="D141" s="120" t="s">
        <v>349</v>
      </c>
      <c r="E141" s="120">
        <v>2508</v>
      </c>
      <c r="F141" s="120" t="s">
        <v>700</v>
      </c>
      <c r="G141" s="120" t="s">
        <v>699</v>
      </c>
      <c r="H141" s="49">
        <v>3</v>
      </c>
      <c r="I141" s="50" t="s">
        <v>214</v>
      </c>
      <c r="J141" s="124" t="s">
        <v>720</v>
      </c>
      <c r="K141" s="50" t="s">
        <v>38</v>
      </c>
      <c r="L141" s="50" t="s">
        <v>607</v>
      </c>
      <c r="M141" s="56" t="s">
        <v>12</v>
      </c>
      <c r="N141" s="122" t="s">
        <v>665</v>
      </c>
      <c r="O141" s="57">
        <v>6</v>
      </c>
      <c r="P141" s="45">
        <v>48500</v>
      </c>
      <c r="Q141" s="58">
        <f t="shared" si="13"/>
        <v>291000</v>
      </c>
      <c r="R141" s="129" t="s">
        <v>663</v>
      </c>
      <c r="S141" s="19"/>
      <c r="T141" s="32"/>
      <c r="U141" s="32"/>
      <c r="V141" s="51">
        <f t="shared" si="14"/>
        <v>56259.999999999993</v>
      </c>
      <c r="W141" s="51">
        <f t="shared" si="15"/>
        <v>337559.99999999994</v>
      </c>
      <c r="X141" s="52">
        <f t="shared" si="16"/>
        <v>37.840000000000003</v>
      </c>
      <c r="Y141" s="53">
        <f t="shared" si="17"/>
        <v>227.04000000000002</v>
      </c>
      <c r="Z141" s="54"/>
      <c r="AA141" s="71"/>
      <c r="AB141" s="71"/>
      <c r="AC141" s="128"/>
      <c r="AD141" s="33"/>
      <c r="AE141" s="55"/>
    </row>
    <row r="142" spans="2:31" ht="20.100000000000001" customHeight="1">
      <c r="B142" s="48">
        <v>159</v>
      </c>
      <c r="C142" s="121" t="s">
        <v>701</v>
      </c>
      <c r="D142" s="120" t="s">
        <v>349</v>
      </c>
      <c r="E142" s="120">
        <v>2508</v>
      </c>
      <c r="F142" s="120" t="s">
        <v>700</v>
      </c>
      <c r="G142" s="120" t="s">
        <v>699</v>
      </c>
      <c r="H142" s="49">
        <v>3</v>
      </c>
      <c r="I142" s="50" t="s">
        <v>39</v>
      </c>
      <c r="J142" s="124" t="s">
        <v>719</v>
      </c>
      <c r="K142" s="50" t="s">
        <v>38</v>
      </c>
      <c r="L142" s="50" t="s">
        <v>607</v>
      </c>
      <c r="M142" s="56" t="s">
        <v>12</v>
      </c>
      <c r="N142" s="122" t="s">
        <v>665</v>
      </c>
      <c r="O142" s="57">
        <v>6</v>
      </c>
      <c r="P142" s="45">
        <v>39500</v>
      </c>
      <c r="Q142" s="58">
        <f t="shared" si="13"/>
        <v>237000</v>
      </c>
      <c r="R142" s="129" t="s">
        <v>663</v>
      </c>
      <c r="S142" s="19"/>
      <c r="T142" s="32"/>
      <c r="U142" s="32"/>
      <c r="V142" s="51">
        <f t="shared" si="14"/>
        <v>45820</v>
      </c>
      <c r="W142" s="51">
        <f t="shared" si="15"/>
        <v>274920</v>
      </c>
      <c r="X142" s="52">
        <f t="shared" si="16"/>
        <v>30.82</v>
      </c>
      <c r="Y142" s="53">
        <f t="shared" si="17"/>
        <v>184.92000000000002</v>
      </c>
      <c r="Z142" s="54"/>
      <c r="AA142" s="71"/>
      <c r="AB142" s="71"/>
      <c r="AC142" s="128"/>
      <c r="AD142" s="33"/>
      <c r="AE142" s="55"/>
    </row>
    <row r="143" spans="2:31" ht="20.100000000000001" customHeight="1">
      <c r="B143" s="48">
        <v>160</v>
      </c>
      <c r="C143" s="121" t="s">
        <v>701</v>
      </c>
      <c r="D143" s="120" t="s">
        <v>349</v>
      </c>
      <c r="E143" s="120">
        <v>2508</v>
      </c>
      <c r="F143" s="120" t="s">
        <v>700</v>
      </c>
      <c r="G143" s="120" t="s">
        <v>699</v>
      </c>
      <c r="H143" s="49">
        <v>3</v>
      </c>
      <c r="I143" s="50" t="s">
        <v>183</v>
      </c>
      <c r="J143" s="124" t="s">
        <v>718</v>
      </c>
      <c r="K143" s="50" t="s">
        <v>717</v>
      </c>
      <c r="L143" s="50" t="s">
        <v>607</v>
      </c>
      <c r="M143" s="56" t="s">
        <v>12</v>
      </c>
      <c r="N143" s="122" t="s">
        <v>665</v>
      </c>
      <c r="O143" s="57">
        <v>12</v>
      </c>
      <c r="P143" s="45">
        <v>15000</v>
      </c>
      <c r="Q143" s="58">
        <f t="shared" si="13"/>
        <v>180000</v>
      </c>
      <c r="R143" s="129" t="s">
        <v>663</v>
      </c>
      <c r="S143" s="19"/>
      <c r="T143" s="32"/>
      <c r="U143" s="32"/>
      <c r="V143" s="51">
        <f t="shared" si="14"/>
        <v>17400</v>
      </c>
      <c r="W143" s="51">
        <f t="shared" si="15"/>
        <v>208800</v>
      </c>
      <c r="X143" s="52">
        <f t="shared" si="16"/>
        <v>11.7</v>
      </c>
      <c r="Y143" s="53">
        <f t="shared" si="17"/>
        <v>140.39999999999998</v>
      </c>
      <c r="Z143" s="54"/>
      <c r="AA143" s="71"/>
      <c r="AB143" s="71"/>
      <c r="AC143" s="128"/>
      <c r="AD143" s="33"/>
      <c r="AE143" s="55"/>
    </row>
    <row r="144" spans="2:31" ht="20.100000000000001" customHeight="1">
      <c r="B144" s="48">
        <v>161</v>
      </c>
      <c r="C144" s="121" t="s">
        <v>701</v>
      </c>
      <c r="D144" s="120" t="s">
        <v>349</v>
      </c>
      <c r="E144" s="120">
        <v>2508</v>
      </c>
      <c r="F144" s="120" t="s">
        <v>700</v>
      </c>
      <c r="G144" s="120" t="s">
        <v>699</v>
      </c>
      <c r="H144" s="49">
        <v>3</v>
      </c>
      <c r="I144" s="50" t="s">
        <v>67</v>
      </c>
      <c r="J144" s="124" t="s">
        <v>69</v>
      </c>
      <c r="K144" s="50" t="s">
        <v>68</v>
      </c>
      <c r="L144" s="50" t="s">
        <v>525</v>
      </c>
      <c r="M144" s="56" t="s">
        <v>12</v>
      </c>
      <c r="N144" s="122" t="s">
        <v>665</v>
      </c>
      <c r="O144" s="57">
        <v>2</v>
      </c>
      <c r="P144" s="45">
        <v>900000</v>
      </c>
      <c r="Q144" s="58">
        <f t="shared" si="13"/>
        <v>1800000</v>
      </c>
      <c r="R144" s="129" t="s">
        <v>663</v>
      </c>
      <c r="S144" s="19"/>
      <c r="T144" s="32"/>
      <c r="U144" s="32"/>
      <c r="V144" s="51">
        <f t="shared" si="14"/>
        <v>1043999.9999999999</v>
      </c>
      <c r="W144" s="51">
        <f t="shared" si="15"/>
        <v>2087999.9999999998</v>
      </c>
      <c r="X144" s="52">
        <f t="shared" si="16"/>
        <v>702.25</v>
      </c>
      <c r="Y144" s="53">
        <f t="shared" si="17"/>
        <v>1404.5</v>
      </c>
      <c r="Z144" s="54"/>
      <c r="AA144" s="71"/>
      <c r="AB144" s="71"/>
      <c r="AC144" s="128"/>
      <c r="AD144" s="33"/>
      <c r="AE144" s="55"/>
    </row>
    <row r="145" spans="2:31" ht="20.100000000000001" customHeight="1">
      <c r="B145" s="48">
        <v>162</v>
      </c>
      <c r="C145" s="121" t="s">
        <v>701</v>
      </c>
      <c r="D145" s="120" t="s">
        <v>349</v>
      </c>
      <c r="E145" s="120">
        <v>2508</v>
      </c>
      <c r="F145" s="120" t="s">
        <v>700</v>
      </c>
      <c r="G145" s="120" t="s">
        <v>699</v>
      </c>
      <c r="H145" s="49">
        <v>3</v>
      </c>
      <c r="I145" s="50" t="s">
        <v>46</v>
      </c>
      <c r="J145" s="124" t="s">
        <v>324</v>
      </c>
      <c r="K145" s="50" t="s">
        <v>716</v>
      </c>
      <c r="L145" s="50" t="s">
        <v>686</v>
      </c>
      <c r="M145" s="56" t="s">
        <v>12</v>
      </c>
      <c r="N145" s="122" t="s">
        <v>665</v>
      </c>
      <c r="O145" s="57">
        <v>8</v>
      </c>
      <c r="P145" s="45">
        <v>14830</v>
      </c>
      <c r="Q145" s="58">
        <f t="shared" si="13"/>
        <v>118640</v>
      </c>
      <c r="R145" s="129" t="s">
        <v>684</v>
      </c>
      <c r="S145" s="19"/>
      <c r="T145" s="32"/>
      <c r="U145" s="32"/>
      <c r="V145" s="51">
        <f t="shared" si="14"/>
        <v>17202.8</v>
      </c>
      <c r="W145" s="51">
        <f t="shared" si="15"/>
        <v>137622.39999999999</v>
      </c>
      <c r="X145" s="52">
        <f t="shared" si="16"/>
        <v>11.57</v>
      </c>
      <c r="Y145" s="53">
        <f t="shared" si="17"/>
        <v>92.56</v>
      </c>
      <c r="Z145" s="54"/>
      <c r="AA145" s="71"/>
      <c r="AB145" s="71"/>
      <c r="AC145" s="128"/>
      <c r="AD145" s="33"/>
      <c r="AE145" s="55"/>
    </row>
    <row r="146" spans="2:31" ht="20.100000000000001" customHeight="1">
      <c r="B146" s="48">
        <v>163</v>
      </c>
      <c r="C146" s="121" t="s">
        <v>701</v>
      </c>
      <c r="D146" s="120" t="s">
        <v>349</v>
      </c>
      <c r="E146" s="120">
        <v>2508</v>
      </c>
      <c r="F146" s="120" t="s">
        <v>700</v>
      </c>
      <c r="G146" s="120" t="s">
        <v>699</v>
      </c>
      <c r="H146" s="49">
        <v>3</v>
      </c>
      <c r="I146" s="50" t="s">
        <v>715</v>
      </c>
      <c r="J146" s="124" t="s">
        <v>714</v>
      </c>
      <c r="K146" s="50" t="s">
        <v>48</v>
      </c>
      <c r="L146" s="50" t="s">
        <v>686</v>
      </c>
      <c r="M146" s="56" t="s">
        <v>12</v>
      </c>
      <c r="N146" s="122" t="s">
        <v>609</v>
      </c>
      <c r="O146" s="57">
        <v>2</v>
      </c>
      <c r="P146" s="45">
        <v>1910</v>
      </c>
      <c r="Q146" s="58">
        <f t="shared" si="13"/>
        <v>3820</v>
      </c>
      <c r="R146" s="129" t="s">
        <v>684</v>
      </c>
      <c r="S146" s="19"/>
      <c r="T146" s="32"/>
      <c r="U146" s="32"/>
      <c r="V146" s="51">
        <f t="shared" si="14"/>
        <v>2215.6</v>
      </c>
      <c r="W146" s="51">
        <f t="shared" si="15"/>
        <v>4431.2</v>
      </c>
      <c r="X146" s="52">
        <f t="shared" si="16"/>
        <v>1.49</v>
      </c>
      <c r="Y146" s="53">
        <f t="shared" si="17"/>
        <v>2.98</v>
      </c>
      <c r="Z146" s="54"/>
      <c r="AA146" s="71"/>
      <c r="AB146" s="71"/>
      <c r="AC146" s="128"/>
      <c r="AD146" s="33"/>
      <c r="AE146" s="55"/>
    </row>
    <row r="147" spans="2:31" ht="20.100000000000001" customHeight="1">
      <c r="B147" s="48">
        <v>166</v>
      </c>
      <c r="C147" s="121" t="s">
        <v>701</v>
      </c>
      <c r="D147" s="120" t="s">
        <v>349</v>
      </c>
      <c r="E147" s="120">
        <v>2508</v>
      </c>
      <c r="F147" s="120" t="s">
        <v>700</v>
      </c>
      <c r="G147" s="120" t="s">
        <v>699</v>
      </c>
      <c r="H147" s="49">
        <v>3</v>
      </c>
      <c r="I147" s="50" t="s">
        <v>710</v>
      </c>
      <c r="J147" s="124" t="s">
        <v>709</v>
      </c>
      <c r="K147" s="50" t="s">
        <v>48</v>
      </c>
      <c r="L147" s="50" t="s">
        <v>686</v>
      </c>
      <c r="M147" s="56" t="s">
        <v>12</v>
      </c>
      <c r="N147" s="122" t="s">
        <v>609</v>
      </c>
      <c r="O147" s="57">
        <v>4</v>
      </c>
      <c r="P147" s="45">
        <v>4220</v>
      </c>
      <c r="Q147" s="58">
        <f t="shared" si="13"/>
        <v>16880</v>
      </c>
      <c r="R147" s="129" t="s">
        <v>684</v>
      </c>
      <c r="S147" s="19"/>
      <c r="T147" s="32"/>
      <c r="U147" s="32"/>
      <c r="V147" s="51">
        <f t="shared" si="14"/>
        <v>4895.2</v>
      </c>
      <c r="W147" s="51">
        <f t="shared" si="15"/>
        <v>19580.8</v>
      </c>
      <c r="X147" s="52">
        <f t="shared" si="16"/>
        <v>3.29</v>
      </c>
      <c r="Y147" s="53">
        <f t="shared" si="17"/>
        <v>13.16</v>
      </c>
      <c r="Z147" s="54"/>
      <c r="AA147" s="71"/>
      <c r="AB147" s="71"/>
      <c r="AC147" s="128"/>
      <c r="AD147" s="33"/>
      <c r="AE147" s="55"/>
    </row>
    <row r="148" spans="2:31" ht="20.100000000000001" customHeight="1">
      <c r="B148" s="48">
        <v>167</v>
      </c>
      <c r="C148" s="121" t="s">
        <v>701</v>
      </c>
      <c r="D148" s="120" t="s">
        <v>349</v>
      </c>
      <c r="E148" s="120">
        <v>2508</v>
      </c>
      <c r="F148" s="120" t="s">
        <v>700</v>
      </c>
      <c r="G148" s="120" t="s">
        <v>699</v>
      </c>
      <c r="H148" s="49">
        <v>3</v>
      </c>
      <c r="I148" s="50" t="s">
        <v>708</v>
      </c>
      <c r="J148" s="124" t="s">
        <v>707</v>
      </c>
      <c r="K148" s="50" t="s">
        <v>48</v>
      </c>
      <c r="L148" s="50" t="s">
        <v>686</v>
      </c>
      <c r="M148" s="56" t="s">
        <v>12</v>
      </c>
      <c r="N148" s="122" t="s">
        <v>609</v>
      </c>
      <c r="O148" s="57">
        <v>4</v>
      </c>
      <c r="P148" s="45">
        <v>4830</v>
      </c>
      <c r="Q148" s="58">
        <f t="shared" si="13"/>
        <v>19320</v>
      </c>
      <c r="R148" s="129" t="s">
        <v>684</v>
      </c>
      <c r="S148" s="19"/>
      <c r="T148" s="32"/>
      <c r="U148" s="32"/>
      <c r="V148" s="51">
        <f t="shared" si="14"/>
        <v>5602.7999999999993</v>
      </c>
      <c r="W148" s="51">
        <f t="shared" si="15"/>
        <v>22411.199999999997</v>
      </c>
      <c r="X148" s="52">
        <f t="shared" si="16"/>
        <v>3.77</v>
      </c>
      <c r="Y148" s="53">
        <f t="shared" si="17"/>
        <v>15.08</v>
      </c>
      <c r="Z148" s="54"/>
      <c r="AA148" s="71"/>
      <c r="AB148" s="71"/>
      <c r="AC148" s="128"/>
      <c r="AD148" s="33"/>
      <c r="AE148" s="55"/>
    </row>
    <row r="149" spans="2:31" ht="20.100000000000001" customHeight="1">
      <c r="B149" s="48">
        <v>168</v>
      </c>
      <c r="C149" s="121" t="s">
        <v>701</v>
      </c>
      <c r="D149" s="120" t="s">
        <v>349</v>
      </c>
      <c r="E149" s="120">
        <v>2508</v>
      </c>
      <c r="F149" s="120" t="s">
        <v>700</v>
      </c>
      <c r="G149" s="120" t="s">
        <v>699</v>
      </c>
      <c r="H149" s="49">
        <v>3</v>
      </c>
      <c r="I149" s="50" t="s">
        <v>705</v>
      </c>
      <c r="J149" s="124" t="s">
        <v>706</v>
      </c>
      <c r="K149" s="50" t="s">
        <v>48</v>
      </c>
      <c r="L149" s="50" t="s">
        <v>686</v>
      </c>
      <c r="M149" s="56" t="s">
        <v>12</v>
      </c>
      <c r="N149" s="122" t="s">
        <v>609</v>
      </c>
      <c r="O149" s="57">
        <v>1</v>
      </c>
      <c r="P149" s="45">
        <v>10200</v>
      </c>
      <c r="Q149" s="58">
        <f t="shared" si="13"/>
        <v>10200</v>
      </c>
      <c r="R149" s="129" t="s">
        <v>684</v>
      </c>
      <c r="S149" s="19"/>
      <c r="T149" s="32"/>
      <c r="U149" s="32"/>
      <c r="V149" s="51">
        <f t="shared" si="14"/>
        <v>11832</v>
      </c>
      <c r="W149" s="51">
        <f t="shared" si="15"/>
        <v>11832</v>
      </c>
      <c r="X149" s="52">
        <f t="shared" si="16"/>
        <v>7.96</v>
      </c>
      <c r="Y149" s="53">
        <f t="shared" si="17"/>
        <v>7.96</v>
      </c>
      <c r="Z149" s="54"/>
      <c r="AA149" s="71"/>
      <c r="AB149" s="71"/>
      <c r="AC149" s="128"/>
      <c r="AD149" s="33"/>
      <c r="AE149" s="55"/>
    </row>
    <row r="150" spans="2:31" ht="20.100000000000001" customHeight="1">
      <c r="B150" s="48">
        <v>169</v>
      </c>
      <c r="C150" s="121" t="s">
        <v>701</v>
      </c>
      <c r="D150" s="120" t="s">
        <v>349</v>
      </c>
      <c r="E150" s="120">
        <v>2508</v>
      </c>
      <c r="F150" s="120" t="s">
        <v>700</v>
      </c>
      <c r="G150" s="120" t="s">
        <v>699</v>
      </c>
      <c r="H150" s="49">
        <v>3</v>
      </c>
      <c r="I150" s="50" t="s">
        <v>705</v>
      </c>
      <c r="J150" s="124" t="s">
        <v>704</v>
      </c>
      <c r="K150" s="50" t="s">
        <v>48</v>
      </c>
      <c r="L150" s="50" t="s">
        <v>686</v>
      </c>
      <c r="M150" s="56" t="s">
        <v>12</v>
      </c>
      <c r="N150" s="122" t="s">
        <v>609</v>
      </c>
      <c r="O150" s="57">
        <v>4</v>
      </c>
      <c r="P150" s="45">
        <v>21200</v>
      </c>
      <c r="Q150" s="58">
        <f t="shared" si="13"/>
        <v>84800</v>
      </c>
      <c r="R150" s="129" t="s">
        <v>684</v>
      </c>
      <c r="S150" s="19"/>
      <c r="T150" s="32"/>
      <c r="U150" s="32"/>
      <c r="V150" s="51">
        <f t="shared" si="14"/>
        <v>24592</v>
      </c>
      <c r="W150" s="51">
        <f t="shared" si="15"/>
        <v>98368</v>
      </c>
      <c r="X150" s="52">
        <f t="shared" si="16"/>
        <v>16.54</v>
      </c>
      <c r="Y150" s="53">
        <f t="shared" si="17"/>
        <v>66.16</v>
      </c>
      <c r="Z150" s="54"/>
      <c r="AA150" s="71"/>
      <c r="AB150" s="71"/>
      <c r="AC150" s="128"/>
      <c r="AD150" s="33"/>
      <c r="AE150" s="55"/>
    </row>
    <row r="151" spans="2:31" ht="20.100000000000001" customHeight="1">
      <c r="B151" s="48">
        <v>170</v>
      </c>
      <c r="C151" s="121" t="s">
        <v>701</v>
      </c>
      <c r="D151" s="120" t="s">
        <v>349</v>
      </c>
      <c r="E151" s="120">
        <v>2508</v>
      </c>
      <c r="F151" s="120" t="s">
        <v>700</v>
      </c>
      <c r="G151" s="120" t="s">
        <v>699</v>
      </c>
      <c r="H151" s="49">
        <v>3</v>
      </c>
      <c r="I151" s="50" t="s">
        <v>405</v>
      </c>
      <c r="J151" s="124" t="s">
        <v>216</v>
      </c>
      <c r="K151" s="50" t="s">
        <v>48</v>
      </c>
      <c r="L151" s="50" t="s">
        <v>686</v>
      </c>
      <c r="M151" s="56" t="s">
        <v>12</v>
      </c>
      <c r="N151" s="122" t="s">
        <v>609</v>
      </c>
      <c r="O151" s="57">
        <v>4</v>
      </c>
      <c r="P151" s="45">
        <v>6280</v>
      </c>
      <c r="Q151" s="58">
        <f t="shared" si="13"/>
        <v>25120</v>
      </c>
      <c r="R151" s="129" t="s">
        <v>684</v>
      </c>
      <c r="S151" s="19"/>
      <c r="T151" s="32"/>
      <c r="U151" s="32"/>
      <c r="V151" s="51">
        <f t="shared" si="14"/>
        <v>7284.7999999999993</v>
      </c>
      <c r="W151" s="51">
        <f t="shared" si="15"/>
        <v>29139.199999999997</v>
      </c>
      <c r="X151" s="52">
        <f t="shared" si="16"/>
        <v>4.9000000000000004</v>
      </c>
      <c r="Y151" s="53">
        <f t="shared" si="17"/>
        <v>19.600000000000001</v>
      </c>
      <c r="Z151" s="54"/>
      <c r="AA151" s="71"/>
      <c r="AB151" s="71"/>
      <c r="AC151" s="128"/>
      <c r="AD151" s="33"/>
      <c r="AE151" s="55"/>
    </row>
    <row r="152" spans="2:31" ht="20.100000000000001" customHeight="1">
      <c r="B152" s="48">
        <v>172</v>
      </c>
      <c r="C152" s="121" t="s">
        <v>701</v>
      </c>
      <c r="D152" s="120" t="s">
        <v>349</v>
      </c>
      <c r="E152" s="120">
        <v>2508</v>
      </c>
      <c r="F152" s="120" t="s">
        <v>700</v>
      </c>
      <c r="G152" s="120" t="s">
        <v>699</v>
      </c>
      <c r="H152" s="49">
        <v>3</v>
      </c>
      <c r="I152" s="50" t="s">
        <v>594</v>
      </c>
      <c r="J152" s="124" t="s">
        <v>702</v>
      </c>
      <c r="K152" s="50" t="s">
        <v>48</v>
      </c>
      <c r="L152" s="50" t="s">
        <v>686</v>
      </c>
      <c r="M152" s="56" t="s">
        <v>12</v>
      </c>
      <c r="N152" s="122" t="s">
        <v>609</v>
      </c>
      <c r="O152" s="57">
        <v>6</v>
      </c>
      <c r="P152" s="45">
        <v>11923</v>
      </c>
      <c r="Q152" s="58">
        <f t="shared" si="13"/>
        <v>71538</v>
      </c>
      <c r="R152" s="129" t="s">
        <v>684</v>
      </c>
      <c r="S152" s="19"/>
      <c r="T152" s="32"/>
      <c r="U152" s="32"/>
      <c r="V152" s="51">
        <f t="shared" si="14"/>
        <v>13830.679999999998</v>
      </c>
      <c r="W152" s="51">
        <f t="shared" si="15"/>
        <v>82984.079999999987</v>
      </c>
      <c r="X152" s="52">
        <f t="shared" si="16"/>
        <v>9.3000000000000007</v>
      </c>
      <c r="Y152" s="53">
        <f t="shared" si="17"/>
        <v>55.800000000000004</v>
      </c>
      <c r="Z152" s="54"/>
      <c r="AA152" s="71"/>
      <c r="AB152" s="71"/>
      <c r="AC152" s="128"/>
      <c r="AD152" s="33"/>
      <c r="AE152" s="55"/>
    </row>
    <row r="153" spans="2:31" ht="20.100000000000001" customHeight="1">
      <c r="B153" s="48">
        <v>173</v>
      </c>
      <c r="C153" s="121" t="s">
        <v>701</v>
      </c>
      <c r="D153" s="120" t="s">
        <v>349</v>
      </c>
      <c r="E153" s="120">
        <v>2508</v>
      </c>
      <c r="F153" s="120" t="s">
        <v>700</v>
      </c>
      <c r="G153" s="120" t="s">
        <v>699</v>
      </c>
      <c r="H153" s="49">
        <v>3</v>
      </c>
      <c r="I153" s="50" t="s">
        <v>594</v>
      </c>
      <c r="J153" s="124" t="s">
        <v>698</v>
      </c>
      <c r="K153" s="50" t="s">
        <v>48</v>
      </c>
      <c r="L153" s="50" t="s">
        <v>686</v>
      </c>
      <c r="M153" s="56" t="s">
        <v>12</v>
      </c>
      <c r="N153" s="122" t="s">
        <v>609</v>
      </c>
      <c r="O153" s="57">
        <v>6</v>
      </c>
      <c r="P153" s="45">
        <v>11923</v>
      </c>
      <c r="Q153" s="58">
        <f t="shared" si="13"/>
        <v>71538</v>
      </c>
      <c r="R153" s="129" t="s">
        <v>684</v>
      </c>
      <c r="S153" s="19"/>
      <c r="T153" s="32"/>
      <c r="U153" s="32"/>
      <c r="V153" s="51">
        <f t="shared" si="14"/>
        <v>13830.679999999998</v>
      </c>
      <c r="W153" s="51">
        <f t="shared" si="15"/>
        <v>82984.079999999987</v>
      </c>
      <c r="X153" s="52">
        <f t="shared" si="16"/>
        <v>9.3000000000000007</v>
      </c>
      <c r="Y153" s="53">
        <f t="shared" si="17"/>
        <v>55.800000000000004</v>
      </c>
      <c r="Z153" s="54"/>
      <c r="AA153" s="71"/>
      <c r="AB153" s="71"/>
      <c r="AC153" s="128"/>
      <c r="AD153" s="33"/>
      <c r="AE153" s="55"/>
    </row>
    <row r="154" spans="2:31" ht="20.100000000000001" hidden="1" customHeight="1">
      <c r="B154" s="48">
        <v>21</v>
      </c>
      <c r="C154" s="121" t="s">
        <v>701</v>
      </c>
      <c r="D154" s="120" t="s">
        <v>349</v>
      </c>
      <c r="E154" s="120">
        <v>2508</v>
      </c>
      <c r="F154" s="120" t="s">
        <v>700</v>
      </c>
      <c r="G154" s="120" t="s">
        <v>699</v>
      </c>
      <c r="H154" s="49"/>
      <c r="I154" s="50" t="s">
        <v>299</v>
      </c>
      <c r="J154" s="124" t="s">
        <v>818</v>
      </c>
      <c r="K154" s="50" t="s">
        <v>49</v>
      </c>
      <c r="L154" s="50" t="s">
        <v>817</v>
      </c>
      <c r="M154" s="56" t="s">
        <v>12</v>
      </c>
      <c r="N154" s="122" t="s">
        <v>665</v>
      </c>
      <c r="O154" s="57">
        <v>4</v>
      </c>
      <c r="P154" s="45">
        <v>309000</v>
      </c>
      <c r="Q154" s="58">
        <f t="shared" si="13"/>
        <v>1236000</v>
      </c>
      <c r="R154" s="141">
        <v>46121</v>
      </c>
      <c r="S154" s="19"/>
      <c r="T154" s="32"/>
      <c r="U154" s="32"/>
      <c r="V154" s="51">
        <f t="shared" si="14"/>
        <v>358440</v>
      </c>
      <c r="W154" s="51">
        <f t="shared" si="15"/>
        <v>1433760</v>
      </c>
      <c r="X154" s="52">
        <f t="shared" si="16"/>
        <v>241.11</v>
      </c>
      <c r="Y154" s="53">
        <f t="shared" si="17"/>
        <v>964.44</v>
      </c>
      <c r="Z154" s="54"/>
      <c r="AA154" s="71"/>
      <c r="AB154" s="71"/>
      <c r="AC154" s="128"/>
      <c r="AD154" s="33"/>
      <c r="AE154" s="55"/>
    </row>
    <row r="155" spans="2:31" ht="20.100000000000001" hidden="1" customHeight="1">
      <c r="B155" s="48">
        <v>41</v>
      </c>
      <c r="C155" s="121" t="s">
        <v>701</v>
      </c>
      <c r="D155" s="120" t="s">
        <v>349</v>
      </c>
      <c r="E155" s="120">
        <v>2508</v>
      </c>
      <c r="F155" s="120" t="s">
        <v>700</v>
      </c>
      <c r="G155" s="120" t="s">
        <v>699</v>
      </c>
      <c r="H155" s="49"/>
      <c r="I155" s="50" t="s">
        <v>795</v>
      </c>
      <c r="J155" s="124" t="s">
        <v>222</v>
      </c>
      <c r="K155" s="50" t="s">
        <v>31</v>
      </c>
      <c r="L155" s="50" t="s">
        <v>519</v>
      </c>
      <c r="M155" s="56" t="s">
        <v>12</v>
      </c>
      <c r="N155" s="122" t="s">
        <v>665</v>
      </c>
      <c r="O155" s="57">
        <v>2</v>
      </c>
      <c r="P155" s="45">
        <v>8600</v>
      </c>
      <c r="Q155" s="58">
        <f t="shared" si="13"/>
        <v>17200</v>
      </c>
      <c r="R155" s="141">
        <v>46115</v>
      </c>
      <c r="S155" s="19"/>
      <c r="T155" s="32"/>
      <c r="U155" s="32"/>
      <c r="V155" s="51">
        <f t="shared" si="14"/>
        <v>9976</v>
      </c>
      <c r="W155" s="51">
        <f t="shared" si="15"/>
        <v>19952</v>
      </c>
      <c r="X155" s="52">
        <f t="shared" si="16"/>
        <v>6.71</v>
      </c>
      <c r="Y155" s="53">
        <f t="shared" si="17"/>
        <v>13.42</v>
      </c>
      <c r="Z155" s="54"/>
      <c r="AA155" s="71"/>
      <c r="AB155" s="71"/>
      <c r="AC155" s="128"/>
      <c r="AD155" s="33"/>
      <c r="AE155" s="55"/>
    </row>
    <row r="156" spans="2:31" ht="20.100000000000001" hidden="1" customHeight="1">
      <c r="B156" s="48">
        <v>79</v>
      </c>
      <c r="C156" s="121" t="s">
        <v>701</v>
      </c>
      <c r="D156" s="120" t="s">
        <v>349</v>
      </c>
      <c r="E156" s="120">
        <v>2508</v>
      </c>
      <c r="F156" s="120" t="s">
        <v>700</v>
      </c>
      <c r="G156" s="120" t="s">
        <v>699</v>
      </c>
      <c r="H156" s="49"/>
      <c r="I156" s="50" t="s">
        <v>254</v>
      </c>
      <c r="J156" s="124" t="s">
        <v>771</v>
      </c>
      <c r="K156" s="50" t="s">
        <v>26</v>
      </c>
      <c r="L156" s="50" t="s">
        <v>519</v>
      </c>
      <c r="M156" s="56" t="s">
        <v>12</v>
      </c>
      <c r="N156" s="122" t="s">
        <v>666</v>
      </c>
      <c r="O156" s="57">
        <v>10</v>
      </c>
      <c r="P156" s="45">
        <v>12700</v>
      </c>
      <c r="Q156" s="58">
        <f t="shared" si="13"/>
        <v>127000</v>
      </c>
      <c r="R156" s="141">
        <v>46141</v>
      </c>
      <c r="S156" s="19"/>
      <c r="T156" s="32"/>
      <c r="U156" s="32"/>
      <c r="V156" s="51">
        <f t="shared" si="14"/>
        <v>14731.999999999998</v>
      </c>
      <c r="W156" s="51">
        <f t="shared" si="15"/>
        <v>147319.99999999997</v>
      </c>
      <c r="X156" s="52">
        <f t="shared" si="16"/>
        <v>9.91</v>
      </c>
      <c r="Y156" s="53">
        <f t="shared" si="17"/>
        <v>99.1</v>
      </c>
      <c r="Z156" s="54"/>
      <c r="AA156" s="71"/>
      <c r="AB156" s="71"/>
      <c r="AC156" s="128"/>
      <c r="AD156" s="33"/>
      <c r="AE156" s="55"/>
    </row>
    <row r="157" spans="2:31" ht="20.100000000000001" hidden="1" customHeight="1">
      <c r="B157" s="48">
        <v>92</v>
      </c>
      <c r="C157" s="121" t="s">
        <v>701</v>
      </c>
      <c r="D157" s="120" t="s">
        <v>349</v>
      </c>
      <c r="E157" s="120">
        <v>2508</v>
      </c>
      <c r="F157" s="120" t="s">
        <v>700</v>
      </c>
      <c r="G157" s="120" t="s">
        <v>699</v>
      </c>
      <c r="H157" s="49"/>
      <c r="I157" s="50" t="s">
        <v>27</v>
      </c>
      <c r="J157" s="124" t="s">
        <v>760</v>
      </c>
      <c r="K157" s="50" t="s">
        <v>26</v>
      </c>
      <c r="L157" s="50" t="s">
        <v>519</v>
      </c>
      <c r="M157" s="56" t="s">
        <v>12</v>
      </c>
      <c r="N157" s="122" t="s">
        <v>666</v>
      </c>
      <c r="O157" s="57">
        <v>2</v>
      </c>
      <c r="P157" s="45">
        <v>307570</v>
      </c>
      <c r="Q157" s="58">
        <f t="shared" si="13"/>
        <v>615140</v>
      </c>
      <c r="R157" s="141">
        <v>46141</v>
      </c>
      <c r="S157" s="19"/>
      <c r="T157" s="32"/>
      <c r="U157" s="32"/>
      <c r="V157" s="51">
        <f t="shared" si="14"/>
        <v>356781.19999999995</v>
      </c>
      <c r="W157" s="51">
        <f t="shared" si="15"/>
        <v>713562.39999999991</v>
      </c>
      <c r="X157" s="52">
        <f t="shared" si="16"/>
        <v>239.99</v>
      </c>
      <c r="Y157" s="53">
        <f t="shared" si="17"/>
        <v>479.98</v>
      </c>
      <c r="Z157" s="54"/>
      <c r="AA157" s="71"/>
      <c r="AB157" s="71"/>
      <c r="AC157" s="128"/>
      <c r="AD157" s="33"/>
      <c r="AE157" s="55"/>
    </row>
    <row r="158" spans="2:31" ht="20.100000000000001" hidden="1" customHeight="1">
      <c r="B158" s="48">
        <v>99</v>
      </c>
      <c r="C158" s="121" t="s">
        <v>701</v>
      </c>
      <c r="D158" s="120" t="s">
        <v>349</v>
      </c>
      <c r="E158" s="120">
        <v>2508</v>
      </c>
      <c r="F158" s="120" t="s">
        <v>700</v>
      </c>
      <c r="G158" s="120" t="s">
        <v>699</v>
      </c>
      <c r="H158" s="49"/>
      <c r="I158" s="50" t="s">
        <v>753</v>
      </c>
      <c r="J158" s="124" t="s">
        <v>752</v>
      </c>
      <c r="K158" s="50" t="s">
        <v>26</v>
      </c>
      <c r="L158" s="50" t="s">
        <v>519</v>
      </c>
      <c r="M158" s="56" t="s">
        <v>12</v>
      </c>
      <c r="N158" s="122" t="s">
        <v>666</v>
      </c>
      <c r="O158" s="57">
        <v>4</v>
      </c>
      <c r="P158" s="45">
        <v>10500</v>
      </c>
      <c r="Q158" s="58">
        <f t="shared" si="13"/>
        <v>42000</v>
      </c>
      <c r="R158" s="141">
        <v>46115</v>
      </c>
      <c r="S158" s="19"/>
      <c r="T158" s="32"/>
      <c r="U158" s="32"/>
      <c r="V158" s="51">
        <f t="shared" si="14"/>
        <v>12180</v>
      </c>
      <c r="W158" s="51">
        <f t="shared" si="15"/>
        <v>48720</v>
      </c>
      <c r="X158" s="52">
        <f t="shared" si="16"/>
        <v>8.19</v>
      </c>
      <c r="Y158" s="53">
        <f t="shared" si="17"/>
        <v>32.76</v>
      </c>
      <c r="Z158" s="54"/>
      <c r="AA158" s="71"/>
      <c r="AB158" s="71"/>
      <c r="AC158" s="128"/>
      <c r="AD158" s="33"/>
      <c r="AE158" s="55"/>
    </row>
    <row r="159" spans="2:31" ht="20.100000000000001" hidden="1" customHeight="1">
      <c r="B159" s="48">
        <v>100</v>
      </c>
      <c r="C159" s="121" t="s">
        <v>701</v>
      </c>
      <c r="D159" s="120" t="s">
        <v>349</v>
      </c>
      <c r="E159" s="120">
        <v>2508</v>
      </c>
      <c r="F159" s="120" t="s">
        <v>700</v>
      </c>
      <c r="G159" s="120" t="s">
        <v>699</v>
      </c>
      <c r="H159" s="49"/>
      <c r="I159" s="50" t="s">
        <v>262</v>
      </c>
      <c r="J159" s="124" t="s">
        <v>278</v>
      </c>
      <c r="K159" s="50" t="s">
        <v>26</v>
      </c>
      <c r="L159" s="50" t="s">
        <v>519</v>
      </c>
      <c r="M159" s="56" t="s">
        <v>12</v>
      </c>
      <c r="N159" s="122" t="s">
        <v>666</v>
      </c>
      <c r="O159" s="57">
        <v>10</v>
      </c>
      <c r="P159" s="45">
        <v>51030</v>
      </c>
      <c r="Q159" s="58">
        <f t="shared" si="13"/>
        <v>510300</v>
      </c>
      <c r="R159" s="141">
        <v>46115</v>
      </c>
      <c r="S159" s="19"/>
      <c r="T159" s="32"/>
      <c r="U159" s="32"/>
      <c r="V159" s="51">
        <f t="shared" si="14"/>
        <v>59194.799999999996</v>
      </c>
      <c r="W159" s="51">
        <f t="shared" si="15"/>
        <v>591948</v>
      </c>
      <c r="X159" s="52">
        <f t="shared" si="16"/>
        <v>39.82</v>
      </c>
      <c r="Y159" s="53">
        <f t="shared" si="17"/>
        <v>398.2</v>
      </c>
      <c r="Z159" s="54"/>
      <c r="AA159" s="71"/>
      <c r="AB159" s="71"/>
      <c r="AC159" s="128"/>
      <c r="AD159" s="33"/>
      <c r="AE159" s="55"/>
    </row>
    <row r="160" spans="2:31" ht="20.100000000000001" hidden="1" customHeight="1">
      <c r="B160" s="48">
        <v>121</v>
      </c>
      <c r="C160" s="121" t="s">
        <v>701</v>
      </c>
      <c r="D160" s="120" t="s">
        <v>349</v>
      </c>
      <c r="E160" s="120">
        <v>2508</v>
      </c>
      <c r="F160" s="120" t="s">
        <v>700</v>
      </c>
      <c r="G160" s="120" t="s">
        <v>699</v>
      </c>
      <c r="H160" s="49"/>
      <c r="I160" s="50" t="s">
        <v>578</v>
      </c>
      <c r="J160" s="124" t="s">
        <v>62</v>
      </c>
      <c r="K160" s="50" t="s">
        <v>61</v>
      </c>
      <c r="L160" s="50" t="s">
        <v>61</v>
      </c>
      <c r="M160" s="56" t="s">
        <v>12</v>
      </c>
      <c r="N160" s="122" t="s">
        <v>665</v>
      </c>
      <c r="O160" s="57">
        <v>4</v>
      </c>
      <c r="P160" s="45">
        <v>315000</v>
      </c>
      <c r="Q160" s="58">
        <f t="shared" si="13"/>
        <v>1260000</v>
      </c>
      <c r="R160" s="141">
        <v>46115</v>
      </c>
      <c r="S160" s="19"/>
      <c r="T160" s="32"/>
      <c r="U160" s="32"/>
      <c r="V160" s="51">
        <f t="shared" si="14"/>
        <v>365400</v>
      </c>
      <c r="W160" s="51">
        <f t="shared" si="15"/>
        <v>1461600</v>
      </c>
      <c r="X160" s="52">
        <f t="shared" si="16"/>
        <v>245.79</v>
      </c>
      <c r="Y160" s="53">
        <f t="shared" si="17"/>
        <v>983.16</v>
      </c>
      <c r="Z160" s="54"/>
      <c r="AA160" s="71"/>
      <c r="AB160" s="71"/>
      <c r="AC160" s="128"/>
      <c r="AD160" s="33"/>
      <c r="AE160" s="55"/>
    </row>
    <row r="161" spans="2:31" ht="20.100000000000001" hidden="1" customHeight="1">
      <c r="B161" s="48">
        <v>131</v>
      </c>
      <c r="C161" s="121" t="s">
        <v>701</v>
      </c>
      <c r="D161" s="120" t="s">
        <v>349</v>
      </c>
      <c r="E161" s="120">
        <v>2508</v>
      </c>
      <c r="F161" s="120" t="s">
        <v>700</v>
      </c>
      <c r="G161" s="120" t="s">
        <v>699</v>
      </c>
      <c r="H161" s="49"/>
      <c r="I161" s="50" t="s">
        <v>177</v>
      </c>
      <c r="J161" s="124" t="s">
        <v>325</v>
      </c>
      <c r="K161" s="50" t="s">
        <v>48</v>
      </c>
      <c r="L161" s="50" t="s">
        <v>604</v>
      </c>
      <c r="M161" s="56" t="s">
        <v>12</v>
      </c>
      <c r="N161" s="122" t="s">
        <v>666</v>
      </c>
      <c r="O161" s="57">
        <v>4</v>
      </c>
      <c r="P161" s="45">
        <v>24000</v>
      </c>
      <c r="Q161" s="58">
        <f t="shared" si="12"/>
        <v>96000</v>
      </c>
      <c r="R161" s="141">
        <v>46115</v>
      </c>
      <c r="S161" s="19"/>
      <c r="T161" s="32"/>
      <c r="U161" s="32"/>
      <c r="V161" s="51">
        <f t="shared" si="14"/>
        <v>27839.999999999996</v>
      </c>
      <c r="W161" s="51">
        <f t="shared" si="15"/>
        <v>111359.99999999999</v>
      </c>
      <c r="X161" s="52">
        <f t="shared" si="16"/>
        <v>18.73</v>
      </c>
      <c r="Y161" s="53">
        <f t="shared" si="17"/>
        <v>74.92</v>
      </c>
      <c r="Z161" s="54"/>
      <c r="AA161" s="71"/>
      <c r="AB161" s="71"/>
      <c r="AC161" s="128"/>
      <c r="AD161" s="33"/>
      <c r="AE161" s="55"/>
    </row>
    <row r="162" spans="2:31" ht="20.100000000000001" hidden="1" customHeight="1">
      <c r="B162" s="48">
        <v>132</v>
      </c>
      <c r="C162" s="121" t="s">
        <v>701</v>
      </c>
      <c r="D162" s="120" t="s">
        <v>349</v>
      </c>
      <c r="E162" s="120">
        <v>2508</v>
      </c>
      <c r="F162" s="120" t="s">
        <v>700</v>
      </c>
      <c r="G162" s="120" t="s">
        <v>699</v>
      </c>
      <c r="H162" s="49"/>
      <c r="I162" s="50" t="s">
        <v>177</v>
      </c>
      <c r="J162" s="124" t="s">
        <v>327</v>
      </c>
      <c r="K162" s="50" t="s">
        <v>48</v>
      </c>
      <c r="L162" s="50" t="s">
        <v>604</v>
      </c>
      <c r="M162" s="56" t="s">
        <v>12</v>
      </c>
      <c r="N162" s="122" t="s">
        <v>666</v>
      </c>
      <c r="O162" s="57">
        <v>4</v>
      </c>
      <c r="P162" s="45">
        <v>32000</v>
      </c>
      <c r="Q162" s="58">
        <f t="shared" si="12"/>
        <v>128000</v>
      </c>
      <c r="R162" s="141">
        <v>46115</v>
      </c>
      <c r="S162" s="19"/>
      <c r="T162" s="32"/>
      <c r="U162" s="32"/>
      <c r="V162" s="51">
        <f t="shared" si="14"/>
        <v>37120</v>
      </c>
      <c r="W162" s="51">
        <f t="shared" si="15"/>
        <v>148480</v>
      </c>
      <c r="X162" s="52">
        <f t="shared" si="16"/>
        <v>24.97</v>
      </c>
      <c r="Y162" s="53">
        <f t="shared" si="17"/>
        <v>99.88</v>
      </c>
      <c r="Z162" s="54"/>
      <c r="AA162" s="71"/>
      <c r="AB162" s="71"/>
      <c r="AC162" s="128"/>
      <c r="AD162" s="33"/>
      <c r="AE162" s="55"/>
    </row>
    <row r="163" spans="2:31" ht="20.100000000000001" hidden="1" customHeight="1">
      <c r="B163" s="48">
        <v>133</v>
      </c>
      <c r="C163" s="121" t="s">
        <v>701</v>
      </c>
      <c r="D163" s="120" t="s">
        <v>349</v>
      </c>
      <c r="E163" s="120">
        <v>2508</v>
      </c>
      <c r="F163" s="120" t="s">
        <v>700</v>
      </c>
      <c r="G163" s="120" t="s">
        <v>699</v>
      </c>
      <c r="H163" s="49"/>
      <c r="I163" s="50" t="s">
        <v>177</v>
      </c>
      <c r="J163" s="124" t="s">
        <v>733</v>
      </c>
      <c r="K163" s="50" t="s">
        <v>48</v>
      </c>
      <c r="L163" s="50" t="s">
        <v>604</v>
      </c>
      <c r="M163" s="56" t="s">
        <v>12</v>
      </c>
      <c r="N163" s="122" t="s">
        <v>666</v>
      </c>
      <c r="O163" s="57">
        <v>4</v>
      </c>
      <c r="P163" s="45">
        <v>37000</v>
      </c>
      <c r="Q163" s="58">
        <f t="shared" si="12"/>
        <v>148000</v>
      </c>
      <c r="R163" s="141">
        <v>46115</v>
      </c>
      <c r="S163" s="19"/>
      <c r="T163" s="32"/>
      <c r="U163" s="32"/>
      <c r="V163" s="51">
        <f t="shared" si="14"/>
        <v>42920</v>
      </c>
      <c r="W163" s="51">
        <f t="shared" si="15"/>
        <v>171680</v>
      </c>
      <c r="X163" s="52">
        <f t="shared" si="16"/>
        <v>28.87</v>
      </c>
      <c r="Y163" s="53">
        <f t="shared" si="17"/>
        <v>115.48</v>
      </c>
      <c r="Z163" s="54"/>
      <c r="AA163" s="71"/>
      <c r="AB163" s="71"/>
      <c r="AC163" s="128"/>
      <c r="AD163" s="33"/>
      <c r="AE163" s="55"/>
    </row>
    <row r="164" spans="2:31" ht="20.100000000000001" hidden="1" customHeight="1">
      <c r="B164" s="48">
        <v>134</v>
      </c>
      <c r="C164" s="121" t="s">
        <v>701</v>
      </c>
      <c r="D164" s="120" t="s">
        <v>349</v>
      </c>
      <c r="E164" s="120">
        <v>2508</v>
      </c>
      <c r="F164" s="120" t="s">
        <v>700</v>
      </c>
      <c r="G164" s="120" t="s">
        <v>699</v>
      </c>
      <c r="H164" s="49"/>
      <c r="I164" s="50" t="s">
        <v>177</v>
      </c>
      <c r="J164" s="124" t="s">
        <v>732</v>
      </c>
      <c r="K164" s="50" t="s">
        <v>48</v>
      </c>
      <c r="L164" s="50" t="s">
        <v>604</v>
      </c>
      <c r="M164" s="56" t="s">
        <v>12</v>
      </c>
      <c r="N164" s="122" t="s">
        <v>666</v>
      </c>
      <c r="O164" s="57">
        <v>2</v>
      </c>
      <c r="P164" s="45">
        <v>34000</v>
      </c>
      <c r="Q164" s="58">
        <f t="shared" si="12"/>
        <v>68000</v>
      </c>
      <c r="R164" s="141">
        <v>46115</v>
      </c>
      <c r="S164" s="19"/>
      <c r="T164" s="32"/>
      <c r="U164" s="32"/>
      <c r="V164" s="51">
        <f t="shared" si="14"/>
        <v>39440</v>
      </c>
      <c r="W164" s="51">
        <f t="shared" si="15"/>
        <v>78880</v>
      </c>
      <c r="X164" s="52">
        <f t="shared" si="16"/>
        <v>26.53</v>
      </c>
      <c r="Y164" s="53">
        <f t="shared" si="17"/>
        <v>53.06</v>
      </c>
      <c r="Z164" s="54"/>
      <c r="AA164" s="71"/>
      <c r="AB164" s="71"/>
      <c r="AC164" s="128"/>
      <c r="AD164" s="33"/>
      <c r="AE164" s="55"/>
    </row>
    <row r="165" spans="2:31" ht="20.100000000000001" hidden="1" customHeight="1">
      <c r="B165" s="48">
        <v>135</v>
      </c>
      <c r="C165" s="121" t="s">
        <v>701</v>
      </c>
      <c r="D165" s="120" t="s">
        <v>349</v>
      </c>
      <c r="E165" s="120">
        <v>2508</v>
      </c>
      <c r="F165" s="120" t="s">
        <v>700</v>
      </c>
      <c r="G165" s="120" t="s">
        <v>699</v>
      </c>
      <c r="H165" s="49"/>
      <c r="I165" s="50" t="s">
        <v>177</v>
      </c>
      <c r="J165" s="124" t="s">
        <v>731</v>
      </c>
      <c r="K165" s="50" t="s">
        <v>48</v>
      </c>
      <c r="L165" s="50" t="s">
        <v>604</v>
      </c>
      <c r="M165" s="56" t="s">
        <v>12</v>
      </c>
      <c r="N165" s="122" t="s">
        <v>666</v>
      </c>
      <c r="O165" s="57">
        <v>2</v>
      </c>
      <c r="P165" s="45">
        <v>22000</v>
      </c>
      <c r="Q165" s="58">
        <f t="shared" si="12"/>
        <v>44000</v>
      </c>
      <c r="R165" s="141">
        <v>46115</v>
      </c>
      <c r="S165" s="19"/>
      <c r="T165" s="32"/>
      <c r="U165" s="32"/>
      <c r="V165" s="51">
        <f t="shared" si="14"/>
        <v>25520</v>
      </c>
      <c r="W165" s="51">
        <f t="shared" si="15"/>
        <v>51040</v>
      </c>
      <c r="X165" s="52">
        <f t="shared" si="16"/>
        <v>17.170000000000002</v>
      </c>
      <c r="Y165" s="53">
        <f t="shared" si="17"/>
        <v>34.340000000000003</v>
      </c>
      <c r="Z165" s="54"/>
      <c r="AA165" s="71"/>
      <c r="AB165" s="71"/>
      <c r="AC165" s="128"/>
      <c r="AD165" s="33"/>
      <c r="AE165" s="55"/>
    </row>
    <row r="166" spans="2:31" ht="20.100000000000001" hidden="1" customHeight="1">
      <c r="B166" s="48">
        <v>136</v>
      </c>
      <c r="C166" s="121" t="s">
        <v>701</v>
      </c>
      <c r="D166" s="120" t="s">
        <v>349</v>
      </c>
      <c r="E166" s="120">
        <v>2508</v>
      </c>
      <c r="F166" s="120" t="s">
        <v>700</v>
      </c>
      <c r="G166" s="120" t="s">
        <v>699</v>
      </c>
      <c r="H166" s="49"/>
      <c r="I166" s="50" t="s">
        <v>177</v>
      </c>
      <c r="J166" s="124" t="s">
        <v>730</v>
      </c>
      <c r="K166" s="50" t="s">
        <v>48</v>
      </c>
      <c r="L166" s="50" t="s">
        <v>604</v>
      </c>
      <c r="M166" s="56" t="s">
        <v>12</v>
      </c>
      <c r="N166" s="122" t="s">
        <v>666</v>
      </c>
      <c r="O166" s="57">
        <v>4</v>
      </c>
      <c r="P166" s="45">
        <v>50000</v>
      </c>
      <c r="Q166" s="58">
        <f t="shared" si="12"/>
        <v>200000</v>
      </c>
      <c r="R166" s="141">
        <v>46115</v>
      </c>
      <c r="S166" s="19"/>
      <c r="T166" s="32"/>
      <c r="U166" s="32"/>
      <c r="V166" s="51">
        <f t="shared" si="14"/>
        <v>57999.999999999993</v>
      </c>
      <c r="W166" s="51">
        <f t="shared" si="15"/>
        <v>231999.99999999997</v>
      </c>
      <c r="X166" s="52">
        <f t="shared" si="16"/>
        <v>39.01</v>
      </c>
      <c r="Y166" s="53">
        <f t="shared" si="17"/>
        <v>156.04</v>
      </c>
      <c r="Z166" s="54"/>
      <c r="AA166" s="71"/>
      <c r="AB166" s="71"/>
      <c r="AC166" s="128"/>
      <c r="AD166" s="33"/>
      <c r="AE166" s="55"/>
    </row>
    <row r="167" spans="2:31" ht="20.100000000000001" hidden="1" customHeight="1">
      <c r="B167" s="48">
        <v>137</v>
      </c>
      <c r="C167" s="121" t="s">
        <v>701</v>
      </c>
      <c r="D167" s="120" t="s">
        <v>349</v>
      </c>
      <c r="E167" s="120">
        <v>2508</v>
      </c>
      <c r="F167" s="120" t="s">
        <v>700</v>
      </c>
      <c r="G167" s="120" t="s">
        <v>699</v>
      </c>
      <c r="H167" s="49"/>
      <c r="I167" s="50" t="s">
        <v>177</v>
      </c>
      <c r="J167" s="124" t="s">
        <v>729</v>
      </c>
      <c r="K167" s="50" t="s">
        <v>48</v>
      </c>
      <c r="L167" s="50" t="s">
        <v>604</v>
      </c>
      <c r="M167" s="56" t="s">
        <v>12</v>
      </c>
      <c r="N167" s="122" t="s">
        <v>666</v>
      </c>
      <c r="O167" s="57">
        <v>4</v>
      </c>
      <c r="P167" s="45">
        <v>37000</v>
      </c>
      <c r="Q167" s="58">
        <f t="shared" si="12"/>
        <v>148000</v>
      </c>
      <c r="R167" s="141">
        <v>46115</v>
      </c>
      <c r="S167" s="19"/>
      <c r="T167" s="32"/>
      <c r="U167" s="32"/>
      <c r="V167" s="51">
        <f t="shared" si="14"/>
        <v>42920</v>
      </c>
      <c r="W167" s="51">
        <f t="shared" si="15"/>
        <v>171680</v>
      </c>
      <c r="X167" s="52">
        <f t="shared" si="16"/>
        <v>28.87</v>
      </c>
      <c r="Y167" s="53">
        <f t="shared" si="17"/>
        <v>115.48</v>
      </c>
      <c r="Z167" s="54"/>
      <c r="AA167" s="71"/>
      <c r="AB167" s="71"/>
      <c r="AC167" s="128"/>
      <c r="AD167" s="33"/>
      <c r="AE167" s="55"/>
    </row>
    <row r="168" spans="2:31" ht="20.100000000000001" hidden="1" customHeight="1">
      <c r="B168" s="48">
        <v>138</v>
      </c>
      <c r="C168" s="121" t="s">
        <v>701</v>
      </c>
      <c r="D168" s="120" t="s">
        <v>349</v>
      </c>
      <c r="E168" s="120">
        <v>2508</v>
      </c>
      <c r="F168" s="120" t="s">
        <v>700</v>
      </c>
      <c r="G168" s="120" t="s">
        <v>699</v>
      </c>
      <c r="H168" s="49"/>
      <c r="I168" s="50" t="s">
        <v>177</v>
      </c>
      <c r="J168" s="124" t="s">
        <v>728</v>
      </c>
      <c r="K168" s="50" t="s">
        <v>48</v>
      </c>
      <c r="L168" s="50" t="s">
        <v>604</v>
      </c>
      <c r="M168" s="56" t="s">
        <v>12</v>
      </c>
      <c r="N168" s="122" t="s">
        <v>666</v>
      </c>
      <c r="O168" s="57">
        <v>4</v>
      </c>
      <c r="P168" s="45">
        <v>37000</v>
      </c>
      <c r="Q168" s="58">
        <f t="shared" si="12"/>
        <v>148000</v>
      </c>
      <c r="R168" s="141">
        <v>46115</v>
      </c>
      <c r="S168" s="19"/>
      <c r="T168" s="32"/>
      <c r="U168" s="32"/>
      <c r="V168" s="51">
        <f t="shared" si="14"/>
        <v>42920</v>
      </c>
      <c r="W168" s="51">
        <f t="shared" si="15"/>
        <v>171680</v>
      </c>
      <c r="X168" s="52">
        <f t="shared" si="16"/>
        <v>28.87</v>
      </c>
      <c r="Y168" s="53">
        <f t="shared" si="17"/>
        <v>115.48</v>
      </c>
      <c r="Z168" s="54"/>
      <c r="AA168" s="71"/>
      <c r="AB168" s="71"/>
      <c r="AC168" s="128"/>
      <c r="AD168" s="33"/>
      <c r="AE168" s="55"/>
    </row>
    <row r="169" spans="2:31" ht="20.100000000000001" hidden="1" customHeight="1">
      <c r="B169" s="48">
        <v>139</v>
      </c>
      <c r="C169" s="121" t="s">
        <v>701</v>
      </c>
      <c r="D169" s="120" t="s">
        <v>349</v>
      </c>
      <c r="E169" s="120">
        <v>2508</v>
      </c>
      <c r="F169" s="120" t="s">
        <v>700</v>
      </c>
      <c r="G169" s="120" t="s">
        <v>699</v>
      </c>
      <c r="H169" s="49"/>
      <c r="I169" s="50" t="s">
        <v>712</v>
      </c>
      <c r="J169" s="124" t="s">
        <v>727</v>
      </c>
      <c r="K169" s="50" t="s">
        <v>48</v>
      </c>
      <c r="L169" s="50" t="s">
        <v>604</v>
      </c>
      <c r="M169" s="56" t="s">
        <v>12</v>
      </c>
      <c r="N169" s="122" t="s">
        <v>666</v>
      </c>
      <c r="O169" s="57">
        <v>2</v>
      </c>
      <c r="P169" s="45">
        <v>6000</v>
      </c>
      <c r="Q169" s="58">
        <f t="shared" si="12"/>
        <v>12000</v>
      </c>
      <c r="R169" s="141">
        <v>46115</v>
      </c>
      <c r="S169" s="19"/>
      <c r="T169" s="32"/>
      <c r="U169" s="32"/>
      <c r="V169" s="51">
        <f t="shared" si="14"/>
        <v>6959.9999999999991</v>
      </c>
      <c r="W169" s="51">
        <f t="shared" si="15"/>
        <v>13919.999999999998</v>
      </c>
      <c r="X169" s="52">
        <f t="shared" si="16"/>
        <v>4.68</v>
      </c>
      <c r="Y169" s="53">
        <f t="shared" si="17"/>
        <v>9.36</v>
      </c>
      <c r="Z169" s="54"/>
      <c r="AA169" s="71"/>
      <c r="AB169" s="71"/>
      <c r="AC169" s="128"/>
      <c r="AD169" s="33"/>
      <c r="AE169" s="55"/>
    </row>
    <row r="170" spans="2:31" ht="20.100000000000001" hidden="1" customHeight="1">
      <c r="B170" s="48">
        <v>140</v>
      </c>
      <c r="C170" s="121" t="s">
        <v>701</v>
      </c>
      <c r="D170" s="120" t="s">
        <v>349</v>
      </c>
      <c r="E170" s="120">
        <v>2508</v>
      </c>
      <c r="F170" s="120" t="s">
        <v>700</v>
      </c>
      <c r="G170" s="120" t="s">
        <v>699</v>
      </c>
      <c r="H170" s="49"/>
      <c r="I170" s="50" t="s">
        <v>712</v>
      </c>
      <c r="J170" s="124" t="s">
        <v>726</v>
      </c>
      <c r="K170" s="50" t="s">
        <v>48</v>
      </c>
      <c r="L170" s="50" t="s">
        <v>604</v>
      </c>
      <c r="M170" s="56" t="s">
        <v>12</v>
      </c>
      <c r="N170" s="122" t="s">
        <v>666</v>
      </c>
      <c r="O170" s="57">
        <v>2</v>
      </c>
      <c r="P170" s="45">
        <v>33000</v>
      </c>
      <c r="Q170" s="58">
        <f t="shared" si="12"/>
        <v>66000</v>
      </c>
      <c r="R170" s="141">
        <v>46115</v>
      </c>
      <c r="S170" s="19"/>
      <c r="T170" s="32"/>
      <c r="U170" s="32"/>
      <c r="V170" s="51">
        <f t="shared" si="14"/>
        <v>38280</v>
      </c>
      <c r="W170" s="51">
        <f t="shared" si="15"/>
        <v>76560</v>
      </c>
      <c r="X170" s="52">
        <f t="shared" si="16"/>
        <v>25.75</v>
      </c>
      <c r="Y170" s="53">
        <f t="shared" si="17"/>
        <v>51.5</v>
      </c>
      <c r="Z170" s="54"/>
      <c r="AA170" s="71"/>
      <c r="AB170" s="71"/>
      <c r="AC170" s="128"/>
      <c r="AD170" s="33"/>
      <c r="AE170" s="55"/>
    </row>
    <row r="171" spans="2:31" ht="20.100000000000001" hidden="1" customHeight="1">
      <c r="B171" s="48">
        <v>141</v>
      </c>
      <c r="C171" s="121" t="s">
        <v>701</v>
      </c>
      <c r="D171" s="120" t="s">
        <v>349</v>
      </c>
      <c r="E171" s="120">
        <v>2508</v>
      </c>
      <c r="F171" s="120" t="s">
        <v>700</v>
      </c>
      <c r="G171" s="120" t="s">
        <v>699</v>
      </c>
      <c r="H171" s="49"/>
      <c r="I171" s="50" t="s">
        <v>712</v>
      </c>
      <c r="J171" s="124" t="s">
        <v>725</v>
      </c>
      <c r="K171" s="50" t="s">
        <v>48</v>
      </c>
      <c r="L171" s="50" t="s">
        <v>604</v>
      </c>
      <c r="M171" s="56" t="s">
        <v>12</v>
      </c>
      <c r="N171" s="122" t="s">
        <v>666</v>
      </c>
      <c r="O171" s="57">
        <v>2</v>
      </c>
      <c r="P171" s="45">
        <v>36000</v>
      </c>
      <c r="Q171" s="58">
        <f t="shared" si="12"/>
        <v>72000</v>
      </c>
      <c r="R171" s="141">
        <v>46115</v>
      </c>
      <c r="S171" s="19"/>
      <c r="T171" s="32"/>
      <c r="U171" s="32"/>
      <c r="V171" s="51">
        <f t="shared" si="14"/>
        <v>41760</v>
      </c>
      <c r="W171" s="51">
        <f t="shared" si="15"/>
        <v>83520</v>
      </c>
      <c r="X171" s="52">
        <f t="shared" si="16"/>
        <v>28.09</v>
      </c>
      <c r="Y171" s="53">
        <f t="shared" si="17"/>
        <v>56.18</v>
      </c>
      <c r="Z171" s="54"/>
      <c r="AA171" s="71"/>
      <c r="AB171" s="71"/>
      <c r="AC171" s="128"/>
      <c r="AD171" s="33"/>
      <c r="AE171" s="55"/>
    </row>
    <row r="172" spans="2:31" ht="20.100000000000001" hidden="1" customHeight="1">
      <c r="B172" s="48">
        <v>142</v>
      </c>
      <c r="C172" s="121" t="s">
        <v>701</v>
      </c>
      <c r="D172" s="120" t="s">
        <v>349</v>
      </c>
      <c r="E172" s="120">
        <v>2508</v>
      </c>
      <c r="F172" s="120" t="s">
        <v>700</v>
      </c>
      <c r="G172" s="120" t="s">
        <v>699</v>
      </c>
      <c r="H172" s="49"/>
      <c r="I172" s="50" t="s">
        <v>712</v>
      </c>
      <c r="J172" s="124" t="s">
        <v>724</v>
      </c>
      <c r="K172" s="50" t="s">
        <v>48</v>
      </c>
      <c r="L172" s="50" t="s">
        <v>604</v>
      </c>
      <c r="M172" s="56" t="s">
        <v>12</v>
      </c>
      <c r="N172" s="122" t="s">
        <v>666</v>
      </c>
      <c r="O172" s="57">
        <v>2</v>
      </c>
      <c r="P172" s="45">
        <v>51000</v>
      </c>
      <c r="Q172" s="58">
        <f t="shared" si="12"/>
        <v>102000</v>
      </c>
      <c r="R172" s="141">
        <v>46115</v>
      </c>
      <c r="S172" s="19"/>
      <c r="T172" s="32"/>
      <c r="U172" s="32"/>
      <c r="V172" s="51">
        <f t="shared" si="14"/>
        <v>59159.999999999993</v>
      </c>
      <c r="W172" s="51">
        <f t="shared" si="15"/>
        <v>118319.99999999999</v>
      </c>
      <c r="X172" s="52">
        <f t="shared" si="16"/>
        <v>39.79</v>
      </c>
      <c r="Y172" s="53">
        <f t="shared" si="17"/>
        <v>79.58</v>
      </c>
      <c r="Z172" s="54"/>
      <c r="AA172" s="71"/>
      <c r="AB172" s="71"/>
      <c r="AC172" s="128"/>
      <c r="AD172" s="33"/>
      <c r="AE172" s="55"/>
    </row>
    <row r="173" spans="2:31" ht="20.100000000000001" hidden="1" customHeight="1">
      <c r="B173" s="48">
        <v>143</v>
      </c>
      <c r="C173" s="121" t="s">
        <v>701</v>
      </c>
      <c r="D173" s="120" t="s">
        <v>349</v>
      </c>
      <c r="E173" s="120">
        <v>2508</v>
      </c>
      <c r="F173" s="120" t="s">
        <v>700</v>
      </c>
      <c r="G173" s="120" t="s">
        <v>699</v>
      </c>
      <c r="H173" s="49"/>
      <c r="I173" s="50" t="s">
        <v>712</v>
      </c>
      <c r="J173" s="124" t="s">
        <v>723</v>
      </c>
      <c r="K173" s="50" t="s">
        <v>48</v>
      </c>
      <c r="L173" s="50" t="s">
        <v>604</v>
      </c>
      <c r="M173" s="56" t="s">
        <v>12</v>
      </c>
      <c r="N173" s="122" t="s">
        <v>666</v>
      </c>
      <c r="O173" s="57">
        <v>4</v>
      </c>
      <c r="P173" s="45">
        <v>3200</v>
      </c>
      <c r="Q173" s="58">
        <f t="shared" si="12"/>
        <v>12800</v>
      </c>
      <c r="R173" s="141">
        <v>46115</v>
      </c>
      <c r="S173" s="19"/>
      <c r="T173" s="32"/>
      <c r="U173" s="32"/>
      <c r="V173" s="51">
        <f t="shared" si="14"/>
        <v>3711.9999999999995</v>
      </c>
      <c r="W173" s="51">
        <f t="shared" si="15"/>
        <v>14847.999999999998</v>
      </c>
      <c r="X173" s="52">
        <f t="shared" si="16"/>
        <v>2.5</v>
      </c>
      <c r="Y173" s="53">
        <f t="shared" si="17"/>
        <v>10</v>
      </c>
      <c r="Z173" s="54"/>
      <c r="AA173" s="71"/>
      <c r="AB173" s="71"/>
      <c r="AC173" s="128"/>
      <c r="AD173" s="33"/>
      <c r="AE173" s="55"/>
    </row>
    <row r="174" spans="2:31" ht="20.100000000000001" hidden="1" customHeight="1">
      <c r="B174" s="48">
        <v>149</v>
      </c>
      <c r="C174" s="121" t="s">
        <v>701</v>
      </c>
      <c r="D174" s="120" t="s">
        <v>349</v>
      </c>
      <c r="E174" s="120">
        <v>2508</v>
      </c>
      <c r="F174" s="120" t="s">
        <v>700</v>
      </c>
      <c r="G174" s="120" t="s">
        <v>699</v>
      </c>
      <c r="H174" s="49"/>
      <c r="I174" s="50" t="s">
        <v>459</v>
      </c>
      <c r="J174" s="124" t="s">
        <v>721</v>
      </c>
      <c r="K174" s="50" t="s">
        <v>460</v>
      </c>
      <c r="L174" s="50" t="s">
        <v>605</v>
      </c>
      <c r="M174" s="56" t="s">
        <v>12</v>
      </c>
      <c r="N174" s="122" t="s">
        <v>665</v>
      </c>
      <c r="O174" s="57">
        <v>8</v>
      </c>
      <c r="P174" s="45">
        <v>5560</v>
      </c>
      <c r="Q174" s="58">
        <f t="shared" si="12"/>
        <v>44480</v>
      </c>
      <c r="R174" s="141">
        <v>46112</v>
      </c>
      <c r="S174" s="19"/>
      <c r="T174" s="32"/>
      <c r="U174" s="32"/>
      <c r="V174" s="51">
        <f t="shared" si="14"/>
        <v>6449.5999999999995</v>
      </c>
      <c r="W174" s="51">
        <f t="shared" si="15"/>
        <v>51596.799999999996</v>
      </c>
      <c r="X174" s="52">
        <f t="shared" si="16"/>
        <v>4.34</v>
      </c>
      <c r="Y174" s="53">
        <f t="shared" si="17"/>
        <v>34.72</v>
      </c>
      <c r="Z174" s="54"/>
      <c r="AA174" s="71"/>
      <c r="AB174" s="71"/>
      <c r="AC174" s="128"/>
      <c r="AD174" s="33"/>
      <c r="AE174" s="55"/>
    </row>
    <row r="175" spans="2:31" ht="20.100000000000001" hidden="1" customHeight="1">
      <c r="B175" s="48">
        <v>164</v>
      </c>
      <c r="C175" s="121" t="s">
        <v>701</v>
      </c>
      <c r="D175" s="120" t="s">
        <v>349</v>
      </c>
      <c r="E175" s="120">
        <v>2508</v>
      </c>
      <c r="F175" s="120" t="s">
        <v>700</v>
      </c>
      <c r="G175" s="120" t="s">
        <v>699</v>
      </c>
      <c r="H175" s="49"/>
      <c r="I175" s="50" t="s">
        <v>596</v>
      </c>
      <c r="J175" s="124" t="s">
        <v>713</v>
      </c>
      <c r="K175" s="50" t="s">
        <v>48</v>
      </c>
      <c r="L175" s="50" t="s">
        <v>686</v>
      </c>
      <c r="M175" s="56" t="s">
        <v>12</v>
      </c>
      <c r="N175" s="122" t="s">
        <v>609</v>
      </c>
      <c r="O175" s="57">
        <v>6</v>
      </c>
      <c r="P175" s="45">
        <v>12028</v>
      </c>
      <c r="Q175" s="58">
        <f t="shared" ref="Q175:Q178" si="18">O175*P175</f>
        <v>72168</v>
      </c>
      <c r="R175" s="141">
        <v>46118</v>
      </c>
      <c r="S175" s="19"/>
      <c r="T175" s="32"/>
      <c r="U175" s="32"/>
      <c r="V175" s="51">
        <f t="shared" si="14"/>
        <v>13952.48</v>
      </c>
      <c r="W175" s="51">
        <f t="shared" si="15"/>
        <v>83714.880000000005</v>
      </c>
      <c r="X175" s="52">
        <f t="shared" si="16"/>
        <v>9.39</v>
      </c>
      <c r="Y175" s="53">
        <f t="shared" si="17"/>
        <v>56.34</v>
      </c>
      <c r="Z175" s="54"/>
      <c r="AA175" s="71"/>
      <c r="AB175" s="71"/>
      <c r="AC175" s="128"/>
      <c r="AD175" s="33"/>
      <c r="AE175" s="55"/>
    </row>
    <row r="176" spans="2:31" ht="20.100000000000001" hidden="1" customHeight="1">
      <c r="B176" s="48">
        <v>165</v>
      </c>
      <c r="C176" s="121" t="s">
        <v>701</v>
      </c>
      <c r="D176" s="120" t="s">
        <v>349</v>
      </c>
      <c r="E176" s="120">
        <v>2508</v>
      </c>
      <c r="F176" s="120" t="s">
        <v>700</v>
      </c>
      <c r="G176" s="120" t="s">
        <v>699</v>
      </c>
      <c r="H176" s="49"/>
      <c r="I176" s="50" t="s">
        <v>712</v>
      </c>
      <c r="J176" s="124" t="s">
        <v>711</v>
      </c>
      <c r="K176" s="50" t="s">
        <v>48</v>
      </c>
      <c r="L176" s="50" t="s">
        <v>686</v>
      </c>
      <c r="M176" s="56" t="s">
        <v>12</v>
      </c>
      <c r="N176" s="122" t="s">
        <v>609</v>
      </c>
      <c r="O176" s="57">
        <v>2</v>
      </c>
      <c r="P176" s="45">
        <v>3370</v>
      </c>
      <c r="Q176" s="58">
        <f t="shared" si="18"/>
        <v>6740</v>
      </c>
      <c r="R176" s="141">
        <v>46119</v>
      </c>
      <c r="S176" s="19"/>
      <c r="T176" s="32"/>
      <c r="U176" s="32"/>
      <c r="V176" s="51">
        <f t="shared" si="14"/>
        <v>3909.2</v>
      </c>
      <c r="W176" s="51">
        <f t="shared" si="15"/>
        <v>7818.4</v>
      </c>
      <c r="X176" s="52">
        <f t="shared" si="16"/>
        <v>2.63</v>
      </c>
      <c r="Y176" s="53">
        <f t="shared" si="17"/>
        <v>5.26</v>
      </c>
      <c r="Z176" s="54"/>
      <c r="AA176" s="71"/>
      <c r="AB176" s="71"/>
      <c r="AC176" s="128"/>
      <c r="AD176" s="33"/>
      <c r="AE176" s="55"/>
    </row>
    <row r="177" spans="2:32" ht="20.100000000000001" hidden="1" customHeight="1">
      <c r="B177" s="48">
        <v>171</v>
      </c>
      <c r="C177" s="121" t="s">
        <v>701</v>
      </c>
      <c r="D177" s="120" t="s">
        <v>349</v>
      </c>
      <c r="E177" s="120">
        <v>2508</v>
      </c>
      <c r="F177" s="120" t="s">
        <v>700</v>
      </c>
      <c r="G177" s="120" t="s">
        <v>699</v>
      </c>
      <c r="H177" s="49"/>
      <c r="I177" s="50" t="s">
        <v>405</v>
      </c>
      <c r="J177" s="124" t="s">
        <v>703</v>
      </c>
      <c r="K177" s="50" t="s">
        <v>48</v>
      </c>
      <c r="L177" s="50" t="s">
        <v>686</v>
      </c>
      <c r="M177" s="56" t="s">
        <v>12</v>
      </c>
      <c r="N177" s="122" t="s">
        <v>609</v>
      </c>
      <c r="O177" s="57">
        <v>12</v>
      </c>
      <c r="P177" s="45">
        <v>3910</v>
      </c>
      <c r="Q177" s="58">
        <f>O177*P177</f>
        <v>46920</v>
      </c>
      <c r="R177" s="141">
        <v>46120</v>
      </c>
      <c r="S177" s="19"/>
      <c r="T177" s="32"/>
      <c r="U177" s="32"/>
      <c r="V177" s="51">
        <f t="shared" si="14"/>
        <v>4535.5999999999995</v>
      </c>
      <c r="W177" s="51">
        <f t="shared" si="15"/>
        <v>54427.199999999997</v>
      </c>
      <c r="X177" s="52">
        <f t="shared" si="16"/>
        <v>3.05</v>
      </c>
      <c r="Y177" s="53">
        <f t="shared" si="17"/>
        <v>36.599999999999994</v>
      </c>
      <c r="Z177" s="54"/>
      <c r="AA177" s="71"/>
      <c r="AB177" s="71"/>
      <c r="AC177" s="128"/>
      <c r="AD177" s="33"/>
      <c r="AE177" s="55"/>
    </row>
    <row r="178" spans="2:32" ht="20.100000000000001" customHeight="1">
      <c r="B178" s="48"/>
      <c r="C178" s="121"/>
      <c r="D178" s="120"/>
      <c r="E178" s="120"/>
      <c r="F178" s="120"/>
      <c r="G178" s="120"/>
      <c r="H178" s="49"/>
      <c r="I178" s="50"/>
      <c r="J178" s="124"/>
      <c r="K178" s="50"/>
      <c r="L178" s="50"/>
      <c r="M178" s="56" t="s">
        <v>12</v>
      </c>
      <c r="N178" s="122"/>
      <c r="O178" s="57"/>
      <c r="P178" s="45"/>
      <c r="Q178" s="58">
        <f t="shared" si="18"/>
        <v>0</v>
      </c>
      <c r="R178" s="129"/>
      <c r="S178" s="19"/>
      <c r="T178" s="32"/>
      <c r="U178" s="32"/>
      <c r="V178" s="51">
        <f t="shared" si="14"/>
        <v>0</v>
      </c>
      <c r="W178" s="51">
        <f t="shared" si="15"/>
        <v>0</v>
      </c>
      <c r="X178" s="52">
        <f t="shared" si="16"/>
        <v>0</v>
      </c>
      <c r="Y178" s="53">
        <f t="shared" si="17"/>
        <v>0</v>
      </c>
      <c r="Z178" s="54"/>
      <c r="AA178" s="71"/>
      <c r="AB178" s="71"/>
      <c r="AC178" s="128"/>
      <c r="AD178" s="33"/>
      <c r="AE178" s="55"/>
    </row>
    <row r="179" spans="2:32" ht="30.75" customHeight="1" thickBot="1">
      <c r="B179" s="36"/>
      <c r="C179" s="119"/>
      <c r="D179" s="37"/>
      <c r="E179" s="37"/>
      <c r="F179" s="37"/>
      <c r="G179" s="37"/>
      <c r="H179" s="37"/>
      <c r="I179" s="37"/>
      <c r="J179" s="127"/>
      <c r="K179" s="37"/>
      <c r="L179" s="37"/>
      <c r="M179" s="37"/>
      <c r="N179" s="123" t="s">
        <v>1</v>
      </c>
      <c r="O179" s="38">
        <f>SUBTOTAL(9,O5:O178)</f>
        <v>1058</v>
      </c>
      <c r="P179" s="38"/>
      <c r="Q179" s="38">
        <f>SUBTOTAL(9,Q5:Q178)</f>
        <v>37120676</v>
      </c>
      <c r="R179" s="70"/>
      <c r="S179" s="67"/>
      <c r="T179" s="39"/>
      <c r="U179" s="39"/>
      <c r="V179" s="38"/>
      <c r="W179" s="38">
        <f>SUBTOTAL(9,W5:W178)</f>
        <v>43059984.159999989</v>
      </c>
      <c r="X179" s="29"/>
      <c r="Y179" s="30">
        <f>++SUBTOTAL(9,Y5:Y178)</f>
        <v>28963.780000000002</v>
      </c>
      <c r="Z179" s="44" t="e">
        <f>++SUBTOTAL(9,#REF!)</f>
        <v>#REF!</v>
      </c>
      <c r="AA179" s="40" t="e">
        <f>++SUBTOTAL(9,#REF!)</f>
        <v>#REF!</v>
      </c>
      <c r="AB179" s="40" t="e">
        <f>++SUBTOTAL(9,#REF!)</f>
        <v>#REF!</v>
      </c>
      <c r="AC179" s="41"/>
      <c r="AD179" s="6"/>
      <c r="AE179" s="14">
        <f>SUM(AE4:AE178)+6</f>
        <v>6</v>
      </c>
      <c r="AF179" s="43"/>
    </row>
    <row r="180" spans="2:32" ht="15.75" thickTop="1">
      <c r="O180" s="9"/>
      <c r="P180" s="3"/>
      <c r="Q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17"/>
      <c r="AD180" s="3"/>
      <c r="AE180" s="9"/>
    </row>
    <row r="181" spans="2:32">
      <c r="O181" s="9"/>
      <c r="P181" s="3"/>
      <c r="Q181" s="3"/>
      <c r="S181" s="3"/>
      <c r="T181" s="3"/>
      <c r="U181" s="3"/>
      <c r="V181" s="42" t="s">
        <v>54</v>
      </c>
      <c r="W181" s="47">
        <f>++W179/Q179</f>
        <v>1.1599999999999997</v>
      </c>
      <c r="X181" s="3"/>
      <c r="Y181" s="3"/>
      <c r="Z181" s="3"/>
      <c r="AA181" s="3"/>
      <c r="AB181" s="3"/>
      <c r="AC181" s="17"/>
      <c r="AD181" s="3"/>
      <c r="AE181" s="9"/>
    </row>
    <row r="182" spans="2:32">
      <c r="O182" s="9"/>
      <c r="P182" s="3"/>
      <c r="Q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17"/>
      <c r="AD182" s="3"/>
      <c r="AE182" s="9"/>
    </row>
    <row r="183" spans="2:32">
      <c r="O183" s="9"/>
      <c r="P183" s="3"/>
      <c r="Q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17"/>
      <c r="AD183" s="3"/>
      <c r="AE183" s="9"/>
    </row>
    <row r="184" spans="2:32">
      <c r="O184" s="9"/>
      <c r="P184" s="3"/>
      <c r="Q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17"/>
      <c r="AD184" s="3"/>
      <c r="AE184" s="9"/>
    </row>
    <row r="185" spans="2:32">
      <c r="O185" s="9"/>
      <c r="P185" s="3"/>
      <c r="Q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17"/>
      <c r="AD185" s="3"/>
      <c r="AE185" s="9"/>
    </row>
    <row r="186" spans="2:32">
      <c r="O186" s="9"/>
      <c r="P186" s="3"/>
      <c r="Q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17"/>
      <c r="AD186" s="3"/>
      <c r="AE186" s="9"/>
    </row>
    <row r="187" spans="2:32">
      <c r="O187" s="9"/>
      <c r="P187" s="3"/>
      <c r="Q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17"/>
      <c r="AD187" s="3"/>
      <c r="AE187" s="9"/>
    </row>
    <row r="188" spans="2:32">
      <c r="O188" s="9"/>
      <c r="P188" s="3"/>
      <c r="Q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17"/>
      <c r="AD188" s="3"/>
      <c r="AE188" s="9"/>
    </row>
    <row r="189" spans="2:32">
      <c r="O189" s="9"/>
      <c r="P189" s="3"/>
      <c r="Q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17"/>
      <c r="AD189" s="3"/>
      <c r="AE189" s="9"/>
    </row>
    <row r="190" spans="2:32">
      <c r="O190" s="9"/>
      <c r="P190" s="3"/>
      <c r="Q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17"/>
      <c r="AD190" s="3"/>
      <c r="AE190" s="9"/>
    </row>
    <row r="191" spans="2:32">
      <c r="O191" s="9"/>
      <c r="P191" s="3"/>
      <c r="Q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17"/>
      <c r="AD191" s="3"/>
      <c r="AE191" s="9"/>
    </row>
    <row r="192" spans="2:32">
      <c r="O192" s="9"/>
      <c r="P192" s="3"/>
      <c r="Q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17"/>
      <c r="AD192" s="3"/>
      <c r="AE192" s="9"/>
    </row>
    <row r="193" spans="15:31">
      <c r="O193" s="9"/>
      <c r="P193" s="3"/>
      <c r="Q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17"/>
      <c r="AD193" s="3"/>
      <c r="AE193" s="9"/>
    </row>
  </sheetData>
  <autoFilter ref="B4:AE178" xr:uid="{00000000-0009-0000-0000-000000000000}">
    <filterColumn colId="16">
      <filters blank="1">
        <filter val="사내 재고"/>
        <filter val="입고 완료"/>
      </filters>
    </filterColumn>
    <sortState xmlns:xlrd2="http://schemas.microsoft.com/office/spreadsheetml/2017/richdata2" ref="B5:AE178">
      <sortCondition ref="L4:L178"/>
    </sortState>
  </autoFilter>
  <mergeCells count="3">
    <mergeCell ref="B2:AE2"/>
    <mergeCell ref="C4:E4"/>
    <mergeCell ref="Z4:AA4"/>
  </mergeCells>
  <phoneticPr fontId="1" type="noConversion"/>
  <conditionalFormatting sqref="J1:J1048576">
    <cfRule type="duplicateValues" dxfId="0" priority="1"/>
  </conditionalFormatting>
  <pageMargins left="0.70866141732283472" right="0.70866141732283472" top="0.74803149606299213" bottom="0.74803149606299213" header="0.31496062992125984" footer="0.31496062992125984"/>
  <pageSetup paperSize="9" scale="6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33</vt:i4>
      </vt:variant>
      <vt:variant>
        <vt:lpstr>이름 지정된 범위</vt:lpstr>
      </vt:variant>
      <vt:variant>
        <vt:i4>39</vt:i4>
      </vt:variant>
    </vt:vector>
  </HeadingPairs>
  <TitlesOfParts>
    <vt:vector size="72" baseType="lpstr">
      <vt:lpstr>001M2603</vt:lpstr>
      <vt:lpstr>BOX-2</vt:lpstr>
      <vt:lpstr>BOX-3</vt:lpstr>
      <vt:lpstr>BOX-4</vt:lpstr>
      <vt:lpstr>BOX-5</vt:lpstr>
      <vt:lpstr>BOX-6</vt:lpstr>
      <vt:lpstr>BOX-7 </vt:lpstr>
      <vt:lpstr>BOX-8</vt:lpstr>
      <vt:lpstr>BOX-9</vt:lpstr>
      <vt:lpstr>BOX-10</vt:lpstr>
      <vt:lpstr>BOX-11</vt:lpstr>
      <vt:lpstr>BOX-1-2</vt:lpstr>
      <vt:lpstr>BOX-2-2</vt:lpstr>
      <vt:lpstr>BOX-3-2 </vt:lpstr>
      <vt:lpstr>BOX-4-2 </vt:lpstr>
      <vt:lpstr>BOX-5-2 </vt:lpstr>
      <vt:lpstr>BOX-6-2 </vt:lpstr>
      <vt:lpstr>BOX-7-2  </vt:lpstr>
      <vt:lpstr>BOX-8-2  </vt:lpstr>
      <vt:lpstr>BOX-9-2 </vt:lpstr>
      <vt:lpstr>BOX-10-2  </vt:lpstr>
      <vt:lpstr>BOX-11-2</vt:lpstr>
      <vt:lpstr>BOX-12-2</vt:lpstr>
      <vt:lpstr>BOX-13-2 </vt:lpstr>
      <vt:lpstr>BOX-14-2  </vt:lpstr>
      <vt:lpstr>BOX-15-2  </vt:lpstr>
      <vt:lpstr>BOX-16-2  </vt:lpstr>
      <vt:lpstr>BOX-17-2</vt:lpstr>
      <vt:lpstr>002M2603 </vt:lpstr>
      <vt:lpstr>003M2603</vt:lpstr>
      <vt:lpstr>004M2603</vt:lpstr>
      <vt:lpstr>005M2603</vt:lpstr>
      <vt:lpstr>002M2508</vt:lpstr>
      <vt:lpstr>'001M2603'!Print_Area</vt:lpstr>
      <vt:lpstr>'002M2508'!Print_Area</vt:lpstr>
      <vt:lpstr>'002M2603 '!Print_Area</vt:lpstr>
      <vt:lpstr>'003M2603'!Print_Area</vt:lpstr>
      <vt:lpstr>'004M2603'!Print_Area</vt:lpstr>
      <vt:lpstr>'005M2603'!Print_Area</vt:lpstr>
      <vt:lpstr>'BOX-10'!Print_Area</vt:lpstr>
      <vt:lpstr>'BOX-10-2  '!Print_Area</vt:lpstr>
      <vt:lpstr>'BOX-11'!Print_Area</vt:lpstr>
      <vt:lpstr>'BOX-11-2'!Print_Area</vt:lpstr>
      <vt:lpstr>'BOX-1-2'!Print_Area</vt:lpstr>
      <vt:lpstr>'BOX-12-2'!Print_Area</vt:lpstr>
      <vt:lpstr>'BOX-13-2 '!Print_Area</vt:lpstr>
      <vt:lpstr>'BOX-14-2  '!Print_Area</vt:lpstr>
      <vt:lpstr>'BOX-15-2  '!Print_Area</vt:lpstr>
      <vt:lpstr>'BOX-16-2  '!Print_Area</vt:lpstr>
      <vt:lpstr>'BOX-17-2'!Print_Area</vt:lpstr>
      <vt:lpstr>'BOX-2'!Print_Area</vt:lpstr>
      <vt:lpstr>'BOX-2-2'!Print_Area</vt:lpstr>
      <vt:lpstr>'BOX-3'!Print_Area</vt:lpstr>
      <vt:lpstr>'BOX-3-2 '!Print_Area</vt:lpstr>
      <vt:lpstr>'BOX-4'!Print_Area</vt:lpstr>
      <vt:lpstr>'BOX-4-2 '!Print_Area</vt:lpstr>
      <vt:lpstr>'BOX-5'!Print_Area</vt:lpstr>
      <vt:lpstr>'BOX-5-2 '!Print_Area</vt:lpstr>
      <vt:lpstr>'BOX-6'!Print_Area</vt:lpstr>
      <vt:lpstr>'BOX-6-2 '!Print_Area</vt:lpstr>
      <vt:lpstr>'BOX-7 '!Print_Area</vt:lpstr>
      <vt:lpstr>'BOX-7-2  '!Print_Area</vt:lpstr>
      <vt:lpstr>'BOX-8'!Print_Area</vt:lpstr>
      <vt:lpstr>'BOX-8-2  '!Print_Area</vt:lpstr>
      <vt:lpstr>'BOX-9'!Print_Area</vt:lpstr>
      <vt:lpstr>'BOX-9-2 '!Print_Area</vt:lpstr>
      <vt:lpstr>'001M2603'!Print_Titles</vt:lpstr>
      <vt:lpstr>'002M2508'!Print_Titles</vt:lpstr>
      <vt:lpstr>'002M2603 '!Print_Titles</vt:lpstr>
      <vt:lpstr>'003M2603'!Print_Titles</vt:lpstr>
      <vt:lpstr>'004M2603'!Print_Titles</vt:lpstr>
      <vt:lpstr>'005M2603'!Print_Titles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세형 김</dc:creator>
  <cp:lastModifiedBy>세형 김</cp:lastModifiedBy>
  <cp:lastPrinted>2026-03-30T00:17:15Z</cp:lastPrinted>
  <dcterms:created xsi:type="dcterms:W3CDTF">2024-10-08T09:08:29Z</dcterms:created>
  <dcterms:modified xsi:type="dcterms:W3CDTF">2026-04-03T01:48:18Z</dcterms:modified>
</cp:coreProperties>
</file>