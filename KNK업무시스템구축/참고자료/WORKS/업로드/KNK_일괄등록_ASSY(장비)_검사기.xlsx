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WORKS\"/>
    </mc:Choice>
  </mc:AlternateContent>
  <xr:revisionPtr revIDLastSave="0" documentId="13_ncr:1_{FDF28AFB-0191-4C6A-94D1-5A04822BDB22}" xr6:coauthVersionLast="47" xr6:coauthVersionMax="47" xr10:uidLastSave="{00000000-0000-0000-0000-000000000000}"/>
  <bookViews>
    <workbookView xWindow="-38520" yWindow="-120" windowWidth="38640" windowHeight="21840" activeTab="1" xr2:uid="{00000000-000D-0000-FFFF-FFFF00000000}"/>
  </bookViews>
  <sheets>
    <sheet name="작성안내" sheetId="1" r:id="rId1"/>
    <sheet name="ASSY장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3" i="2" l="1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K93" i="2"/>
  <c r="K92" i="2"/>
  <c r="K91" i="2"/>
  <c r="K90" i="2"/>
  <c r="K89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5" i="2"/>
</calcChain>
</file>

<file path=xl/sharedStrings.xml><?xml version="1.0" encoding="utf-8"?>
<sst xmlns="http://schemas.openxmlformats.org/spreadsheetml/2006/main" count="832" uniqueCount="286">
  <si>
    <t>작성 안내 — ASS'Y (완제품·장비)</t>
  </si>
  <si>
    <t>◆ 이 양식은 완제품/장비를 한 줄에 1대씩 일괄 등록합니다.</t>
  </si>
  <si>
    <t>◆ 작성 순서: ① 데이터 시트(둘째 탭) 5행부터 입력(4행 예시는 참고) → ② 업로드 → ③ 미리보기 → ④ 확정</t>
  </si>
  <si>
    <t>◆ 사업부 칸을 비워도 관리코드(예: 001T2601)의 4번째 글자로 자동 판단합니다.</t>
  </si>
  <si>
    <t>■ 컬럼 설명</t>
  </si>
  <si>
    <t>컬럼</t>
  </si>
  <si>
    <t>필수</t>
  </si>
  <si>
    <t>설명 · 예시</t>
  </si>
  <si>
    <t>사업부</t>
  </si>
  <si>
    <t>T(검사기)/M(자동화)/L(라이프밸류)/E(기타)/C(소모품)  (비우면 관리코드 4번째 글자로 자동 판단)</t>
  </si>
  <si>
    <t>관리코드</t>
  </si>
  <si>
    <t>선택</t>
  </si>
  <si>
    <t>비우면 자동발급. 기존 코드 + PO유형 '추가'면 그 프로젝트에 품목 추가</t>
  </si>
  <si>
    <t>PO유형</t>
  </si>
  <si>
    <t>신규/추가/개조/A·S/기타</t>
  </si>
  <si>
    <t>프로젝트명</t>
  </si>
  <si>
    <t>비우면 장비명으로 진행</t>
  </si>
  <si>
    <t>장비명</t>
  </si>
  <si>
    <t>관리번호=장비 단위. 예: 압착 자동화설비</t>
  </si>
  <si>
    <t>모델명</t>
  </si>
  <si>
    <t>장비 모델명. 예: BATTPRESSAUTO-S-V2</t>
  </si>
  <si>
    <t>1차고객사</t>
  </si>
  <si>
    <t>발주처 = 본사 매출 기준. 예: 삼성전기(주)</t>
  </si>
  <si>
    <t>2차고객사</t>
  </si>
  <si>
    <t>2단계 발주(법인 경유) 시 최종 고객</t>
  </si>
  <si>
    <t>수량</t>
  </si>
  <si>
    <t>-</t>
  </si>
  <si>
    <t>장비 대수</t>
  </si>
  <si>
    <t>단가</t>
  </si>
  <si>
    <t>1대 단가</t>
  </si>
  <si>
    <t>금액</t>
  </si>
  <si>
    <t>수량×단가(본사 매출)</t>
  </si>
  <si>
    <t>최종금액(VND)</t>
  </si>
  <si>
    <t>2차 고객사 매출(참고, 합계 제외)</t>
  </si>
  <si>
    <t>통화</t>
  </si>
  <si>
    <t>KRW/USD/VND</t>
  </si>
  <si>
    <t>거래구분</t>
  </si>
  <si>
    <t>내수/수출</t>
  </si>
  <si>
    <t>상태</t>
  </si>
  <si>
    <t>초기협의/제안서전달/견적발행/수주예정/진행중/납품완료/취소/보류</t>
  </si>
  <si>
    <t>발주일</t>
  </si>
  <si>
    <t>YYYY-MM-DD</t>
  </si>
  <si>
    <t>납기일</t>
  </si>
  <si>
    <t>납품처</t>
  </si>
  <si>
    <t>PM</t>
  </si>
  <si>
    <t>영업담당</t>
  </si>
  <si>
    <t>비고</t>
  </si>
  <si>
    <t>■ 규칙 · 주의</t>
  </si>
  <si>
    <t>· 날짜는 반드시 YYYY-MM-DD 형식</t>
  </si>
  <si>
    <t>· 같은 관리코드를 여러 줄 = 한 프로젝트(장비)의 여러 품목으로 묶임</t>
  </si>
  <si>
    <t>· 데이터는 5행부터(4행 예시 아래) 입력</t>
  </si>
  <si>
    <t>· 장비명·모델명은 필수입니다</t>
  </si>
  <si>
    <t>프로젝트 일괄등록 — ASS'Y (완제품·장비)  ※ 한 줄 = 장비 1대  · 작성법은 [작성안내] 탭</t>
  </si>
  <si>
    <t>회색 예시(4행)는 참고용 — 그 아래 5행부터 입력하세요. 사업부 비우면 관리코드로 자동 판단.</t>
  </si>
  <si>
    <t>M</t>
  </si>
  <si>
    <t>(자동발급)</t>
  </si>
  <si>
    <t>신규</t>
  </si>
  <si>
    <t>압착 자동화설비 1호기</t>
  </si>
  <si>
    <t>압착 자동화설비</t>
  </si>
  <si>
    <t>BATTPRESSAUTO-S-V2</t>
  </si>
  <si>
    <t>삼성전기(주)</t>
  </si>
  <si>
    <t>1</t>
  </si>
  <si>
    <t>60,000,000</t>
  </si>
  <si>
    <t>KRW</t>
  </si>
  <si>
    <t>내수</t>
  </si>
  <si>
    <t>진행중</t>
  </si>
  <si>
    <t>2026-06-01</t>
  </si>
  <si>
    <t>2026-08-01</t>
  </si>
  <si>
    <t>SEVT</t>
  </si>
  <si>
    <t>홍길동</t>
  </si>
  <si>
    <t>김영업</t>
  </si>
  <si>
    <t>예시 — 5행부터 입력</t>
  </si>
  <si>
    <t>501T2606</t>
    <phoneticPr fontId="13" type="noConversion"/>
  </si>
  <si>
    <t>502T2606</t>
    <phoneticPr fontId="13" type="noConversion"/>
  </si>
  <si>
    <t>503T2606</t>
    <phoneticPr fontId="13" type="noConversion"/>
  </si>
  <si>
    <t>504T2606</t>
    <phoneticPr fontId="13" type="noConversion"/>
  </si>
  <si>
    <t>505T2606</t>
    <phoneticPr fontId="13" type="noConversion"/>
  </si>
  <si>
    <t>506T2606</t>
    <phoneticPr fontId="13" type="noConversion"/>
  </si>
  <si>
    <t>507T2606</t>
    <phoneticPr fontId="13" type="noConversion"/>
  </si>
  <si>
    <t>508T2606</t>
    <phoneticPr fontId="13" type="noConversion"/>
  </si>
  <si>
    <t>509T2606</t>
    <phoneticPr fontId="13" type="noConversion"/>
  </si>
  <si>
    <t>510T2606</t>
    <phoneticPr fontId="13" type="noConversion"/>
  </si>
  <si>
    <t>511T2606</t>
    <phoneticPr fontId="13" type="noConversion"/>
  </si>
  <si>
    <t>512T2606</t>
    <phoneticPr fontId="13" type="noConversion"/>
  </si>
  <si>
    <t>513T2606</t>
    <phoneticPr fontId="13" type="noConversion"/>
  </si>
  <si>
    <t>514T2606</t>
    <phoneticPr fontId="13" type="noConversion"/>
  </si>
  <si>
    <t>515T2606</t>
    <phoneticPr fontId="13" type="noConversion"/>
  </si>
  <si>
    <t>516T2606</t>
    <phoneticPr fontId="13" type="noConversion"/>
  </si>
  <si>
    <t>517T2606</t>
    <phoneticPr fontId="13" type="noConversion"/>
  </si>
  <si>
    <t>518T2606</t>
    <phoneticPr fontId="13" type="noConversion"/>
  </si>
  <si>
    <t>519T2606</t>
    <phoneticPr fontId="13" type="noConversion"/>
  </si>
  <si>
    <t>520T2606</t>
    <phoneticPr fontId="13" type="noConversion"/>
  </si>
  <si>
    <t>521T2606</t>
    <phoneticPr fontId="13" type="noConversion"/>
  </si>
  <si>
    <t>522T2606</t>
    <phoneticPr fontId="13" type="noConversion"/>
  </si>
  <si>
    <t>523T2606</t>
    <phoneticPr fontId="13" type="noConversion"/>
  </si>
  <si>
    <t>524T2606</t>
    <phoneticPr fontId="13" type="noConversion"/>
  </si>
  <si>
    <t>525T2606</t>
    <phoneticPr fontId="13" type="noConversion"/>
  </si>
  <si>
    <t>526T2606</t>
    <phoneticPr fontId="13" type="noConversion"/>
  </si>
  <si>
    <t>527T2606</t>
    <phoneticPr fontId="13" type="noConversion"/>
  </si>
  <si>
    <t>528T2606</t>
    <phoneticPr fontId="13" type="noConversion"/>
  </si>
  <si>
    <t>529T2606</t>
    <phoneticPr fontId="13" type="noConversion"/>
  </si>
  <si>
    <t>530T2606</t>
    <phoneticPr fontId="13" type="noConversion"/>
  </si>
  <si>
    <t>531T2606</t>
    <phoneticPr fontId="13" type="noConversion"/>
  </si>
  <si>
    <t>532T2606</t>
    <phoneticPr fontId="13" type="noConversion"/>
  </si>
  <si>
    <t>533T2606</t>
    <phoneticPr fontId="13" type="noConversion"/>
  </si>
  <si>
    <t>534T2606</t>
    <phoneticPr fontId="13" type="noConversion"/>
  </si>
  <si>
    <t>535T2606</t>
    <phoneticPr fontId="13" type="noConversion"/>
  </si>
  <si>
    <t>536T2606</t>
    <phoneticPr fontId="13" type="noConversion"/>
  </si>
  <si>
    <t>537T2606</t>
    <phoneticPr fontId="13" type="noConversion"/>
  </si>
  <si>
    <t>538T2606</t>
    <phoneticPr fontId="13" type="noConversion"/>
  </si>
  <si>
    <t>539T2606</t>
    <phoneticPr fontId="13" type="noConversion"/>
  </si>
  <si>
    <t>540T2606</t>
    <phoneticPr fontId="13" type="noConversion"/>
  </si>
  <si>
    <t>541T2606</t>
    <phoneticPr fontId="13" type="noConversion"/>
  </si>
  <si>
    <t>542T2606</t>
    <phoneticPr fontId="13" type="noConversion"/>
  </si>
  <si>
    <t>543T2606</t>
    <phoneticPr fontId="13" type="noConversion"/>
  </si>
  <si>
    <t>544T2606</t>
    <phoneticPr fontId="13" type="noConversion"/>
  </si>
  <si>
    <t>545T2606</t>
    <phoneticPr fontId="13" type="noConversion"/>
  </si>
  <si>
    <t>546T2606</t>
    <phoneticPr fontId="13" type="noConversion"/>
  </si>
  <si>
    <t>547T2606</t>
    <phoneticPr fontId="13" type="noConversion"/>
  </si>
  <si>
    <t>548T2606</t>
    <phoneticPr fontId="13" type="noConversion"/>
  </si>
  <si>
    <t>549T2606</t>
    <phoneticPr fontId="13" type="noConversion"/>
  </si>
  <si>
    <t>550T2606</t>
    <phoneticPr fontId="13" type="noConversion"/>
  </si>
  <si>
    <t>551T2606</t>
    <phoneticPr fontId="13" type="noConversion"/>
  </si>
  <si>
    <t>552T2606</t>
    <phoneticPr fontId="13" type="noConversion"/>
  </si>
  <si>
    <t>553T2606</t>
    <phoneticPr fontId="13" type="noConversion"/>
  </si>
  <si>
    <t>554T2606</t>
    <phoneticPr fontId="13" type="noConversion"/>
  </si>
  <si>
    <t>555T2606</t>
    <phoneticPr fontId="13" type="noConversion"/>
  </si>
  <si>
    <t>556T2606</t>
    <phoneticPr fontId="13" type="noConversion"/>
  </si>
  <si>
    <t>557T2606</t>
    <phoneticPr fontId="13" type="noConversion"/>
  </si>
  <si>
    <t>558T2606</t>
    <phoneticPr fontId="13" type="noConversion"/>
  </si>
  <si>
    <t>559T2606</t>
    <phoneticPr fontId="13" type="noConversion"/>
  </si>
  <si>
    <t>560T2606</t>
    <phoneticPr fontId="13" type="noConversion"/>
  </si>
  <si>
    <t>561T2606</t>
    <phoneticPr fontId="13" type="noConversion"/>
  </si>
  <si>
    <t>562T2606</t>
    <phoneticPr fontId="13" type="noConversion"/>
  </si>
  <si>
    <t>563T2606</t>
    <phoneticPr fontId="13" type="noConversion"/>
  </si>
  <si>
    <t>564T2606</t>
    <phoneticPr fontId="13" type="noConversion"/>
  </si>
  <si>
    <t>565T2606</t>
    <phoneticPr fontId="13" type="noConversion"/>
  </si>
  <si>
    <t>566T2606</t>
    <phoneticPr fontId="13" type="noConversion"/>
  </si>
  <si>
    <t>567T2606</t>
    <phoneticPr fontId="13" type="noConversion"/>
  </si>
  <si>
    <t>568T2606</t>
    <phoneticPr fontId="13" type="noConversion"/>
  </si>
  <si>
    <t>569T2606</t>
    <phoneticPr fontId="13" type="noConversion"/>
  </si>
  <si>
    <t>570T2606</t>
    <phoneticPr fontId="13" type="noConversion"/>
  </si>
  <si>
    <t>571T2606</t>
    <phoneticPr fontId="13" type="noConversion"/>
  </si>
  <si>
    <t>572T2606</t>
    <phoneticPr fontId="13" type="noConversion"/>
  </si>
  <si>
    <t>573T2606</t>
    <phoneticPr fontId="13" type="noConversion"/>
  </si>
  <si>
    <t>574T2606</t>
    <phoneticPr fontId="13" type="noConversion"/>
  </si>
  <si>
    <t>575T2606</t>
    <phoneticPr fontId="13" type="noConversion"/>
  </si>
  <si>
    <t>576T2606</t>
    <phoneticPr fontId="13" type="noConversion"/>
  </si>
  <si>
    <t>577T2606</t>
    <phoneticPr fontId="13" type="noConversion"/>
  </si>
  <si>
    <t>578T2606</t>
    <phoneticPr fontId="13" type="noConversion"/>
  </si>
  <si>
    <t>579T2606</t>
    <phoneticPr fontId="13" type="noConversion"/>
  </si>
  <si>
    <t>580T2606</t>
    <phoneticPr fontId="13" type="noConversion"/>
  </si>
  <si>
    <t>581T2606</t>
    <phoneticPr fontId="13" type="noConversion"/>
  </si>
  <si>
    <t>582T2606</t>
    <phoneticPr fontId="13" type="noConversion"/>
  </si>
  <si>
    <t>583T2606</t>
    <phoneticPr fontId="13" type="noConversion"/>
  </si>
  <si>
    <t>584T2606</t>
    <phoneticPr fontId="13" type="noConversion"/>
  </si>
  <si>
    <t>TSP</t>
  </si>
  <si>
    <t>PBA</t>
  </si>
  <si>
    <t>SENSOR</t>
  </si>
  <si>
    <t>SENSOR 타공 검사기</t>
  </si>
  <si>
    <t>LHW-SIGO-A00</t>
  </si>
  <si>
    <t>주식회사 파인텍</t>
  </si>
  <si>
    <t>기능 검사기(2배열-LEFT-RIGHT)</t>
  </si>
  <si>
    <t>Bach RCV</t>
  </si>
  <si>
    <t>주식회사 알머스(ALMUS Corp.)</t>
  </si>
  <si>
    <t>기능 검사기(2배열-RIGHT)</t>
  </si>
  <si>
    <t>기능 검사기(2배열-LEFT)</t>
  </si>
  <si>
    <t>성능검사기_케이스 포함</t>
  </si>
  <si>
    <t>SM-A27 USB PBA</t>
  </si>
  <si>
    <t>주식회사 두성테크</t>
  </si>
  <si>
    <t>방수검사기_케이스 포함</t>
  </si>
  <si>
    <t>SM-F971 SUB PBA VK</t>
  </si>
  <si>
    <t>WATCH9 HRM 검사기 MODIFY</t>
  </si>
  <si>
    <t>WATCH9 HRM</t>
  </si>
  <si>
    <t>(주) 드림텍</t>
  </si>
  <si>
    <t>EDA검사기_케이스 포함</t>
  </si>
  <si>
    <t>SM-L345 SMALL KEY PBA</t>
  </si>
  <si>
    <t>VSWR 검사기 안착부</t>
  </si>
  <si>
    <t>SM-F966U SUB ANT L</t>
  </si>
  <si>
    <t>지문센서 검사기 MODIFY</t>
  </si>
  <si>
    <t>B8</t>
  </si>
  <si>
    <t>GLASS단품 저항검사기_케이스 포함</t>
  </si>
  <si>
    <t>성능검사기_케이스 제외</t>
  </si>
  <si>
    <t>SM-A276B SUB PBA SK</t>
  </si>
  <si>
    <t>SM-F776U SUB PBA VK</t>
  </si>
  <si>
    <t>RIGHT검사기_케이스 포함</t>
  </si>
  <si>
    <t>BUDS4 PRO TOUCH</t>
  </si>
  <si>
    <t>KNK VINA</t>
  </si>
  <si>
    <t>EDA 검사기 MODIFY</t>
  </si>
  <si>
    <t>SM-L345 HRM CTC PBA</t>
  </si>
  <si>
    <t>AO2 검사기 MODIFY</t>
  </si>
  <si>
    <t>AO2검사기_케이스 포함</t>
  </si>
  <si>
    <t>ECG검사기_케이스 포함</t>
  </si>
  <si>
    <t>PPG검사기_케이스 포함</t>
  </si>
  <si>
    <t>방수검사기(UK3S)</t>
  </si>
  <si>
    <t>SM-X848U POGO</t>
  </si>
  <si>
    <t>PPG 검사기 MODIFY</t>
  </si>
  <si>
    <t>기능B 검사기</t>
  </si>
  <si>
    <t>H8 SUB TOP</t>
  </si>
  <si>
    <t>주식회사 시노펙스</t>
  </si>
  <si>
    <t>ECG 검사기 MODIFY</t>
  </si>
  <si>
    <t>VSWR 검사기</t>
  </si>
  <si>
    <t>기능검사기(UK4S)</t>
  </si>
  <si>
    <t>H8 GND PCB</t>
  </si>
  <si>
    <t>MIC 검사기 (UK4S)</t>
  </si>
  <si>
    <t>지문센서 검사기 4연배 (전용케이스)</t>
  </si>
  <si>
    <t>GB6</t>
  </si>
  <si>
    <t>BOOK6</t>
  </si>
  <si>
    <t>10기압 기능검사기(UK3S)</t>
  </si>
  <si>
    <t>SM-L716 BAROMETER</t>
  </si>
  <si>
    <t>검사 JIG</t>
  </si>
  <si>
    <t>Q8 MMW</t>
  </si>
  <si>
    <t>기능검사기(UK4) MODIFY</t>
  </si>
  <si>
    <t>SM-F776U PROXIMITY</t>
  </si>
  <si>
    <t>XND-A9014R MEMS MIC</t>
  </si>
  <si>
    <t>SM-F976U MAIN LOWER HPCB</t>
  </si>
  <si>
    <t>기능검사기(UK4S) MODIFY</t>
  </si>
  <si>
    <t>EF-DX935 POGO</t>
  </si>
  <si>
    <t>SM-S942 SIDE KEY</t>
  </si>
  <si>
    <t>다운로드 검사기 8연배 - MODIFY</t>
  </si>
  <si>
    <t>BUDS4 SIP</t>
  </si>
  <si>
    <t>기능검사기 4연배 - MODIFY</t>
  </si>
  <si>
    <t>H8 MMW</t>
  </si>
  <si>
    <t>HF 검사기</t>
  </si>
  <si>
    <t>TDR+IL검사기_케이스 포함</t>
  </si>
  <si>
    <t>SM-A576B FRC CTC PBA</t>
  </si>
  <si>
    <t>LHW-FXNL-A01</t>
  </si>
  <si>
    <t>성능검사기</t>
  </si>
  <si>
    <t>SM-O200J SUN0</t>
  </si>
  <si>
    <t>SM-O200J OPT2</t>
  </si>
  <si>
    <t>SM-L716 SUB</t>
  </si>
  <si>
    <t>SM-X236B IF CTC</t>
  </si>
  <si>
    <t>SM-X236B EARJACK PBA</t>
  </si>
  <si>
    <t>방수검사기_케이스 제외</t>
  </si>
  <si>
    <t>SM-S948 SIDE KEY</t>
  </si>
  <si>
    <t>VSWR검사기_케이스 제외</t>
  </si>
  <si>
    <t>기능A 검사기</t>
  </si>
  <si>
    <t>TDR검사기</t>
  </si>
  <si>
    <t>SM-A276B FRC SUB PBA VK</t>
  </si>
  <si>
    <t>방수검사기</t>
  </si>
  <si>
    <t>VSWR검사기</t>
  </si>
  <si>
    <t>SM-A576B SUB</t>
  </si>
  <si>
    <t>기능A 검사기 MODIFY</t>
  </si>
  <si>
    <t>Q8 SUB TOP</t>
  </si>
  <si>
    <t>ASSY 검사기(RIGHT)</t>
  </si>
  <si>
    <t>Bach FPCB</t>
  </si>
  <si>
    <t>ASSY 검사기(LEFT)</t>
  </si>
  <si>
    <t>ASSY 검사기</t>
  </si>
  <si>
    <t>NTP14TK-MB-10</t>
  </si>
  <si>
    <t>에스제이아이티 주식회사</t>
  </si>
  <si>
    <t>검사 JIG(UK4)</t>
  </si>
  <si>
    <t>CTR PCB</t>
  </si>
  <si>
    <t>SSR PCB</t>
  </si>
  <si>
    <t>검사 JIG(UK3S)</t>
  </si>
  <si>
    <t>MCU PCB</t>
  </si>
  <si>
    <t>WATCH9 ULTRA BAROMETER</t>
  </si>
  <si>
    <t>TLCM 검사 JIG</t>
  </si>
  <si>
    <t>LGgram16inch</t>
  </si>
  <si>
    <t>일진디스플레이㈜</t>
  </si>
  <si>
    <t>TSP 검사 JIG</t>
  </si>
  <si>
    <t>SENSOR 검사 JIG</t>
  </si>
  <si>
    <t>FPCB 검사 JIG</t>
  </si>
  <si>
    <t>LGgram17inch</t>
  </si>
  <si>
    <t>PRND LAMINATION JIG - 전용 케이스</t>
  </si>
  <si>
    <t>PRND</t>
  </si>
  <si>
    <t>계측기(Hi TESTER-3561)</t>
  </si>
  <si>
    <t>Handel RCV</t>
  </si>
  <si>
    <t>SPK-MIC 검사기(RIGHT)</t>
  </si>
  <si>
    <t>Handel</t>
  </si>
  <si>
    <t>SPK-MIC 검사기(LEFT)</t>
  </si>
  <si>
    <t>납품완료</t>
    <phoneticPr fontId="13" type="noConversion"/>
  </si>
  <si>
    <t>KRW</t>
    <phoneticPr fontId="13" type="noConversion"/>
  </si>
  <si>
    <t>585T2606</t>
    <phoneticPr fontId="13" type="noConversion"/>
  </si>
  <si>
    <t>586T2606</t>
    <phoneticPr fontId="13" type="noConversion"/>
  </si>
  <si>
    <t>587T2606</t>
    <phoneticPr fontId="13" type="noConversion"/>
  </si>
  <si>
    <t>589T2606</t>
    <phoneticPr fontId="13" type="noConversion"/>
  </si>
  <si>
    <t>590T2606</t>
    <phoneticPr fontId="13" type="noConversion"/>
  </si>
  <si>
    <t>A 검사기_케이스 포함</t>
    <phoneticPr fontId="13" type="noConversion"/>
  </si>
  <si>
    <t>B 검사기_케이스 포함</t>
    <phoneticPr fontId="13" type="noConversion"/>
  </si>
  <si>
    <t>C 검사기_케이스 포함</t>
    <phoneticPr fontId="13" type="noConversion"/>
  </si>
  <si>
    <t>D 검사기_케이스 포함</t>
    <phoneticPr fontId="13" type="noConversion"/>
  </si>
  <si>
    <t>E 검사기_케이스 포함</t>
    <phoneticPr fontId="13" type="noConversion"/>
  </si>
  <si>
    <t>드림텍VINA</t>
  </si>
  <si>
    <t>드림텍VINA</t>
    <phoneticPr fontId="13" type="noConversion"/>
  </si>
  <si>
    <t>진행중</t>
    <phoneticPr fontId="13" type="noConversion"/>
  </si>
  <si>
    <t>신규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</si>
</sst>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scheme val="minor"/>
    </font>
    <font>
      <b/>
      <sz val="15"/>
      <color rgb="FFA5282C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2"/>
      <color rgb="FFA5282C"/>
      <name val="맑은 고딕"/>
      <family val="3"/>
      <charset val="129"/>
    </font>
    <font>
      <b/>
      <sz val="10.5"/>
      <color rgb="FFFFFFFF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0"/>
      <color rgb="FFA5282C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999999"/>
      <name val="맑은 고딕"/>
      <family val="3"/>
      <charset val="129"/>
    </font>
    <font>
      <b/>
      <sz val="13"/>
      <color rgb="FFA5282C"/>
      <name val="맑은 고딕"/>
      <family val="3"/>
      <charset val="129"/>
    </font>
    <font>
      <sz val="10"/>
      <color rgb="FFB45309"/>
      <name val="맑은 고딕"/>
      <family val="3"/>
      <charset val="129"/>
    </font>
    <font>
      <i/>
      <sz val="10"/>
      <color rgb="FF88888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282C"/>
      </patternFill>
    </fill>
    <fill>
      <patternFill patternType="solid">
        <fgColor rgb="FFF3EEDD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41" fontId="12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14" fontId="0" fillId="0" borderId="0" xfId="0" applyNumberFormat="1"/>
    <xf numFmtId="3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2BAD0F-69E6-476C-A814-6A205483B7A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6935f21-f833-44e4-a7f6-b0d7a0f0fe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sqref="A1:C1"/>
    </sheetView>
  </sheetViews>
  <sheetFormatPr defaultRowHeight="16.899999999999999" x14ac:dyDescent="0.6"/>
  <cols>
    <col min="1" max="1" width="22" customWidth="1"/>
    <col min="2" max="2" width="9" customWidth="1"/>
    <col min="3" max="3" width="72" customWidth="1"/>
  </cols>
  <sheetData>
    <row r="1" spans="1:3" ht="26" customHeight="1" x14ac:dyDescent="0.75">
      <c r="A1" s="10" t="s">
        <v>0</v>
      </c>
      <c r="B1" s="9"/>
      <c r="C1" s="9"/>
    </row>
    <row r="3" spans="1:3" ht="20" customHeight="1" x14ac:dyDescent="0.6">
      <c r="A3" s="11" t="s">
        <v>1</v>
      </c>
      <c r="B3" s="9"/>
      <c r="C3" s="9"/>
    </row>
    <row r="4" spans="1:3" ht="20" customHeight="1" x14ac:dyDescent="0.6">
      <c r="A4" s="11" t="s">
        <v>2</v>
      </c>
      <c r="B4" s="9"/>
      <c r="C4" s="9"/>
    </row>
    <row r="5" spans="1:3" ht="20" customHeight="1" x14ac:dyDescent="0.6">
      <c r="A5" s="11" t="s">
        <v>3</v>
      </c>
      <c r="B5" s="9"/>
      <c r="C5" s="9"/>
    </row>
    <row r="7" spans="1:3" ht="19.149999999999999" x14ac:dyDescent="0.7">
      <c r="A7" s="12" t="s">
        <v>4</v>
      </c>
      <c r="B7" s="9"/>
      <c r="C7" s="9"/>
    </row>
    <row r="8" spans="1:3" x14ac:dyDescent="0.6">
      <c r="A8" s="1" t="s">
        <v>5</v>
      </c>
      <c r="B8" s="1" t="s">
        <v>6</v>
      </c>
      <c r="C8" s="1" t="s">
        <v>7</v>
      </c>
    </row>
    <row r="9" spans="1:3" ht="31.5" x14ac:dyDescent="0.6">
      <c r="A9" s="2" t="s">
        <v>8</v>
      </c>
      <c r="B9" s="3" t="s">
        <v>6</v>
      </c>
      <c r="C9" s="4" t="s">
        <v>9</v>
      </c>
    </row>
    <row r="10" spans="1:3" x14ac:dyDescent="0.6">
      <c r="A10" s="2" t="s">
        <v>10</v>
      </c>
      <c r="B10" s="5" t="s">
        <v>11</v>
      </c>
      <c r="C10" s="4" t="s">
        <v>12</v>
      </c>
    </row>
    <row r="11" spans="1:3" x14ac:dyDescent="0.6">
      <c r="A11" s="2" t="s">
        <v>13</v>
      </c>
      <c r="B11" s="3" t="s">
        <v>6</v>
      </c>
      <c r="C11" s="4" t="s">
        <v>14</v>
      </c>
    </row>
    <row r="12" spans="1:3" x14ac:dyDescent="0.6">
      <c r="A12" s="2" t="s">
        <v>15</v>
      </c>
      <c r="B12" s="5" t="s">
        <v>11</v>
      </c>
      <c r="C12" s="4" t="s">
        <v>16</v>
      </c>
    </row>
    <row r="13" spans="1:3" x14ac:dyDescent="0.6">
      <c r="A13" s="2" t="s">
        <v>17</v>
      </c>
      <c r="B13" s="3" t="s">
        <v>6</v>
      </c>
      <c r="C13" s="4" t="s">
        <v>18</v>
      </c>
    </row>
    <row r="14" spans="1:3" x14ac:dyDescent="0.6">
      <c r="A14" s="2" t="s">
        <v>19</v>
      </c>
      <c r="B14" s="3" t="s">
        <v>6</v>
      </c>
      <c r="C14" s="4" t="s">
        <v>20</v>
      </c>
    </row>
    <row r="15" spans="1:3" x14ac:dyDescent="0.6">
      <c r="A15" s="2" t="s">
        <v>21</v>
      </c>
      <c r="B15" s="3" t="s">
        <v>6</v>
      </c>
      <c r="C15" s="4" t="s">
        <v>22</v>
      </c>
    </row>
    <row r="16" spans="1:3" x14ac:dyDescent="0.6">
      <c r="A16" s="2" t="s">
        <v>23</v>
      </c>
      <c r="B16" s="5" t="s">
        <v>11</v>
      </c>
      <c r="C16" s="4" t="s">
        <v>24</v>
      </c>
    </row>
    <row r="17" spans="1:3" x14ac:dyDescent="0.6">
      <c r="A17" s="2" t="s">
        <v>25</v>
      </c>
      <c r="B17" s="5" t="s">
        <v>26</v>
      </c>
      <c r="C17" s="4" t="s">
        <v>27</v>
      </c>
    </row>
    <row r="18" spans="1:3" x14ac:dyDescent="0.6">
      <c r="A18" s="2" t="s">
        <v>28</v>
      </c>
      <c r="B18" s="5" t="s">
        <v>26</v>
      </c>
      <c r="C18" s="4" t="s">
        <v>29</v>
      </c>
    </row>
    <row r="19" spans="1:3" x14ac:dyDescent="0.6">
      <c r="A19" s="2" t="s">
        <v>30</v>
      </c>
      <c r="B19" s="5" t="s">
        <v>26</v>
      </c>
      <c r="C19" s="4" t="s">
        <v>31</v>
      </c>
    </row>
    <row r="20" spans="1:3" x14ac:dyDescent="0.6">
      <c r="A20" s="2" t="s">
        <v>32</v>
      </c>
      <c r="B20" s="5" t="s">
        <v>11</v>
      </c>
      <c r="C20" s="4" t="s">
        <v>33</v>
      </c>
    </row>
    <row r="21" spans="1:3" x14ac:dyDescent="0.6">
      <c r="A21" s="2" t="s">
        <v>34</v>
      </c>
      <c r="B21" s="5" t="s">
        <v>26</v>
      </c>
      <c r="C21" s="4" t="s">
        <v>35</v>
      </c>
    </row>
    <row r="22" spans="1:3" x14ac:dyDescent="0.6">
      <c r="A22" s="2" t="s">
        <v>36</v>
      </c>
      <c r="B22" s="5" t="s">
        <v>26</v>
      </c>
      <c r="C22" s="4" t="s">
        <v>37</v>
      </c>
    </row>
    <row r="23" spans="1:3" x14ac:dyDescent="0.6">
      <c r="A23" s="2" t="s">
        <v>38</v>
      </c>
      <c r="B23" s="5" t="s">
        <v>26</v>
      </c>
      <c r="C23" s="4" t="s">
        <v>39</v>
      </c>
    </row>
    <row r="24" spans="1:3" x14ac:dyDescent="0.6">
      <c r="A24" s="2" t="s">
        <v>40</v>
      </c>
      <c r="B24" s="5" t="s">
        <v>26</v>
      </c>
      <c r="C24" s="4" t="s">
        <v>41</v>
      </c>
    </row>
    <row r="25" spans="1:3" x14ac:dyDescent="0.6">
      <c r="A25" s="2" t="s">
        <v>42</v>
      </c>
      <c r="B25" s="5" t="s">
        <v>26</v>
      </c>
      <c r="C25" s="4" t="s">
        <v>41</v>
      </c>
    </row>
    <row r="26" spans="1:3" x14ac:dyDescent="0.6">
      <c r="A26" s="2" t="s">
        <v>43</v>
      </c>
      <c r="B26" s="5" t="s">
        <v>26</v>
      </c>
      <c r="C26" s="4"/>
    </row>
    <row r="27" spans="1:3" x14ac:dyDescent="0.6">
      <c r="A27" s="2" t="s">
        <v>44</v>
      </c>
      <c r="B27" s="5" t="s">
        <v>26</v>
      </c>
      <c r="C27" s="4"/>
    </row>
    <row r="28" spans="1:3" x14ac:dyDescent="0.6">
      <c r="A28" s="2" t="s">
        <v>45</v>
      </c>
      <c r="B28" s="5" t="s">
        <v>26</v>
      </c>
      <c r="C28" s="4"/>
    </row>
    <row r="29" spans="1:3" x14ac:dyDescent="0.6">
      <c r="A29" s="2" t="s">
        <v>46</v>
      </c>
      <c r="B29" s="5" t="s">
        <v>26</v>
      </c>
      <c r="C29" s="4"/>
    </row>
    <row r="31" spans="1:3" ht="19.149999999999999" x14ac:dyDescent="0.7">
      <c r="A31" s="12" t="s">
        <v>47</v>
      </c>
      <c r="B31" s="9"/>
      <c r="C31" s="9"/>
    </row>
    <row r="32" spans="1:3" x14ac:dyDescent="0.6">
      <c r="A32" s="8" t="s">
        <v>48</v>
      </c>
      <c r="B32" s="9"/>
      <c r="C32" s="9"/>
    </row>
    <row r="33" spans="1:3" x14ac:dyDescent="0.6">
      <c r="A33" s="8" t="s">
        <v>49</v>
      </c>
      <c r="B33" s="9"/>
      <c r="C33" s="9"/>
    </row>
    <row r="34" spans="1:3" x14ac:dyDescent="0.6">
      <c r="A34" s="8" t="s">
        <v>50</v>
      </c>
      <c r="B34" s="9"/>
      <c r="C34" s="9"/>
    </row>
    <row r="35" spans="1:3" x14ac:dyDescent="0.6">
      <c r="A35" s="8" t="s">
        <v>51</v>
      </c>
      <c r="B35" s="9"/>
      <c r="C35" s="9"/>
    </row>
  </sheetData>
  <mergeCells count="10">
    <mergeCell ref="A34:C34"/>
    <mergeCell ref="A35:C35"/>
    <mergeCell ref="A4:C4"/>
    <mergeCell ref="A33:C33"/>
    <mergeCell ref="A1:C1"/>
    <mergeCell ref="A5:C5"/>
    <mergeCell ref="A32:C32"/>
    <mergeCell ref="A31:C31"/>
    <mergeCell ref="A3:C3"/>
    <mergeCell ref="A7:C7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3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6.899999999999999" x14ac:dyDescent="0.6"/>
  <cols>
    <col min="1" max="1" width="8" customWidth="1"/>
    <col min="2" max="2" width="11" customWidth="1"/>
    <col min="3" max="3" width="9" customWidth="1"/>
    <col min="4" max="4" width="20" customWidth="1"/>
    <col min="5" max="5" width="36.1875" bestFit="1" customWidth="1"/>
    <col min="6" max="6" width="30.0625" bestFit="1" customWidth="1"/>
    <col min="7" max="7" width="28.875" customWidth="1"/>
    <col min="8" max="8" width="16" customWidth="1"/>
    <col min="9" max="9" width="7" customWidth="1"/>
    <col min="10" max="10" width="12" customWidth="1"/>
    <col min="11" max="11" width="14" customWidth="1"/>
    <col min="12" max="12" width="15" customWidth="1"/>
    <col min="13" max="13" width="8" customWidth="1"/>
    <col min="14" max="14" width="9" customWidth="1"/>
    <col min="15" max="15" width="11" customWidth="1"/>
    <col min="16" max="18" width="12" customWidth="1"/>
    <col min="19" max="20" width="9" customWidth="1"/>
    <col min="21" max="21" width="16" customWidth="1"/>
  </cols>
  <sheetData>
    <row r="1" spans="1:21" ht="24" customHeight="1" x14ac:dyDescent="0.6">
      <c r="A1" s="13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30" customHeight="1" x14ac:dyDescent="0.6">
      <c r="A2" s="14" t="s">
        <v>53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22.05" customHeight="1" x14ac:dyDescent="0.6">
      <c r="A3" s="6" t="s">
        <v>8</v>
      </c>
      <c r="B3" s="6" t="s">
        <v>10</v>
      </c>
      <c r="C3" s="6" t="s">
        <v>13</v>
      </c>
      <c r="D3" s="6" t="s">
        <v>15</v>
      </c>
      <c r="E3" s="6" t="s">
        <v>17</v>
      </c>
      <c r="F3" s="6" t="s">
        <v>19</v>
      </c>
      <c r="G3" s="6" t="s">
        <v>21</v>
      </c>
      <c r="H3" s="6" t="s">
        <v>23</v>
      </c>
      <c r="I3" s="6" t="s">
        <v>25</v>
      </c>
      <c r="J3" s="6" t="s">
        <v>28</v>
      </c>
      <c r="K3" s="6" t="s">
        <v>30</v>
      </c>
      <c r="L3" s="6" t="s">
        <v>32</v>
      </c>
      <c r="M3" s="6" t="s">
        <v>34</v>
      </c>
      <c r="N3" s="6" t="s">
        <v>36</v>
      </c>
      <c r="O3" s="6" t="s">
        <v>38</v>
      </c>
      <c r="P3" s="6" t="s">
        <v>40</v>
      </c>
      <c r="Q3" s="6" t="s">
        <v>42</v>
      </c>
      <c r="R3" s="6" t="s">
        <v>43</v>
      </c>
      <c r="S3" s="6" t="s">
        <v>44</v>
      </c>
      <c r="T3" s="6" t="s">
        <v>45</v>
      </c>
      <c r="U3" s="6" t="s">
        <v>46</v>
      </c>
    </row>
    <row r="4" spans="1:21" x14ac:dyDescent="0.6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/>
      <c r="I4" s="7" t="s">
        <v>61</v>
      </c>
      <c r="J4" s="7" t="s">
        <v>62</v>
      </c>
      <c r="K4" s="7" t="s">
        <v>62</v>
      </c>
      <c r="L4" s="7"/>
      <c r="M4" s="7" t="s">
        <v>63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68</v>
      </c>
      <c r="S4" s="7" t="s">
        <v>69</v>
      </c>
      <c r="T4" s="7" t="s">
        <v>70</v>
      </c>
      <c r="U4" s="7" t="s">
        <v>71</v>
      </c>
    </row>
    <row r="5" spans="1:21" x14ac:dyDescent="0.6">
      <c r="B5" t="s">
        <v>72</v>
      </c>
      <c r="C5" t="s">
        <v>285</v>
      </c>
      <c r="D5" t="s">
        <v>156</v>
      </c>
      <c r="E5" t="s">
        <v>159</v>
      </c>
      <c r="F5" t="s">
        <v>160</v>
      </c>
      <c r="G5" t="s">
        <v>161</v>
      </c>
      <c r="I5">
        <v>1</v>
      </c>
      <c r="J5" s="16">
        <v>7200000</v>
      </c>
      <c r="K5" s="17">
        <f>I5*J5</f>
        <v>7200000</v>
      </c>
      <c r="M5" t="s">
        <v>271</v>
      </c>
      <c r="N5" t="str">
        <f>IF(H5&lt;&gt;"","수출","내수")</f>
        <v>내수</v>
      </c>
      <c r="O5" t="s">
        <v>270</v>
      </c>
      <c r="P5" s="15">
        <v>46162</v>
      </c>
      <c r="Q5" s="15">
        <v>46172</v>
      </c>
      <c r="T5" t="str">
        <f>IF(OR(ISNUMBER(SEARCH("드림텍",G5)),ISNUMBER(SEARCH("시노펙스",G5)),ISNUMBER(SEARCH("KNK VINA",G5))),"이현","오경환")</f>
        <v>오경환</v>
      </c>
    </row>
    <row r="6" spans="1:21" x14ac:dyDescent="0.6">
      <c r="B6" t="s">
        <v>73</v>
      </c>
      <c r="C6" t="s">
        <v>285</v>
      </c>
      <c r="D6" t="s">
        <v>157</v>
      </c>
      <c r="E6" t="s">
        <v>162</v>
      </c>
      <c r="F6" t="s">
        <v>163</v>
      </c>
      <c r="G6" t="s">
        <v>164</v>
      </c>
      <c r="I6">
        <v>1</v>
      </c>
      <c r="J6" s="16">
        <v>1740000</v>
      </c>
      <c r="K6" s="17">
        <f t="shared" ref="K6:K69" si="0">I6*J6</f>
        <v>1740000</v>
      </c>
      <c r="M6" t="s">
        <v>271</v>
      </c>
      <c r="N6" t="str">
        <f t="shared" ref="N6:N69" si="1">IF(H6&lt;&gt;"","수출","내수")</f>
        <v>내수</v>
      </c>
      <c r="O6" t="s">
        <v>270</v>
      </c>
      <c r="P6" s="15">
        <v>46162</v>
      </c>
      <c r="Q6" s="15">
        <v>46172</v>
      </c>
      <c r="T6" t="str">
        <f t="shared" ref="T6:T69" si="2">IF(OR(ISNUMBER(SEARCH("드림텍",G6)),ISNUMBER(SEARCH("시노펙스",G6)),ISNUMBER(SEARCH("KNK VINA",G6))),"이현","오경환")</f>
        <v>오경환</v>
      </c>
    </row>
    <row r="7" spans="1:21" x14ac:dyDescent="0.6">
      <c r="B7" t="s">
        <v>74</v>
      </c>
      <c r="C7" t="s">
        <v>285</v>
      </c>
      <c r="D7" t="s">
        <v>157</v>
      </c>
      <c r="E7" t="s">
        <v>165</v>
      </c>
      <c r="F7" t="s">
        <v>163</v>
      </c>
      <c r="G7" t="s">
        <v>164</v>
      </c>
      <c r="I7">
        <v>1</v>
      </c>
      <c r="J7" s="16">
        <v>5220000</v>
      </c>
      <c r="K7" s="17">
        <f t="shared" si="0"/>
        <v>5220000</v>
      </c>
      <c r="M7" t="s">
        <v>271</v>
      </c>
      <c r="N7" t="str">
        <f t="shared" si="1"/>
        <v>내수</v>
      </c>
      <c r="O7" t="s">
        <v>270</v>
      </c>
      <c r="P7" s="15">
        <v>46162</v>
      </c>
      <c r="Q7" s="15">
        <v>46172</v>
      </c>
      <c r="T7" t="str">
        <f t="shared" si="2"/>
        <v>오경환</v>
      </c>
    </row>
    <row r="8" spans="1:21" x14ac:dyDescent="0.6">
      <c r="B8" t="s">
        <v>75</v>
      </c>
      <c r="C8" t="s">
        <v>285</v>
      </c>
      <c r="D8" t="s">
        <v>157</v>
      </c>
      <c r="E8" t="s">
        <v>166</v>
      </c>
      <c r="F8" t="s">
        <v>163</v>
      </c>
      <c r="G8" t="s">
        <v>164</v>
      </c>
      <c r="I8">
        <v>1</v>
      </c>
      <c r="J8" s="16">
        <v>5220000</v>
      </c>
      <c r="K8" s="17">
        <f t="shared" si="0"/>
        <v>5220000</v>
      </c>
      <c r="M8" t="s">
        <v>271</v>
      </c>
      <c r="N8" t="str">
        <f t="shared" si="1"/>
        <v>내수</v>
      </c>
      <c r="O8" t="s">
        <v>270</v>
      </c>
      <c r="P8" s="15">
        <v>46162</v>
      </c>
      <c r="Q8" s="15">
        <v>46172</v>
      </c>
      <c r="T8" t="str">
        <f t="shared" si="2"/>
        <v>오경환</v>
      </c>
    </row>
    <row r="9" spans="1:21" x14ac:dyDescent="0.6">
      <c r="B9" t="s">
        <v>76</v>
      </c>
      <c r="C9" t="s">
        <v>285</v>
      </c>
      <c r="D9" t="s">
        <v>157</v>
      </c>
      <c r="E9" t="s">
        <v>167</v>
      </c>
      <c r="F9" t="s">
        <v>168</v>
      </c>
      <c r="G9" t="s">
        <v>169</v>
      </c>
      <c r="I9">
        <v>1</v>
      </c>
      <c r="J9" s="16">
        <v>4690000</v>
      </c>
      <c r="K9" s="17">
        <f t="shared" si="0"/>
        <v>4690000</v>
      </c>
      <c r="M9" t="s">
        <v>271</v>
      </c>
      <c r="N9" t="str">
        <f t="shared" si="1"/>
        <v>내수</v>
      </c>
      <c r="O9" t="s">
        <v>270</v>
      </c>
      <c r="P9" s="15">
        <v>46162</v>
      </c>
      <c r="Q9" s="15">
        <v>46172</v>
      </c>
      <c r="T9" t="str">
        <f t="shared" si="2"/>
        <v>오경환</v>
      </c>
    </row>
    <row r="10" spans="1:21" x14ac:dyDescent="0.6">
      <c r="B10" t="s">
        <v>77</v>
      </c>
      <c r="C10" t="s">
        <v>285</v>
      </c>
      <c r="D10" t="s">
        <v>157</v>
      </c>
      <c r="E10" t="s">
        <v>170</v>
      </c>
      <c r="F10" t="s">
        <v>171</v>
      </c>
      <c r="G10" t="s">
        <v>169</v>
      </c>
      <c r="I10">
        <v>1</v>
      </c>
      <c r="J10" s="16">
        <v>3290000</v>
      </c>
      <c r="K10" s="17">
        <f t="shared" si="0"/>
        <v>3290000</v>
      </c>
      <c r="M10" t="s">
        <v>271</v>
      </c>
      <c r="N10" t="str">
        <f t="shared" si="1"/>
        <v>내수</v>
      </c>
      <c r="O10" t="s">
        <v>270</v>
      </c>
      <c r="P10" s="15">
        <v>46163</v>
      </c>
      <c r="Q10" s="15">
        <v>46173</v>
      </c>
      <c r="T10" t="str">
        <f t="shared" si="2"/>
        <v>오경환</v>
      </c>
    </row>
    <row r="11" spans="1:21" x14ac:dyDescent="0.6">
      <c r="B11" t="s">
        <v>78</v>
      </c>
      <c r="C11" t="s">
        <v>285</v>
      </c>
      <c r="D11" t="s">
        <v>157</v>
      </c>
      <c r="E11" t="s">
        <v>167</v>
      </c>
      <c r="F11" t="s">
        <v>171</v>
      </c>
      <c r="G11" t="s">
        <v>169</v>
      </c>
      <c r="I11">
        <v>1</v>
      </c>
      <c r="J11" s="16">
        <v>2940000</v>
      </c>
      <c r="K11" s="17">
        <f t="shared" si="0"/>
        <v>2940000</v>
      </c>
      <c r="M11" t="s">
        <v>271</v>
      </c>
      <c r="N11" t="str">
        <f t="shared" si="1"/>
        <v>내수</v>
      </c>
      <c r="O11" t="s">
        <v>270</v>
      </c>
      <c r="P11" s="15">
        <v>46163</v>
      </c>
      <c r="Q11" s="15">
        <v>46173</v>
      </c>
      <c r="T11" t="str">
        <f t="shared" si="2"/>
        <v>오경환</v>
      </c>
    </row>
    <row r="12" spans="1:21" x14ac:dyDescent="0.6">
      <c r="B12" t="s">
        <v>79</v>
      </c>
      <c r="C12" t="s">
        <v>285</v>
      </c>
      <c r="D12" t="s">
        <v>157</v>
      </c>
      <c r="E12" t="s">
        <v>172</v>
      </c>
      <c r="F12" t="s">
        <v>173</v>
      </c>
      <c r="G12" t="s">
        <v>174</v>
      </c>
      <c r="I12">
        <v>1</v>
      </c>
      <c r="J12" s="16">
        <v>400000</v>
      </c>
      <c r="K12" s="17">
        <f t="shared" si="0"/>
        <v>400000</v>
      </c>
      <c r="M12" t="s">
        <v>271</v>
      </c>
      <c r="N12" t="str">
        <f t="shared" si="1"/>
        <v>내수</v>
      </c>
      <c r="O12" t="s">
        <v>270</v>
      </c>
      <c r="P12" s="15">
        <v>46163</v>
      </c>
      <c r="Q12" s="15">
        <v>46173</v>
      </c>
      <c r="T12" t="str">
        <f t="shared" si="2"/>
        <v>이현</v>
      </c>
    </row>
    <row r="13" spans="1:21" x14ac:dyDescent="0.6">
      <c r="B13" t="s">
        <v>80</v>
      </c>
      <c r="C13" t="s">
        <v>285</v>
      </c>
      <c r="D13" t="s">
        <v>157</v>
      </c>
      <c r="E13" t="s">
        <v>175</v>
      </c>
      <c r="F13" t="s">
        <v>173</v>
      </c>
      <c r="G13" t="s">
        <v>169</v>
      </c>
      <c r="I13">
        <v>1</v>
      </c>
      <c r="J13" s="16">
        <v>5410000</v>
      </c>
      <c r="K13" s="17">
        <f t="shared" si="0"/>
        <v>5410000</v>
      </c>
      <c r="M13" t="s">
        <v>271</v>
      </c>
      <c r="N13" t="str">
        <f t="shared" si="1"/>
        <v>내수</v>
      </c>
      <c r="O13" t="s">
        <v>284</v>
      </c>
      <c r="P13" s="15">
        <v>46163</v>
      </c>
      <c r="Q13" s="15">
        <v>46182</v>
      </c>
      <c r="T13" t="str">
        <f t="shared" si="2"/>
        <v>오경환</v>
      </c>
    </row>
    <row r="14" spans="1:21" x14ac:dyDescent="0.6">
      <c r="B14" t="s">
        <v>81</v>
      </c>
      <c r="C14" t="s">
        <v>285</v>
      </c>
      <c r="D14" t="s">
        <v>157</v>
      </c>
      <c r="E14" t="s">
        <v>167</v>
      </c>
      <c r="F14" t="s">
        <v>176</v>
      </c>
      <c r="G14" t="s">
        <v>169</v>
      </c>
      <c r="I14">
        <v>1</v>
      </c>
      <c r="J14" s="16">
        <v>3580000</v>
      </c>
      <c r="K14" s="17">
        <f t="shared" si="0"/>
        <v>3580000</v>
      </c>
      <c r="M14" t="s">
        <v>271</v>
      </c>
      <c r="N14" t="str">
        <f t="shared" si="1"/>
        <v>내수</v>
      </c>
      <c r="O14" t="s">
        <v>270</v>
      </c>
      <c r="P14" s="15">
        <v>46163</v>
      </c>
      <c r="Q14" s="15">
        <v>46173</v>
      </c>
      <c r="T14" t="str">
        <f t="shared" si="2"/>
        <v>오경환</v>
      </c>
    </row>
    <row r="15" spans="1:21" x14ac:dyDescent="0.6">
      <c r="B15" t="s">
        <v>82</v>
      </c>
      <c r="C15" t="s">
        <v>285</v>
      </c>
      <c r="D15" t="s">
        <v>157</v>
      </c>
      <c r="E15" t="s">
        <v>177</v>
      </c>
      <c r="F15" t="s">
        <v>178</v>
      </c>
      <c r="G15" t="s">
        <v>169</v>
      </c>
      <c r="I15">
        <v>1</v>
      </c>
      <c r="J15" s="16">
        <v>130000</v>
      </c>
      <c r="K15" s="17">
        <f t="shared" si="0"/>
        <v>130000</v>
      </c>
      <c r="M15" t="s">
        <v>271</v>
      </c>
      <c r="N15" t="str">
        <f t="shared" si="1"/>
        <v>내수</v>
      </c>
      <c r="O15" t="s">
        <v>270</v>
      </c>
      <c r="P15" s="15">
        <v>46164</v>
      </c>
      <c r="Q15" s="15">
        <v>46174</v>
      </c>
      <c r="T15" t="str">
        <f t="shared" si="2"/>
        <v>오경환</v>
      </c>
    </row>
    <row r="16" spans="1:21" x14ac:dyDescent="0.6">
      <c r="B16" t="s">
        <v>83</v>
      </c>
      <c r="C16" t="s">
        <v>285</v>
      </c>
      <c r="D16" t="s">
        <v>158</v>
      </c>
      <c r="E16" t="s">
        <v>179</v>
      </c>
      <c r="F16" t="s">
        <v>180</v>
      </c>
      <c r="G16" t="s">
        <v>174</v>
      </c>
      <c r="I16">
        <v>1</v>
      </c>
      <c r="J16" s="16">
        <v>350000</v>
      </c>
      <c r="K16" s="17">
        <f t="shared" si="0"/>
        <v>350000</v>
      </c>
      <c r="M16" t="s">
        <v>271</v>
      </c>
      <c r="N16" t="str">
        <f t="shared" si="1"/>
        <v>내수</v>
      </c>
      <c r="O16" t="s">
        <v>270</v>
      </c>
      <c r="P16" s="15">
        <v>46164</v>
      </c>
      <c r="Q16" s="15">
        <v>46174</v>
      </c>
      <c r="T16" t="str">
        <f t="shared" si="2"/>
        <v>이현</v>
      </c>
    </row>
    <row r="17" spans="2:20" x14ac:dyDescent="0.6">
      <c r="B17" t="s">
        <v>84</v>
      </c>
      <c r="C17" t="s">
        <v>285</v>
      </c>
      <c r="D17" t="s">
        <v>157</v>
      </c>
      <c r="E17" t="s">
        <v>181</v>
      </c>
      <c r="F17" t="s">
        <v>173</v>
      </c>
      <c r="G17" t="s">
        <v>169</v>
      </c>
      <c r="I17">
        <v>1</v>
      </c>
      <c r="J17" s="16">
        <v>3790000</v>
      </c>
      <c r="K17" s="17">
        <f t="shared" si="0"/>
        <v>3790000</v>
      </c>
      <c r="M17" t="s">
        <v>271</v>
      </c>
      <c r="N17" t="str">
        <f t="shared" si="1"/>
        <v>내수</v>
      </c>
      <c r="O17" t="s">
        <v>270</v>
      </c>
      <c r="P17" s="15">
        <v>46164</v>
      </c>
      <c r="Q17" s="15">
        <v>46174</v>
      </c>
      <c r="T17" t="str">
        <f t="shared" si="2"/>
        <v>오경환</v>
      </c>
    </row>
    <row r="18" spans="2:20" x14ac:dyDescent="0.6">
      <c r="B18" t="s">
        <v>85</v>
      </c>
      <c r="C18" t="s">
        <v>285</v>
      </c>
      <c r="D18" t="s">
        <v>157</v>
      </c>
      <c r="E18" t="s">
        <v>182</v>
      </c>
      <c r="F18" t="s">
        <v>183</v>
      </c>
      <c r="G18" t="s">
        <v>169</v>
      </c>
      <c r="I18">
        <v>1</v>
      </c>
      <c r="J18" s="16">
        <v>2240000</v>
      </c>
      <c r="K18" s="17">
        <f t="shared" si="0"/>
        <v>2240000</v>
      </c>
      <c r="M18" t="s">
        <v>271</v>
      </c>
      <c r="N18" t="str">
        <f t="shared" si="1"/>
        <v>내수</v>
      </c>
      <c r="O18" t="s">
        <v>270</v>
      </c>
      <c r="P18" s="15">
        <v>46164</v>
      </c>
      <c r="Q18" s="15">
        <v>46174</v>
      </c>
      <c r="T18" t="str">
        <f t="shared" si="2"/>
        <v>오경환</v>
      </c>
    </row>
    <row r="19" spans="2:20" x14ac:dyDescent="0.6">
      <c r="B19" t="s">
        <v>86</v>
      </c>
      <c r="C19" t="s">
        <v>285</v>
      </c>
      <c r="D19" t="s">
        <v>157</v>
      </c>
      <c r="E19" t="s">
        <v>170</v>
      </c>
      <c r="F19" t="s">
        <v>184</v>
      </c>
      <c r="G19" t="s">
        <v>169</v>
      </c>
      <c r="I19">
        <v>1</v>
      </c>
      <c r="J19" s="16">
        <v>3290000</v>
      </c>
      <c r="K19" s="17">
        <f t="shared" si="0"/>
        <v>3290000</v>
      </c>
      <c r="M19" t="s">
        <v>271</v>
      </c>
      <c r="N19" t="str">
        <f t="shared" si="1"/>
        <v>내수</v>
      </c>
      <c r="O19" t="s">
        <v>270</v>
      </c>
      <c r="P19" s="15">
        <v>46164</v>
      </c>
      <c r="Q19" s="15">
        <v>46174</v>
      </c>
      <c r="T19" t="str">
        <f t="shared" si="2"/>
        <v>오경환</v>
      </c>
    </row>
    <row r="20" spans="2:20" x14ac:dyDescent="0.6">
      <c r="B20" t="s">
        <v>87</v>
      </c>
      <c r="C20" t="s">
        <v>285</v>
      </c>
      <c r="D20" t="s">
        <v>157</v>
      </c>
      <c r="E20" t="s">
        <v>167</v>
      </c>
      <c r="F20" t="s">
        <v>184</v>
      </c>
      <c r="G20" t="s">
        <v>169</v>
      </c>
      <c r="I20">
        <v>1</v>
      </c>
      <c r="J20" s="16">
        <v>2880000</v>
      </c>
      <c r="K20" s="17">
        <f t="shared" si="0"/>
        <v>2880000</v>
      </c>
      <c r="M20" t="s">
        <v>271</v>
      </c>
      <c r="N20" t="str">
        <f t="shared" si="1"/>
        <v>내수</v>
      </c>
      <c r="O20" t="s">
        <v>270</v>
      </c>
      <c r="P20" s="15">
        <v>46165</v>
      </c>
      <c r="Q20" s="15">
        <v>46175</v>
      </c>
      <c r="T20" t="str">
        <f t="shared" si="2"/>
        <v>오경환</v>
      </c>
    </row>
    <row r="21" spans="2:20" x14ac:dyDescent="0.6">
      <c r="B21" t="s">
        <v>88</v>
      </c>
      <c r="C21" t="s">
        <v>285</v>
      </c>
      <c r="D21" t="s">
        <v>157</v>
      </c>
      <c r="E21" t="s">
        <v>185</v>
      </c>
      <c r="F21" t="s">
        <v>186</v>
      </c>
      <c r="G21" t="s">
        <v>187</v>
      </c>
      <c r="H21" t="s">
        <v>283</v>
      </c>
      <c r="I21">
        <v>1</v>
      </c>
      <c r="J21" s="16">
        <v>4300000</v>
      </c>
      <c r="K21" s="17">
        <f t="shared" si="0"/>
        <v>4300000</v>
      </c>
      <c r="M21" t="s">
        <v>271</v>
      </c>
      <c r="N21" t="str">
        <f t="shared" si="1"/>
        <v>수출</v>
      </c>
      <c r="O21" t="s">
        <v>270</v>
      </c>
      <c r="P21" s="15">
        <v>46165</v>
      </c>
      <c r="Q21" s="15">
        <v>46183</v>
      </c>
      <c r="T21" t="str">
        <f t="shared" si="2"/>
        <v>이현</v>
      </c>
    </row>
    <row r="22" spans="2:20" x14ac:dyDescent="0.6">
      <c r="B22" t="s">
        <v>89</v>
      </c>
      <c r="C22" t="s">
        <v>285</v>
      </c>
      <c r="D22" t="s">
        <v>157</v>
      </c>
      <c r="E22" t="s">
        <v>188</v>
      </c>
      <c r="F22" t="s">
        <v>173</v>
      </c>
      <c r="G22" t="s">
        <v>174</v>
      </c>
      <c r="I22">
        <v>1</v>
      </c>
      <c r="J22" s="16">
        <v>860000</v>
      </c>
      <c r="K22" s="17">
        <f t="shared" si="0"/>
        <v>860000</v>
      </c>
      <c r="M22" t="s">
        <v>271</v>
      </c>
      <c r="N22" t="str">
        <f t="shared" si="1"/>
        <v>내수</v>
      </c>
      <c r="O22" t="s">
        <v>270</v>
      </c>
      <c r="P22" s="15">
        <v>46165</v>
      </c>
      <c r="Q22" s="15">
        <v>46175</v>
      </c>
      <c r="T22" t="str">
        <f t="shared" si="2"/>
        <v>이현</v>
      </c>
    </row>
    <row r="23" spans="2:20" x14ac:dyDescent="0.6">
      <c r="B23" t="s">
        <v>90</v>
      </c>
      <c r="C23" t="s">
        <v>285</v>
      </c>
      <c r="D23" t="s">
        <v>157</v>
      </c>
      <c r="E23" t="s">
        <v>167</v>
      </c>
      <c r="F23" t="s">
        <v>189</v>
      </c>
      <c r="G23" t="s">
        <v>169</v>
      </c>
      <c r="I23">
        <v>1</v>
      </c>
      <c r="J23" s="16">
        <v>2940000</v>
      </c>
      <c r="K23" s="17">
        <f t="shared" si="0"/>
        <v>2940000</v>
      </c>
      <c r="M23" t="s">
        <v>271</v>
      </c>
      <c r="N23" t="str">
        <f t="shared" si="1"/>
        <v>내수</v>
      </c>
      <c r="O23" t="s">
        <v>270</v>
      </c>
      <c r="P23" s="15">
        <v>46165</v>
      </c>
      <c r="Q23" s="15">
        <v>46175</v>
      </c>
      <c r="T23" t="str">
        <f t="shared" si="2"/>
        <v>오경환</v>
      </c>
    </row>
    <row r="24" spans="2:20" x14ac:dyDescent="0.6">
      <c r="B24" t="s">
        <v>91</v>
      </c>
      <c r="C24" t="s">
        <v>285</v>
      </c>
      <c r="D24" t="s">
        <v>157</v>
      </c>
      <c r="E24" t="s">
        <v>190</v>
      </c>
      <c r="F24" t="s">
        <v>173</v>
      </c>
      <c r="G24" t="s">
        <v>174</v>
      </c>
      <c r="I24">
        <v>1</v>
      </c>
      <c r="J24" s="16">
        <v>860000</v>
      </c>
      <c r="K24" s="17">
        <f t="shared" si="0"/>
        <v>860000</v>
      </c>
      <c r="M24" t="s">
        <v>271</v>
      </c>
      <c r="N24" t="str">
        <f t="shared" si="1"/>
        <v>내수</v>
      </c>
      <c r="O24" t="s">
        <v>270</v>
      </c>
      <c r="P24" s="15">
        <v>46165</v>
      </c>
      <c r="Q24" s="15">
        <v>46175</v>
      </c>
      <c r="T24" t="str">
        <f t="shared" si="2"/>
        <v>이현</v>
      </c>
    </row>
    <row r="25" spans="2:20" x14ac:dyDescent="0.6">
      <c r="B25" t="s">
        <v>92</v>
      </c>
      <c r="C25" t="s">
        <v>285</v>
      </c>
      <c r="D25" t="s">
        <v>157</v>
      </c>
      <c r="E25" t="s">
        <v>191</v>
      </c>
      <c r="F25" t="s">
        <v>173</v>
      </c>
      <c r="G25" t="s">
        <v>169</v>
      </c>
      <c r="I25">
        <v>1</v>
      </c>
      <c r="J25" s="16">
        <v>9430000</v>
      </c>
      <c r="K25" s="17">
        <f t="shared" si="0"/>
        <v>9430000</v>
      </c>
      <c r="M25" t="s">
        <v>271</v>
      </c>
      <c r="N25" t="str">
        <f t="shared" si="1"/>
        <v>내수</v>
      </c>
      <c r="O25" t="s">
        <v>270</v>
      </c>
      <c r="P25" s="15">
        <v>46166</v>
      </c>
      <c r="Q25" s="15">
        <v>46176</v>
      </c>
      <c r="T25" t="str">
        <f t="shared" si="2"/>
        <v>오경환</v>
      </c>
    </row>
    <row r="26" spans="2:20" x14ac:dyDescent="0.6">
      <c r="B26" t="s">
        <v>93</v>
      </c>
      <c r="C26" t="s">
        <v>285</v>
      </c>
      <c r="D26" t="s">
        <v>157</v>
      </c>
      <c r="E26" t="s">
        <v>192</v>
      </c>
      <c r="F26" t="s">
        <v>173</v>
      </c>
      <c r="G26" t="s">
        <v>169</v>
      </c>
      <c r="I26">
        <v>1</v>
      </c>
      <c r="J26" s="16">
        <v>5980000</v>
      </c>
      <c r="K26" s="17">
        <f t="shared" si="0"/>
        <v>5980000</v>
      </c>
      <c r="M26" t="s">
        <v>271</v>
      </c>
      <c r="N26" t="str">
        <f t="shared" si="1"/>
        <v>내수</v>
      </c>
      <c r="O26" t="s">
        <v>270</v>
      </c>
      <c r="P26" s="15">
        <v>46166</v>
      </c>
      <c r="Q26" s="15">
        <v>46176</v>
      </c>
      <c r="T26" t="str">
        <f t="shared" si="2"/>
        <v>오경환</v>
      </c>
    </row>
    <row r="27" spans="2:20" x14ac:dyDescent="0.6">
      <c r="B27" t="s">
        <v>94</v>
      </c>
      <c r="C27" t="s">
        <v>285</v>
      </c>
      <c r="D27" t="s">
        <v>157</v>
      </c>
      <c r="E27" t="s">
        <v>193</v>
      </c>
      <c r="F27" t="s">
        <v>173</v>
      </c>
      <c r="G27" t="s">
        <v>169</v>
      </c>
      <c r="I27">
        <v>1</v>
      </c>
      <c r="J27" s="16">
        <v>9100000</v>
      </c>
      <c r="K27" s="17">
        <f t="shared" si="0"/>
        <v>9100000</v>
      </c>
      <c r="M27" t="s">
        <v>271</v>
      </c>
      <c r="N27" t="str">
        <f t="shared" si="1"/>
        <v>내수</v>
      </c>
      <c r="O27" t="s">
        <v>270</v>
      </c>
      <c r="P27" s="15">
        <v>46166</v>
      </c>
      <c r="Q27" s="15">
        <v>46178</v>
      </c>
      <c r="T27" t="str">
        <f t="shared" si="2"/>
        <v>오경환</v>
      </c>
    </row>
    <row r="28" spans="2:20" x14ac:dyDescent="0.6">
      <c r="B28" t="s">
        <v>95</v>
      </c>
      <c r="C28" t="s">
        <v>285</v>
      </c>
      <c r="D28" t="s">
        <v>157</v>
      </c>
      <c r="E28" t="s">
        <v>194</v>
      </c>
      <c r="F28" t="s">
        <v>195</v>
      </c>
      <c r="G28" t="s">
        <v>174</v>
      </c>
      <c r="I28">
        <v>1</v>
      </c>
      <c r="J28" s="16">
        <v>3448000</v>
      </c>
      <c r="K28" s="17">
        <f t="shared" si="0"/>
        <v>3448000</v>
      </c>
      <c r="M28" t="s">
        <v>271</v>
      </c>
      <c r="N28" t="str">
        <f t="shared" si="1"/>
        <v>내수</v>
      </c>
      <c r="O28" t="s">
        <v>270</v>
      </c>
      <c r="P28" s="15">
        <v>46166</v>
      </c>
      <c r="Q28" s="15">
        <v>46176</v>
      </c>
      <c r="T28" t="str">
        <f t="shared" si="2"/>
        <v>이현</v>
      </c>
    </row>
    <row r="29" spans="2:20" x14ac:dyDescent="0.6">
      <c r="B29" t="s">
        <v>96</v>
      </c>
      <c r="C29" t="s">
        <v>285</v>
      </c>
      <c r="D29" t="s">
        <v>157</v>
      </c>
      <c r="E29" t="s">
        <v>196</v>
      </c>
      <c r="F29" t="s">
        <v>173</v>
      </c>
      <c r="G29" t="s">
        <v>174</v>
      </c>
      <c r="I29">
        <v>1</v>
      </c>
      <c r="J29" s="16">
        <v>860000</v>
      </c>
      <c r="K29" s="17">
        <f t="shared" si="0"/>
        <v>860000</v>
      </c>
      <c r="M29" t="s">
        <v>271</v>
      </c>
      <c r="N29" t="str">
        <f t="shared" si="1"/>
        <v>내수</v>
      </c>
      <c r="O29" t="s">
        <v>270</v>
      </c>
      <c r="P29" s="15">
        <v>46166</v>
      </c>
      <c r="Q29" s="15">
        <v>46176</v>
      </c>
      <c r="T29" t="str">
        <f t="shared" si="2"/>
        <v>이현</v>
      </c>
    </row>
    <row r="30" spans="2:20" x14ac:dyDescent="0.6">
      <c r="B30" t="s">
        <v>97</v>
      </c>
      <c r="C30" t="s">
        <v>285</v>
      </c>
      <c r="D30" t="s">
        <v>157</v>
      </c>
      <c r="E30" t="s">
        <v>197</v>
      </c>
      <c r="F30" t="s">
        <v>198</v>
      </c>
      <c r="G30" t="s">
        <v>199</v>
      </c>
      <c r="I30">
        <v>1</v>
      </c>
      <c r="J30" s="16">
        <v>4100000</v>
      </c>
      <c r="K30" s="17">
        <f t="shared" si="0"/>
        <v>4100000</v>
      </c>
      <c r="M30" t="s">
        <v>271</v>
      </c>
      <c r="N30" t="str">
        <f t="shared" si="1"/>
        <v>내수</v>
      </c>
      <c r="O30" t="s">
        <v>270</v>
      </c>
      <c r="P30" s="15">
        <v>46167</v>
      </c>
      <c r="Q30" s="15">
        <v>46177</v>
      </c>
      <c r="T30" t="str">
        <f t="shared" si="2"/>
        <v>이현</v>
      </c>
    </row>
    <row r="31" spans="2:20" x14ac:dyDescent="0.6">
      <c r="B31" t="s">
        <v>98</v>
      </c>
      <c r="C31" t="s">
        <v>285</v>
      </c>
      <c r="D31" t="s">
        <v>157</v>
      </c>
      <c r="E31" t="s">
        <v>200</v>
      </c>
      <c r="F31" t="s">
        <v>173</v>
      </c>
      <c r="G31" t="s">
        <v>174</v>
      </c>
      <c r="I31">
        <v>1</v>
      </c>
      <c r="J31" s="16">
        <v>860000</v>
      </c>
      <c r="K31" s="17">
        <f t="shared" si="0"/>
        <v>860000</v>
      </c>
      <c r="M31" t="s">
        <v>271</v>
      </c>
      <c r="N31" t="str">
        <f t="shared" si="1"/>
        <v>내수</v>
      </c>
      <c r="O31" t="s">
        <v>270</v>
      </c>
      <c r="P31" s="15">
        <v>46167</v>
      </c>
      <c r="Q31" s="15">
        <v>46177</v>
      </c>
      <c r="T31" t="str">
        <f t="shared" si="2"/>
        <v>이현</v>
      </c>
    </row>
    <row r="32" spans="2:20" x14ac:dyDescent="0.6">
      <c r="B32" t="s">
        <v>99</v>
      </c>
      <c r="C32" t="s">
        <v>285</v>
      </c>
      <c r="D32" t="s">
        <v>157</v>
      </c>
      <c r="E32" t="s">
        <v>201</v>
      </c>
      <c r="F32" t="s">
        <v>198</v>
      </c>
      <c r="G32" t="s">
        <v>199</v>
      </c>
      <c r="I32">
        <v>1</v>
      </c>
      <c r="J32" s="16">
        <v>4200000</v>
      </c>
      <c r="K32" s="17">
        <f t="shared" si="0"/>
        <v>4200000</v>
      </c>
      <c r="M32" t="s">
        <v>271</v>
      </c>
      <c r="N32" t="str">
        <f t="shared" si="1"/>
        <v>내수</v>
      </c>
      <c r="O32" t="s">
        <v>270</v>
      </c>
      <c r="P32" s="15">
        <v>46167</v>
      </c>
      <c r="Q32" s="15">
        <v>46177</v>
      </c>
      <c r="T32" t="str">
        <f t="shared" si="2"/>
        <v>이현</v>
      </c>
    </row>
    <row r="33" spans="2:20" x14ac:dyDescent="0.6">
      <c r="B33" t="s">
        <v>100</v>
      </c>
      <c r="C33" t="s">
        <v>285</v>
      </c>
      <c r="D33" t="s">
        <v>157</v>
      </c>
      <c r="E33" t="s">
        <v>202</v>
      </c>
      <c r="F33" t="s">
        <v>203</v>
      </c>
      <c r="G33" t="s">
        <v>174</v>
      </c>
      <c r="I33">
        <v>1</v>
      </c>
      <c r="J33" s="16">
        <v>4870000</v>
      </c>
      <c r="K33" s="17">
        <f t="shared" si="0"/>
        <v>4870000</v>
      </c>
      <c r="M33" t="s">
        <v>271</v>
      </c>
      <c r="N33" t="str">
        <f t="shared" si="1"/>
        <v>내수</v>
      </c>
      <c r="O33" t="s">
        <v>270</v>
      </c>
      <c r="P33" s="15">
        <v>46167</v>
      </c>
      <c r="Q33" s="15">
        <v>46177</v>
      </c>
      <c r="T33" t="str">
        <f t="shared" si="2"/>
        <v>이현</v>
      </c>
    </row>
    <row r="34" spans="2:20" x14ac:dyDescent="0.6">
      <c r="B34" t="s">
        <v>101</v>
      </c>
      <c r="C34" t="s">
        <v>285</v>
      </c>
      <c r="D34" t="s">
        <v>157</v>
      </c>
      <c r="E34" t="s">
        <v>204</v>
      </c>
      <c r="F34" t="s">
        <v>180</v>
      </c>
      <c r="G34" t="s">
        <v>174</v>
      </c>
      <c r="I34">
        <v>1</v>
      </c>
      <c r="J34" s="16">
        <v>3239000</v>
      </c>
      <c r="K34" s="17">
        <f t="shared" si="0"/>
        <v>3239000</v>
      </c>
      <c r="M34" t="s">
        <v>271</v>
      </c>
      <c r="N34" t="str">
        <f t="shared" si="1"/>
        <v>내수</v>
      </c>
      <c r="O34" t="s">
        <v>270</v>
      </c>
      <c r="P34" s="15">
        <v>46167</v>
      </c>
      <c r="Q34" s="15">
        <v>46177</v>
      </c>
      <c r="T34" t="str">
        <f t="shared" si="2"/>
        <v>이현</v>
      </c>
    </row>
    <row r="35" spans="2:20" x14ac:dyDescent="0.6">
      <c r="B35" t="s">
        <v>102</v>
      </c>
      <c r="C35" t="s">
        <v>285</v>
      </c>
      <c r="D35" t="s">
        <v>158</v>
      </c>
      <c r="E35" t="s">
        <v>205</v>
      </c>
      <c r="F35" t="s">
        <v>206</v>
      </c>
      <c r="G35" t="s">
        <v>174</v>
      </c>
      <c r="I35">
        <v>1</v>
      </c>
      <c r="J35" s="16">
        <v>6840000</v>
      </c>
      <c r="K35" s="17">
        <f t="shared" si="0"/>
        <v>6840000</v>
      </c>
      <c r="M35" t="s">
        <v>271</v>
      </c>
      <c r="N35" t="str">
        <f t="shared" si="1"/>
        <v>내수</v>
      </c>
      <c r="O35" t="s">
        <v>270</v>
      </c>
      <c r="P35" s="15">
        <v>46168</v>
      </c>
      <c r="Q35" s="15">
        <v>46178</v>
      </c>
      <c r="T35" t="str">
        <f t="shared" si="2"/>
        <v>이현</v>
      </c>
    </row>
    <row r="36" spans="2:20" x14ac:dyDescent="0.6">
      <c r="B36" t="s">
        <v>103</v>
      </c>
      <c r="C36" t="s">
        <v>285</v>
      </c>
      <c r="D36" t="s">
        <v>158</v>
      </c>
      <c r="E36" t="s">
        <v>205</v>
      </c>
      <c r="F36" t="s">
        <v>207</v>
      </c>
      <c r="G36" t="s">
        <v>174</v>
      </c>
      <c r="I36">
        <v>1</v>
      </c>
      <c r="J36" s="16">
        <v>6840000</v>
      </c>
      <c r="K36" s="17">
        <f t="shared" si="0"/>
        <v>6840000</v>
      </c>
      <c r="M36" t="s">
        <v>271</v>
      </c>
      <c r="N36" t="str">
        <f t="shared" si="1"/>
        <v>내수</v>
      </c>
      <c r="O36" t="s">
        <v>270</v>
      </c>
      <c r="P36" s="15">
        <v>46168</v>
      </c>
      <c r="Q36" s="15">
        <v>46178</v>
      </c>
      <c r="T36" t="str">
        <f t="shared" si="2"/>
        <v>이현</v>
      </c>
    </row>
    <row r="37" spans="2:20" x14ac:dyDescent="0.6">
      <c r="B37" t="s">
        <v>104</v>
      </c>
      <c r="C37" t="s">
        <v>285</v>
      </c>
      <c r="D37" t="s">
        <v>157</v>
      </c>
      <c r="E37" t="s">
        <v>208</v>
      </c>
      <c r="F37" t="s">
        <v>209</v>
      </c>
      <c r="G37" t="s">
        <v>174</v>
      </c>
      <c r="I37">
        <v>1</v>
      </c>
      <c r="J37" s="16">
        <v>6620000</v>
      </c>
      <c r="K37" s="17">
        <f t="shared" si="0"/>
        <v>6620000</v>
      </c>
      <c r="M37" t="s">
        <v>271</v>
      </c>
      <c r="N37" t="str">
        <f t="shared" si="1"/>
        <v>내수</v>
      </c>
      <c r="O37" t="s">
        <v>270</v>
      </c>
      <c r="P37" s="15">
        <v>46168</v>
      </c>
      <c r="Q37" s="15">
        <v>46178</v>
      </c>
      <c r="T37" t="str">
        <f t="shared" si="2"/>
        <v>이현</v>
      </c>
    </row>
    <row r="38" spans="2:20" x14ac:dyDescent="0.6">
      <c r="B38" t="s">
        <v>105</v>
      </c>
      <c r="C38" t="s">
        <v>285</v>
      </c>
      <c r="D38" t="s">
        <v>157</v>
      </c>
      <c r="E38" t="s">
        <v>210</v>
      </c>
      <c r="F38" t="s">
        <v>211</v>
      </c>
      <c r="G38" t="s">
        <v>199</v>
      </c>
      <c r="I38">
        <v>1</v>
      </c>
      <c r="J38" s="16">
        <v>860000</v>
      </c>
      <c r="K38" s="17">
        <f t="shared" si="0"/>
        <v>860000</v>
      </c>
      <c r="M38" t="s">
        <v>271</v>
      </c>
      <c r="N38" t="str">
        <f t="shared" si="1"/>
        <v>내수</v>
      </c>
      <c r="O38" t="s">
        <v>270</v>
      </c>
      <c r="P38" s="15">
        <v>46168</v>
      </c>
      <c r="Q38" s="15">
        <v>46178</v>
      </c>
      <c r="T38" t="str">
        <f t="shared" si="2"/>
        <v>이현</v>
      </c>
    </row>
    <row r="39" spans="2:20" x14ac:dyDescent="0.6">
      <c r="B39" t="s">
        <v>106</v>
      </c>
      <c r="C39" t="s">
        <v>285</v>
      </c>
      <c r="D39" t="s">
        <v>157</v>
      </c>
      <c r="E39" t="s">
        <v>212</v>
      </c>
      <c r="F39" t="s">
        <v>213</v>
      </c>
      <c r="G39" t="s">
        <v>174</v>
      </c>
      <c r="I39">
        <v>1</v>
      </c>
      <c r="J39" s="16">
        <v>5795000</v>
      </c>
      <c r="K39" s="17">
        <f t="shared" si="0"/>
        <v>5795000</v>
      </c>
      <c r="M39" t="s">
        <v>271</v>
      </c>
      <c r="N39" t="str">
        <f t="shared" si="1"/>
        <v>내수</v>
      </c>
      <c r="O39" t="s">
        <v>270</v>
      </c>
      <c r="P39" s="15">
        <v>46168</v>
      </c>
      <c r="Q39" s="15">
        <v>46178</v>
      </c>
      <c r="T39" t="str">
        <f t="shared" si="2"/>
        <v>이현</v>
      </c>
    </row>
    <row r="40" spans="2:20" x14ac:dyDescent="0.6">
      <c r="B40" t="s">
        <v>107</v>
      </c>
      <c r="C40" t="s">
        <v>285</v>
      </c>
      <c r="D40" t="s">
        <v>157</v>
      </c>
      <c r="E40" t="s">
        <v>182</v>
      </c>
      <c r="F40" t="s">
        <v>214</v>
      </c>
      <c r="G40" t="s">
        <v>169</v>
      </c>
      <c r="I40">
        <v>1</v>
      </c>
      <c r="J40" s="16">
        <v>2100000</v>
      </c>
      <c r="K40" s="17">
        <f t="shared" si="0"/>
        <v>2100000</v>
      </c>
      <c r="M40" t="s">
        <v>271</v>
      </c>
      <c r="N40" t="str">
        <f t="shared" si="1"/>
        <v>내수</v>
      </c>
      <c r="O40" t="s">
        <v>65</v>
      </c>
      <c r="P40" s="15">
        <v>46169</v>
      </c>
      <c r="Q40" s="15">
        <v>46179</v>
      </c>
      <c r="T40" t="str">
        <f t="shared" si="2"/>
        <v>오경환</v>
      </c>
    </row>
    <row r="41" spans="2:20" x14ac:dyDescent="0.6">
      <c r="B41" t="s">
        <v>108</v>
      </c>
      <c r="C41" t="s">
        <v>285</v>
      </c>
      <c r="D41" t="s">
        <v>157</v>
      </c>
      <c r="E41" t="s">
        <v>202</v>
      </c>
      <c r="F41" t="s">
        <v>215</v>
      </c>
      <c r="G41" t="s">
        <v>174</v>
      </c>
      <c r="I41">
        <v>1</v>
      </c>
      <c r="J41" s="16">
        <v>5000000</v>
      </c>
      <c r="K41" s="17">
        <f t="shared" si="0"/>
        <v>5000000</v>
      </c>
      <c r="M41" t="s">
        <v>271</v>
      </c>
      <c r="N41" t="str">
        <f t="shared" si="1"/>
        <v>내수</v>
      </c>
      <c r="O41" t="s">
        <v>65</v>
      </c>
      <c r="P41" s="15">
        <v>46169</v>
      </c>
      <c r="Q41" s="15">
        <v>46179</v>
      </c>
      <c r="T41" t="str">
        <f t="shared" si="2"/>
        <v>이현</v>
      </c>
    </row>
    <row r="42" spans="2:20" x14ac:dyDescent="0.6">
      <c r="B42" t="s">
        <v>109</v>
      </c>
      <c r="C42" t="s">
        <v>285</v>
      </c>
      <c r="D42" t="s">
        <v>157</v>
      </c>
      <c r="E42" t="s">
        <v>216</v>
      </c>
      <c r="F42" t="s">
        <v>217</v>
      </c>
      <c r="G42" t="s">
        <v>174</v>
      </c>
      <c r="I42">
        <v>1</v>
      </c>
      <c r="J42" s="16">
        <v>247000</v>
      </c>
      <c r="K42" s="17">
        <f t="shared" si="0"/>
        <v>247000</v>
      </c>
      <c r="M42" t="s">
        <v>271</v>
      </c>
      <c r="N42" t="str">
        <f t="shared" si="1"/>
        <v>내수</v>
      </c>
      <c r="O42" t="s">
        <v>65</v>
      </c>
      <c r="P42" s="15">
        <v>46169</v>
      </c>
      <c r="Q42" s="15">
        <v>46179</v>
      </c>
      <c r="T42" t="str">
        <f t="shared" si="2"/>
        <v>이현</v>
      </c>
    </row>
    <row r="43" spans="2:20" x14ac:dyDescent="0.6">
      <c r="B43" t="s">
        <v>110</v>
      </c>
      <c r="C43" t="s">
        <v>285</v>
      </c>
      <c r="D43" t="s">
        <v>157</v>
      </c>
      <c r="E43" t="s">
        <v>216</v>
      </c>
      <c r="F43" t="s">
        <v>218</v>
      </c>
      <c r="G43" t="s">
        <v>174</v>
      </c>
      <c r="I43">
        <v>1</v>
      </c>
      <c r="J43" s="16">
        <v>152000</v>
      </c>
      <c r="K43" s="17">
        <f t="shared" si="0"/>
        <v>152000</v>
      </c>
      <c r="M43" t="s">
        <v>271</v>
      </c>
      <c r="N43" t="str">
        <f t="shared" si="1"/>
        <v>내수</v>
      </c>
      <c r="O43" t="s">
        <v>65</v>
      </c>
      <c r="P43" s="15">
        <v>46169</v>
      </c>
      <c r="Q43" s="15">
        <v>46179</v>
      </c>
      <c r="T43" t="str">
        <f t="shared" si="2"/>
        <v>이현</v>
      </c>
    </row>
    <row r="44" spans="2:20" x14ac:dyDescent="0.6">
      <c r="B44" t="s">
        <v>111</v>
      </c>
      <c r="C44" t="s">
        <v>285</v>
      </c>
      <c r="D44" t="s">
        <v>158</v>
      </c>
      <c r="E44" t="s">
        <v>219</v>
      </c>
      <c r="F44" t="s">
        <v>220</v>
      </c>
      <c r="G44" t="s">
        <v>174</v>
      </c>
      <c r="I44">
        <v>1</v>
      </c>
      <c r="J44" s="16">
        <v>14140000</v>
      </c>
      <c r="K44" s="17">
        <f t="shared" si="0"/>
        <v>14140000</v>
      </c>
      <c r="M44" t="s">
        <v>271</v>
      </c>
      <c r="N44" t="str">
        <f t="shared" si="1"/>
        <v>내수</v>
      </c>
      <c r="O44" t="s">
        <v>65</v>
      </c>
      <c r="P44" s="15">
        <v>46169</v>
      </c>
      <c r="Q44" s="15">
        <v>46179</v>
      </c>
      <c r="T44" t="str">
        <f t="shared" si="2"/>
        <v>이현</v>
      </c>
    </row>
    <row r="45" spans="2:20" x14ac:dyDescent="0.6">
      <c r="B45" t="s">
        <v>112</v>
      </c>
      <c r="C45" t="s">
        <v>285</v>
      </c>
      <c r="D45" t="s">
        <v>158</v>
      </c>
      <c r="E45" t="s">
        <v>221</v>
      </c>
      <c r="F45" t="s">
        <v>220</v>
      </c>
      <c r="G45" t="s">
        <v>174</v>
      </c>
      <c r="I45">
        <v>10</v>
      </c>
      <c r="J45" s="16">
        <v>6680000</v>
      </c>
      <c r="K45" s="17">
        <f t="shared" si="0"/>
        <v>66800000</v>
      </c>
      <c r="M45" t="s">
        <v>271</v>
      </c>
      <c r="N45" t="str">
        <f t="shared" si="1"/>
        <v>내수</v>
      </c>
      <c r="O45" t="s">
        <v>65</v>
      </c>
      <c r="P45" s="15">
        <v>46170</v>
      </c>
      <c r="Q45" s="15">
        <v>46180</v>
      </c>
      <c r="T45" t="str">
        <f t="shared" si="2"/>
        <v>이현</v>
      </c>
    </row>
    <row r="46" spans="2:20" x14ac:dyDescent="0.6">
      <c r="B46" t="s">
        <v>113</v>
      </c>
      <c r="C46" t="s">
        <v>285</v>
      </c>
      <c r="D46" t="s">
        <v>157</v>
      </c>
      <c r="E46" t="s">
        <v>210</v>
      </c>
      <c r="F46" t="s">
        <v>222</v>
      </c>
      <c r="G46" t="s">
        <v>199</v>
      </c>
      <c r="I46">
        <v>1</v>
      </c>
      <c r="J46" s="16">
        <v>860000</v>
      </c>
      <c r="K46" s="17">
        <f t="shared" si="0"/>
        <v>860000</v>
      </c>
      <c r="M46" t="s">
        <v>271</v>
      </c>
      <c r="N46" t="str">
        <f t="shared" si="1"/>
        <v>내수</v>
      </c>
      <c r="O46" t="s">
        <v>65</v>
      </c>
      <c r="P46" s="15">
        <v>46170</v>
      </c>
      <c r="Q46" s="15">
        <v>46180</v>
      </c>
      <c r="T46" t="str">
        <f t="shared" si="2"/>
        <v>이현</v>
      </c>
    </row>
    <row r="47" spans="2:20" x14ac:dyDescent="0.6">
      <c r="B47" t="s">
        <v>114</v>
      </c>
      <c r="C47" t="s">
        <v>285</v>
      </c>
      <c r="D47" t="s">
        <v>157</v>
      </c>
      <c r="E47" t="s">
        <v>223</v>
      </c>
      <c r="F47" t="s">
        <v>222</v>
      </c>
      <c r="G47" t="s">
        <v>199</v>
      </c>
      <c r="I47">
        <v>1</v>
      </c>
      <c r="J47" s="16">
        <v>7500000</v>
      </c>
      <c r="K47" s="17">
        <f t="shared" si="0"/>
        <v>7500000</v>
      </c>
      <c r="M47" t="s">
        <v>271</v>
      </c>
      <c r="N47" t="str">
        <f t="shared" si="1"/>
        <v>내수</v>
      </c>
      <c r="O47" t="s">
        <v>65</v>
      </c>
      <c r="P47" s="15">
        <v>46170</v>
      </c>
      <c r="Q47" s="15">
        <v>46180</v>
      </c>
      <c r="T47" t="str">
        <f t="shared" si="2"/>
        <v>이현</v>
      </c>
    </row>
    <row r="48" spans="2:20" x14ac:dyDescent="0.6">
      <c r="B48" t="s">
        <v>115</v>
      </c>
      <c r="C48" t="s">
        <v>285</v>
      </c>
      <c r="D48" t="s">
        <v>157</v>
      </c>
      <c r="E48" t="s">
        <v>224</v>
      </c>
      <c r="F48" t="s">
        <v>225</v>
      </c>
      <c r="G48" t="s">
        <v>169</v>
      </c>
      <c r="I48">
        <v>1</v>
      </c>
      <c r="J48" s="16">
        <v>6550000</v>
      </c>
      <c r="K48" s="17">
        <f t="shared" si="0"/>
        <v>6550000</v>
      </c>
      <c r="M48" t="s">
        <v>271</v>
      </c>
      <c r="N48" t="str">
        <f t="shared" si="1"/>
        <v>내수</v>
      </c>
      <c r="O48" t="s">
        <v>65</v>
      </c>
      <c r="P48" s="15">
        <v>46170</v>
      </c>
      <c r="Q48" s="15">
        <v>46180</v>
      </c>
      <c r="T48" t="str">
        <f t="shared" si="2"/>
        <v>오경환</v>
      </c>
    </row>
    <row r="49" spans="2:20" x14ac:dyDescent="0.6">
      <c r="B49" t="s">
        <v>116</v>
      </c>
      <c r="C49" t="s">
        <v>285</v>
      </c>
      <c r="D49" t="s">
        <v>157</v>
      </c>
      <c r="E49" t="s">
        <v>167</v>
      </c>
      <c r="F49" t="s">
        <v>225</v>
      </c>
      <c r="G49" t="s">
        <v>169</v>
      </c>
      <c r="I49">
        <v>1</v>
      </c>
      <c r="J49" s="16">
        <v>2870000</v>
      </c>
      <c r="K49" s="17">
        <f t="shared" si="0"/>
        <v>2870000</v>
      </c>
      <c r="M49" t="s">
        <v>271</v>
      </c>
      <c r="N49" t="str">
        <f t="shared" si="1"/>
        <v>내수</v>
      </c>
      <c r="O49" t="s">
        <v>65</v>
      </c>
      <c r="P49" s="15">
        <v>46170</v>
      </c>
      <c r="Q49" s="15">
        <v>46180</v>
      </c>
      <c r="T49" t="str">
        <f t="shared" si="2"/>
        <v>오경환</v>
      </c>
    </row>
    <row r="50" spans="2:20" x14ac:dyDescent="0.6">
      <c r="B50" t="s">
        <v>117</v>
      </c>
      <c r="C50" t="s">
        <v>285</v>
      </c>
      <c r="D50" t="s">
        <v>158</v>
      </c>
      <c r="E50" t="s">
        <v>221</v>
      </c>
      <c r="F50" t="s">
        <v>220</v>
      </c>
      <c r="G50" t="s">
        <v>174</v>
      </c>
      <c r="I50">
        <v>1</v>
      </c>
      <c r="J50" s="16">
        <v>1690000</v>
      </c>
      <c r="K50" s="17">
        <f t="shared" si="0"/>
        <v>1690000</v>
      </c>
      <c r="M50" t="s">
        <v>271</v>
      </c>
      <c r="N50" t="str">
        <f t="shared" si="1"/>
        <v>내수</v>
      </c>
      <c r="O50" t="s">
        <v>65</v>
      </c>
      <c r="P50" s="15">
        <v>46171</v>
      </c>
      <c r="Q50" s="15">
        <v>46181</v>
      </c>
      <c r="T50" t="str">
        <f t="shared" si="2"/>
        <v>이현</v>
      </c>
    </row>
    <row r="51" spans="2:20" x14ac:dyDescent="0.6">
      <c r="B51" t="s">
        <v>118</v>
      </c>
      <c r="C51" t="s">
        <v>285</v>
      </c>
      <c r="D51" t="s">
        <v>156</v>
      </c>
      <c r="E51" t="s">
        <v>159</v>
      </c>
      <c r="F51" t="s">
        <v>226</v>
      </c>
      <c r="G51" t="s">
        <v>161</v>
      </c>
      <c r="I51">
        <v>1</v>
      </c>
      <c r="J51" s="16">
        <v>7130000</v>
      </c>
      <c r="K51" s="17">
        <f t="shared" si="0"/>
        <v>7130000</v>
      </c>
      <c r="M51" t="s">
        <v>271</v>
      </c>
      <c r="N51" t="str">
        <f t="shared" si="1"/>
        <v>내수</v>
      </c>
      <c r="O51" t="s">
        <v>65</v>
      </c>
      <c r="P51" s="15">
        <v>46171</v>
      </c>
      <c r="Q51" s="15">
        <v>46181</v>
      </c>
      <c r="T51" t="str">
        <f t="shared" si="2"/>
        <v>오경환</v>
      </c>
    </row>
    <row r="52" spans="2:20" x14ac:dyDescent="0.6">
      <c r="B52" t="s">
        <v>119</v>
      </c>
      <c r="C52" t="s">
        <v>285</v>
      </c>
      <c r="D52" t="s">
        <v>157</v>
      </c>
      <c r="E52" t="s">
        <v>227</v>
      </c>
      <c r="F52" t="s">
        <v>228</v>
      </c>
      <c r="G52" t="s">
        <v>169</v>
      </c>
      <c r="I52">
        <v>1</v>
      </c>
      <c r="J52" s="16">
        <v>485000</v>
      </c>
      <c r="K52" s="17">
        <f t="shared" si="0"/>
        <v>485000</v>
      </c>
      <c r="M52" t="s">
        <v>271</v>
      </c>
      <c r="N52" t="str">
        <f t="shared" si="1"/>
        <v>내수</v>
      </c>
      <c r="O52" t="s">
        <v>65</v>
      </c>
      <c r="P52" s="15">
        <v>46171</v>
      </c>
      <c r="Q52" s="15">
        <v>46181</v>
      </c>
      <c r="T52" t="str">
        <f t="shared" si="2"/>
        <v>오경환</v>
      </c>
    </row>
    <row r="53" spans="2:20" x14ac:dyDescent="0.6">
      <c r="B53" t="s">
        <v>120</v>
      </c>
      <c r="C53" t="s">
        <v>285</v>
      </c>
      <c r="D53" t="s">
        <v>157</v>
      </c>
      <c r="E53" t="s">
        <v>227</v>
      </c>
      <c r="F53" t="s">
        <v>229</v>
      </c>
      <c r="G53" t="s">
        <v>169</v>
      </c>
      <c r="I53">
        <v>1</v>
      </c>
      <c r="J53" s="16">
        <v>485000</v>
      </c>
      <c r="K53" s="17">
        <f t="shared" si="0"/>
        <v>485000</v>
      </c>
      <c r="M53" t="s">
        <v>271</v>
      </c>
      <c r="N53" t="str">
        <f t="shared" si="1"/>
        <v>내수</v>
      </c>
      <c r="O53" t="s">
        <v>65</v>
      </c>
      <c r="P53" s="15">
        <v>46171</v>
      </c>
      <c r="Q53" s="15">
        <v>46181</v>
      </c>
      <c r="T53" t="str">
        <f t="shared" si="2"/>
        <v>오경환</v>
      </c>
    </row>
    <row r="54" spans="2:20" x14ac:dyDescent="0.6">
      <c r="B54" t="s">
        <v>121</v>
      </c>
      <c r="C54" t="s">
        <v>285</v>
      </c>
      <c r="D54" t="s">
        <v>157</v>
      </c>
      <c r="E54" t="s">
        <v>202</v>
      </c>
      <c r="F54" t="s">
        <v>230</v>
      </c>
      <c r="G54" t="s">
        <v>174</v>
      </c>
      <c r="I54">
        <v>1</v>
      </c>
      <c r="J54" s="16">
        <v>6270000</v>
      </c>
      <c r="K54" s="17">
        <f t="shared" si="0"/>
        <v>6270000</v>
      </c>
      <c r="M54" t="s">
        <v>271</v>
      </c>
      <c r="N54" t="str">
        <f t="shared" si="1"/>
        <v>내수</v>
      </c>
      <c r="O54" t="s">
        <v>65</v>
      </c>
      <c r="P54" s="15">
        <v>46171</v>
      </c>
      <c r="Q54" s="15">
        <v>46181</v>
      </c>
      <c r="T54" t="str">
        <f t="shared" si="2"/>
        <v>이현</v>
      </c>
    </row>
    <row r="55" spans="2:20" x14ac:dyDescent="0.6">
      <c r="B55" t="s">
        <v>122</v>
      </c>
      <c r="C55" t="s">
        <v>285</v>
      </c>
      <c r="D55" t="s">
        <v>157</v>
      </c>
      <c r="E55" t="s">
        <v>182</v>
      </c>
      <c r="F55" t="s">
        <v>231</v>
      </c>
      <c r="G55" t="s">
        <v>169</v>
      </c>
      <c r="I55">
        <v>1</v>
      </c>
      <c r="J55" s="16">
        <v>5660000</v>
      </c>
      <c r="K55" s="17">
        <f t="shared" si="0"/>
        <v>5660000</v>
      </c>
      <c r="M55" t="s">
        <v>271</v>
      </c>
      <c r="N55" t="str">
        <f t="shared" si="1"/>
        <v>내수</v>
      </c>
      <c r="O55" t="s">
        <v>65</v>
      </c>
      <c r="P55" s="15">
        <v>46172</v>
      </c>
      <c r="Q55" s="15">
        <v>46182</v>
      </c>
      <c r="T55" t="str">
        <f t="shared" si="2"/>
        <v>오경환</v>
      </c>
    </row>
    <row r="56" spans="2:20" x14ac:dyDescent="0.6">
      <c r="B56" t="s">
        <v>123</v>
      </c>
      <c r="C56" t="s">
        <v>285</v>
      </c>
      <c r="D56" t="s">
        <v>157</v>
      </c>
      <c r="E56" t="s">
        <v>182</v>
      </c>
      <c r="F56" t="s">
        <v>232</v>
      </c>
      <c r="G56" t="s">
        <v>169</v>
      </c>
      <c r="I56">
        <v>1</v>
      </c>
      <c r="J56" s="16">
        <v>5880000</v>
      </c>
      <c r="K56" s="17">
        <f t="shared" si="0"/>
        <v>5880000</v>
      </c>
      <c r="M56" t="s">
        <v>271</v>
      </c>
      <c r="N56" t="str">
        <f t="shared" si="1"/>
        <v>내수</v>
      </c>
      <c r="O56" t="s">
        <v>65</v>
      </c>
      <c r="P56" s="15">
        <v>46172</v>
      </c>
      <c r="Q56" s="15">
        <v>46182</v>
      </c>
      <c r="T56" t="str">
        <f t="shared" si="2"/>
        <v>오경환</v>
      </c>
    </row>
    <row r="57" spans="2:20" x14ac:dyDescent="0.6">
      <c r="B57" t="s">
        <v>124</v>
      </c>
      <c r="C57" t="s">
        <v>285</v>
      </c>
      <c r="D57" t="s">
        <v>157</v>
      </c>
      <c r="E57" t="s">
        <v>233</v>
      </c>
      <c r="F57" t="s">
        <v>234</v>
      </c>
      <c r="G57" t="s">
        <v>169</v>
      </c>
      <c r="I57">
        <v>1</v>
      </c>
      <c r="J57" s="16">
        <v>7470000</v>
      </c>
      <c r="K57" s="17">
        <f t="shared" si="0"/>
        <v>7470000</v>
      </c>
      <c r="M57" t="s">
        <v>271</v>
      </c>
      <c r="N57" t="str">
        <f t="shared" si="1"/>
        <v>내수</v>
      </c>
      <c r="O57" t="s">
        <v>65</v>
      </c>
      <c r="P57" s="15">
        <v>46172</v>
      </c>
      <c r="Q57" s="15">
        <v>46182</v>
      </c>
      <c r="T57" t="str">
        <f t="shared" si="2"/>
        <v>오경환</v>
      </c>
    </row>
    <row r="58" spans="2:20" x14ac:dyDescent="0.6">
      <c r="B58" t="s">
        <v>125</v>
      </c>
      <c r="C58" t="s">
        <v>285</v>
      </c>
      <c r="D58" t="s">
        <v>157</v>
      </c>
      <c r="E58" t="s">
        <v>235</v>
      </c>
      <c r="F58" t="s">
        <v>234</v>
      </c>
      <c r="G58" t="s">
        <v>169</v>
      </c>
      <c r="I58">
        <v>1</v>
      </c>
      <c r="J58" s="16">
        <v>7590000</v>
      </c>
      <c r="K58" s="17">
        <f t="shared" si="0"/>
        <v>7590000</v>
      </c>
      <c r="M58" t="s">
        <v>271</v>
      </c>
      <c r="N58" t="str">
        <f t="shared" si="1"/>
        <v>내수</v>
      </c>
      <c r="O58" t="s">
        <v>65</v>
      </c>
      <c r="P58" s="15">
        <v>46172</v>
      </c>
      <c r="Q58" s="15">
        <v>46182</v>
      </c>
      <c r="T58" t="str">
        <f t="shared" si="2"/>
        <v>오경환</v>
      </c>
    </row>
    <row r="59" spans="2:20" x14ac:dyDescent="0.6">
      <c r="B59" t="s">
        <v>126</v>
      </c>
      <c r="C59" t="s">
        <v>285</v>
      </c>
      <c r="D59" t="s">
        <v>157</v>
      </c>
      <c r="E59" t="s">
        <v>182</v>
      </c>
      <c r="F59" t="s">
        <v>234</v>
      </c>
      <c r="G59" t="s">
        <v>169</v>
      </c>
      <c r="I59">
        <v>1</v>
      </c>
      <c r="J59" s="16">
        <v>7320000</v>
      </c>
      <c r="K59" s="17">
        <f t="shared" si="0"/>
        <v>7320000</v>
      </c>
      <c r="M59" t="s">
        <v>271</v>
      </c>
      <c r="N59" t="str">
        <f t="shared" si="1"/>
        <v>내수</v>
      </c>
      <c r="O59" t="s">
        <v>65</v>
      </c>
      <c r="P59" s="15">
        <v>46172</v>
      </c>
      <c r="Q59" s="15">
        <v>46182</v>
      </c>
      <c r="T59" t="str">
        <f t="shared" si="2"/>
        <v>오경환</v>
      </c>
    </row>
    <row r="60" spans="2:20" x14ac:dyDescent="0.6">
      <c r="B60" t="s">
        <v>127</v>
      </c>
      <c r="C60" t="s">
        <v>285</v>
      </c>
      <c r="D60" t="s">
        <v>157</v>
      </c>
      <c r="E60" t="s">
        <v>236</v>
      </c>
      <c r="F60" t="s">
        <v>198</v>
      </c>
      <c r="G60" t="s">
        <v>199</v>
      </c>
      <c r="I60">
        <v>1</v>
      </c>
      <c r="J60" s="16">
        <v>3700000</v>
      </c>
      <c r="K60" s="17">
        <f t="shared" si="0"/>
        <v>3700000</v>
      </c>
      <c r="M60" t="s">
        <v>271</v>
      </c>
      <c r="N60" t="str">
        <f t="shared" si="1"/>
        <v>내수</v>
      </c>
      <c r="O60" t="s">
        <v>65</v>
      </c>
      <c r="P60" s="15">
        <v>46173</v>
      </c>
      <c r="Q60" s="15">
        <v>46183</v>
      </c>
      <c r="T60" t="str">
        <f t="shared" si="2"/>
        <v>이현</v>
      </c>
    </row>
    <row r="61" spans="2:20" x14ac:dyDescent="0.6">
      <c r="B61" t="s">
        <v>128</v>
      </c>
      <c r="C61" t="s">
        <v>285</v>
      </c>
      <c r="D61" t="s">
        <v>157</v>
      </c>
      <c r="E61" t="s">
        <v>237</v>
      </c>
      <c r="F61" t="s">
        <v>238</v>
      </c>
      <c r="G61" t="s">
        <v>169</v>
      </c>
      <c r="I61">
        <v>1</v>
      </c>
      <c r="J61" s="16">
        <v>5080000</v>
      </c>
      <c r="K61" s="17">
        <f t="shared" si="0"/>
        <v>5080000</v>
      </c>
      <c r="M61" t="s">
        <v>271</v>
      </c>
      <c r="N61" t="str">
        <f t="shared" si="1"/>
        <v>내수</v>
      </c>
      <c r="O61" t="s">
        <v>65</v>
      </c>
      <c r="P61" s="15">
        <v>46173</v>
      </c>
      <c r="Q61" s="15">
        <v>46183</v>
      </c>
      <c r="T61" t="str">
        <f t="shared" si="2"/>
        <v>오경환</v>
      </c>
    </row>
    <row r="62" spans="2:20" x14ac:dyDescent="0.6">
      <c r="B62" t="s">
        <v>129</v>
      </c>
      <c r="C62" t="s">
        <v>285</v>
      </c>
      <c r="D62" t="s">
        <v>157</v>
      </c>
      <c r="E62" t="s">
        <v>239</v>
      </c>
      <c r="F62" t="s">
        <v>238</v>
      </c>
      <c r="G62" t="s">
        <v>169</v>
      </c>
      <c r="I62">
        <v>1</v>
      </c>
      <c r="J62" s="16">
        <v>3290000</v>
      </c>
      <c r="K62" s="17">
        <f t="shared" si="0"/>
        <v>3290000</v>
      </c>
      <c r="M62" t="s">
        <v>271</v>
      </c>
      <c r="N62" t="str">
        <f t="shared" si="1"/>
        <v>내수</v>
      </c>
      <c r="O62" t="s">
        <v>65</v>
      </c>
      <c r="P62" s="15">
        <v>46173</v>
      </c>
      <c r="Q62" s="15">
        <v>46183</v>
      </c>
      <c r="T62" t="str">
        <f t="shared" si="2"/>
        <v>오경환</v>
      </c>
    </row>
    <row r="63" spans="2:20" x14ac:dyDescent="0.6">
      <c r="B63" t="s">
        <v>130</v>
      </c>
      <c r="C63" t="s">
        <v>285</v>
      </c>
      <c r="D63" t="s">
        <v>157</v>
      </c>
      <c r="E63" t="s">
        <v>240</v>
      </c>
      <c r="F63" t="s">
        <v>238</v>
      </c>
      <c r="G63" t="s">
        <v>169</v>
      </c>
      <c r="I63">
        <v>1</v>
      </c>
      <c r="J63" s="16">
        <v>3150000</v>
      </c>
      <c r="K63" s="17">
        <f t="shared" si="0"/>
        <v>3150000</v>
      </c>
      <c r="M63" t="s">
        <v>271</v>
      </c>
      <c r="N63" t="str">
        <f t="shared" si="1"/>
        <v>내수</v>
      </c>
      <c r="O63" t="s">
        <v>65</v>
      </c>
      <c r="P63" s="15">
        <v>46173</v>
      </c>
      <c r="Q63" s="15">
        <v>46183</v>
      </c>
      <c r="T63" t="str">
        <f t="shared" si="2"/>
        <v>오경환</v>
      </c>
    </row>
    <row r="64" spans="2:20" x14ac:dyDescent="0.6">
      <c r="B64" t="s">
        <v>131</v>
      </c>
      <c r="C64" t="s">
        <v>285</v>
      </c>
      <c r="D64" t="s">
        <v>157</v>
      </c>
      <c r="E64" t="s">
        <v>227</v>
      </c>
      <c r="F64" t="s">
        <v>238</v>
      </c>
      <c r="G64" t="s">
        <v>169</v>
      </c>
      <c r="I64">
        <v>1</v>
      </c>
      <c r="J64" s="16">
        <v>3100000</v>
      </c>
      <c r="K64" s="17">
        <f t="shared" si="0"/>
        <v>3100000</v>
      </c>
      <c r="M64" t="s">
        <v>271</v>
      </c>
      <c r="N64" t="str">
        <f t="shared" si="1"/>
        <v>내수</v>
      </c>
      <c r="O64" t="s">
        <v>65</v>
      </c>
      <c r="P64" s="15">
        <v>46173</v>
      </c>
      <c r="Q64" s="15">
        <v>46183</v>
      </c>
      <c r="T64" t="str">
        <f t="shared" si="2"/>
        <v>오경환</v>
      </c>
    </row>
    <row r="65" spans="2:20" x14ac:dyDescent="0.6">
      <c r="B65" t="s">
        <v>132</v>
      </c>
      <c r="C65" t="s">
        <v>285</v>
      </c>
      <c r="D65" t="s">
        <v>157</v>
      </c>
      <c r="E65" t="s">
        <v>202</v>
      </c>
      <c r="F65" t="s">
        <v>241</v>
      </c>
      <c r="G65" t="s">
        <v>174</v>
      </c>
      <c r="I65">
        <v>10</v>
      </c>
      <c r="J65" s="16">
        <v>5610000</v>
      </c>
      <c r="K65" s="17">
        <f t="shared" si="0"/>
        <v>56100000</v>
      </c>
      <c r="M65" t="s">
        <v>271</v>
      </c>
      <c r="N65" t="str">
        <f t="shared" si="1"/>
        <v>내수</v>
      </c>
      <c r="O65" t="s">
        <v>65</v>
      </c>
      <c r="P65" s="15">
        <v>46174</v>
      </c>
      <c r="Q65" s="15">
        <v>46184</v>
      </c>
      <c r="T65" t="str">
        <f t="shared" si="2"/>
        <v>이현</v>
      </c>
    </row>
    <row r="66" spans="2:20" x14ac:dyDescent="0.6">
      <c r="B66" t="s">
        <v>133</v>
      </c>
      <c r="C66" t="s">
        <v>285</v>
      </c>
      <c r="D66" t="s">
        <v>157</v>
      </c>
      <c r="E66" t="s">
        <v>242</v>
      </c>
      <c r="F66" t="s">
        <v>243</v>
      </c>
      <c r="G66" t="s">
        <v>199</v>
      </c>
      <c r="I66">
        <v>1</v>
      </c>
      <c r="J66" s="16">
        <v>4670000</v>
      </c>
      <c r="K66" s="17">
        <f t="shared" si="0"/>
        <v>4670000</v>
      </c>
      <c r="M66" t="s">
        <v>271</v>
      </c>
      <c r="N66" t="str">
        <f t="shared" si="1"/>
        <v>내수</v>
      </c>
      <c r="O66" t="s">
        <v>65</v>
      </c>
      <c r="P66" s="15">
        <v>46174</v>
      </c>
      <c r="Q66" s="15">
        <v>46184</v>
      </c>
      <c r="T66" t="str">
        <f t="shared" si="2"/>
        <v>이현</v>
      </c>
    </row>
    <row r="67" spans="2:20" x14ac:dyDescent="0.6">
      <c r="B67" t="s">
        <v>134</v>
      </c>
      <c r="C67" t="s">
        <v>285</v>
      </c>
      <c r="D67" t="s">
        <v>157</v>
      </c>
      <c r="E67" t="s">
        <v>201</v>
      </c>
      <c r="F67" t="s">
        <v>243</v>
      </c>
      <c r="G67" t="s">
        <v>199</v>
      </c>
      <c r="I67">
        <v>1</v>
      </c>
      <c r="J67" s="16">
        <v>3700000</v>
      </c>
      <c r="K67" s="17">
        <f t="shared" si="0"/>
        <v>3700000</v>
      </c>
      <c r="M67" t="s">
        <v>271</v>
      </c>
      <c r="N67" t="str">
        <f t="shared" si="1"/>
        <v>내수</v>
      </c>
      <c r="O67" t="s">
        <v>65</v>
      </c>
      <c r="P67" s="15">
        <v>46174</v>
      </c>
      <c r="Q67" s="15">
        <v>46184</v>
      </c>
      <c r="T67" t="str">
        <f t="shared" si="2"/>
        <v>이현</v>
      </c>
    </row>
    <row r="68" spans="2:20" x14ac:dyDescent="0.6">
      <c r="B68" t="s">
        <v>135</v>
      </c>
      <c r="C68" t="s">
        <v>285</v>
      </c>
      <c r="D68" t="s">
        <v>157</v>
      </c>
      <c r="E68" t="s">
        <v>197</v>
      </c>
      <c r="F68" t="s">
        <v>243</v>
      </c>
      <c r="G68" t="s">
        <v>199</v>
      </c>
      <c r="I68">
        <v>1</v>
      </c>
      <c r="J68" s="16">
        <v>4300000</v>
      </c>
      <c r="K68" s="17">
        <f t="shared" si="0"/>
        <v>4300000</v>
      </c>
      <c r="M68" t="s">
        <v>271</v>
      </c>
      <c r="N68" t="str">
        <f t="shared" si="1"/>
        <v>내수</v>
      </c>
      <c r="O68" t="s">
        <v>65</v>
      </c>
      <c r="P68" s="15">
        <v>46174</v>
      </c>
      <c r="Q68" s="15">
        <v>46184</v>
      </c>
      <c r="T68" t="str">
        <f t="shared" si="2"/>
        <v>이현</v>
      </c>
    </row>
    <row r="69" spans="2:20" x14ac:dyDescent="0.6">
      <c r="B69" t="s">
        <v>136</v>
      </c>
      <c r="C69" t="s">
        <v>285</v>
      </c>
      <c r="D69" t="s">
        <v>157</v>
      </c>
      <c r="E69" t="s">
        <v>244</v>
      </c>
      <c r="F69" t="s">
        <v>245</v>
      </c>
      <c r="G69" t="s">
        <v>164</v>
      </c>
      <c r="I69">
        <v>1</v>
      </c>
      <c r="J69" s="16">
        <v>5960000</v>
      </c>
      <c r="K69" s="17">
        <f t="shared" si="0"/>
        <v>5960000</v>
      </c>
      <c r="M69" t="s">
        <v>271</v>
      </c>
      <c r="N69" t="str">
        <f t="shared" si="1"/>
        <v>내수</v>
      </c>
      <c r="O69" t="s">
        <v>65</v>
      </c>
      <c r="P69" s="15">
        <v>46174</v>
      </c>
      <c r="Q69" s="15">
        <v>46184</v>
      </c>
      <c r="T69" t="str">
        <f t="shared" si="2"/>
        <v>오경환</v>
      </c>
    </row>
    <row r="70" spans="2:20" x14ac:dyDescent="0.6">
      <c r="B70" t="s">
        <v>137</v>
      </c>
      <c r="C70" t="s">
        <v>285</v>
      </c>
      <c r="D70" t="s">
        <v>157</v>
      </c>
      <c r="E70" t="s">
        <v>246</v>
      </c>
      <c r="F70" t="s">
        <v>245</v>
      </c>
      <c r="G70" t="s">
        <v>164</v>
      </c>
      <c r="I70">
        <v>1</v>
      </c>
      <c r="J70" s="16">
        <v>5960000</v>
      </c>
      <c r="K70" s="17">
        <f t="shared" ref="K70:K89" si="3">I70*J70</f>
        <v>5960000</v>
      </c>
      <c r="M70" t="s">
        <v>271</v>
      </c>
      <c r="N70" t="str">
        <f t="shared" ref="N70:N93" si="4">IF(H70&lt;&gt;"","수출","내수")</f>
        <v>내수</v>
      </c>
      <c r="O70" t="s">
        <v>65</v>
      </c>
      <c r="P70" s="15">
        <v>46175</v>
      </c>
      <c r="Q70" s="15">
        <v>46185</v>
      </c>
      <c r="T70" t="str">
        <f t="shared" ref="T70:T93" si="5">IF(OR(ISNUMBER(SEARCH("드림텍",G70)),ISNUMBER(SEARCH("시노펙스",G70)),ISNUMBER(SEARCH("KNK VINA",G70))),"이현","오경환")</f>
        <v>오경환</v>
      </c>
    </row>
    <row r="71" spans="2:20" x14ac:dyDescent="0.6">
      <c r="B71" t="s">
        <v>138</v>
      </c>
      <c r="C71" t="s">
        <v>285</v>
      </c>
      <c r="D71" t="s">
        <v>156</v>
      </c>
      <c r="E71" t="s">
        <v>247</v>
      </c>
      <c r="F71" t="s">
        <v>248</v>
      </c>
      <c r="G71" t="s">
        <v>249</v>
      </c>
      <c r="I71">
        <v>1</v>
      </c>
      <c r="J71" s="16">
        <v>3756000</v>
      </c>
      <c r="K71" s="17">
        <f t="shared" si="3"/>
        <v>3756000</v>
      </c>
      <c r="M71" t="s">
        <v>271</v>
      </c>
      <c r="N71" t="str">
        <f t="shared" si="4"/>
        <v>내수</v>
      </c>
      <c r="O71" t="s">
        <v>65</v>
      </c>
      <c r="P71" s="15">
        <v>46175</v>
      </c>
      <c r="Q71" s="15">
        <v>46185</v>
      </c>
      <c r="T71" t="str">
        <f t="shared" si="5"/>
        <v>오경환</v>
      </c>
    </row>
    <row r="72" spans="2:20" x14ac:dyDescent="0.6">
      <c r="B72" t="s">
        <v>139</v>
      </c>
      <c r="C72" t="s">
        <v>285</v>
      </c>
      <c r="D72" t="s">
        <v>157</v>
      </c>
      <c r="E72" t="s">
        <v>250</v>
      </c>
      <c r="F72" t="s">
        <v>251</v>
      </c>
      <c r="G72" t="s">
        <v>174</v>
      </c>
      <c r="I72">
        <v>1</v>
      </c>
      <c r="J72" s="16">
        <v>3610000</v>
      </c>
      <c r="K72" s="17">
        <f t="shared" si="3"/>
        <v>3610000</v>
      </c>
      <c r="M72" t="s">
        <v>271</v>
      </c>
      <c r="N72" t="str">
        <f t="shared" si="4"/>
        <v>내수</v>
      </c>
      <c r="O72" t="s">
        <v>65</v>
      </c>
      <c r="P72" s="15">
        <v>46175</v>
      </c>
      <c r="Q72" s="15">
        <v>46185</v>
      </c>
      <c r="T72" t="str">
        <f t="shared" si="5"/>
        <v>이현</v>
      </c>
    </row>
    <row r="73" spans="2:20" x14ac:dyDescent="0.6">
      <c r="B73" t="s">
        <v>140</v>
      </c>
      <c r="C73" t="s">
        <v>285</v>
      </c>
      <c r="D73" t="s">
        <v>157</v>
      </c>
      <c r="E73" t="s">
        <v>250</v>
      </c>
      <c r="F73" t="s">
        <v>252</v>
      </c>
      <c r="G73" t="s">
        <v>174</v>
      </c>
      <c r="I73">
        <v>1</v>
      </c>
      <c r="J73" s="16">
        <v>3277500</v>
      </c>
      <c r="K73" s="17">
        <f t="shared" si="3"/>
        <v>3277500</v>
      </c>
      <c r="M73" t="s">
        <v>271</v>
      </c>
      <c r="N73" t="str">
        <f t="shared" si="4"/>
        <v>내수</v>
      </c>
      <c r="O73" t="s">
        <v>65</v>
      </c>
      <c r="P73" s="15">
        <v>46175</v>
      </c>
      <c r="Q73" s="15">
        <v>46185</v>
      </c>
      <c r="T73" t="str">
        <f t="shared" si="5"/>
        <v>이현</v>
      </c>
    </row>
    <row r="74" spans="2:20" x14ac:dyDescent="0.6">
      <c r="B74" t="s">
        <v>141</v>
      </c>
      <c r="C74" t="s">
        <v>285</v>
      </c>
      <c r="D74" t="s">
        <v>157</v>
      </c>
      <c r="E74" t="s">
        <v>253</v>
      </c>
      <c r="F74" t="s">
        <v>254</v>
      </c>
      <c r="G74" t="s">
        <v>174</v>
      </c>
      <c r="I74">
        <v>1</v>
      </c>
      <c r="J74" s="16">
        <v>4465000</v>
      </c>
      <c r="K74" s="17">
        <f t="shared" si="3"/>
        <v>4465000</v>
      </c>
      <c r="M74" t="s">
        <v>271</v>
      </c>
      <c r="N74" t="str">
        <f t="shared" si="4"/>
        <v>내수</v>
      </c>
      <c r="O74" t="s">
        <v>65</v>
      </c>
      <c r="P74" s="15">
        <v>46175</v>
      </c>
      <c r="Q74" s="15">
        <v>46185</v>
      </c>
      <c r="T74" t="str">
        <f t="shared" si="5"/>
        <v>이현</v>
      </c>
    </row>
    <row r="75" spans="2:20" x14ac:dyDescent="0.6">
      <c r="B75" t="s">
        <v>142</v>
      </c>
      <c r="C75" t="s">
        <v>285</v>
      </c>
      <c r="D75" t="s">
        <v>157</v>
      </c>
      <c r="E75" t="s">
        <v>202</v>
      </c>
      <c r="F75" t="s">
        <v>255</v>
      </c>
      <c r="G75" t="s">
        <v>174</v>
      </c>
      <c r="I75">
        <v>1</v>
      </c>
      <c r="J75" s="16">
        <v>4626000</v>
      </c>
      <c r="K75" s="17">
        <f t="shared" si="3"/>
        <v>4626000</v>
      </c>
      <c r="M75" t="s">
        <v>271</v>
      </c>
      <c r="N75" t="str">
        <f t="shared" si="4"/>
        <v>내수</v>
      </c>
      <c r="O75" t="s">
        <v>65</v>
      </c>
      <c r="P75" s="15">
        <v>46176</v>
      </c>
      <c r="Q75" s="15">
        <v>46186</v>
      </c>
      <c r="T75" t="str">
        <f t="shared" si="5"/>
        <v>이현</v>
      </c>
    </row>
    <row r="76" spans="2:20" x14ac:dyDescent="0.6">
      <c r="B76" t="s">
        <v>143</v>
      </c>
      <c r="C76" t="s">
        <v>285</v>
      </c>
      <c r="D76" t="s">
        <v>156</v>
      </c>
      <c r="E76" t="s">
        <v>256</v>
      </c>
      <c r="F76" t="s">
        <v>257</v>
      </c>
      <c r="G76" t="s">
        <v>258</v>
      </c>
      <c r="I76">
        <v>1</v>
      </c>
      <c r="J76" s="16">
        <v>3320000</v>
      </c>
      <c r="K76" s="17">
        <f t="shared" si="3"/>
        <v>3320000</v>
      </c>
      <c r="M76" t="s">
        <v>271</v>
      </c>
      <c r="N76" t="str">
        <f t="shared" si="4"/>
        <v>내수</v>
      </c>
      <c r="O76" t="s">
        <v>65</v>
      </c>
      <c r="P76" s="15">
        <v>46176</v>
      </c>
      <c r="Q76" s="15">
        <v>46186</v>
      </c>
      <c r="T76" t="str">
        <f t="shared" si="5"/>
        <v>오경환</v>
      </c>
    </row>
    <row r="77" spans="2:20" x14ac:dyDescent="0.6">
      <c r="B77" t="s">
        <v>144</v>
      </c>
      <c r="C77" t="s">
        <v>285</v>
      </c>
      <c r="D77" t="s">
        <v>156</v>
      </c>
      <c r="E77" t="s">
        <v>259</v>
      </c>
      <c r="F77" t="s">
        <v>257</v>
      </c>
      <c r="G77" t="s">
        <v>258</v>
      </c>
      <c r="I77">
        <v>1</v>
      </c>
      <c r="J77" s="16">
        <v>2920000</v>
      </c>
      <c r="K77" s="17">
        <f t="shared" si="3"/>
        <v>2920000</v>
      </c>
      <c r="M77" t="s">
        <v>271</v>
      </c>
      <c r="N77" t="str">
        <f t="shared" si="4"/>
        <v>내수</v>
      </c>
      <c r="O77" t="s">
        <v>65</v>
      </c>
      <c r="P77" s="15">
        <v>46176</v>
      </c>
      <c r="Q77" s="15">
        <v>46186</v>
      </c>
      <c r="T77" t="str">
        <f t="shared" si="5"/>
        <v>오경환</v>
      </c>
    </row>
    <row r="78" spans="2:20" x14ac:dyDescent="0.6">
      <c r="B78" t="s">
        <v>145</v>
      </c>
      <c r="C78" t="s">
        <v>285</v>
      </c>
      <c r="D78" t="s">
        <v>156</v>
      </c>
      <c r="E78" t="s">
        <v>260</v>
      </c>
      <c r="F78" t="s">
        <v>257</v>
      </c>
      <c r="G78" t="s">
        <v>258</v>
      </c>
      <c r="I78">
        <v>1</v>
      </c>
      <c r="J78" s="16">
        <v>4820000</v>
      </c>
      <c r="K78" s="17">
        <f t="shared" si="3"/>
        <v>4820000</v>
      </c>
      <c r="M78" t="s">
        <v>271</v>
      </c>
      <c r="N78" t="str">
        <f t="shared" si="4"/>
        <v>내수</v>
      </c>
      <c r="O78" t="s">
        <v>65</v>
      </c>
      <c r="P78" s="15">
        <v>46176</v>
      </c>
      <c r="Q78" s="15">
        <v>46186</v>
      </c>
      <c r="T78" t="str">
        <f t="shared" si="5"/>
        <v>오경환</v>
      </c>
    </row>
    <row r="79" spans="2:20" x14ac:dyDescent="0.6">
      <c r="B79" t="s">
        <v>146</v>
      </c>
      <c r="C79" t="s">
        <v>285</v>
      </c>
      <c r="D79" t="s">
        <v>156</v>
      </c>
      <c r="E79" t="s">
        <v>261</v>
      </c>
      <c r="F79" t="s">
        <v>257</v>
      </c>
      <c r="G79" t="s">
        <v>258</v>
      </c>
      <c r="I79">
        <v>1</v>
      </c>
      <c r="J79" s="16">
        <v>5270000</v>
      </c>
      <c r="K79" s="17">
        <f t="shared" si="3"/>
        <v>5270000</v>
      </c>
      <c r="M79" t="s">
        <v>271</v>
      </c>
      <c r="N79" t="str">
        <f t="shared" si="4"/>
        <v>내수</v>
      </c>
      <c r="O79" t="s">
        <v>65</v>
      </c>
      <c r="P79" s="15">
        <v>46176</v>
      </c>
      <c r="Q79" s="15">
        <v>46186</v>
      </c>
      <c r="T79" t="str">
        <f t="shared" si="5"/>
        <v>오경환</v>
      </c>
    </row>
    <row r="80" spans="2:20" x14ac:dyDescent="0.6">
      <c r="B80" t="s">
        <v>147</v>
      </c>
      <c r="C80" t="s">
        <v>285</v>
      </c>
      <c r="D80" t="s">
        <v>156</v>
      </c>
      <c r="E80" t="s">
        <v>256</v>
      </c>
      <c r="F80" t="s">
        <v>262</v>
      </c>
      <c r="G80" t="s">
        <v>258</v>
      </c>
      <c r="I80">
        <v>1</v>
      </c>
      <c r="J80" s="16">
        <v>3320000</v>
      </c>
      <c r="K80" s="17">
        <f t="shared" si="3"/>
        <v>3320000</v>
      </c>
      <c r="M80" t="s">
        <v>271</v>
      </c>
      <c r="N80" t="str">
        <f t="shared" si="4"/>
        <v>내수</v>
      </c>
      <c r="O80" t="s">
        <v>65</v>
      </c>
      <c r="P80" s="15">
        <v>46177</v>
      </c>
      <c r="Q80" s="15">
        <v>46187</v>
      </c>
      <c r="T80" t="str">
        <f t="shared" si="5"/>
        <v>오경환</v>
      </c>
    </row>
    <row r="81" spans="2:20" x14ac:dyDescent="0.6">
      <c r="B81" t="s">
        <v>148</v>
      </c>
      <c r="C81" t="s">
        <v>285</v>
      </c>
      <c r="D81" t="s">
        <v>156</v>
      </c>
      <c r="E81" t="s">
        <v>259</v>
      </c>
      <c r="F81" t="s">
        <v>262</v>
      </c>
      <c r="G81" t="s">
        <v>258</v>
      </c>
      <c r="I81">
        <v>1</v>
      </c>
      <c r="J81" s="16">
        <v>2920000</v>
      </c>
      <c r="K81" s="17">
        <f t="shared" si="3"/>
        <v>2920000</v>
      </c>
      <c r="M81" t="s">
        <v>271</v>
      </c>
      <c r="N81" t="str">
        <f t="shared" si="4"/>
        <v>내수</v>
      </c>
      <c r="O81" t="s">
        <v>65</v>
      </c>
      <c r="P81" s="15">
        <v>46177</v>
      </c>
      <c r="Q81" s="15">
        <v>46187</v>
      </c>
      <c r="T81" t="str">
        <f t="shared" si="5"/>
        <v>오경환</v>
      </c>
    </row>
    <row r="82" spans="2:20" x14ac:dyDescent="0.6">
      <c r="B82" t="s">
        <v>149</v>
      </c>
      <c r="C82" t="s">
        <v>285</v>
      </c>
      <c r="D82" t="s">
        <v>156</v>
      </c>
      <c r="E82" t="s">
        <v>260</v>
      </c>
      <c r="F82" t="s">
        <v>262</v>
      </c>
      <c r="G82" t="s">
        <v>258</v>
      </c>
      <c r="I82">
        <v>1</v>
      </c>
      <c r="J82" s="16">
        <v>4820000</v>
      </c>
      <c r="K82" s="17">
        <f t="shared" si="3"/>
        <v>4820000</v>
      </c>
      <c r="M82" t="s">
        <v>271</v>
      </c>
      <c r="N82" t="str">
        <f t="shared" si="4"/>
        <v>내수</v>
      </c>
      <c r="O82" t="s">
        <v>65</v>
      </c>
      <c r="P82" s="15">
        <v>46177</v>
      </c>
      <c r="Q82" s="15">
        <v>46187</v>
      </c>
      <c r="T82" t="str">
        <f t="shared" si="5"/>
        <v>오경환</v>
      </c>
    </row>
    <row r="83" spans="2:20" x14ac:dyDescent="0.6">
      <c r="B83" t="s">
        <v>150</v>
      </c>
      <c r="C83" t="s">
        <v>285</v>
      </c>
      <c r="D83" t="s">
        <v>157</v>
      </c>
      <c r="E83" t="s">
        <v>263</v>
      </c>
      <c r="F83" t="s">
        <v>264</v>
      </c>
      <c r="G83" t="s">
        <v>174</v>
      </c>
      <c r="I83">
        <v>1</v>
      </c>
      <c r="J83" s="16">
        <v>5700000</v>
      </c>
      <c r="K83" s="17">
        <f t="shared" si="3"/>
        <v>5700000</v>
      </c>
      <c r="M83" t="s">
        <v>271</v>
      </c>
      <c r="N83" t="str">
        <f t="shared" si="4"/>
        <v>내수</v>
      </c>
      <c r="O83" t="s">
        <v>65</v>
      </c>
      <c r="P83" s="15">
        <v>46177</v>
      </c>
      <c r="Q83" s="15">
        <v>46187</v>
      </c>
      <c r="T83" t="str">
        <f t="shared" si="5"/>
        <v>이현</v>
      </c>
    </row>
    <row r="84" spans="2:20" x14ac:dyDescent="0.6">
      <c r="B84" t="s">
        <v>151</v>
      </c>
      <c r="C84" t="s">
        <v>285</v>
      </c>
      <c r="D84" t="s">
        <v>157</v>
      </c>
      <c r="E84" t="s">
        <v>265</v>
      </c>
      <c r="F84" t="s">
        <v>266</v>
      </c>
      <c r="G84" t="s">
        <v>164</v>
      </c>
      <c r="I84">
        <v>10</v>
      </c>
      <c r="J84" s="16">
        <v>3595200</v>
      </c>
      <c r="K84" s="17">
        <f t="shared" si="3"/>
        <v>35952000</v>
      </c>
      <c r="M84" t="s">
        <v>271</v>
      </c>
      <c r="N84" t="str">
        <f t="shared" si="4"/>
        <v>내수</v>
      </c>
      <c r="O84" t="s">
        <v>65</v>
      </c>
      <c r="P84" s="15">
        <v>46177</v>
      </c>
      <c r="Q84" s="15">
        <v>46187</v>
      </c>
      <c r="T84" t="str">
        <f t="shared" si="5"/>
        <v>오경환</v>
      </c>
    </row>
    <row r="85" spans="2:20" x14ac:dyDescent="0.6">
      <c r="B85" t="s">
        <v>152</v>
      </c>
      <c r="C85" t="s">
        <v>285</v>
      </c>
      <c r="D85" t="s">
        <v>157</v>
      </c>
      <c r="E85" t="s">
        <v>165</v>
      </c>
      <c r="F85" t="s">
        <v>266</v>
      </c>
      <c r="G85" t="s">
        <v>164</v>
      </c>
      <c r="I85">
        <v>10</v>
      </c>
      <c r="J85" s="16">
        <v>4530400</v>
      </c>
      <c r="K85" s="17">
        <f t="shared" si="3"/>
        <v>45304000</v>
      </c>
      <c r="M85" t="s">
        <v>271</v>
      </c>
      <c r="N85" t="str">
        <f t="shared" si="4"/>
        <v>내수</v>
      </c>
      <c r="O85" t="s">
        <v>65</v>
      </c>
      <c r="P85" s="15">
        <v>46178</v>
      </c>
      <c r="Q85" s="15">
        <v>46188</v>
      </c>
      <c r="T85" t="str">
        <f t="shared" si="5"/>
        <v>오경환</v>
      </c>
    </row>
    <row r="86" spans="2:20" x14ac:dyDescent="0.6">
      <c r="B86" t="s">
        <v>153</v>
      </c>
      <c r="C86" t="s">
        <v>285</v>
      </c>
      <c r="D86" t="s">
        <v>157</v>
      </c>
      <c r="E86" t="s">
        <v>166</v>
      </c>
      <c r="F86" t="s">
        <v>266</v>
      </c>
      <c r="G86" t="s">
        <v>164</v>
      </c>
      <c r="I86">
        <v>10</v>
      </c>
      <c r="J86" s="16">
        <v>4530400</v>
      </c>
      <c r="K86" s="17">
        <f t="shared" si="3"/>
        <v>45304000</v>
      </c>
      <c r="M86" t="s">
        <v>271</v>
      </c>
      <c r="N86" t="str">
        <f t="shared" si="4"/>
        <v>내수</v>
      </c>
      <c r="O86" t="s">
        <v>65</v>
      </c>
      <c r="P86" s="15">
        <v>46178</v>
      </c>
      <c r="Q86" s="15">
        <v>46188</v>
      </c>
      <c r="T86" t="str">
        <f t="shared" si="5"/>
        <v>오경환</v>
      </c>
    </row>
    <row r="87" spans="2:20" x14ac:dyDescent="0.6">
      <c r="B87" t="s">
        <v>154</v>
      </c>
      <c r="C87" t="s">
        <v>285</v>
      </c>
      <c r="D87" t="s">
        <v>157</v>
      </c>
      <c r="E87" t="s">
        <v>267</v>
      </c>
      <c r="F87" t="s">
        <v>268</v>
      </c>
      <c r="G87" t="s">
        <v>164</v>
      </c>
      <c r="I87">
        <v>1</v>
      </c>
      <c r="J87" s="16">
        <v>2760000</v>
      </c>
      <c r="K87" s="17">
        <f t="shared" si="3"/>
        <v>2760000</v>
      </c>
      <c r="M87" t="s">
        <v>271</v>
      </c>
      <c r="N87" t="str">
        <f t="shared" si="4"/>
        <v>내수</v>
      </c>
      <c r="O87" t="s">
        <v>65</v>
      </c>
      <c r="P87" s="15">
        <v>46178</v>
      </c>
      <c r="Q87" s="15">
        <v>46188</v>
      </c>
      <c r="T87" t="str">
        <f t="shared" si="5"/>
        <v>오경환</v>
      </c>
    </row>
    <row r="88" spans="2:20" x14ac:dyDescent="0.6">
      <c r="B88" t="s">
        <v>155</v>
      </c>
      <c r="C88" t="s">
        <v>285</v>
      </c>
      <c r="D88" t="s">
        <v>157</v>
      </c>
      <c r="E88" t="s">
        <v>269</v>
      </c>
      <c r="F88" t="s">
        <v>268</v>
      </c>
      <c r="G88" t="s">
        <v>164</v>
      </c>
      <c r="I88">
        <v>1</v>
      </c>
      <c r="J88" s="16">
        <v>2760000</v>
      </c>
      <c r="K88" s="17">
        <f t="shared" si="3"/>
        <v>2760000</v>
      </c>
      <c r="M88" t="s">
        <v>271</v>
      </c>
      <c r="N88" t="str">
        <f t="shared" si="4"/>
        <v>내수</v>
      </c>
      <c r="O88" t="s">
        <v>65</v>
      </c>
      <c r="P88" s="15">
        <v>46178</v>
      </c>
      <c r="Q88" s="15">
        <v>46188</v>
      </c>
      <c r="T88" t="str">
        <f t="shared" si="5"/>
        <v>오경환</v>
      </c>
    </row>
    <row r="89" spans="2:20" x14ac:dyDescent="0.6">
      <c r="B89" t="s">
        <v>272</v>
      </c>
      <c r="C89" t="s">
        <v>285</v>
      </c>
      <c r="D89" t="s">
        <v>157</v>
      </c>
      <c r="E89" t="s">
        <v>277</v>
      </c>
      <c r="F89" t="s">
        <v>186</v>
      </c>
      <c r="G89" t="s">
        <v>187</v>
      </c>
      <c r="H89" t="s">
        <v>282</v>
      </c>
      <c r="I89">
        <v>10</v>
      </c>
      <c r="J89" s="16">
        <v>2500000</v>
      </c>
      <c r="K89" s="17">
        <f t="shared" si="3"/>
        <v>25000000</v>
      </c>
      <c r="M89" t="s">
        <v>271</v>
      </c>
      <c r="N89" t="str">
        <f t="shared" si="4"/>
        <v>수출</v>
      </c>
      <c r="O89" t="s">
        <v>270</v>
      </c>
      <c r="P89" s="15">
        <v>46165</v>
      </c>
      <c r="Q89" s="15">
        <v>46175</v>
      </c>
      <c r="T89" t="str">
        <f t="shared" si="5"/>
        <v>이현</v>
      </c>
    </row>
    <row r="90" spans="2:20" x14ac:dyDescent="0.6">
      <c r="B90" t="s">
        <v>273</v>
      </c>
      <c r="C90" t="s">
        <v>285</v>
      </c>
      <c r="D90" t="s">
        <v>157</v>
      </c>
      <c r="E90" t="s">
        <v>278</v>
      </c>
      <c r="F90" t="s">
        <v>186</v>
      </c>
      <c r="G90" t="s">
        <v>187</v>
      </c>
      <c r="H90" t="s">
        <v>282</v>
      </c>
      <c r="I90">
        <v>15</v>
      </c>
      <c r="J90" s="16">
        <v>2500000</v>
      </c>
      <c r="K90" s="17">
        <f t="shared" ref="K90:K92" si="6">I90*J90</f>
        <v>37500000</v>
      </c>
      <c r="M90" t="s">
        <v>271</v>
      </c>
      <c r="N90" t="str">
        <f t="shared" si="4"/>
        <v>수출</v>
      </c>
      <c r="O90" t="s">
        <v>270</v>
      </c>
      <c r="P90" s="15">
        <v>46165</v>
      </c>
      <c r="Q90" s="15">
        <v>46175</v>
      </c>
      <c r="T90" t="str">
        <f t="shared" si="5"/>
        <v>이현</v>
      </c>
    </row>
    <row r="91" spans="2:20" x14ac:dyDescent="0.6">
      <c r="B91" t="s">
        <v>274</v>
      </c>
      <c r="C91" t="s">
        <v>285</v>
      </c>
      <c r="D91" t="s">
        <v>157</v>
      </c>
      <c r="E91" t="s">
        <v>279</v>
      </c>
      <c r="F91" t="s">
        <v>186</v>
      </c>
      <c r="G91" t="s">
        <v>187</v>
      </c>
      <c r="H91" t="s">
        <v>282</v>
      </c>
      <c r="I91">
        <v>10</v>
      </c>
      <c r="J91" s="16">
        <v>2500000</v>
      </c>
      <c r="K91" s="17">
        <f t="shared" si="6"/>
        <v>25000000</v>
      </c>
      <c r="M91" t="s">
        <v>271</v>
      </c>
      <c r="N91" t="str">
        <f t="shared" si="4"/>
        <v>수출</v>
      </c>
      <c r="O91" t="s">
        <v>270</v>
      </c>
      <c r="P91" s="15">
        <v>46165</v>
      </c>
      <c r="Q91" s="15">
        <v>46175</v>
      </c>
      <c r="T91" t="str">
        <f t="shared" si="5"/>
        <v>이현</v>
      </c>
    </row>
    <row r="92" spans="2:20" x14ac:dyDescent="0.6">
      <c r="B92" t="s">
        <v>275</v>
      </c>
      <c r="C92" t="s">
        <v>285</v>
      </c>
      <c r="D92" t="s">
        <v>157</v>
      </c>
      <c r="E92" t="s">
        <v>280</v>
      </c>
      <c r="F92" t="s">
        <v>186</v>
      </c>
      <c r="G92" t="s">
        <v>187</v>
      </c>
      <c r="H92" t="s">
        <v>282</v>
      </c>
      <c r="I92">
        <v>15</v>
      </c>
      <c r="J92" s="16">
        <v>2500000</v>
      </c>
      <c r="K92" s="17">
        <f t="shared" si="6"/>
        <v>37500000</v>
      </c>
      <c r="M92" t="s">
        <v>271</v>
      </c>
      <c r="N92" t="str">
        <f t="shared" si="4"/>
        <v>수출</v>
      </c>
      <c r="O92" t="s">
        <v>270</v>
      </c>
      <c r="P92" s="15">
        <v>46165</v>
      </c>
      <c r="Q92" s="15">
        <v>46175</v>
      </c>
      <c r="T92" t="str">
        <f t="shared" si="5"/>
        <v>이현</v>
      </c>
    </row>
    <row r="93" spans="2:20" x14ac:dyDescent="0.6">
      <c r="B93" t="s">
        <v>276</v>
      </c>
      <c r="C93" t="s">
        <v>285</v>
      </c>
      <c r="D93" t="s">
        <v>157</v>
      </c>
      <c r="E93" t="s">
        <v>281</v>
      </c>
      <c r="F93" t="s">
        <v>186</v>
      </c>
      <c r="G93" t="s">
        <v>187</v>
      </c>
      <c r="H93" t="s">
        <v>282</v>
      </c>
      <c r="I93">
        <v>20</v>
      </c>
      <c r="J93" s="16">
        <v>2500000</v>
      </c>
      <c r="K93" s="17">
        <f t="shared" ref="K93" si="7">I93*J93</f>
        <v>50000000</v>
      </c>
      <c r="M93" t="s">
        <v>271</v>
      </c>
      <c r="N93" t="str">
        <f t="shared" si="4"/>
        <v>수출</v>
      </c>
      <c r="O93" t="s">
        <v>270</v>
      </c>
      <c r="P93" s="15">
        <v>46165</v>
      </c>
      <c r="Q93" s="15">
        <v>46175</v>
      </c>
      <c r="T93" t="str">
        <f t="shared" si="5"/>
        <v>이현</v>
      </c>
    </row>
  </sheetData>
  <mergeCells count="2">
    <mergeCell ref="A1:U1"/>
    <mergeCell ref="A2:U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작성안내</vt:lpstr>
      <vt:lpstr>ASSY장비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2026-06-05T06:21:14Z</dcterms:created>
  <dcterms:modified xsi:type="dcterms:W3CDTF">2026-06-06T08:23:36Z</dcterms:modified>
</cp:coreProperties>
</file>